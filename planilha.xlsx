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908" documentId="8_{AF585B22-221D-4780-BB9C-493D365A6A02}" xr6:coauthVersionLast="47" xr6:coauthVersionMax="47" xr10:uidLastSave="{B349A311-1E51-48C5-B91E-F69AC9F1E29A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<sst xmlns="http://schemas.openxmlformats.org/spreadsheetml/2006/main" count="7836" uniqueCount="352">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</sst>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4" sqref="G24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56585322</v>
      </c>
      <c r="D35" s="13">
        <f>IFERROR(SUM(D4:D34),"")</f>
        <v>21086190</v>
      </c>
      <c r="E35" s="13">
        <f>IFERROR(SUM(E4:E34),"")</f>
        <v>12817230</v>
      </c>
      <c r="F35" s="13">
        <f>IFERROR(SUM(F4:F34),"")</f>
        <v>25426490</v>
      </c>
      <c r="G35" s="13">
        <f>IFERROR(SUM(G4:G34),"")</f>
        <v>59329910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M56" sqref="M56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203</v>
      </c>
      <c r="L58" s="16"/>
      <c r="M58" s="16"/>
    </row>
    <row r="59" spans="1:13" ht="15" customHeight="1">
      <c r="H59" s="109"/>
      <c r="I59" s="17"/>
      <c r="J59" s="17"/>
      <c r="K59" s="17" t="s">
        <v>204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205</v>
      </c>
      <c r="L61" s="17"/>
      <c r="M61" s="17"/>
    </row>
    <row r="62" spans="1:13" ht="15" customHeight="1">
      <c r="H62" s="109"/>
      <c r="I62" s="16"/>
      <c r="J62" s="16"/>
      <c r="K62" s="16" t="s">
        <v>206</v>
      </c>
      <c r="L62" s="16"/>
      <c r="M62" s="16"/>
    </row>
    <row r="63" spans="1:13" ht="15" customHeight="1">
      <c r="H63" s="109"/>
      <c r="I63" s="17"/>
      <c r="J63" s="17"/>
      <c r="K63" s="17" t="s">
        <v>207</v>
      </c>
      <c r="L63" s="17"/>
      <c r="M63" s="17"/>
    </row>
    <row r="64" spans="1:13" ht="15" customHeight="1">
      <c r="H64" s="109"/>
      <c r="I64" s="16"/>
      <c r="J64" s="16"/>
      <c r="K64" s="16" t="s">
        <v>208</v>
      </c>
      <c r="L64" s="16"/>
      <c r="M64" s="16"/>
    </row>
    <row r="65" spans="8:13" ht="15" customHeight="1">
      <c r="H65" s="109"/>
      <c r="I65" s="17"/>
      <c r="J65" s="17"/>
      <c r="K65" s="17" t="s">
        <v>209</v>
      </c>
      <c r="L65" s="17"/>
      <c r="M65" s="17"/>
    </row>
    <row r="66" spans="8:13" ht="15" customHeight="1">
      <c r="H66" s="109"/>
      <c r="I66" s="16"/>
      <c r="J66" s="16"/>
      <c r="K66" s="16" t="s">
        <v>210</v>
      </c>
      <c r="L66" s="16"/>
      <c r="M66" s="16"/>
    </row>
    <row r="67" spans="8:13" ht="15" customHeight="1">
      <c r="H67" s="109"/>
      <c r="I67" s="17"/>
      <c r="J67" s="17"/>
      <c r="K67" s="17" t="s">
        <v>211</v>
      </c>
      <c r="L67" s="17"/>
      <c r="M67" s="17"/>
    </row>
    <row r="68" spans="8:13" ht="15" customHeight="1">
      <c r="H68" s="109"/>
      <c r="I68" s="16"/>
      <c r="J68" s="16"/>
      <c r="K68" s="16" t="s">
        <v>212</v>
      </c>
      <c r="L68" s="16"/>
      <c r="M68" s="16"/>
    </row>
    <row r="69" spans="8:13" ht="15" customHeight="1">
      <c r="H69" s="109"/>
      <c r="I69" s="17"/>
      <c r="J69" s="17"/>
      <c r="K69" s="17" t="s">
        <v>213</v>
      </c>
      <c r="L69" s="17"/>
      <c r="M69" s="17"/>
    </row>
    <row r="70" spans="8:13" ht="15" customHeight="1">
      <c r="H70" s="109"/>
      <c r="I70" s="16"/>
      <c r="J70" s="16"/>
      <c r="K70" s="16" t="s">
        <v>214</v>
      </c>
      <c r="L70" s="16"/>
      <c r="M70" s="16"/>
    </row>
    <row r="71" spans="8:13" ht="15" customHeight="1">
      <c r="H71" s="109"/>
      <c r="I71" s="17"/>
      <c r="J71" s="17"/>
      <c r="K71" s="17" t="s">
        <v>215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72" activePane="bottomLeft" state="frozen"/>
      <selection pane="bottomLeft" activeCell="E499" sqref="E499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226</v>
      </c>
      <c r="E2" s="59" t="s">
        <v>227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228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227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227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227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227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227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227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227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227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227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227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227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230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227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227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227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227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227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227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227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227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227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227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227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227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230</v>
      </c>
      <c r="O27" s="39">
        <v>1183060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233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227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227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234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227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227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227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227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227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227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227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230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227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227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227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227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227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227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227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227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227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227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227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230</v>
      </c>
      <c r="O54" s="39">
        <v>959290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233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227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227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227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227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227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227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227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227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227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227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227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227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230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227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227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235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227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227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227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227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227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227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227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230</v>
      </c>
      <c r="O81" s="39">
        <v>878050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233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236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227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227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230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237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>
        <v>1700000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233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227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227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227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227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227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227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227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227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227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227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227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227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230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230</v>
      </c>
      <c r="O135" s="39">
        <v>862330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233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230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227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227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227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227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227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227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227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227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227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227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230</v>
      </c>
      <c r="O162" s="44">
        <v>1546080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233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227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227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227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227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227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227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227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227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227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227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230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227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227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227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227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227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227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227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227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227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227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227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227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>
        <v>2355810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233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227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227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227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227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227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227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227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227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227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227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227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227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230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227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227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227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227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227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227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227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227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227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227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227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230</v>
      </c>
      <c r="O216" s="45">
        <v>2013260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233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227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238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227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227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227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227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227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227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227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227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227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227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230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227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227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227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227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227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227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227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227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227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230</v>
      </c>
      <c r="O243" s="39">
        <v>1545480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233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227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239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227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227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227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227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227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227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227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227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227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227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227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230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227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227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227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227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227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227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227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227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227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227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227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>
        <v>1182690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233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227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227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227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227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227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227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227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227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227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227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227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227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230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227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240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227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227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227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241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227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241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227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241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227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241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227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241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227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241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227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241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227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241</v>
      </c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230</v>
      </c>
      <c r="O297" s="39">
        <v>1843460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233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242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227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227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243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227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227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227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227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227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227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227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230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244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244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227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244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244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244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227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244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>
        <v>1940000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233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227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245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227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227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227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227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227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227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227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227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227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230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227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227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227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227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227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227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227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227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227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227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227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227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230</v>
      </c>
      <c r="O351" s="39">
        <v>701874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233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246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227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227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227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227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227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227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227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227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227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227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227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230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227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227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227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227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227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227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227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227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227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227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227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230</v>
      </c>
      <c r="O378" s="39">
        <v>1088710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233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227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227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247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227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248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227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227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227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227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227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227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227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227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230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227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227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249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227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227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227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227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227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227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227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227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227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230</v>
      </c>
      <c r="O405" s="39">
        <v>1202270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233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227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250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227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227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251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227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227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227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227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227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252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252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227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230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227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227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227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227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227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227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227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227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227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227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227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>
        <v>1801910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233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227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253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227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227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227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227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227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227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227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227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230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254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254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254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254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254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254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254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254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254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254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254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254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230</v>
      </c>
      <c r="O459" s="39">
        <v>2675000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233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>
        <v>2034810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>
        <v>2310070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233</v>
      </c>
      <c r="O487" s="48">
        <f>IFERROR(O473+O486,"")</f>
        <v>4344880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254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254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254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254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254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254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254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30</v>
      </c>
      <c r="G500" s="36">
        <f>SUM(G488:G499)</f>
        <v>126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30</v>
      </c>
      <c r="G514" s="40">
        <f>G500+G513</f>
        <v>126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59" t="s">
        <v>227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63" activePane="bottomLeft" state="frozen"/>
      <selection pane="bottomLeft" activeCell="F495" sqref="F49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230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230</v>
      </c>
      <c r="O27" s="78">
        <v>393200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233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255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230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254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256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254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254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254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254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254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254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254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254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254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85">
        <v>276360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233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257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258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230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230</v>
      </c>
      <c r="O81" s="54">
        <v>787860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233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254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259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230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260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261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262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230</v>
      </c>
      <c r="O108" s="54">
        <v>1087080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233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263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230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264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245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230</v>
      </c>
      <c r="O135" s="54">
        <v>794480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233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267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230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230</v>
      </c>
      <c r="O162" s="54">
        <v>882280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233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254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254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254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230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230</v>
      </c>
      <c r="O189" s="78"/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233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230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271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272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230</v>
      </c>
      <c r="O216" s="78">
        <v>648410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233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274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229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230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275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269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254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230</v>
      </c>
      <c r="O243" s="78">
        <v>849060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233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276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230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227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230</v>
      </c>
      <c r="O270" s="78">
        <v>625070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233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277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278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230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230</v>
      </c>
      <c r="O297" s="78">
        <v>761660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233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280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280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230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281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282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230</v>
      </c>
      <c r="O324" s="78">
        <v>524410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233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254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283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227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254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254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254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254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254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254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254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230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284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285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230</v>
      </c>
      <c r="O351" s="78">
        <v>598420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233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230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0.30188553240441252</v>
      </c>
      <c r="N377" s="46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0.4595244212933014</v>
      </c>
      <c r="N378" s="36" t="s">
        <v>230</v>
      </c>
      <c r="O378" s="78">
        <v>511980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0.56924664351552356</v>
      </c>
      <c r="N379" s="40" t="s">
        <v>233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269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286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230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254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287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245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230</v>
      </c>
      <c r="O405" s="78">
        <v>552440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233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227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254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230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0.28035775462922174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231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0.45119108796255514</v>
      </c>
      <c r="N432" s="36" t="s">
        <v>230</v>
      </c>
      <c r="O432" s="78">
        <v>484540</v>
      </c>
    </row>
    <row r="433" spans="1:15" ht="18" customHeight="1">
      <c r="A433" s="94" t="s">
        <v>232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0.59632997685144407</v>
      </c>
      <c r="N433" s="40" t="s">
        <v>233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289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290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230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291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230</v>
      </c>
      <c r="O459" s="78">
        <v>631190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233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292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293</v>
      </c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294</v>
      </c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230</v>
      </c>
      <c r="O473" s="78">
        <v>870930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295</v>
      </c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230</v>
      </c>
      <c r="O486" s="78">
        <v>969510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233</v>
      </c>
      <c r="O487" s="84">
        <f>IFERROR(O473+O486,"")</f>
        <v>1840440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10</v>
      </c>
      <c r="G490" s="28">
        <f t="shared" si="108"/>
        <v>50</v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11</v>
      </c>
      <c r="G491" s="34">
        <f t="shared" si="108"/>
        <v>55</v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>
        <v>13</v>
      </c>
      <c r="G494" s="28">
        <f t="shared" si="108"/>
        <v>65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71</v>
      </c>
      <c r="G500" s="36">
        <f>SUM(G488:G499)</f>
        <v>355</v>
      </c>
      <c r="H500" s="37"/>
      <c r="I500" s="37"/>
      <c r="J500" s="37"/>
      <c r="K500" s="37"/>
      <c r="L500" s="37"/>
      <c r="M500" s="38">
        <f ca="1">IFERROR(SUM(M488:M499),"")</f>
        <v>3.2638888888888939E-2</v>
      </c>
      <c r="N500" s="36" t="s">
        <v>230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8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71</v>
      </c>
      <c r="G514" s="40">
        <f>G500+G513</f>
        <v>355</v>
      </c>
      <c r="H514" s="41"/>
      <c r="I514" s="41"/>
      <c r="J514" s="41"/>
      <c r="K514" s="41"/>
      <c r="L514" s="41"/>
      <c r="M514" s="42">
        <f ca="1">IFERROR(M500+M513,"")</f>
        <v>3.2638888888888939E-2</v>
      </c>
      <c r="N514" s="40" t="s">
        <v>233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8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8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8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8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8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8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8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8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68" zoomScale="50" zoomScaleNormal="50" workbookViewId="0">
      <selection activeCell="F494" sqref="F49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230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254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254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254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254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254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254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254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254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254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230</v>
      </c>
      <c r="O27" s="39">
        <v>308500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233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254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254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254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230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254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254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254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254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254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254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254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254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254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230</v>
      </c>
      <c r="O54" s="39">
        <v>124290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233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299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254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254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254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254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254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254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254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254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230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230</v>
      </c>
      <c r="O81" s="39">
        <v>396340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233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227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227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300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227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230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230</v>
      </c>
      <c r="O108" s="39">
        <v>41230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233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230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230</v>
      </c>
      <c r="O135" s="39">
        <v>381250</v>
      </c>
    </row>
    <row r="136" spans="1:15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233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268</v>
      </c>
      <c r="K141" s="29">
        <v>0.71597222222222223</v>
      </c>
      <c r="L141" s="29" t="s">
        <v>302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227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227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227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227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230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303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270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230</v>
      </c>
      <c r="O162" s="39">
        <v>337120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233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254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304</v>
      </c>
      <c r="N166" s="27" t="s">
        <v>305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254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254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254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254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254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254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254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254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230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230</v>
      </c>
      <c r="O189" s="39">
        <v>747210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233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306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230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230</v>
      </c>
      <c r="O216" s="39">
        <v>468430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233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254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254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254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254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254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230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254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230</v>
      </c>
      <c r="O243" s="39">
        <v>575930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233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254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254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254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254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254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230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307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308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230</v>
      </c>
      <c r="O270" s="39">
        <v>483510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233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230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309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254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254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230</v>
      </c>
      <c r="O297" s="39">
        <v>487980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233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311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227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230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254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312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313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230</v>
      </c>
      <c r="O324" s="39">
        <v>609460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233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254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254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254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254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291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227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254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301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254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254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254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254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254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254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229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230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230</v>
      </c>
      <c r="O351" s="39">
        <v>437940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233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254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254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229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230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254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254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254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230</v>
      </c>
      <c r="O378" s="39">
        <v>473310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233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254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254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254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254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254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254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254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254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254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230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230</v>
      </c>
      <c r="O405" s="39">
        <v>507450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233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254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254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254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254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254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254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254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227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227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254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254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230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227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288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230</v>
      </c>
      <c r="O432" s="39">
        <v>229150</v>
      </c>
    </row>
    <row r="433" spans="1:15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233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315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230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227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230</v>
      </c>
      <c r="O459" s="39">
        <v>409980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233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227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227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227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227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230</v>
      </c>
      <c r="O473" s="39">
        <v>228940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230</v>
      </c>
      <c r="O486" s="39">
        <v>341550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233</v>
      </c>
      <c r="O487" s="48">
        <f>IFERROR(O473+O486,"")</f>
        <v>570490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8</v>
      </c>
      <c r="G488" s="28">
        <f t="shared" ref="G488:G499" si="108">IF(F488="","",IF(E488="PC 17",F488*4.2,IF(E488="PC 19",F488*5,"")))</f>
        <v>40</v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227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227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227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227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27</v>
      </c>
      <c r="G500" s="36">
        <f>SUM(G488:G499)</f>
        <v>135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27</v>
      </c>
      <c r="G514" s="40">
        <f>G500+G513</f>
        <v>135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69" activePane="bottomLeft" state="frozen"/>
      <selection pane="bottomLeft" activeCell="F494" sqref="F494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216</v>
      </c>
      <c r="C1" s="23" t="s">
        <v>12</v>
      </c>
      <c r="D1" s="22" t="s">
        <v>13</v>
      </c>
      <c r="E1" s="22" t="s">
        <v>217</v>
      </c>
      <c r="F1" s="23" t="s">
        <v>218</v>
      </c>
      <c r="G1" s="23" t="s">
        <v>219</v>
      </c>
      <c r="H1" s="23" t="s">
        <v>14</v>
      </c>
      <c r="I1" s="23" t="s">
        <v>15</v>
      </c>
      <c r="J1" s="23" t="s">
        <v>220</v>
      </c>
      <c r="K1" s="23" t="s">
        <v>221</v>
      </c>
      <c r="L1" s="23" t="s">
        <v>222</v>
      </c>
      <c r="M1" s="24" t="s">
        <v>223</v>
      </c>
      <c r="N1" s="23" t="s">
        <v>224</v>
      </c>
      <c r="O1" s="23" t="s">
        <v>225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254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316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254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254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254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254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254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254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254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254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254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254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254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229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230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254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254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317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254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254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254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254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254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254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254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254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254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231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230</v>
      </c>
      <c r="O27" s="39">
        <v>202230</v>
      </c>
    </row>
    <row r="28" spans="1:15" ht="18" customHeight="1">
      <c r="A28" s="102" t="s">
        <v>232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233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254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318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254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254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254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254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254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319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254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254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254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254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254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229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230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254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254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254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254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254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254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254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254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254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254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254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231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230</v>
      </c>
      <c r="O54" s="39">
        <v>473910</v>
      </c>
    </row>
    <row r="55" spans="1:15" ht="18" customHeight="1">
      <c r="A55" s="102" t="s">
        <v>232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233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254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254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254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320</v>
      </c>
      <c r="L58" s="29">
        <v>0.54097222222222219</v>
      </c>
      <c r="M58" s="30" t="str">
        <f t="shared" ca="1" si="13"/>
        <v/>
      </c>
      <c r="N58" s="27" t="s">
        <v>321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254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254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254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254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254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254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254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254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254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229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230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254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254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296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254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254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322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254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323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254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324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254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325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254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254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254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254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231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230</v>
      </c>
      <c r="O81" s="39">
        <v>565120</v>
      </c>
    </row>
    <row r="82" spans="1:15" ht="18" customHeight="1">
      <c r="A82" s="102" t="s">
        <v>232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233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254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326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254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254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254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254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227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227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227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227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227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227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227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229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230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254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254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254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254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254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254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254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254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254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254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254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231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230</v>
      </c>
      <c r="O108" s="39">
        <v>558590</v>
      </c>
    </row>
    <row r="109" spans="1:15" ht="18" customHeight="1">
      <c r="A109" s="102" t="s">
        <v>232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233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254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327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254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254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254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254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254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254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254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229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230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227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227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328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227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329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227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227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227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0.29216331018687924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227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227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227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227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227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227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231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0.49146886574243487</v>
      </c>
      <c r="N135" s="36" t="s">
        <v>230</v>
      </c>
      <c r="O135" s="39">
        <v>729290</v>
      </c>
    </row>
    <row r="136" spans="1:18" ht="18" customHeight="1">
      <c r="A136" s="102" t="s">
        <v>232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0.8588299768535459</v>
      </c>
      <c r="N136" s="40" t="s">
        <v>233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227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227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227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330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227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268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227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227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227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227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227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227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227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227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229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230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227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227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254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254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254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254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254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254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254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254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254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254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231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230</v>
      </c>
      <c r="O162" s="39">
        <v>697320</v>
      </c>
    </row>
    <row r="163" spans="1:15" ht="18" customHeight="1">
      <c r="A163" s="102" t="s">
        <v>232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233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227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254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254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254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254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332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254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254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254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254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254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254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254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229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230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254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254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254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254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254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254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254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254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254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254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254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254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231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230</v>
      </c>
      <c r="O189" s="39">
        <v>973580</v>
      </c>
    </row>
    <row r="190" spans="1:15" ht="18" customHeight="1">
      <c r="A190" s="102" t="s">
        <v>232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233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254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254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254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333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254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334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254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254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254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254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254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254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254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229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230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254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227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254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335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254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254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254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254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254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254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254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254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254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231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230</v>
      </c>
      <c r="O216" s="45">
        <v>1060630</v>
      </c>
    </row>
    <row r="217" spans="1:15" ht="18" customHeight="1">
      <c r="A217" s="102" t="s">
        <v>232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233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254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336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254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254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337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254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254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254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254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254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338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254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254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254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229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230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254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227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339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254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254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254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254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254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254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227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254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227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254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231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230</v>
      </c>
      <c r="O243" s="39">
        <v>982340</v>
      </c>
    </row>
    <row r="244" spans="1:15" ht="18" customHeight="1">
      <c r="A244" s="102" t="s">
        <v>232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233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254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340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254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254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254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254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254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254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254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254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254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254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254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229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230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254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254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254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254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254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254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254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254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254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254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254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254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231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230</v>
      </c>
      <c r="O270" s="39">
        <v>1208450</v>
      </c>
    </row>
    <row r="271" spans="1:15" ht="18" customHeight="1">
      <c r="A271" s="102" t="s">
        <v>232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233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254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254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254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254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254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254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254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254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254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254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254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254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229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230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254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254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254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254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227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254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254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254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254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254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254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254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231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230</v>
      </c>
      <c r="O297" s="39">
        <v>1049090</v>
      </c>
    </row>
    <row r="298" spans="1:15" ht="18" customHeight="1">
      <c r="A298" s="102" t="s">
        <v>232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233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254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341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254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254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254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254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254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254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254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254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254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254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254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229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230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227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254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254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254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254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254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254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263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254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254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254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254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227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231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230</v>
      </c>
      <c r="O324" s="39">
        <v>1063720</v>
      </c>
    </row>
    <row r="325" spans="1:15" ht="18" customHeight="1">
      <c r="A325" s="102" t="s">
        <v>232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233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254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254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291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254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254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227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254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254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254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254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254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254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254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229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230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254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254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254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254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254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254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342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254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254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254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343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254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254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254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231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230</v>
      </c>
      <c r="O351" s="39">
        <v>696140</v>
      </c>
    </row>
    <row r="352" spans="1:15" ht="18" customHeight="1">
      <c r="A352" s="102" t="s">
        <v>232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233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254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254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254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301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254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254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254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254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254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254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254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254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254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229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230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254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254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254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344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254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254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254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254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254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254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254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254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254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231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230</v>
      </c>
      <c r="O378" s="39">
        <v>704750</v>
      </c>
    </row>
    <row r="379" spans="1:15" ht="18" customHeight="1">
      <c r="A379" s="102" t="s">
        <v>232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233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254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345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254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254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332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254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254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254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254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254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254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254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254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254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229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230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227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254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346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254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254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254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254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347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254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254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254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254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254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254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231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230</v>
      </c>
      <c r="O405" s="39">
        <v>958130</v>
      </c>
    </row>
    <row r="406" spans="1:15" ht="18" customHeight="1">
      <c r="A406" s="102" t="s">
        <v>232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233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254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254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254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254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254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254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254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254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227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254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254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227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229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230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254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254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254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254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254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254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348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254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254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254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254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254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254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231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230</v>
      </c>
      <c r="O432" s="39">
        <v>605220</v>
      </c>
    </row>
    <row r="433" spans="1:17" ht="18" customHeight="1">
      <c r="A433" s="102" t="s">
        <v>232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233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254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254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254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254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254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254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254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254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254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254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254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254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229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230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227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227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227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349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227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227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227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227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227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227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227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227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231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230</v>
      </c>
      <c r="O459" s="39">
        <v>615330</v>
      </c>
    </row>
    <row r="460" spans="1:15" ht="18" customHeight="1">
      <c r="A460" s="102" t="s">
        <v>232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233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227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350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227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351</v>
      </c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227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227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227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325</v>
      </c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227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227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227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227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227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227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227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229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230</v>
      </c>
      <c r="O473" s="39">
        <v>774200</v>
      </c>
    </row>
    <row r="474" spans="1:15" ht="15" customHeight="1">
      <c r="A474" s="69">
        <v>46221</v>
      </c>
      <c r="B474" s="25">
        <v>0.83333333333333304</v>
      </c>
      <c r="C474" s="26" t="s">
        <v>45</v>
      </c>
      <c r="D474" s="59" t="s">
        <v>30</v>
      </c>
      <c r="E474" s="59" t="s">
        <v>227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227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227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227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227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227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227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227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227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227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227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227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231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230</v>
      </c>
      <c r="O486" s="39">
        <v>1120830</v>
      </c>
    </row>
    <row r="487" spans="1:15" ht="18" customHeight="1">
      <c r="A487" s="102" t="s">
        <v>232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233</v>
      </c>
      <c r="O487" s="48">
        <f>IFERROR(O473+O486,"")</f>
        <v>1895030</v>
      </c>
    </row>
    <row r="488" spans="1:15" ht="15" customHeight="1">
      <c r="A488" s="69">
        <v>46222</v>
      </c>
      <c r="B488" s="25">
        <v>0.33333333333333298</v>
      </c>
      <c r="C488" s="26" t="s">
        <v>21</v>
      </c>
      <c r="D488" s="59" t="s">
        <v>30</v>
      </c>
      <c r="E488" s="59" t="s">
        <v>227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227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325</v>
      </c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227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227</v>
      </c>
      <c r="F491" s="27">
        <v>12</v>
      </c>
      <c r="G491" s="34">
        <f t="shared" si="108"/>
        <v>60</v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227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227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227</v>
      </c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227</v>
      </c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227</v>
      </c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227</v>
      </c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227</v>
      </c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227</v>
      </c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229</v>
      </c>
      <c r="B500" s="100"/>
      <c r="C500" s="100"/>
      <c r="D500" s="100"/>
      <c r="E500" s="101">
        <f>SUM(E488:E499)</f>
        <v>0</v>
      </c>
      <c r="F500" s="36">
        <f>SUM(F488:F499)</f>
        <v>79</v>
      </c>
      <c r="G500" s="36">
        <f>SUM(G488:G499)</f>
        <v>395</v>
      </c>
      <c r="H500" s="37"/>
      <c r="I500" s="37"/>
      <c r="J500" s="37"/>
      <c r="K500" s="61"/>
      <c r="L500" s="61"/>
      <c r="M500" s="38">
        <f ca="1">IFERROR(SUM(M488:M499),"")</f>
        <v>2.1527777777777757E-2</v>
      </c>
      <c r="N500" s="36" t="s">
        <v>230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231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2" t="s">
        <v>232</v>
      </c>
      <c r="B514" s="103"/>
      <c r="C514" s="103"/>
      <c r="D514" s="103"/>
      <c r="E514" s="104">
        <f>E500+E513</f>
        <v>0</v>
      </c>
      <c r="F514" s="40">
        <f>F500+F513</f>
        <v>79</v>
      </c>
      <c r="G514" s="40">
        <f>G500+G513</f>
        <v>395</v>
      </c>
      <c r="H514" s="41"/>
      <c r="I514" s="41"/>
      <c r="J514" s="41"/>
      <c r="K514" s="63"/>
      <c r="L514" s="63"/>
      <c r="M514" s="42">
        <f ca="1">IFERROR(M500+M513,"")</f>
        <v>2.1527777777777757E-2</v>
      </c>
      <c r="N514" s="40" t="s">
        <v>233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229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231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2" t="s">
        <v>232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233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229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231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2" t="s">
        <v>232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233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229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231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2" t="s">
        <v>232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233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229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231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2" t="s">
        <v>232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233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229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231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2" t="s">
        <v>232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233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229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231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2" t="s">
        <v>232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233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229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231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2" t="s">
        <v>232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233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229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231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2" t="s">
        <v>232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233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229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231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2" t="s">
        <v>232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233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229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231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2" t="s">
        <v>232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233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229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231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2" t="s">
        <v>232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233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2026-07-19T16:59:43Z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