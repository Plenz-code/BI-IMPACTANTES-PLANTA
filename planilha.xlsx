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611" documentId="8_{AF585B22-221D-4780-BB9C-493D365A6A02}" xr6:coauthVersionLast="47" xr6:coauthVersionMax="47" xr10:uidLastSave="{ED9C1360-91AF-49AA-B70E-7C6BCE246708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<sst xmlns="http://schemas.openxmlformats.org/spreadsheetml/2006/main" count="2714" uniqueCount="243">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</sst>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7" sqref="K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/>
    </row>
    <row r="50" spans="1:13" ht="21" customHeight="1">
      <c r="A50" s="19" t="s">
        <v>180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181</v>
      </c>
      <c r="L50" s="16"/>
      <c r="M50" s="16"/>
    </row>
    <row r="51" spans="1:13" ht="24" customHeight="1">
      <c r="H51" s="96"/>
      <c r="I51" s="17"/>
      <c r="J51" s="17"/>
      <c r="K51" s="17" t="s">
        <v>182</v>
      </c>
      <c r="L51" s="17"/>
      <c r="M51" s="17"/>
    </row>
    <row r="52" spans="1:13" ht="24" customHeight="1">
      <c r="H52" s="96"/>
      <c r="I52" s="16"/>
      <c r="J52" s="16"/>
      <c r="K52" s="16" t="s">
        <v>183</v>
      </c>
      <c r="L52" s="16"/>
      <c r="M52" s="16"/>
    </row>
    <row r="53" spans="1:13" ht="36" customHeight="1">
      <c r="H53" s="96"/>
      <c r="I53" s="17"/>
      <c r="J53" s="17"/>
      <c r="K53" s="17" t="s">
        <v>184</v>
      </c>
      <c r="L53" s="17"/>
      <c r="M53" s="17"/>
    </row>
    <row r="54" spans="1:13" ht="15" customHeight="1">
      <c r="H54" s="96"/>
      <c r="I54" s="16"/>
      <c r="J54" s="16"/>
      <c r="K54" s="16" t="s">
        <v>185</v>
      </c>
      <c r="L54" s="16"/>
      <c r="M54" s="16"/>
    </row>
    <row r="55" spans="1:13" ht="15" customHeight="1">
      <c r="H55" s="96"/>
      <c r="I55" s="17"/>
      <c r="J55" s="17"/>
      <c r="K55" s="17" t="s">
        <v>186</v>
      </c>
      <c r="L55" s="17"/>
      <c r="M55" s="17"/>
    </row>
    <row r="56" spans="1:13" ht="15" customHeight="1">
      <c r="H56" s="96"/>
      <c r="I56" s="16"/>
      <c r="J56" s="16"/>
      <c r="K56" s="16" t="s">
        <v>187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L124" sqref="L12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198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202</v>
      </c>
      <c r="O27" s="39">
        <v>1183060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202</v>
      </c>
      <c r="O54" s="39">
        <v>959290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202</v>
      </c>
      <c r="O81" s="39">
        <v>878050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199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202</v>
      </c>
      <c r="O108" s="39">
        <v>1700000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4</v>
      </c>
      <c r="G124" s="28">
        <f t="shared" si="27"/>
        <v>20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2.777777777777779E-2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4.1666666666666685E-2</v>
      </c>
      <c r="N136" s="40" t="s">
        <v>205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44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45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39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08" activePane="bottomLeft" state="frozen"/>
      <selection pane="bottomLeft" activeCell="I127" sqref="I12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202</v>
      </c>
      <c r="O27" s="78">
        <v>393200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210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202</v>
      </c>
      <c r="O54" s="85">
        <v>276360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202</v>
      </c>
      <c r="O81" s="54">
        <v>787860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202</v>
      </c>
      <c r="O108" s="54">
        <v>1087080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/>
      <c r="K127" s="29">
        <v>4.8611111111111112E-2</v>
      </c>
      <c r="L127" s="29"/>
      <c r="M127" s="30">
        <f t="shared" ca="1" si="28"/>
        <v>8.4965278074378148E-4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>
        <v>1</v>
      </c>
      <c r="G128" s="28">
        <f t="shared" si="27"/>
        <v>5</v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84</v>
      </c>
      <c r="G135" s="36">
        <f>SUM(G123:G134)</f>
        <v>420</v>
      </c>
      <c r="H135" s="37"/>
      <c r="I135" s="37"/>
      <c r="J135" s="37"/>
      <c r="K135" s="37"/>
      <c r="L135" s="37"/>
      <c r="M135" s="38">
        <f ca="1">IFERROR(SUM(M123:M134),"")</f>
        <v>7.4460763891855061E-2</v>
      </c>
      <c r="N135" s="36" t="s">
        <v>202</v>
      </c>
      <c r="O135" s="54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219</v>
      </c>
      <c r="G136" s="40">
        <f>G122+G135</f>
        <v>987</v>
      </c>
      <c r="H136" s="41"/>
      <c r="I136" s="41"/>
      <c r="J136" s="41"/>
      <c r="K136" s="41"/>
      <c r="L136" s="41"/>
      <c r="M136" s="42">
        <f ca="1">IFERROR(M122+M135,"")</f>
        <v>0.21612743055852174</v>
      </c>
      <c r="N136" s="40" t="s">
        <v>205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54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78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78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78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78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78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78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78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78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78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78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78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78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78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78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78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78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78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78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78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78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78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7" activePane="bottomLeft" state="frozen"/>
      <selection pane="bottomLeft" activeCell="F129" sqref="F12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202</v>
      </c>
      <c r="O27" s="39">
        <v>308500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202</v>
      </c>
      <c r="O54" s="39">
        <v>124290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202</v>
      </c>
      <c r="O81" s="39">
        <v>396340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202</v>
      </c>
      <c r="O108" s="39">
        <v>41230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12</v>
      </c>
      <c r="G123" s="34">
        <f t="shared" ref="G123:G134" si="27">IF(F123="","",IF(E123="PC 17",F123*4.2,IF(E123="PC 19",F123*5,"")))</f>
        <v>60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8</v>
      </c>
      <c r="G124" s="28">
        <f t="shared" si="27"/>
        <v>40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44</v>
      </c>
      <c r="G135" s="36">
        <f>SUM(G123:G134)</f>
        <v>220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51</v>
      </c>
      <c r="G136" s="40">
        <f>G122+G135</f>
        <v>249.4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205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39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39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39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14" activePane="bottomLeft" state="frozen"/>
      <selection pane="bottomLeft" activeCell="L126" sqref="L12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202</v>
      </c>
      <c r="O27" s="39">
        <v>202230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202</v>
      </c>
      <c r="O54" s="39">
        <v>473910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233</v>
      </c>
      <c r="L58" s="29">
        <v>0.54097222222222219</v>
      </c>
      <c r="M58" s="30" t="str">
        <f t="shared" ca="1" si="13"/>
        <v/>
      </c>
      <c r="N58" s="27" t="s">
        <v>234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202</v>
      </c>
      <c r="O81" s="39">
        <v>565120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202</v>
      </c>
      <c r="O108" s="39">
        <v>558590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23</v>
      </c>
      <c r="G126" s="28">
        <f t="shared" si="27"/>
        <v>115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>
        <v>9</v>
      </c>
      <c r="G127" s="34">
        <f t="shared" si="27"/>
        <v>45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71</v>
      </c>
      <c r="G135" s="36">
        <f>SUM(G123:G134)</f>
        <v>355</v>
      </c>
      <c r="H135" s="37"/>
      <c r="I135" s="37"/>
      <c r="J135" s="37"/>
      <c r="K135" s="61"/>
      <c r="L135" s="61"/>
      <c r="M135" s="38">
        <f ca="1">IFERROR(SUM(M123:M134),"")</f>
        <v>0.13333333333333341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125</v>
      </c>
      <c r="G136" s="40">
        <f>G122+G135</f>
        <v>581.79999999999995</v>
      </c>
      <c r="H136" s="41"/>
      <c r="I136" s="41"/>
      <c r="J136" s="41"/>
      <c r="K136" s="63"/>
      <c r="L136" s="63"/>
      <c r="M136" s="42">
        <f ca="1">IFERROR(M122+M135,"")</f>
        <v>0.50069444444444455</v>
      </c>
      <c r="N136" s="40" t="s">
        <v>205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202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202</v>
      </c>
      <c r="O162" s="39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202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202</v>
      </c>
      <c r="O216" s="45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202</v>
      </c>
      <c r="O432" s="39"/>
    </row>
    <row r="433" spans="1:17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2026-07-06T05:11:24Z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