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531" documentId="8_{AF585B22-221D-4780-BB9C-493D365A6A02}" xr6:coauthVersionLast="47" xr6:coauthVersionMax="47" xr10:uidLastSave="{EAC113C8-EDB3-4A24-B6C8-D4BE7FA03CF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<sst xmlns="http://schemas.openxmlformats.org/spreadsheetml/2006/main" count="2687" uniqueCount="237">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</sst>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F125" sqref="F1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197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197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197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197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197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197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197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197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197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197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197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197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/>
      <c r="F124" s="27">
        <v>4</v>
      </c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1335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1" activePane="bottomLeft" state="frozen"/>
      <selection pane="bottomLeft" activeCell="E134" sqref="E1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217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218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>
        <v>28</v>
      </c>
      <c r="G124" s="28">
        <f t="shared" si="27"/>
        <v>140</v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42</v>
      </c>
      <c r="G135" s="36">
        <f>SUM(G123:G134)</f>
        <v>210</v>
      </c>
      <c r="H135" s="37"/>
      <c r="I135" s="37"/>
      <c r="J135" s="37"/>
      <c r="K135" s="37"/>
      <c r="L135" s="37"/>
      <c r="M135" s="38">
        <f ca="1">IFERROR(SUM(M123:M134),"")</f>
        <v>1.3888888888888951E-2</v>
      </c>
      <c r="N135" s="36" t="s">
        <v>200</v>
      </c>
      <c r="O135" s="54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177</v>
      </c>
      <c r="G136" s="40">
        <f>G122+G135</f>
        <v>777</v>
      </c>
      <c r="H136" s="41"/>
      <c r="I136" s="41"/>
      <c r="J136" s="41"/>
      <c r="K136" s="41"/>
      <c r="L136" s="41"/>
      <c r="M136" s="42">
        <f ca="1">IFERROR(M122+M135,"")</f>
        <v>0.15555555555555561</v>
      </c>
      <c r="N136" s="40" t="s">
        <v>203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00" activePane="bottomLeft" state="frozen"/>
      <selection pane="bottomLeft" activeCell="E134" sqref="E13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197</v>
      </c>
      <c r="F123" s="27">
        <v>12</v>
      </c>
      <c r="G123" s="34">
        <f t="shared" ref="G123:G134" si="27">IF(F123="","",IF(E123="PC 17",F123*4.2,IF(E123="PC 19",F123*5,"")))</f>
        <v>60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197</v>
      </c>
      <c r="F124" s="27">
        <v>8</v>
      </c>
      <c r="G124" s="28">
        <f t="shared" si="27"/>
        <v>40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197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197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197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197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197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197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197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197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197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197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20</v>
      </c>
      <c r="G135" s="36">
        <f>SUM(G123:G134)</f>
        <v>100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27</v>
      </c>
      <c r="G136" s="40">
        <f>G122+G135</f>
        <v>129.4</v>
      </c>
      <c r="H136" s="41"/>
      <c r="I136" s="41"/>
      <c r="J136" s="41"/>
      <c r="K136" s="41"/>
      <c r="L136" s="41"/>
      <c r="M136" s="42">
        <f ca="1">IFERROR(M122+M135,"")</f>
        <v>0.4513888888888889</v>
      </c>
      <c r="N136" s="40" t="s">
        <v>203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F125" sqref="F1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199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201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9" t="s">
        <v>202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199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201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9" t="s">
        <v>202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229</v>
      </c>
      <c r="L58" s="29">
        <v>0.54097222222222219</v>
      </c>
      <c r="M58" s="30" t="str">
        <f t="shared" ca="1" si="13"/>
        <v/>
      </c>
      <c r="N58" s="27" t="s">
        <v>230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199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201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9" t="s">
        <v>202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199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201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9" t="s">
        <v>202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236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199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21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58.800000000000004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201</v>
      </c>
      <c r="B135" s="87"/>
      <c r="C135" s="87"/>
      <c r="D135" s="87"/>
      <c r="E135" s="88">
        <f>SUM(E123:E134)</f>
        <v>0</v>
      </c>
      <c r="F135" s="36">
        <f>SUM(F123:F134)</f>
        <v>19</v>
      </c>
      <c r="G135" s="36">
        <f>SUM(G123:G134)</f>
        <v>79.800000000000011</v>
      </c>
      <c r="H135" s="37"/>
      <c r="I135" s="37"/>
      <c r="J135" s="37"/>
      <c r="K135" s="61"/>
      <c r="L135" s="61"/>
      <c r="M135" s="38">
        <f ca="1">IFERROR(SUM(M123:M134),"")</f>
        <v>5.902777777777779E-2</v>
      </c>
      <c r="N135" s="36" t="s">
        <v>200</v>
      </c>
      <c r="O135" s="39"/>
    </row>
    <row r="136" spans="1:15" ht="18" customHeight="1">
      <c r="A136" s="89" t="s">
        <v>202</v>
      </c>
      <c r="B136" s="90"/>
      <c r="C136" s="90"/>
      <c r="D136" s="90"/>
      <c r="E136" s="91">
        <f>E122+E135</f>
        <v>0</v>
      </c>
      <c r="F136" s="40">
        <f>F122+F135</f>
        <v>73</v>
      </c>
      <c r="G136" s="40">
        <f>G122+G135</f>
        <v>306.60000000000002</v>
      </c>
      <c r="H136" s="41"/>
      <c r="I136" s="41"/>
      <c r="J136" s="41"/>
      <c r="K136" s="63"/>
      <c r="L136" s="63"/>
      <c r="M136" s="42">
        <f ca="1">IFERROR(M122+M135,"")</f>
        <v>0.42638888888888887</v>
      </c>
      <c r="N136" s="40" t="s">
        <v>203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199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201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9" t="s">
        <v>202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199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201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9" t="s">
        <v>202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199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201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9" t="s">
        <v>202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199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201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9" t="s">
        <v>202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199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201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9" t="s">
        <v>202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199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201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9" t="s">
        <v>202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199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201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9" t="s">
        <v>202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199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201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9" t="s">
        <v>202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199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201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9" t="s">
        <v>202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199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201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9" t="s">
        <v>202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199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201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9" t="s">
        <v>202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199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201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9" t="s">
        <v>202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199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201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9" t="s">
        <v>202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199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201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9" t="s">
        <v>202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199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201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9" t="s">
        <v>202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199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201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9" t="s">
        <v>202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199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201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9" t="s">
        <v>202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199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201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9" t="s">
        <v>202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199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201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9" t="s">
        <v>202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199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201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9" t="s">
        <v>202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199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201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9" t="s">
        <v>202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199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201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9" t="s">
        <v>202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199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201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9" t="s">
        <v>202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199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201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9" t="s">
        <v>202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199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201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9" t="s">
        <v>202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2026-07-06T01:08:49Z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