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85" documentId="8_{AF585B22-221D-4780-BB9C-493D365A6A02}" xr6:coauthVersionLast="47" xr6:coauthVersionMax="47" xr10:uidLastSave="{63A83469-3A80-450D-9C38-2EE9543F8CED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" i="6" l="1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F784" i="5" s="1"/>
  <c r="G782" i="5"/>
  <c r="G781" i="5"/>
  <c r="G783" i="5" s="1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70" i="5" s="1"/>
  <c r="G784" i="5" s="1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43" i="5" s="1"/>
  <c r="G757" i="5" s="1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29" i="5" s="1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G730" i="5" s="1"/>
  <c r="F702" i="5"/>
  <c r="F703" i="5" s="1"/>
  <c r="G701" i="5"/>
  <c r="G702" i="5" s="1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89" i="5" s="1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2" i="5" s="1"/>
  <c r="G676" i="5" s="1"/>
  <c r="G660" i="5"/>
  <c r="G659" i="5"/>
  <c r="G658" i="5"/>
  <c r="G657" i="5"/>
  <c r="G656" i="5"/>
  <c r="G655" i="5"/>
  <c r="G654" i="5"/>
  <c r="G653" i="5"/>
  <c r="G652" i="5"/>
  <c r="G651" i="5"/>
  <c r="G650" i="5"/>
  <c r="F648" i="5"/>
  <c r="F649" i="5" s="1"/>
  <c r="G647" i="5"/>
  <c r="G646" i="5"/>
  <c r="G645" i="5"/>
  <c r="G644" i="5"/>
  <c r="G643" i="5"/>
  <c r="G642" i="5"/>
  <c r="G641" i="5"/>
  <c r="G648" i="5" s="1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2" i="5"/>
  <c r="G621" i="5"/>
  <c r="F621" i="5"/>
  <c r="G620" i="5"/>
  <c r="G619" i="5"/>
  <c r="G618" i="5"/>
  <c r="G617" i="5"/>
  <c r="G616" i="5"/>
  <c r="G614" i="5"/>
  <c r="G613" i="5"/>
  <c r="G612" i="5"/>
  <c r="G611" i="5"/>
  <c r="G610" i="5"/>
  <c r="G609" i="5"/>
  <c r="F608" i="5"/>
  <c r="G607" i="5"/>
  <c r="G606" i="5"/>
  <c r="G605" i="5"/>
  <c r="G604" i="5"/>
  <c r="G603" i="5"/>
  <c r="G602" i="5"/>
  <c r="G601" i="5"/>
  <c r="G600" i="5"/>
  <c r="G608" i="5" s="1"/>
  <c r="G622" i="5" s="1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G581" i="5"/>
  <c r="G595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F567" i="5"/>
  <c r="F568" i="5" s="1"/>
  <c r="G566" i="5"/>
  <c r="G565" i="5"/>
  <c r="G564" i="5"/>
  <c r="G563" i="5"/>
  <c r="G562" i="5"/>
  <c r="G561" i="5"/>
  <c r="G567" i="5" s="1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1" i="5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G526" i="5"/>
  <c r="G525" i="5"/>
  <c r="G524" i="5"/>
  <c r="G523" i="5"/>
  <c r="G522" i="5"/>
  <c r="G521" i="5"/>
  <c r="G527" i="5" s="1"/>
  <c r="G520" i="5"/>
  <c r="G519" i="5"/>
  <c r="G518" i="5"/>
  <c r="G517" i="5"/>
  <c r="G516" i="5"/>
  <c r="G515" i="5"/>
  <c r="F513" i="5"/>
  <c r="F514" i="5" s="1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F487" i="5" s="1"/>
  <c r="G485" i="5"/>
  <c r="G484" i="5"/>
  <c r="G483" i="5"/>
  <c r="G482" i="5"/>
  <c r="G486" i="5" s="1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6" i="5" s="1"/>
  <c r="G460" i="5" s="1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32" i="5" s="1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G433" i="5" s="1"/>
  <c r="F405" i="5"/>
  <c r="F406" i="5" s="1"/>
  <c r="G404" i="5"/>
  <c r="G403" i="5"/>
  <c r="G405" i="5" s="1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92" i="5" s="1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5" i="5" s="1"/>
  <c r="G362" i="5"/>
  <c r="G361" i="5"/>
  <c r="G360" i="5"/>
  <c r="G359" i="5"/>
  <c r="G358" i="5"/>
  <c r="G357" i="5"/>
  <c r="G356" i="5"/>
  <c r="G355" i="5"/>
  <c r="G354" i="5"/>
  <c r="G353" i="5"/>
  <c r="F351" i="5"/>
  <c r="F352" i="5" s="1"/>
  <c r="G350" i="5"/>
  <c r="G349" i="5"/>
  <c r="G348" i="5"/>
  <c r="G347" i="5"/>
  <c r="G346" i="5"/>
  <c r="G345" i="5"/>
  <c r="G344" i="5"/>
  <c r="G343" i="5"/>
  <c r="G351" i="5" s="1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G324" i="5"/>
  <c r="F324" i="5"/>
  <c r="F325" i="5" s="1"/>
  <c r="G323" i="5"/>
  <c r="G322" i="5"/>
  <c r="G321" i="5"/>
  <c r="G320" i="5"/>
  <c r="G319" i="5"/>
  <c r="G318" i="5"/>
  <c r="G317" i="5"/>
  <c r="G316" i="5"/>
  <c r="G315" i="5"/>
  <c r="G314" i="5"/>
  <c r="G313" i="5"/>
  <c r="G312" i="5"/>
  <c r="F311" i="5"/>
  <c r="G310" i="5"/>
  <c r="G309" i="5"/>
  <c r="G308" i="5"/>
  <c r="G307" i="5"/>
  <c r="G306" i="5"/>
  <c r="G305" i="5"/>
  <c r="G304" i="5"/>
  <c r="G303" i="5"/>
  <c r="G311" i="5" s="1"/>
  <c r="G325" i="5" s="1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G284" i="5"/>
  <c r="G298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F270" i="5"/>
  <c r="F271" i="5" s="1"/>
  <c r="G269" i="5"/>
  <c r="G268" i="5"/>
  <c r="G267" i="5"/>
  <c r="G266" i="5"/>
  <c r="G265" i="5"/>
  <c r="G264" i="5"/>
  <c r="G270" i="5" s="1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4" i="5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G229" i="5"/>
  <c r="G228" i="5"/>
  <c r="G227" i="5"/>
  <c r="G226" i="5"/>
  <c r="G225" i="5"/>
  <c r="G224" i="5"/>
  <c r="G230" i="5" s="1"/>
  <c r="G244" i="5" s="1"/>
  <c r="G223" i="5"/>
  <c r="G222" i="5"/>
  <c r="G221" i="5"/>
  <c r="G220" i="5"/>
  <c r="G219" i="5"/>
  <c r="G218" i="5"/>
  <c r="F216" i="5"/>
  <c r="F217" i="5" s="1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90" i="5"/>
  <c r="F189" i="5"/>
  <c r="G188" i="5"/>
  <c r="G187" i="5"/>
  <c r="G186" i="5"/>
  <c r="G185" i="5"/>
  <c r="G189" i="5" s="1"/>
  <c r="G184" i="5"/>
  <c r="G183" i="5"/>
  <c r="G182" i="5"/>
  <c r="G181" i="5"/>
  <c r="G180" i="5"/>
  <c r="G179" i="5"/>
  <c r="G178" i="5"/>
  <c r="G177" i="5"/>
  <c r="F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9" i="5" s="1"/>
  <c r="G163" i="5" s="1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35" i="5" s="1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F109" i="5" s="1"/>
  <c r="G107" i="5"/>
  <c r="G106" i="5"/>
  <c r="G108" i="5" s="1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95" i="5" s="1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8" i="5" s="1"/>
  <c r="G65" i="5"/>
  <c r="G64" i="5"/>
  <c r="G63" i="5"/>
  <c r="G62" i="5"/>
  <c r="G61" i="5"/>
  <c r="G60" i="5"/>
  <c r="G59" i="5"/>
  <c r="G58" i="5"/>
  <c r="G57" i="5"/>
  <c r="G56" i="5"/>
  <c r="F54" i="5"/>
  <c r="F55" i="5" s="1"/>
  <c r="G53" i="5"/>
  <c r="G52" i="5"/>
  <c r="G51" i="5"/>
  <c r="G50" i="5"/>
  <c r="G49" i="5"/>
  <c r="G48" i="5"/>
  <c r="G47" i="5"/>
  <c r="G46" i="5"/>
  <c r="G54" i="5" s="1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G55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60" i="5"/>
  <c r="B761" i="5" s="1"/>
  <c r="B762" i="5" s="1"/>
  <c r="B763" i="5" s="1"/>
  <c r="B764" i="5" s="1"/>
  <c r="B765" i="5" s="1"/>
  <c r="B766" i="5" s="1"/>
  <c r="B767" i="5" s="1"/>
  <c r="B768" i="5" s="1"/>
  <c r="B769" i="5" s="1"/>
  <c r="B759" i="5"/>
  <c r="E757" i="5"/>
  <c r="E756" i="5"/>
  <c r="B746" i="5"/>
  <c r="B747" i="5" s="1"/>
  <c r="B748" i="5" s="1"/>
  <c r="B749" i="5" s="1"/>
  <c r="B750" i="5" s="1"/>
  <c r="B751" i="5" s="1"/>
  <c r="B752" i="5" s="1"/>
  <c r="B753" i="5" s="1"/>
  <c r="B754" i="5" s="1"/>
  <c r="B755" i="5" s="1"/>
  <c r="B745" i="5"/>
  <c r="E743" i="5"/>
  <c r="B734" i="5"/>
  <c r="B735" i="5" s="1"/>
  <c r="B736" i="5" s="1"/>
  <c r="B737" i="5" s="1"/>
  <c r="B738" i="5" s="1"/>
  <c r="B739" i="5" s="1"/>
  <c r="B740" i="5" s="1"/>
  <c r="B741" i="5" s="1"/>
  <c r="B742" i="5" s="1"/>
  <c r="B732" i="5"/>
  <c r="B733" i="5" s="1"/>
  <c r="E729" i="5"/>
  <c r="E730" i="5" s="1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E703" i="5" s="1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E649" i="5" s="1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2" i="5"/>
  <c r="E621" i="5"/>
  <c r="B616" i="5"/>
  <c r="B617" i="5" s="1"/>
  <c r="B618" i="5" s="1"/>
  <c r="B619" i="5" s="1"/>
  <c r="B620" i="5" s="1"/>
  <c r="B610" i="5"/>
  <c r="B611" i="5" s="1"/>
  <c r="B612" i="5" s="1"/>
  <c r="B613" i="5" s="1"/>
  <c r="B614" i="5" s="1"/>
  <c r="B615" i="5" s="1"/>
  <c r="E608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5" i="5"/>
  <c r="B586" i="5" s="1"/>
  <c r="B587" i="5" s="1"/>
  <c r="B588" i="5" s="1"/>
  <c r="B589" i="5" s="1"/>
  <c r="B590" i="5" s="1"/>
  <c r="B591" i="5" s="1"/>
  <c r="B592" i="5" s="1"/>
  <c r="B593" i="5" s="1"/>
  <c r="B584" i="5"/>
  <c r="B583" i="5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4" i="5"/>
  <c r="B545" i="5" s="1"/>
  <c r="B546" i="5" s="1"/>
  <c r="B547" i="5" s="1"/>
  <c r="B548" i="5" s="1"/>
  <c r="B549" i="5" s="1"/>
  <c r="B550" i="5" s="1"/>
  <c r="B551" i="5" s="1"/>
  <c r="B552" i="5" s="1"/>
  <c r="B553" i="5" s="1"/>
  <c r="B543" i="5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E514" i="5" s="1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E487" i="5" s="1"/>
  <c r="B480" i="5"/>
  <c r="B481" i="5" s="1"/>
  <c r="B482" i="5" s="1"/>
  <c r="B483" i="5" s="1"/>
  <c r="B484" i="5" s="1"/>
  <c r="B485" i="5" s="1"/>
  <c r="B475" i="5"/>
  <c r="B476" i="5" s="1"/>
  <c r="B477" i="5" s="1"/>
  <c r="B478" i="5" s="1"/>
  <c r="B479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E460" i="5" s="1"/>
  <c r="B449" i="5"/>
  <c r="B450" i="5" s="1"/>
  <c r="B451" i="5" s="1"/>
  <c r="B452" i="5" s="1"/>
  <c r="B453" i="5" s="1"/>
  <c r="B454" i="5" s="1"/>
  <c r="B455" i="5" s="1"/>
  <c r="B456" i="5" s="1"/>
  <c r="B457" i="5" s="1"/>
  <c r="B458" i="5" s="1"/>
  <c r="B448" i="5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9" i="5"/>
  <c r="B410" i="5" s="1"/>
  <c r="B411" i="5" s="1"/>
  <c r="B412" i="5" s="1"/>
  <c r="B413" i="5" s="1"/>
  <c r="B414" i="5" s="1"/>
  <c r="B415" i="5" s="1"/>
  <c r="B416" i="5" s="1"/>
  <c r="B417" i="5" s="1"/>
  <c r="B418" i="5" s="1"/>
  <c r="B408" i="5"/>
  <c r="E405" i="5"/>
  <c r="B395" i="5"/>
  <c r="B396" i="5" s="1"/>
  <c r="B397" i="5" s="1"/>
  <c r="B398" i="5" s="1"/>
  <c r="B399" i="5" s="1"/>
  <c r="B400" i="5" s="1"/>
  <c r="B401" i="5" s="1"/>
  <c r="B402" i="5" s="1"/>
  <c r="B403" i="5" s="1"/>
  <c r="B404" i="5" s="1"/>
  <c r="B394" i="5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5" i="5"/>
  <c r="B356" i="5" s="1"/>
  <c r="B357" i="5" s="1"/>
  <c r="B358" i="5" s="1"/>
  <c r="B359" i="5" s="1"/>
  <c r="B360" i="5" s="1"/>
  <c r="B361" i="5" s="1"/>
  <c r="B362" i="5" s="1"/>
  <c r="B363" i="5" s="1"/>
  <c r="B364" i="5" s="1"/>
  <c r="B354" i="5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E325" i="5" s="1"/>
  <c r="B315" i="5"/>
  <c r="B316" i="5" s="1"/>
  <c r="B317" i="5" s="1"/>
  <c r="B318" i="5" s="1"/>
  <c r="B319" i="5" s="1"/>
  <c r="B320" i="5" s="1"/>
  <c r="B321" i="5" s="1"/>
  <c r="B322" i="5" s="1"/>
  <c r="B323" i="5" s="1"/>
  <c r="B314" i="5"/>
  <c r="B313" i="5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8" i="5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E271" i="5" s="1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E244" i="5" s="1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3" i="5"/>
  <c r="E162" i="5"/>
  <c r="B152" i="5"/>
  <c r="B153" i="5" s="1"/>
  <c r="B154" i="5" s="1"/>
  <c r="B155" i="5" s="1"/>
  <c r="B156" i="5" s="1"/>
  <c r="B157" i="5" s="1"/>
  <c r="B158" i="5" s="1"/>
  <c r="B159" i="5" s="1"/>
  <c r="B160" i="5" s="1"/>
  <c r="B161" i="5" s="1"/>
  <c r="B151" i="5"/>
  <c r="E149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E136" i="5" s="1"/>
  <c r="B129" i="5"/>
  <c r="B130" i="5" s="1"/>
  <c r="B131" i="5" s="1"/>
  <c r="B132" i="5" s="1"/>
  <c r="B133" i="5" s="1"/>
  <c r="B134" i="5" s="1"/>
  <c r="B124" i="5"/>
  <c r="B125" i="5" s="1"/>
  <c r="B126" i="5" s="1"/>
  <c r="B127" i="5" s="1"/>
  <c r="B128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E109" i="5" s="1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E55" i="5" s="1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9" i="5"/>
  <c r="B20" i="5" s="1"/>
  <c r="B21" i="5" s="1"/>
  <c r="B22" i="5" s="1"/>
  <c r="B23" i="5" s="1"/>
  <c r="B24" i="5" s="1"/>
  <c r="B25" i="5" s="1"/>
  <c r="B26" i="5" s="1"/>
  <c r="B16" i="5"/>
  <c r="B17" i="5" s="1"/>
  <c r="B18" i="5" s="1"/>
  <c r="B4" i="5"/>
  <c r="B5" i="5" s="1"/>
  <c r="B6" i="5" s="1"/>
  <c r="B7" i="5" s="1"/>
  <c r="B8" i="5" s="1"/>
  <c r="B9" i="5" s="1"/>
  <c r="B10" i="5" s="1"/>
  <c r="B11" i="5" s="1"/>
  <c r="B12" i="5" s="1"/>
  <c r="B13" i="5" s="1"/>
  <c r="B3" i="5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G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5" i="6"/>
  <c r="E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E41" i="6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10" i="1" l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352" i="4" l="1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<sst xmlns="http://schemas.openxmlformats.org/spreadsheetml/2006/main" count="1420" uniqueCount="202">
  <si>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</si>
  <si>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</si>
  <si>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</si>
  <si>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</si>
  <si>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</si>
  <si>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</si>
  <si>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</si>
  <si>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</si>
  <si>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</si>
  <si>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</si>
  <si>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</si>
  <si>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</si>
  <si>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</si>
  <si>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</si>
  <si>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</si>
  <si>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</si>
  <si>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</si>
  <si>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</si>
  <si>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</si>
  <si>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</si>
  <si>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</si>
  <si>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</si>
  <si>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</si>
  <si>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</si>
  <si>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</si>
  <si>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</si>
  <si>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</si>
  <si>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</si>
  <si>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</si>
  <si>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</si>
  <si>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</si>
  <si>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</si>
  <si>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</si>
  <si>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</si>
  <si>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</si>
  <si>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</si>
  <si>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</si>
  <si>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</si>
  <si>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</si>
  <si>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</si>
  <si>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</si>
  <si>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</si>
  <si>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</si>
  <si>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</si>
  <si>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</si>
  <si>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</si>
  <si>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</si>
  <si>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</si>
  <si>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</si>
  <si>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</si>
  <si>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</si>
  <si>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</si>
  <si>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</si>
  <si>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</si>
  <si>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</si>
  <si>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</si>
  <si>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</si>
  <si>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</si>
  <si>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</si>
  <si>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</si>
  <si>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</si>
  <si>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</si>
  <si>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</si>
  <si>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</si>
  <si>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</si>
  <si>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</si>
  <si>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</si>
  <si>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</si>
  <si>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</si>
  <si>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</si>
  <si>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</si>
  <si>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</si>
  <si>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</si>
  <si>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</si>
  <si>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</si>
  <si>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</si>
  <si>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</si>
  <si>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</si>
  <si>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</si>
  <si>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</si>
  <si>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</si>
  <si>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</si>
  <si>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</si>
  <si>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</si>
  <si>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</si>
  <si>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</si>
  <si>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</si>
  <si>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</si>
  <si>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</si>
  <si>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</si>
  <si>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</si>
  <si>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</si>
  <si>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</si>
  <si>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</si>
  <si>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</si>
  <si>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</si>
  <si>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</si>
  <si>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</si>
  <si>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</si>
  <si>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</si>
  <si>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</si>
  <si>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</si>
  <si>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</si>
  <si>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</si>
  <si>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</si>
  <si>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</si>
  <si>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</si>
  <si>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</si>
  <si>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</si>
  <si>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</si>
  <si>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</si>
  <si>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</si>
  <si>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</si>
  <si>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</si>
  <si>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</si>
  <si>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</si>
  <si>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</si>
  <si>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</si>
  <si>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</si>
  <si>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</si>
  <si>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</si>
  <si>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</si>
  <si>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</si>
  <si>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</si>
  <si>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</si>
  <si>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</si>
  <si>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</si>
  <si>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</si>
  <si>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</si>
  <si>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</si>
  <si>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</si>
  <si>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</si>
  <si>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</si>
  <si>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</si>
  <si>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</si>
  <si>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</si>
  <si>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</si>
  <si>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</si>
  <si>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</si>
  <si>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</si>
  <si>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</si>
  <si>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</si>
  <si>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</si>
  <si>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</si>
  <si>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</si>
  <si>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</si>
  <si>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</si>
  <si>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</si>
  <si>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</si>
  <si>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</si>
  <si>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</si>
  <si>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</si>
  <si>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</si>
  <si>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</si>
  <si>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</si>
  <si>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</si>
  <si>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</si>
  <si>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</si>
  <si>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</si>
  <si>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</si>
  <si>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</si>
  <si>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</si>
  <si>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</si>
  <si>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</si>
  <si>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</si>
  <si>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</si>
  <si>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</si>
  <si>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</si>
  <si>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</si>
  <si>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</si>
  <si>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</si>
  <si>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</si>
  <si>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</si>
  <si>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</si>
  <si>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</si>
  <si>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</si>
  <si>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</si>
  <si>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</si>
  <si>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</si>
  <si>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</si>
  <si>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</si>
  <si>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</si>
  <si>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</si>
  <si>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</si>
  <si>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</si>
  <si>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</si>
  <si>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</si>
  <si>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</si>
  <si>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</si>
  <si>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</si>
  <si>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</si>
  <si>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</si>
  <si>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</si>
  <si>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</si>
  <si>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</si>
  <si>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</si>
  <si>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>solda na grelha</t>
  </si>
  <si>
    <t>solda na tampa do moinho</t>
  </si>
  <si>
    <t>troca de grelha e martelo</t>
  </si>
  <si>
    <t>manutençao no rolamento do moinho 4</t>
  </si>
  <si>
    <t>troca de martelo</t>
  </si>
  <si>
    <t>OBS: APENAS MM 05 EM OPERACÃO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</si>
</sst>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B3" sqref="B3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2672480</v>
      </c>
      <c r="D35" s="13">
        <f>IFERROR(SUM(D4:D34),"")</f>
        <v>1020460</v>
      </c>
      <c r="E35" s="13">
        <f>IFERROR(SUM(E4:E34),"")</f>
        <v>601030</v>
      </c>
      <c r="F35" s="13">
        <f>IFERROR(SUM(F4:F34),"")</f>
        <v>529300</v>
      </c>
      <c r="G35" s="13">
        <f>IFERROR(SUM(G4:G34),"")</f>
        <v>2150790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51" sqref="I5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/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171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172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173</v>
      </c>
      <c r="L48" s="16"/>
      <c r="M48" s="16"/>
    </row>
    <row r="49" spans="1:13" ht="18" customHeight="1">
      <c r="H49" s="87"/>
      <c r="I49" s="17"/>
      <c r="J49" s="17"/>
      <c r="K49" s="17" t="s">
        <v>174</v>
      </c>
      <c r="L49" s="17"/>
      <c r="M49" s="17"/>
    </row>
    <row r="50" spans="1:13" ht="21" customHeight="1">
      <c r="A50" s="19" t="s">
        <v>175</v>
      </c>
      <c r="B50" s="19"/>
      <c r="C50" s="19"/>
      <c r="D50" s="19"/>
      <c r="E50" s="19"/>
      <c r="F50" s="19"/>
      <c r="G50" s="19"/>
      <c r="H50" s="87"/>
      <c r="I50" s="16"/>
      <c r="J50" s="16"/>
      <c r="K50" s="16" t="s">
        <v>176</v>
      </c>
      <c r="L50" s="16"/>
      <c r="M50" s="16"/>
    </row>
    <row r="51" spans="1:13" ht="24" customHeight="1">
      <c r="H51" s="87"/>
      <c r="I51" s="17"/>
      <c r="J51" s="17"/>
      <c r="K51" s="17"/>
      <c r="L51" s="17"/>
      <c r="M51" s="17"/>
    </row>
    <row r="52" spans="1:13" ht="24" customHeight="1">
      <c r="H52" s="87"/>
      <c r="I52" s="16"/>
      <c r="J52" s="16"/>
      <c r="K52" s="16"/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2" activePane="bottomLeft" state="frozen"/>
      <selection pane="bottomLeft" activeCell="I29" sqref="I2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187</v>
      </c>
      <c r="E2" s="59" t="s">
        <v>188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189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188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188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188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188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188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188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188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188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188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188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188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191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188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188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188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188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188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188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188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188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188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188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188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188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39">
        <v>1183060</v>
      </c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194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/>
      <c r="F29" s="27"/>
      <c r="G29" s="28" t="str">
        <f t="shared" ref="G29:G40" si="6">IF(F29="","",IF(E29="PC 17",F29*4.2,IF(E29="PC 19",F29*5,"")))</f>
        <v/>
      </c>
      <c r="H29" s="33"/>
      <c r="I29" s="33" t="s">
        <v>23</v>
      </c>
      <c r="J29" s="33"/>
      <c r="K29" s="29">
        <v>0.32083333333333336</v>
      </c>
      <c r="L29" s="29"/>
      <c r="M29" s="35">
        <f t="shared" ref="M29:M40" ca="1" si="7">IFERROR(IF(K29="","",IF(L29="",MOD(NOW()-K29,1),IF(L29&gt;=K29,L29-K29,L29+1-K29))),"")</f>
        <v>2.2938657421036623E-3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2.2938657421036623E-3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2.2938657421036623E-3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44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" activePane="bottomLeft" state="frozen"/>
      <selection pane="bottomLeft" activeCell="J29" sqref="J2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191</v>
      </c>
      <c r="O14" s="90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89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191</v>
      </c>
      <c r="O27" s="90">
        <v>393200</v>
      </c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194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/>
      <c r="F29" s="27"/>
      <c r="G29" s="28" t="str">
        <f t="shared" ref="G29:G40" si="6">IF(F29="","",IF(E29="PC 17",F29*4.2,IF(E29="PC 19",F29*5,"")))</f>
        <v/>
      </c>
      <c r="H29" s="33"/>
      <c r="I29" s="33" t="s">
        <v>31</v>
      </c>
      <c r="J29" s="33"/>
      <c r="K29" s="29">
        <v>0.30763888888888891</v>
      </c>
      <c r="L29" s="29"/>
      <c r="M29" s="35">
        <f t="shared" ref="M29:M40" ca="1" si="7">IFERROR(IF(K29="","",IF(L29="",MOD(NOW()-K29,1),IF(L29&gt;=K29,L29-K29,L29+1-K29))),"")</f>
        <v>1.5488310185901355E-2</v>
      </c>
      <c r="N29" s="46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1.5488310185901355E-2</v>
      </c>
      <c r="N41" s="36" t="s">
        <v>191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54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1.5488310185901355E-2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54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54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54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54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9" activePane="bottomLeft" state="frozen"/>
      <selection pane="bottomLeft" activeCell="D29" sqref="D29:D4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196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197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191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191</v>
      </c>
      <c r="O27" s="39">
        <v>308500</v>
      </c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194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/>
      <c r="F29" s="27"/>
      <c r="G29" s="28" t="str">
        <f t="shared" ref="G29:G40" si="6">IF(F29="","",IF(E29="PC 17",F29*4.2,IF(E29="PC 19",F29*5,"")))</f>
        <v/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/>
      <c r="M29" s="35">
        <f t="shared" ref="M29:M40" ca="1" si="7">IFERROR(IF(K29="","",IF(L29="",MOD(NOW()-K29,1),IF(L29&gt;=K29,L29-K29,L29+1-K29))),"")</f>
        <v>3.1460532409255393E-2</v>
      </c>
      <c r="N29" s="27" t="s">
        <v>198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3.1460532409255393E-2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3.1460532409255393E-2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39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39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2" activePane="bottomLeft" state="frozen"/>
      <selection pane="bottomLeft" activeCell="D29" sqref="D29:D4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7109375" style="57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199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176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191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91">
        <f ca="1">IFERROR(IF(K16="","",IF(L16="",MOD(NOW()-K16,1),IF(L16&gt;=K16,L16-K16,L16+1-K16))),"")</f>
        <v>4.1666666666666741E-2</v>
      </c>
      <c r="N16" s="27" t="s">
        <v>201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191</v>
      </c>
      <c r="O27" s="39">
        <v>202230</v>
      </c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194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194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194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194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194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191</v>
      </c>
      <c r="O162" s="39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191</v>
      </c>
      <c r="O432" s="39"/>
    </row>
    <row r="433" spans="1:17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191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2026-07-02T11:46:51Z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