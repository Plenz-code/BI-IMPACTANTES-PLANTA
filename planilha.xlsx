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920" documentId="8_{AF585B22-221D-4780-BB9C-493D365A6A02}" xr6:coauthVersionLast="47" xr6:coauthVersionMax="47" xr10:uidLastSave="{D9A51F66-6F6C-45F3-B9C5-989A9A234C3C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73" i="3" l="1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<sst xmlns="http://schemas.openxmlformats.org/spreadsheetml/2006/main" count="11770" uniqueCount="426">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</sst>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0" sqref="N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1751285</v>
      </c>
      <c r="D32" s="8">
        <f>IFERROR('Linha 1'!O784,"")</f>
        <v>610890</v>
      </c>
      <c r="E32" s="8">
        <f>IFERROR('Linha 2'!O784,"")</f>
        <v>172140</v>
      </c>
      <c r="F32" s="8">
        <f>IFERROR('Linha 3'!O784,"")</f>
        <v>39360</v>
      </c>
      <c r="G32" s="9">
        <f>IFERROR(D32+E32+F32,"")</f>
        <v>822390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87532313</v>
      </c>
      <c r="D35" s="13">
        <f>IFERROR(SUM(D4:D34),"")</f>
        <v>35210690</v>
      </c>
      <c r="E35" s="13">
        <f>IFERROR(SUM(E4:E34),"")</f>
        <v>19876800</v>
      </c>
      <c r="F35" s="13">
        <f>IFERROR(SUM(F4:F34),"")</f>
        <v>36042620</v>
      </c>
      <c r="G35" s="13">
        <f>IFERROR(SUM(G4:G34),"")</f>
        <v>91130110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58" activePane="bottomLeft" state="frozen"/>
      <selection pane="bottomLeft" activeCell="F777" sqref="F77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234</v>
      </c>
      <c r="B14" s="107"/>
      <c r="C14" s="107"/>
      <c r="D14" s="107"/>
      <c r="E14" s="10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236</v>
      </c>
      <c r="B27" s="107"/>
      <c r="C27" s="107"/>
      <c r="D27" s="107"/>
      <c r="E27" s="10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3" t="s">
        <v>237</v>
      </c>
      <c r="B28" s="104"/>
      <c r="C28" s="104"/>
      <c r="D28" s="104"/>
      <c r="E28" s="10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234</v>
      </c>
      <c r="B41" s="107"/>
      <c r="C41" s="107"/>
      <c r="D41" s="107"/>
      <c r="E41" s="10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236</v>
      </c>
      <c r="B54" s="107"/>
      <c r="C54" s="107"/>
      <c r="D54" s="107"/>
      <c r="E54" s="10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3" t="s">
        <v>237</v>
      </c>
      <c r="B55" s="104"/>
      <c r="C55" s="104"/>
      <c r="D55" s="104"/>
      <c r="E55" s="10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234</v>
      </c>
      <c r="B68" s="107"/>
      <c r="C68" s="107"/>
      <c r="D68" s="107"/>
      <c r="E68" s="10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236</v>
      </c>
      <c r="B81" s="107"/>
      <c r="C81" s="107"/>
      <c r="D81" s="107"/>
      <c r="E81" s="10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3" t="s">
        <v>237</v>
      </c>
      <c r="B82" s="104"/>
      <c r="C82" s="104"/>
      <c r="D82" s="104"/>
      <c r="E82" s="105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234</v>
      </c>
      <c r="B95" s="107"/>
      <c r="C95" s="107"/>
      <c r="D95" s="107"/>
      <c r="E95" s="10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236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3" t="s">
        <v>237</v>
      </c>
      <c r="B109" s="104"/>
      <c r="C109" s="104"/>
      <c r="D109" s="104"/>
      <c r="E109" s="105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234</v>
      </c>
      <c r="B122" s="107"/>
      <c r="C122" s="107"/>
      <c r="D122" s="107"/>
      <c r="E122" s="10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236</v>
      </c>
      <c r="B135" s="107"/>
      <c r="C135" s="107"/>
      <c r="D135" s="107"/>
      <c r="E135" s="10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3" t="s">
        <v>237</v>
      </c>
      <c r="B136" s="104"/>
      <c r="C136" s="104"/>
      <c r="D136" s="104"/>
      <c r="E136" s="105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234</v>
      </c>
      <c r="B149" s="107"/>
      <c r="C149" s="107"/>
      <c r="D149" s="107"/>
      <c r="E149" s="108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236</v>
      </c>
      <c r="B162" s="107"/>
      <c r="C162" s="107"/>
      <c r="D162" s="107"/>
      <c r="E162" s="108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3" t="s">
        <v>237</v>
      </c>
      <c r="B163" s="104"/>
      <c r="C163" s="104"/>
      <c r="D163" s="104"/>
      <c r="E163" s="105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234</v>
      </c>
      <c r="B176" s="107"/>
      <c r="C176" s="107"/>
      <c r="D176" s="107"/>
      <c r="E176" s="108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236</v>
      </c>
      <c r="B189" s="107"/>
      <c r="C189" s="107"/>
      <c r="D189" s="107"/>
      <c r="E189" s="108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3" t="s">
        <v>237</v>
      </c>
      <c r="B190" s="104"/>
      <c r="C190" s="104"/>
      <c r="D190" s="104"/>
      <c r="E190" s="105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234</v>
      </c>
      <c r="B203" s="107"/>
      <c r="C203" s="107"/>
      <c r="D203" s="107"/>
      <c r="E203" s="108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236</v>
      </c>
      <c r="B216" s="107"/>
      <c r="C216" s="107"/>
      <c r="D216" s="107"/>
      <c r="E216" s="108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3" t="s">
        <v>237</v>
      </c>
      <c r="B217" s="104"/>
      <c r="C217" s="104"/>
      <c r="D217" s="104"/>
      <c r="E217" s="105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234</v>
      </c>
      <c r="B230" s="107"/>
      <c r="C230" s="107"/>
      <c r="D230" s="107"/>
      <c r="E230" s="108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236</v>
      </c>
      <c r="B243" s="107"/>
      <c r="C243" s="107"/>
      <c r="D243" s="107"/>
      <c r="E243" s="108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3" t="s">
        <v>237</v>
      </c>
      <c r="B244" s="104"/>
      <c r="C244" s="104"/>
      <c r="D244" s="104"/>
      <c r="E244" s="105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234</v>
      </c>
      <c r="B257" s="107"/>
      <c r="C257" s="107"/>
      <c r="D257" s="107"/>
      <c r="E257" s="108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236</v>
      </c>
      <c r="B270" s="107"/>
      <c r="C270" s="107"/>
      <c r="D270" s="107"/>
      <c r="E270" s="108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3" t="s">
        <v>237</v>
      </c>
      <c r="B271" s="104"/>
      <c r="C271" s="104"/>
      <c r="D271" s="104"/>
      <c r="E271" s="105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234</v>
      </c>
      <c r="B284" s="107"/>
      <c r="C284" s="107"/>
      <c r="D284" s="107"/>
      <c r="E284" s="108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6" t="s">
        <v>236</v>
      </c>
      <c r="B297" s="107"/>
      <c r="C297" s="107"/>
      <c r="D297" s="107"/>
      <c r="E297" s="108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3" t="s">
        <v>237</v>
      </c>
      <c r="B298" s="104"/>
      <c r="C298" s="104"/>
      <c r="D298" s="104"/>
      <c r="E298" s="105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234</v>
      </c>
      <c r="B311" s="107"/>
      <c r="C311" s="107"/>
      <c r="D311" s="107"/>
      <c r="E311" s="108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236</v>
      </c>
      <c r="B324" s="107"/>
      <c r="C324" s="107"/>
      <c r="D324" s="107"/>
      <c r="E324" s="108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3" t="s">
        <v>237</v>
      </c>
      <c r="B325" s="104"/>
      <c r="C325" s="104"/>
      <c r="D325" s="104"/>
      <c r="E325" s="105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234</v>
      </c>
      <c r="B338" s="107"/>
      <c r="C338" s="107"/>
      <c r="D338" s="107"/>
      <c r="E338" s="108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236</v>
      </c>
      <c r="B351" s="107"/>
      <c r="C351" s="107"/>
      <c r="D351" s="107"/>
      <c r="E351" s="108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3" t="s">
        <v>237</v>
      </c>
      <c r="B352" s="104"/>
      <c r="C352" s="104"/>
      <c r="D352" s="104"/>
      <c r="E352" s="105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234</v>
      </c>
      <c r="B365" s="107"/>
      <c r="C365" s="107"/>
      <c r="D365" s="107"/>
      <c r="E365" s="108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236</v>
      </c>
      <c r="B378" s="107"/>
      <c r="C378" s="107"/>
      <c r="D378" s="107"/>
      <c r="E378" s="108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3" t="s">
        <v>237</v>
      </c>
      <c r="B379" s="104"/>
      <c r="C379" s="104"/>
      <c r="D379" s="104"/>
      <c r="E379" s="105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234</v>
      </c>
      <c r="B392" s="107"/>
      <c r="C392" s="107"/>
      <c r="D392" s="107"/>
      <c r="E392" s="108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236</v>
      </c>
      <c r="B405" s="107"/>
      <c r="C405" s="107"/>
      <c r="D405" s="107"/>
      <c r="E405" s="108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3" t="s">
        <v>237</v>
      </c>
      <c r="B406" s="104"/>
      <c r="C406" s="104"/>
      <c r="D406" s="104"/>
      <c r="E406" s="105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234</v>
      </c>
      <c r="B419" s="107"/>
      <c r="C419" s="107"/>
      <c r="D419" s="107"/>
      <c r="E419" s="108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236</v>
      </c>
      <c r="B432" s="107"/>
      <c r="C432" s="107"/>
      <c r="D432" s="107"/>
      <c r="E432" s="108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3" t="s">
        <v>237</v>
      </c>
      <c r="B433" s="104"/>
      <c r="C433" s="104"/>
      <c r="D433" s="104"/>
      <c r="E433" s="105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234</v>
      </c>
      <c r="B446" s="107"/>
      <c r="C446" s="107"/>
      <c r="D446" s="107"/>
      <c r="E446" s="108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236</v>
      </c>
      <c r="B459" s="107"/>
      <c r="C459" s="107"/>
      <c r="D459" s="107"/>
      <c r="E459" s="108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3" t="s">
        <v>237</v>
      </c>
      <c r="B460" s="104"/>
      <c r="C460" s="104"/>
      <c r="D460" s="104"/>
      <c r="E460" s="105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234</v>
      </c>
      <c r="B473" s="107"/>
      <c r="C473" s="107"/>
      <c r="D473" s="107"/>
      <c r="E473" s="108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236</v>
      </c>
      <c r="B486" s="107"/>
      <c r="C486" s="107"/>
      <c r="D486" s="107"/>
      <c r="E486" s="108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3" t="s">
        <v>237</v>
      </c>
      <c r="B487" s="104"/>
      <c r="C487" s="104"/>
      <c r="D487" s="104"/>
      <c r="E487" s="105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234</v>
      </c>
      <c r="B500" s="107"/>
      <c r="C500" s="107"/>
      <c r="D500" s="107"/>
      <c r="E500" s="108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236</v>
      </c>
      <c r="B513" s="107"/>
      <c r="C513" s="107"/>
      <c r="D513" s="107"/>
      <c r="E513" s="108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3" t="s">
        <v>237</v>
      </c>
      <c r="B514" s="104"/>
      <c r="C514" s="104"/>
      <c r="D514" s="104"/>
      <c r="E514" s="105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234</v>
      </c>
      <c r="B527" s="107"/>
      <c r="C527" s="107"/>
      <c r="D527" s="107"/>
      <c r="E527" s="108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236</v>
      </c>
      <c r="B540" s="107"/>
      <c r="C540" s="107"/>
      <c r="D540" s="107"/>
      <c r="E540" s="108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3" t="s">
        <v>237</v>
      </c>
      <c r="B541" s="104"/>
      <c r="C541" s="104"/>
      <c r="D541" s="104"/>
      <c r="E541" s="105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234</v>
      </c>
      <c r="B554" s="107"/>
      <c r="C554" s="107"/>
      <c r="D554" s="107"/>
      <c r="E554" s="108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236</v>
      </c>
      <c r="B567" s="107"/>
      <c r="C567" s="107"/>
      <c r="D567" s="107"/>
      <c r="E567" s="108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3" t="s">
        <v>237</v>
      </c>
      <c r="B568" s="104"/>
      <c r="C568" s="104"/>
      <c r="D568" s="104"/>
      <c r="E568" s="105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234</v>
      </c>
      <c r="B581" s="107"/>
      <c r="C581" s="107"/>
      <c r="D581" s="107"/>
      <c r="E581" s="108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236</v>
      </c>
      <c r="B594" s="107"/>
      <c r="C594" s="107"/>
      <c r="D594" s="107"/>
      <c r="E594" s="108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3" t="s">
        <v>237</v>
      </c>
      <c r="B595" s="104"/>
      <c r="C595" s="104"/>
      <c r="D595" s="104"/>
      <c r="E595" s="105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234</v>
      </c>
      <c r="B608" s="107"/>
      <c r="C608" s="107"/>
      <c r="D608" s="107"/>
      <c r="E608" s="108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236</v>
      </c>
      <c r="B621" s="107"/>
      <c r="C621" s="107"/>
      <c r="D621" s="107"/>
      <c r="E621" s="108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3" t="s">
        <v>237</v>
      </c>
      <c r="B622" s="104"/>
      <c r="C622" s="104"/>
      <c r="D622" s="104"/>
      <c r="E622" s="105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234</v>
      </c>
      <c r="B635" s="107"/>
      <c r="C635" s="107"/>
      <c r="D635" s="107"/>
      <c r="E635" s="108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236</v>
      </c>
      <c r="B648" s="107"/>
      <c r="C648" s="107"/>
      <c r="D648" s="107"/>
      <c r="E648" s="108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3" t="s">
        <v>237</v>
      </c>
      <c r="B649" s="104"/>
      <c r="C649" s="104"/>
      <c r="D649" s="104"/>
      <c r="E649" s="105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236</v>
      </c>
      <c r="B675" s="107"/>
      <c r="C675" s="107"/>
      <c r="D675" s="107"/>
      <c r="E675" s="108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3" t="s">
        <v>237</v>
      </c>
      <c r="B676" s="104"/>
      <c r="C676" s="104"/>
      <c r="D676" s="104"/>
      <c r="E676" s="105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234</v>
      </c>
      <c r="B689" s="107"/>
      <c r="C689" s="107"/>
      <c r="D689" s="107"/>
      <c r="E689" s="108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236</v>
      </c>
      <c r="B702" s="107"/>
      <c r="C702" s="107"/>
      <c r="D702" s="107"/>
      <c r="E702" s="108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3" t="s">
        <v>237</v>
      </c>
      <c r="B703" s="104"/>
      <c r="C703" s="104"/>
      <c r="D703" s="104"/>
      <c r="E703" s="105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234</v>
      </c>
      <c r="B716" s="107"/>
      <c r="C716" s="107"/>
      <c r="D716" s="107"/>
      <c r="E716" s="108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236</v>
      </c>
      <c r="B729" s="107"/>
      <c r="C729" s="107"/>
      <c r="D729" s="107"/>
      <c r="E729" s="108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3" t="s">
        <v>237</v>
      </c>
      <c r="B730" s="104"/>
      <c r="C730" s="104"/>
      <c r="D730" s="104"/>
      <c r="E730" s="105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234</v>
      </c>
      <c r="B743" s="107"/>
      <c r="C743" s="107"/>
      <c r="D743" s="107"/>
      <c r="E743" s="108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236</v>
      </c>
      <c r="B756" s="107"/>
      <c r="C756" s="107"/>
      <c r="D756" s="107"/>
      <c r="E756" s="108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3" t="s">
        <v>237</v>
      </c>
      <c r="B757" s="104"/>
      <c r="C757" s="104"/>
      <c r="D757" s="104"/>
      <c r="E757" s="105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234</v>
      </c>
      <c r="B770" s="107"/>
      <c r="C770" s="107"/>
      <c r="D770" s="107"/>
      <c r="E770" s="108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235</v>
      </c>
      <c r="O770" s="39">
        <v>1751285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232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/>
      <c r="M771" s="35">
        <f t="shared" ref="M771:M782" ca="1" si="172">IFERROR(IF(K771="","",IF(L771="",MOD(NOW()-K771,1),IF(L771&gt;=K771,L771-K771,L771+1-K771))),"")</f>
        <v>3.4168981437687762E-3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232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232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232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232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232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232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232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232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232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232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236</v>
      </c>
      <c r="B783" s="107"/>
      <c r="C783" s="107"/>
      <c r="D783" s="107"/>
      <c r="E783" s="108">
        <f>SUM(E771:E782)</f>
        <v>0</v>
      </c>
      <c r="F783" s="36">
        <f>SUM(F771:F782)</f>
        <v>185</v>
      </c>
      <c r="G783" s="36">
        <f>SUM(G771:G782)</f>
        <v>925</v>
      </c>
      <c r="H783" s="37"/>
      <c r="I783" s="37"/>
      <c r="J783" s="37"/>
      <c r="K783" s="37"/>
      <c r="L783" s="37"/>
      <c r="M783" s="38">
        <f ca="1">IFERROR(SUM(M771:M782),"")</f>
        <v>3.4168981437687762E-3</v>
      </c>
      <c r="N783" s="36" t="s">
        <v>235</v>
      </c>
      <c r="O783" s="39"/>
    </row>
    <row r="784" spans="1:15" ht="18" customHeight="1">
      <c r="A784" s="103" t="s">
        <v>237</v>
      </c>
      <c r="B784" s="104"/>
      <c r="C784" s="104"/>
      <c r="D784" s="104"/>
      <c r="E784" s="105">
        <f>E770+E783</f>
        <v>0</v>
      </c>
      <c r="F784" s="40">
        <f>F770+F783</f>
        <v>535</v>
      </c>
      <c r="G784" s="40">
        <f>G770+G783</f>
        <v>2675</v>
      </c>
      <c r="H784" s="41"/>
      <c r="I784" s="41"/>
      <c r="J784" s="41"/>
      <c r="K784" s="41"/>
      <c r="L784" s="41"/>
      <c r="M784" s="42">
        <f ca="1">IFERROR(M770+M783,"")</f>
        <v>7.4944675921546522E-2</v>
      </c>
      <c r="N784" s="40" t="s">
        <v>238</v>
      </c>
      <c r="O784" s="48">
        <f>IFERROR(O770+O783,"")</f>
        <v>1751285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234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236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0" activePane="bottomLeft" state="frozen"/>
      <selection pane="bottomLeft" activeCell="F773" sqref="F77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234</v>
      </c>
      <c r="B14" s="107"/>
      <c r="C14" s="107"/>
      <c r="D14" s="107"/>
      <c r="E14" s="10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236</v>
      </c>
      <c r="B27" s="107"/>
      <c r="C27" s="107"/>
      <c r="D27" s="107"/>
      <c r="E27" s="10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3" t="s">
        <v>237</v>
      </c>
      <c r="B28" s="104"/>
      <c r="C28" s="104"/>
      <c r="D28" s="104"/>
      <c r="E28" s="10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234</v>
      </c>
      <c r="B41" s="107"/>
      <c r="C41" s="107"/>
      <c r="D41" s="107"/>
      <c r="E41" s="10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6" t="s">
        <v>236</v>
      </c>
      <c r="B54" s="107"/>
      <c r="C54" s="107"/>
      <c r="D54" s="107"/>
      <c r="E54" s="10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3" t="s">
        <v>237</v>
      </c>
      <c r="B55" s="104"/>
      <c r="C55" s="104"/>
      <c r="D55" s="104"/>
      <c r="E55" s="10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234</v>
      </c>
      <c r="B68" s="107"/>
      <c r="C68" s="107"/>
      <c r="D68" s="107"/>
      <c r="E68" s="10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6" t="s">
        <v>236</v>
      </c>
      <c r="B81" s="107"/>
      <c r="C81" s="107"/>
      <c r="D81" s="107"/>
      <c r="E81" s="10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3" t="s">
        <v>237</v>
      </c>
      <c r="B82" s="104"/>
      <c r="C82" s="104"/>
      <c r="D82" s="104"/>
      <c r="E82" s="105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234</v>
      </c>
      <c r="B95" s="107"/>
      <c r="C95" s="107"/>
      <c r="D95" s="107"/>
      <c r="E95" s="10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236</v>
      </c>
      <c r="B108" s="107"/>
      <c r="C108" s="107"/>
      <c r="D108" s="107"/>
      <c r="E108" s="10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3" t="s">
        <v>237</v>
      </c>
      <c r="B109" s="104"/>
      <c r="C109" s="104"/>
      <c r="D109" s="104"/>
      <c r="E109" s="105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234</v>
      </c>
      <c r="B122" s="107"/>
      <c r="C122" s="107"/>
      <c r="D122" s="107"/>
      <c r="E122" s="10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236</v>
      </c>
      <c r="B135" s="107"/>
      <c r="C135" s="107"/>
      <c r="D135" s="107"/>
      <c r="E135" s="10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3" t="s">
        <v>237</v>
      </c>
      <c r="B136" s="104"/>
      <c r="C136" s="104"/>
      <c r="D136" s="104"/>
      <c r="E136" s="105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234</v>
      </c>
      <c r="B149" s="107"/>
      <c r="C149" s="107"/>
      <c r="D149" s="107"/>
      <c r="E149" s="108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236</v>
      </c>
      <c r="B162" s="107"/>
      <c r="C162" s="107"/>
      <c r="D162" s="107"/>
      <c r="E162" s="108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3" t="s">
        <v>237</v>
      </c>
      <c r="B163" s="104"/>
      <c r="C163" s="104"/>
      <c r="D163" s="104"/>
      <c r="E163" s="105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234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236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3" t="s">
        <v>237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234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236</v>
      </c>
      <c r="B216" s="107"/>
      <c r="C216" s="107"/>
      <c r="D216" s="107"/>
      <c r="E216" s="108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3" t="s">
        <v>237</v>
      </c>
      <c r="B217" s="104"/>
      <c r="C217" s="104"/>
      <c r="D217" s="104"/>
      <c r="E217" s="105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236</v>
      </c>
      <c r="B243" s="107"/>
      <c r="C243" s="107"/>
      <c r="D243" s="107"/>
      <c r="E243" s="108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3" t="s">
        <v>237</v>
      </c>
      <c r="B244" s="104"/>
      <c r="C244" s="104"/>
      <c r="D244" s="104"/>
      <c r="E244" s="105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234</v>
      </c>
      <c r="B257" s="107"/>
      <c r="C257" s="107"/>
      <c r="D257" s="107"/>
      <c r="E257" s="108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236</v>
      </c>
      <c r="B270" s="107"/>
      <c r="C270" s="107"/>
      <c r="D270" s="107"/>
      <c r="E270" s="108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3" t="s">
        <v>237</v>
      </c>
      <c r="B271" s="104"/>
      <c r="C271" s="104"/>
      <c r="D271" s="104"/>
      <c r="E271" s="105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234</v>
      </c>
      <c r="B284" s="107"/>
      <c r="C284" s="107"/>
      <c r="D284" s="107"/>
      <c r="E284" s="108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236</v>
      </c>
      <c r="B297" s="107"/>
      <c r="C297" s="107"/>
      <c r="D297" s="107"/>
      <c r="E297" s="108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3" t="s">
        <v>237</v>
      </c>
      <c r="B298" s="104"/>
      <c r="C298" s="104"/>
      <c r="D298" s="104"/>
      <c r="E298" s="105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234</v>
      </c>
      <c r="B311" s="107"/>
      <c r="C311" s="107"/>
      <c r="D311" s="107"/>
      <c r="E311" s="108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236</v>
      </c>
      <c r="B324" s="107"/>
      <c r="C324" s="107"/>
      <c r="D324" s="107"/>
      <c r="E324" s="108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3" t="s">
        <v>237</v>
      </c>
      <c r="B325" s="104"/>
      <c r="C325" s="104"/>
      <c r="D325" s="104"/>
      <c r="E325" s="105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234</v>
      </c>
      <c r="B338" s="107"/>
      <c r="C338" s="107"/>
      <c r="D338" s="107"/>
      <c r="E338" s="108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236</v>
      </c>
      <c r="B351" s="107"/>
      <c r="C351" s="107"/>
      <c r="D351" s="107"/>
      <c r="E351" s="108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3" t="s">
        <v>237</v>
      </c>
      <c r="B352" s="104"/>
      <c r="C352" s="104"/>
      <c r="D352" s="104"/>
      <c r="E352" s="105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234</v>
      </c>
      <c r="B365" s="107"/>
      <c r="C365" s="107"/>
      <c r="D365" s="107"/>
      <c r="E365" s="108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0.84300023147807224</v>
      </c>
      <c r="N377" s="46"/>
      <c r="O377" s="47"/>
    </row>
    <row r="378" spans="1:15" ht="15.75" customHeight="1">
      <c r="A378" s="106" t="s">
        <v>236</v>
      </c>
      <c r="B378" s="107"/>
      <c r="C378" s="107"/>
      <c r="D378" s="107"/>
      <c r="E378" s="108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1.0006391203669611</v>
      </c>
      <c r="N378" s="36" t="s">
        <v>235</v>
      </c>
      <c r="O378" s="77">
        <v>511980</v>
      </c>
    </row>
    <row r="379" spans="1:15" ht="18" customHeight="1">
      <c r="A379" s="103" t="s">
        <v>237</v>
      </c>
      <c r="B379" s="104"/>
      <c r="C379" s="104"/>
      <c r="D379" s="104"/>
      <c r="E379" s="105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1.1103613425891834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234</v>
      </c>
      <c r="B392" s="107"/>
      <c r="C392" s="107"/>
      <c r="D392" s="107"/>
      <c r="E392" s="108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236</v>
      </c>
      <c r="B405" s="107"/>
      <c r="C405" s="107"/>
      <c r="D405" s="107"/>
      <c r="E405" s="108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3" t="s">
        <v>237</v>
      </c>
      <c r="B406" s="104"/>
      <c r="C406" s="104"/>
      <c r="D406" s="104"/>
      <c r="E406" s="105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234</v>
      </c>
      <c r="B419" s="107"/>
      <c r="C419" s="107"/>
      <c r="D419" s="107"/>
      <c r="E419" s="108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0.82147245370288147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0.99230578703621486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1.1374446759251038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234</v>
      </c>
      <c r="B446" s="107"/>
      <c r="C446" s="107"/>
      <c r="D446" s="107"/>
      <c r="E446" s="108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236</v>
      </c>
      <c r="B459" s="107"/>
      <c r="C459" s="107"/>
      <c r="D459" s="107"/>
      <c r="E459" s="108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3" t="s">
        <v>237</v>
      </c>
      <c r="B460" s="104"/>
      <c r="C460" s="104"/>
      <c r="D460" s="104"/>
      <c r="E460" s="105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234</v>
      </c>
      <c r="B473" s="107"/>
      <c r="C473" s="107"/>
      <c r="D473" s="107"/>
      <c r="E473" s="108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236</v>
      </c>
      <c r="B486" s="107"/>
      <c r="C486" s="107"/>
      <c r="D486" s="107"/>
      <c r="E486" s="108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3" t="s">
        <v>237</v>
      </c>
      <c r="B487" s="104"/>
      <c r="C487" s="104"/>
      <c r="D487" s="104"/>
      <c r="E487" s="105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234</v>
      </c>
      <c r="B500" s="107"/>
      <c r="C500" s="107"/>
      <c r="D500" s="107"/>
      <c r="E500" s="108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234</v>
      </c>
      <c r="B527" s="107"/>
      <c r="C527" s="107"/>
      <c r="D527" s="107"/>
      <c r="E527" s="108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236</v>
      </c>
      <c r="B540" s="107"/>
      <c r="C540" s="107"/>
      <c r="D540" s="107"/>
      <c r="E540" s="108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3" t="s">
        <v>237</v>
      </c>
      <c r="B541" s="104"/>
      <c r="C541" s="104"/>
      <c r="D541" s="104"/>
      <c r="E541" s="105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234</v>
      </c>
      <c r="B554" s="107"/>
      <c r="C554" s="107"/>
      <c r="D554" s="107"/>
      <c r="E554" s="108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236</v>
      </c>
      <c r="B567" s="107"/>
      <c r="C567" s="107"/>
      <c r="D567" s="107"/>
      <c r="E567" s="108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3" t="s">
        <v>237</v>
      </c>
      <c r="B568" s="104"/>
      <c r="C568" s="104"/>
      <c r="D568" s="104"/>
      <c r="E568" s="105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234</v>
      </c>
      <c r="B581" s="107"/>
      <c r="C581" s="107"/>
      <c r="D581" s="107"/>
      <c r="E581" s="108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236</v>
      </c>
      <c r="B594" s="107"/>
      <c r="C594" s="107"/>
      <c r="D594" s="107"/>
      <c r="E594" s="108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3" t="s">
        <v>237</v>
      </c>
      <c r="B595" s="104"/>
      <c r="C595" s="104"/>
      <c r="D595" s="104"/>
      <c r="E595" s="105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234</v>
      </c>
      <c r="B608" s="107"/>
      <c r="C608" s="107"/>
      <c r="D608" s="107"/>
      <c r="E608" s="108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236</v>
      </c>
      <c r="B621" s="107"/>
      <c r="C621" s="107"/>
      <c r="D621" s="107"/>
      <c r="E621" s="108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3" t="s">
        <v>237</v>
      </c>
      <c r="B622" s="104"/>
      <c r="C622" s="104"/>
      <c r="D622" s="104"/>
      <c r="E622" s="105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6" t="s">
        <v>234</v>
      </c>
      <c r="B635" s="107"/>
      <c r="C635" s="107"/>
      <c r="D635" s="107"/>
      <c r="E635" s="108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236</v>
      </c>
      <c r="B648" s="107"/>
      <c r="C648" s="107"/>
      <c r="D648" s="107"/>
      <c r="E648" s="108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3" t="s">
        <v>237</v>
      </c>
      <c r="B649" s="104"/>
      <c r="C649" s="104"/>
      <c r="D649" s="104"/>
      <c r="E649" s="105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234</v>
      </c>
      <c r="B662" s="107"/>
      <c r="C662" s="107"/>
      <c r="D662" s="107"/>
      <c r="E662" s="108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236</v>
      </c>
      <c r="B675" s="107"/>
      <c r="C675" s="107"/>
      <c r="D675" s="107"/>
      <c r="E675" s="108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3" t="s">
        <v>237</v>
      </c>
      <c r="B676" s="104"/>
      <c r="C676" s="104"/>
      <c r="D676" s="104"/>
      <c r="E676" s="105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327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328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329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236</v>
      </c>
      <c r="B702" s="107"/>
      <c r="C702" s="107"/>
      <c r="D702" s="107"/>
      <c r="E702" s="108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3" t="s">
        <v>237</v>
      </c>
      <c r="B703" s="104"/>
      <c r="C703" s="104"/>
      <c r="D703" s="104"/>
      <c r="E703" s="105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331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332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234</v>
      </c>
      <c r="B716" s="107"/>
      <c r="C716" s="107"/>
      <c r="D716" s="107"/>
      <c r="E716" s="108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333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334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236</v>
      </c>
      <c r="B729" s="107"/>
      <c r="C729" s="107"/>
      <c r="D729" s="107"/>
      <c r="E729" s="108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3" t="s">
        <v>237</v>
      </c>
      <c r="B730" s="104"/>
      <c r="C730" s="104"/>
      <c r="D730" s="104"/>
      <c r="E730" s="105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336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234</v>
      </c>
      <c r="B743" s="107"/>
      <c r="C743" s="107"/>
      <c r="D743" s="107"/>
      <c r="E743" s="108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236</v>
      </c>
      <c r="B756" s="107"/>
      <c r="C756" s="107"/>
      <c r="D756" s="107"/>
      <c r="E756" s="108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3" t="s">
        <v>237</v>
      </c>
      <c r="B757" s="104"/>
      <c r="C757" s="104"/>
      <c r="D757" s="104"/>
      <c r="E757" s="105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337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338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339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234</v>
      </c>
      <c r="B770" s="107"/>
      <c r="C770" s="107"/>
      <c r="D770" s="107"/>
      <c r="E770" s="108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235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18</v>
      </c>
      <c r="G775" s="34">
        <f t="shared" si="171"/>
        <v>75.600000000000009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16</v>
      </c>
      <c r="G776" s="28">
        <f t="shared" si="171"/>
        <v>67.2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236</v>
      </c>
      <c r="B783" s="107"/>
      <c r="C783" s="107"/>
      <c r="D783" s="107"/>
      <c r="E783" s="108">
        <f>SUM(E771:E782)</f>
        <v>0</v>
      </c>
      <c r="F783" s="36">
        <f>SUM(F771:F782)</f>
        <v>105</v>
      </c>
      <c r="G783" s="36">
        <f>SUM(G771:G782)</f>
        <v>449.8</v>
      </c>
      <c r="H783" s="37"/>
      <c r="I783" s="37"/>
      <c r="J783" s="37"/>
      <c r="K783" s="37"/>
      <c r="L783" s="37"/>
      <c r="M783" s="38">
        <f ca="1">IFERROR(SUM(M771:M782),"")</f>
        <v>5.0694444444444486E-2</v>
      </c>
      <c r="N783" s="36" t="s">
        <v>235</v>
      </c>
      <c r="O783" s="39"/>
    </row>
    <row r="784" spans="1:15" ht="18" customHeight="1">
      <c r="A784" s="103" t="s">
        <v>237</v>
      </c>
      <c r="B784" s="104"/>
      <c r="C784" s="104"/>
      <c r="D784" s="104"/>
      <c r="E784" s="105">
        <f>E770+E783</f>
        <v>0</v>
      </c>
      <c r="F784" s="40">
        <f>F770+F783</f>
        <v>239</v>
      </c>
      <c r="G784" s="40">
        <f>G770+G783</f>
        <v>1020.6000000000001</v>
      </c>
      <c r="H784" s="41"/>
      <c r="I784" s="41"/>
      <c r="J784" s="41"/>
      <c r="K784" s="41"/>
      <c r="L784" s="41"/>
      <c r="M784" s="42">
        <f ca="1">IFERROR(M770+M783,"")</f>
        <v>0.14583333333333331</v>
      </c>
      <c r="N784" s="40" t="s">
        <v>238</v>
      </c>
      <c r="O784" s="83">
        <f>IFERROR(O770+O783,"")</f>
        <v>610890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234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236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3" t="s">
        <v>237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54" zoomScale="50" zoomScaleNormal="50" workbookViewId="0">
      <selection activeCell="F777" sqref="F77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234</v>
      </c>
      <c r="B14" s="107"/>
      <c r="C14" s="107"/>
      <c r="D14" s="107"/>
      <c r="E14" s="10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236</v>
      </c>
      <c r="B27" s="107"/>
      <c r="C27" s="107"/>
      <c r="D27" s="107"/>
      <c r="E27" s="10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3" t="s">
        <v>237</v>
      </c>
      <c r="B28" s="104"/>
      <c r="C28" s="104"/>
      <c r="D28" s="104"/>
      <c r="E28" s="10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234</v>
      </c>
      <c r="B41" s="107"/>
      <c r="C41" s="107"/>
      <c r="D41" s="107"/>
      <c r="E41" s="10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236</v>
      </c>
      <c r="B54" s="107"/>
      <c r="C54" s="107"/>
      <c r="D54" s="107"/>
      <c r="E54" s="10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3" t="s">
        <v>237</v>
      </c>
      <c r="B55" s="104"/>
      <c r="C55" s="104"/>
      <c r="D55" s="104"/>
      <c r="E55" s="10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234</v>
      </c>
      <c r="B68" s="107"/>
      <c r="C68" s="107"/>
      <c r="D68" s="107"/>
      <c r="E68" s="10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236</v>
      </c>
      <c r="B81" s="107"/>
      <c r="C81" s="107"/>
      <c r="D81" s="107"/>
      <c r="E81" s="10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3" t="s">
        <v>237</v>
      </c>
      <c r="B82" s="104"/>
      <c r="C82" s="104"/>
      <c r="D82" s="104"/>
      <c r="E82" s="105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234</v>
      </c>
      <c r="B95" s="107"/>
      <c r="C95" s="107"/>
      <c r="D95" s="107"/>
      <c r="E95" s="10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236</v>
      </c>
      <c r="B108" s="107"/>
      <c r="C108" s="107"/>
      <c r="D108" s="107"/>
      <c r="E108" s="10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3" t="s">
        <v>237</v>
      </c>
      <c r="B109" s="104"/>
      <c r="C109" s="104"/>
      <c r="D109" s="104"/>
      <c r="E109" s="105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234</v>
      </c>
      <c r="B122" s="107"/>
      <c r="C122" s="107"/>
      <c r="D122" s="107"/>
      <c r="E122" s="10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236</v>
      </c>
      <c r="B135" s="107"/>
      <c r="C135" s="107"/>
      <c r="D135" s="107"/>
      <c r="E135" s="10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3" t="s">
        <v>237</v>
      </c>
      <c r="B136" s="104"/>
      <c r="C136" s="104"/>
      <c r="D136" s="104"/>
      <c r="E136" s="105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287</v>
      </c>
      <c r="K141" s="29">
        <v>0.71597222222222223</v>
      </c>
      <c r="L141" s="29" t="s">
        <v>345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234</v>
      </c>
      <c r="B149" s="107"/>
      <c r="C149" s="107"/>
      <c r="D149" s="107"/>
      <c r="E149" s="108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236</v>
      </c>
      <c r="B162" s="107"/>
      <c r="C162" s="107"/>
      <c r="D162" s="107"/>
      <c r="E162" s="108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3" t="s">
        <v>237</v>
      </c>
      <c r="B163" s="104"/>
      <c r="C163" s="104"/>
      <c r="D163" s="104"/>
      <c r="E163" s="105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347</v>
      </c>
      <c r="N166" s="27" t="s">
        <v>348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234</v>
      </c>
      <c r="B176" s="107"/>
      <c r="C176" s="107"/>
      <c r="D176" s="107"/>
      <c r="E176" s="108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236</v>
      </c>
      <c r="B189" s="107"/>
      <c r="C189" s="107"/>
      <c r="D189" s="107"/>
      <c r="E189" s="108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3" t="s">
        <v>237</v>
      </c>
      <c r="B190" s="104"/>
      <c r="C190" s="104"/>
      <c r="D190" s="104"/>
      <c r="E190" s="105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234</v>
      </c>
      <c r="B203" s="107"/>
      <c r="C203" s="107"/>
      <c r="D203" s="107"/>
      <c r="E203" s="108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236</v>
      </c>
      <c r="B216" s="107"/>
      <c r="C216" s="107"/>
      <c r="D216" s="107"/>
      <c r="E216" s="108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3" t="s">
        <v>237</v>
      </c>
      <c r="B217" s="104"/>
      <c r="C217" s="104"/>
      <c r="D217" s="104"/>
      <c r="E217" s="105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234</v>
      </c>
      <c r="B230" s="107"/>
      <c r="C230" s="107"/>
      <c r="D230" s="107"/>
      <c r="E230" s="108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236</v>
      </c>
      <c r="B243" s="107"/>
      <c r="C243" s="107"/>
      <c r="D243" s="107"/>
      <c r="E243" s="108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3" t="s">
        <v>237</v>
      </c>
      <c r="B244" s="104"/>
      <c r="C244" s="104"/>
      <c r="D244" s="104"/>
      <c r="E244" s="105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234</v>
      </c>
      <c r="B257" s="107"/>
      <c r="C257" s="107"/>
      <c r="D257" s="107"/>
      <c r="E257" s="108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236</v>
      </c>
      <c r="B270" s="107"/>
      <c r="C270" s="107"/>
      <c r="D270" s="107"/>
      <c r="E270" s="108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3" t="s">
        <v>237</v>
      </c>
      <c r="B271" s="104"/>
      <c r="C271" s="104"/>
      <c r="D271" s="104"/>
      <c r="E271" s="105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234</v>
      </c>
      <c r="B284" s="107"/>
      <c r="C284" s="107"/>
      <c r="D284" s="107"/>
      <c r="E284" s="108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236</v>
      </c>
      <c r="B297" s="107"/>
      <c r="C297" s="107"/>
      <c r="D297" s="107"/>
      <c r="E297" s="108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3" t="s">
        <v>237</v>
      </c>
      <c r="B298" s="104"/>
      <c r="C298" s="104"/>
      <c r="D298" s="104"/>
      <c r="E298" s="105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234</v>
      </c>
      <c r="B311" s="107"/>
      <c r="C311" s="107"/>
      <c r="D311" s="107"/>
      <c r="E311" s="108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236</v>
      </c>
      <c r="B324" s="107"/>
      <c r="C324" s="107"/>
      <c r="D324" s="107"/>
      <c r="E324" s="108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3" t="s">
        <v>237</v>
      </c>
      <c r="B325" s="104"/>
      <c r="C325" s="104"/>
      <c r="D325" s="104"/>
      <c r="E325" s="105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234</v>
      </c>
      <c r="B338" s="107"/>
      <c r="C338" s="107"/>
      <c r="D338" s="107"/>
      <c r="E338" s="108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236</v>
      </c>
      <c r="B351" s="107"/>
      <c r="C351" s="107"/>
      <c r="D351" s="107"/>
      <c r="E351" s="108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3" t="s">
        <v>237</v>
      </c>
      <c r="B352" s="104"/>
      <c r="C352" s="104"/>
      <c r="D352" s="104"/>
      <c r="E352" s="105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234</v>
      </c>
      <c r="B365" s="107"/>
      <c r="C365" s="107"/>
      <c r="D365" s="107"/>
      <c r="E365" s="108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236</v>
      </c>
      <c r="B378" s="107"/>
      <c r="C378" s="107"/>
      <c r="D378" s="107"/>
      <c r="E378" s="108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3" t="s">
        <v>237</v>
      </c>
      <c r="B379" s="104"/>
      <c r="C379" s="104"/>
      <c r="D379" s="104"/>
      <c r="E379" s="105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234</v>
      </c>
      <c r="B392" s="107"/>
      <c r="C392" s="107"/>
      <c r="D392" s="107"/>
      <c r="E392" s="108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236</v>
      </c>
      <c r="B405" s="107"/>
      <c r="C405" s="107"/>
      <c r="D405" s="107"/>
      <c r="E405" s="108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3" t="s">
        <v>237</v>
      </c>
      <c r="B406" s="104"/>
      <c r="C406" s="104"/>
      <c r="D406" s="104"/>
      <c r="E406" s="105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234</v>
      </c>
      <c r="B419" s="107"/>
      <c r="C419" s="107"/>
      <c r="D419" s="107"/>
      <c r="E419" s="108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236</v>
      </c>
      <c r="B432" s="107"/>
      <c r="C432" s="107"/>
      <c r="D432" s="107"/>
      <c r="E432" s="108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3" t="s">
        <v>237</v>
      </c>
      <c r="B433" s="104"/>
      <c r="C433" s="104"/>
      <c r="D433" s="104"/>
      <c r="E433" s="105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234</v>
      </c>
      <c r="B446" s="107"/>
      <c r="C446" s="107"/>
      <c r="D446" s="107"/>
      <c r="E446" s="108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236</v>
      </c>
      <c r="B459" s="107"/>
      <c r="C459" s="107"/>
      <c r="D459" s="107"/>
      <c r="E459" s="108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3" t="s">
        <v>237</v>
      </c>
      <c r="B460" s="104"/>
      <c r="C460" s="104"/>
      <c r="D460" s="104"/>
      <c r="E460" s="105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234</v>
      </c>
      <c r="B473" s="107"/>
      <c r="C473" s="107"/>
      <c r="D473" s="107"/>
      <c r="E473" s="108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236</v>
      </c>
      <c r="B486" s="107"/>
      <c r="C486" s="107"/>
      <c r="D486" s="107"/>
      <c r="E486" s="108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3" t="s">
        <v>237</v>
      </c>
      <c r="B487" s="104"/>
      <c r="C487" s="104"/>
      <c r="D487" s="104"/>
      <c r="E487" s="105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234</v>
      </c>
      <c r="B500" s="107"/>
      <c r="C500" s="107"/>
      <c r="D500" s="107"/>
      <c r="E500" s="108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236</v>
      </c>
      <c r="B513" s="107"/>
      <c r="C513" s="107"/>
      <c r="D513" s="107"/>
      <c r="E513" s="108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3" t="s">
        <v>237</v>
      </c>
      <c r="B514" s="104"/>
      <c r="C514" s="104"/>
      <c r="D514" s="104"/>
      <c r="E514" s="105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234</v>
      </c>
      <c r="B527" s="107"/>
      <c r="C527" s="107"/>
      <c r="D527" s="107"/>
      <c r="E527" s="108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236</v>
      </c>
      <c r="B540" s="107"/>
      <c r="C540" s="107"/>
      <c r="D540" s="107"/>
      <c r="E540" s="108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3" t="s">
        <v>237</v>
      </c>
      <c r="B541" s="104"/>
      <c r="C541" s="104"/>
      <c r="D541" s="104"/>
      <c r="E541" s="105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234</v>
      </c>
      <c r="B554" s="107"/>
      <c r="C554" s="107"/>
      <c r="D554" s="107"/>
      <c r="E554" s="108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236</v>
      </c>
      <c r="B567" s="107"/>
      <c r="C567" s="107"/>
      <c r="D567" s="107"/>
      <c r="E567" s="108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3" t="s">
        <v>237</v>
      </c>
      <c r="B568" s="104"/>
      <c r="C568" s="104"/>
      <c r="D568" s="104"/>
      <c r="E568" s="105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234</v>
      </c>
      <c r="B581" s="107"/>
      <c r="C581" s="107"/>
      <c r="D581" s="107"/>
      <c r="E581" s="108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236</v>
      </c>
      <c r="B594" s="107"/>
      <c r="C594" s="107"/>
      <c r="D594" s="107"/>
      <c r="E594" s="108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3" t="s">
        <v>237</v>
      </c>
      <c r="B595" s="104"/>
      <c r="C595" s="104"/>
      <c r="D595" s="104"/>
      <c r="E595" s="105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326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234</v>
      </c>
      <c r="B608" s="107"/>
      <c r="C608" s="107"/>
      <c r="D608" s="107"/>
      <c r="E608" s="108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236</v>
      </c>
      <c r="B621" s="107"/>
      <c r="C621" s="107"/>
      <c r="D621" s="107"/>
      <c r="E621" s="108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3" t="s">
        <v>237</v>
      </c>
      <c r="B622" s="104"/>
      <c r="C622" s="104"/>
      <c r="D622" s="104"/>
      <c r="E622" s="105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234</v>
      </c>
      <c r="B635" s="107"/>
      <c r="C635" s="107"/>
      <c r="D635" s="107"/>
      <c r="E635" s="108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236</v>
      </c>
      <c r="B648" s="107"/>
      <c r="C648" s="107"/>
      <c r="D648" s="107"/>
      <c r="E648" s="108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3" t="s">
        <v>237</v>
      </c>
      <c r="B649" s="104"/>
      <c r="C649" s="104"/>
      <c r="D649" s="104"/>
      <c r="E649" s="105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234</v>
      </c>
      <c r="B662" s="107"/>
      <c r="C662" s="107"/>
      <c r="D662" s="107"/>
      <c r="E662" s="108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236</v>
      </c>
      <c r="B675" s="107"/>
      <c r="C675" s="107"/>
      <c r="D675" s="107"/>
      <c r="E675" s="108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3" t="s">
        <v>237</v>
      </c>
      <c r="B676" s="104"/>
      <c r="C676" s="104"/>
      <c r="D676" s="104"/>
      <c r="E676" s="105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234</v>
      </c>
      <c r="B689" s="107"/>
      <c r="C689" s="107"/>
      <c r="D689" s="107"/>
      <c r="E689" s="108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236</v>
      </c>
      <c r="B702" s="107"/>
      <c r="C702" s="107"/>
      <c r="D702" s="107"/>
      <c r="E702" s="108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3" t="s">
        <v>237</v>
      </c>
      <c r="B703" s="104"/>
      <c r="C703" s="104"/>
      <c r="D703" s="104"/>
      <c r="E703" s="105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234</v>
      </c>
      <c r="B716" s="107"/>
      <c r="C716" s="107"/>
      <c r="D716" s="107"/>
      <c r="E716" s="108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236</v>
      </c>
      <c r="B729" s="107"/>
      <c r="C729" s="107"/>
      <c r="D729" s="107"/>
      <c r="E729" s="108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3" t="s">
        <v>237</v>
      </c>
      <c r="B730" s="104"/>
      <c r="C730" s="104"/>
      <c r="D730" s="104"/>
      <c r="E730" s="105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324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234</v>
      </c>
      <c r="B743" s="107"/>
      <c r="C743" s="107"/>
      <c r="D743" s="107"/>
      <c r="E743" s="108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236</v>
      </c>
      <c r="B756" s="107"/>
      <c r="C756" s="107"/>
      <c r="D756" s="107"/>
      <c r="E756" s="108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3" t="s">
        <v>237</v>
      </c>
      <c r="B757" s="104"/>
      <c r="C757" s="104"/>
      <c r="D757" s="104"/>
      <c r="E757" s="105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324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234</v>
      </c>
      <c r="B770" s="107"/>
      <c r="C770" s="107"/>
      <c r="D770" s="107"/>
      <c r="E770" s="108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235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4</v>
      </c>
      <c r="G775" s="34">
        <f t="shared" si="171"/>
        <v>16.8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2</v>
      </c>
      <c r="G776" s="28">
        <f t="shared" si="171"/>
        <v>8.4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236</v>
      </c>
      <c r="B783" s="107"/>
      <c r="C783" s="107"/>
      <c r="D783" s="107"/>
      <c r="E783" s="108">
        <f>SUM(E771:E782)</f>
        <v>0</v>
      </c>
      <c r="F783" s="36">
        <f>SUM(F771:F782)</f>
        <v>31</v>
      </c>
      <c r="G783" s="36">
        <f>SUM(G771:G782)</f>
        <v>134.19999999999999</v>
      </c>
      <c r="H783" s="37"/>
      <c r="I783" s="37"/>
      <c r="J783" s="37"/>
      <c r="K783" s="37"/>
      <c r="L783" s="37"/>
      <c r="M783" s="38">
        <f ca="1">IFERROR(SUM(M771:M782),"")</f>
        <v>5.9027777777777901E-2</v>
      </c>
      <c r="N783" s="36" t="s">
        <v>235</v>
      </c>
      <c r="O783" s="39"/>
    </row>
    <row r="784" spans="1:15" ht="18" customHeight="1">
      <c r="A784" s="103" t="s">
        <v>237</v>
      </c>
      <c r="B784" s="104"/>
      <c r="C784" s="104"/>
      <c r="D784" s="104"/>
      <c r="E784" s="105">
        <f>E770+E783</f>
        <v>0</v>
      </c>
      <c r="F784" s="40">
        <f>F770+F783</f>
        <v>72</v>
      </c>
      <c r="G784" s="40">
        <f>G770+G783</f>
        <v>310.39999999999998</v>
      </c>
      <c r="H784" s="41"/>
      <c r="I784" s="41"/>
      <c r="J784" s="41"/>
      <c r="K784" s="41"/>
      <c r="L784" s="41"/>
      <c r="M784" s="42">
        <f ca="1">IFERROR(M770+M783,"")</f>
        <v>0.17291666666666683</v>
      </c>
      <c r="N784" s="40" t="s">
        <v>238</v>
      </c>
      <c r="O784" s="48">
        <f>IFERROR(O770+O783,"")</f>
        <v>172140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234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236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3" t="s">
        <v>237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64" activePane="bottomLeft" state="frozen"/>
      <selection pane="bottomLeft" activeCell="G778" sqref="G77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234</v>
      </c>
      <c r="B14" s="107"/>
      <c r="C14" s="107"/>
      <c r="D14" s="107"/>
      <c r="E14" s="10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236</v>
      </c>
      <c r="B27" s="107"/>
      <c r="C27" s="107"/>
      <c r="D27" s="107"/>
      <c r="E27" s="10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3" t="s">
        <v>237</v>
      </c>
      <c r="B28" s="104"/>
      <c r="C28" s="104"/>
      <c r="D28" s="104"/>
      <c r="E28" s="10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234</v>
      </c>
      <c r="B41" s="107"/>
      <c r="C41" s="107"/>
      <c r="D41" s="107"/>
      <c r="E41" s="10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236</v>
      </c>
      <c r="B54" s="107"/>
      <c r="C54" s="107"/>
      <c r="D54" s="107"/>
      <c r="E54" s="10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3" t="s">
        <v>237</v>
      </c>
      <c r="B55" s="104"/>
      <c r="C55" s="104"/>
      <c r="D55" s="104"/>
      <c r="E55" s="10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377</v>
      </c>
      <c r="L58" s="29">
        <v>0.54097222222222219</v>
      </c>
      <c r="M58" s="30" t="str">
        <f t="shared" ca="1" si="13"/>
        <v/>
      </c>
      <c r="N58" s="27" t="s">
        <v>378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234</v>
      </c>
      <c r="B68" s="107"/>
      <c r="C68" s="107"/>
      <c r="D68" s="107"/>
      <c r="E68" s="10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236</v>
      </c>
      <c r="B81" s="107"/>
      <c r="C81" s="107"/>
      <c r="D81" s="107"/>
      <c r="E81" s="10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3" t="s">
        <v>237</v>
      </c>
      <c r="B82" s="104"/>
      <c r="C82" s="104"/>
      <c r="D82" s="104"/>
      <c r="E82" s="105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234</v>
      </c>
      <c r="B95" s="107"/>
      <c r="C95" s="107"/>
      <c r="D95" s="107"/>
      <c r="E95" s="10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236</v>
      </c>
      <c r="B108" s="107"/>
      <c r="C108" s="107"/>
      <c r="D108" s="107"/>
      <c r="E108" s="10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3" t="s">
        <v>237</v>
      </c>
      <c r="B109" s="104"/>
      <c r="C109" s="104"/>
      <c r="D109" s="104"/>
      <c r="E109" s="105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234</v>
      </c>
      <c r="B122" s="107"/>
      <c r="C122" s="107"/>
      <c r="D122" s="107"/>
      <c r="E122" s="10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0.83327800926053897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236</v>
      </c>
      <c r="B135" s="107"/>
      <c r="C135" s="107"/>
      <c r="D135" s="107"/>
      <c r="E135" s="10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1.0325835648160946</v>
      </c>
      <c r="N135" s="36" t="s">
        <v>235</v>
      </c>
      <c r="O135" s="39">
        <v>729290</v>
      </c>
    </row>
    <row r="136" spans="1:18" ht="18" customHeight="1">
      <c r="A136" s="103" t="s">
        <v>237</v>
      </c>
      <c r="B136" s="104"/>
      <c r="C136" s="104"/>
      <c r="D136" s="104"/>
      <c r="E136" s="105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1.3999446759272056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234</v>
      </c>
      <c r="B149" s="107"/>
      <c r="C149" s="107"/>
      <c r="D149" s="107"/>
      <c r="E149" s="108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236</v>
      </c>
      <c r="B162" s="107"/>
      <c r="C162" s="107"/>
      <c r="D162" s="107"/>
      <c r="E162" s="108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3" t="s">
        <v>237</v>
      </c>
      <c r="B163" s="104"/>
      <c r="C163" s="104"/>
      <c r="D163" s="104"/>
      <c r="E163" s="105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234</v>
      </c>
      <c r="B176" s="107"/>
      <c r="C176" s="107"/>
      <c r="D176" s="107"/>
      <c r="E176" s="108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236</v>
      </c>
      <c r="B189" s="107"/>
      <c r="C189" s="107"/>
      <c r="D189" s="107"/>
      <c r="E189" s="108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3" t="s">
        <v>237</v>
      </c>
      <c r="B190" s="104"/>
      <c r="C190" s="104"/>
      <c r="D190" s="104"/>
      <c r="E190" s="105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234</v>
      </c>
      <c r="B203" s="107"/>
      <c r="C203" s="107"/>
      <c r="D203" s="107"/>
      <c r="E203" s="108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236</v>
      </c>
      <c r="B216" s="107"/>
      <c r="C216" s="107"/>
      <c r="D216" s="107"/>
      <c r="E216" s="108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3" t="s">
        <v>237</v>
      </c>
      <c r="B217" s="104"/>
      <c r="C217" s="104"/>
      <c r="D217" s="104"/>
      <c r="E217" s="105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234</v>
      </c>
      <c r="B230" s="107"/>
      <c r="C230" s="107"/>
      <c r="D230" s="107"/>
      <c r="E230" s="108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236</v>
      </c>
      <c r="B243" s="107"/>
      <c r="C243" s="107"/>
      <c r="D243" s="107"/>
      <c r="E243" s="108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3" t="s">
        <v>237</v>
      </c>
      <c r="B244" s="104"/>
      <c r="C244" s="104"/>
      <c r="D244" s="104"/>
      <c r="E244" s="105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234</v>
      </c>
      <c r="B257" s="107"/>
      <c r="C257" s="107"/>
      <c r="D257" s="107"/>
      <c r="E257" s="108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236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3" t="s">
        <v>237</v>
      </c>
      <c r="B271" s="104"/>
      <c r="C271" s="104"/>
      <c r="D271" s="104"/>
      <c r="E271" s="105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234</v>
      </c>
      <c r="B284" s="107"/>
      <c r="C284" s="107"/>
      <c r="D284" s="107"/>
      <c r="E284" s="108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236</v>
      </c>
      <c r="B297" s="107"/>
      <c r="C297" s="107"/>
      <c r="D297" s="107"/>
      <c r="E297" s="108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3" t="s">
        <v>237</v>
      </c>
      <c r="B298" s="104"/>
      <c r="C298" s="104"/>
      <c r="D298" s="104"/>
      <c r="E298" s="105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234</v>
      </c>
      <c r="B311" s="107"/>
      <c r="C311" s="107"/>
      <c r="D311" s="107"/>
      <c r="E311" s="108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236</v>
      </c>
      <c r="B324" s="107"/>
      <c r="C324" s="107"/>
      <c r="D324" s="107"/>
      <c r="E324" s="108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3" t="s">
        <v>237</v>
      </c>
      <c r="B325" s="104"/>
      <c r="C325" s="104"/>
      <c r="D325" s="104"/>
      <c r="E325" s="105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234</v>
      </c>
      <c r="B338" s="107"/>
      <c r="C338" s="107"/>
      <c r="D338" s="107"/>
      <c r="E338" s="108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236</v>
      </c>
      <c r="B351" s="107"/>
      <c r="C351" s="107"/>
      <c r="D351" s="107"/>
      <c r="E351" s="108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3" t="s">
        <v>237</v>
      </c>
      <c r="B352" s="104"/>
      <c r="C352" s="104"/>
      <c r="D352" s="104"/>
      <c r="E352" s="105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6" t="s">
        <v>236</v>
      </c>
      <c r="B378" s="107"/>
      <c r="C378" s="107"/>
      <c r="D378" s="107"/>
      <c r="E378" s="108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3" t="s">
        <v>237</v>
      </c>
      <c r="B379" s="104"/>
      <c r="C379" s="104"/>
      <c r="D379" s="104"/>
      <c r="E379" s="105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234</v>
      </c>
      <c r="B392" s="107"/>
      <c r="C392" s="107"/>
      <c r="D392" s="107"/>
      <c r="E392" s="108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236</v>
      </c>
      <c r="B405" s="107"/>
      <c r="C405" s="107"/>
      <c r="D405" s="107"/>
      <c r="E405" s="108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3" t="s">
        <v>237</v>
      </c>
      <c r="B406" s="104"/>
      <c r="C406" s="104"/>
      <c r="D406" s="104"/>
      <c r="E406" s="105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234</v>
      </c>
      <c r="B419" s="107"/>
      <c r="C419" s="107"/>
      <c r="D419" s="107"/>
      <c r="E419" s="108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236</v>
      </c>
      <c r="B432" s="107"/>
      <c r="C432" s="107"/>
      <c r="D432" s="107"/>
      <c r="E432" s="108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3" t="s">
        <v>237</v>
      </c>
      <c r="B433" s="104"/>
      <c r="C433" s="104"/>
      <c r="D433" s="104"/>
      <c r="E433" s="105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234</v>
      </c>
      <c r="B446" s="107"/>
      <c r="C446" s="107"/>
      <c r="D446" s="107"/>
      <c r="E446" s="108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236</v>
      </c>
      <c r="B459" s="107"/>
      <c r="C459" s="107"/>
      <c r="D459" s="107"/>
      <c r="E459" s="108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3" t="s">
        <v>237</v>
      </c>
      <c r="B460" s="104"/>
      <c r="C460" s="104"/>
      <c r="D460" s="104"/>
      <c r="E460" s="105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234</v>
      </c>
      <c r="B473" s="107"/>
      <c r="C473" s="107"/>
      <c r="D473" s="107"/>
      <c r="E473" s="108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236</v>
      </c>
      <c r="B486" s="107"/>
      <c r="C486" s="107"/>
      <c r="D486" s="107"/>
      <c r="E486" s="108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3" t="s">
        <v>237</v>
      </c>
      <c r="B487" s="104"/>
      <c r="C487" s="104"/>
      <c r="D487" s="104"/>
      <c r="E487" s="105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234</v>
      </c>
      <c r="B500" s="107"/>
      <c r="C500" s="107"/>
      <c r="D500" s="107"/>
      <c r="E500" s="108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236</v>
      </c>
      <c r="B513" s="107"/>
      <c r="C513" s="107"/>
      <c r="D513" s="107"/>
      <c r="E513" s="108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3" t="s">
        <v>237</v>
      </c>
      <c r="B514" s="104"/>
      <c r="C514" s="104"/>
      <c r="D514" s="104"/>
      <c r="E514" s="105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234</v>
      </c>
      <c r="B527" s="107"/>
      <c r="C527" s="107"/>
      <c r="D527" s="107"/>
      <c r="E527" s="108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236</v>
      </c>
      <c r="B540" s="107"/>
      <c r="C540" s="107"/>
      <c r="D540" s="107"/>
      <c r="E540" s="108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3" t="s">
        <v>237</v>
      </c>
      <c r="B541" s="104"/>
      <c r="C541" s="104"/>
      <c r="D541" s="104"/>
      <c r="E541" s="105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234</v>
      </c>
      <c r="B554" s="107"/>
      <c r="C554" s="107"/>
      <c r="D554" s="107"/>
      <c r="E554" s="108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236</v>
      </c>
      <c r="B567" s="107"/>
      <c r="C567" s="107"/>
      <c r="D567" s="107"/>
      <c r="E567" s="108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3" t="s">
        <v>237</v>
      </c>
      <c r="B568" s="104"/>
      <c r="C568" s="104"/>
      <c r="D568" s="104"/>
      <c r="E568" s="105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234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6" t="s">
        <v>236</v>
      </c>
      <c r="B594" s="107"/>
      <c r="C594" s="107"/>
      <c r="D594" s="107"/>
      <c r="E594" s="108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3" t="s">
        <v>237</v>
      </c>
      <c r="B595" s="104"/>
      <c r="C595" s="104"/>
      <c r="D595" s="104"/>
      <c r="E595" s="105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234</v>
      </c>
      <c r="B608" s="107"/>
      <c r="C608" s="107"/>
      <c r="D608" s="107"/>
      <c r="E608" s="108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236</v>
      </c>
      <c r="B621" s="107"/>
      <c r="C621" s="107"/>
      <c r="D621" s="107"/>
      <c r="E621" s="108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3" t="s">
        <v>237</v>
      </c>
      <c r="B622" s="104"/>
      <c r="C622" s="104"/>
      <c r="D622" s="104"/>
      <c r="E622" s="105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234</v>
      </c>
      <c r="B635" s="107"/>
      <c r="C635" s="107"/>
      <c r="D635" s="107"/>
      <c r="E635" s="108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236</v>
      </c>
      <c r="B648" s="107"/>
      <c r="C648" s="107"/>
      <c r="D648" s="107"/>
      <c r="E648" s="108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3" t="s">
        <v>237</v>
      </c>
      <c r="B649" s="104"/>
      <c r="C649" s="104"/>
      <c r="D649" s="104"/>
      <c r="E649" s="105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234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420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236</v>
      </c>
      <c r="B675" s="107"/>
      <c r="C675" s="107"/>
      <c r="D675" s="107"/>
      <c r="E675" s="108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3" t="s">
        <v>237</v>
      </c>
      <c r="B676" s="104"/>
      <c r="C676" s="104"/>
      <c r="D676" s="104"/>
      <c r="E676" s="105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234</v>
      </c>
      <c r="B689" s="107"/>
      <c r="C689" s="107"/>
      <c r="D689" s="107"/>
      <c r="E689" s="108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421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422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236</v>
      </c>
      <c r="B702" s="107"/>
      <c r="C702" s="107"/>
      <c r="D702" s="107"/>
      <c r="E702" s="108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3" t="s">
        <v>237</v>
      </c>
      <c r="B703" s="104"/>
      <c r="C703" s="104"/>
      <c r="D703" s="104"/>
      <c r="E703" s="105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282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324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234</v>
      </c>
      <c r="B716" s="107"/>
      <c r="C716" s="107"/>
      <c r="D716" s="107"/>
      <c r="E716" s="108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423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236</v>
      </c>
      <c r="B729" s="107"/>
      <c r="C729" s="107"/>
      <c r="D729" s="107"/>
      <c r="E729" s="108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3" t="s">
        <v>237</v>
      </c>
      <c r="B730" s="104"/>
      <c r="C730" s="104"/>
      <c r="D730" s="104"/>
      <c r="E730" s="105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424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425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234</v>
      </c>
      <c r="B743" s="107"/>
      <c r="C743" s="107"/>
      <c r="D743" s="107"/>
      <c r="E743" s="108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236</v>
      </c>
      <c r="B756" s="107"/>
      <c r="C756" s="107"/>
      <c r="D756" s="107"/>
      <c r="E756" s="108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3" t="s">
        <v>237</v>
      </c>
      <c r="B757" s="104"/>
      <c r="C757" s="104"/>
      <c r="D757" s="104"/>
      <c r="E757" s="105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339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234</v>
      </c>
      <c r="B770" s="107"/>
      <c r="C770" s="107"/>
      <c r="D770" s="107"/>
      <c r="E770" s="108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235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422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25</v>
      </c>
      <c r="G773" s="34">
        <f t="shared" si="171"/>
        <v>105</v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24</v>
      </c>
      <c r="G774" s="28">
        <f t="shared" si="171"/>
        <v>100.80000000000001</v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236</v>
      </c>
      <c r="B783" s="107"/>
      <c r="C783" s="107"/>
      <c r="D783" s="107"/>
      <c r="E783" s="108">
        <f>SUM(E771:E782)</f>
        <v>0</v>
      </c>
      <c r="F783" s="36">
        <f>SUM(F771:F782)</f>
        <v>112</v>
      </c>
      <c r="G783" s="36">
        <f>SUM(G771:G782)</f>
        <v>480</v>
      </c>
      <c r="H783" s="37"/>
      <c r="I783" s="37"/>
      <c r="J783" s="37"/>
      <c r="K783" s="61"/>
      <c r="L783" s="61"/>
      <c r="M783" s="38">
        <f ca="1">IFERROR(SUM(M771:M782),"")</f>
        <v>3.6111111111111219E-2</v>
      </c>
      <c r="N783" s="36" t="s">
        <v>235</v>
      </c>
      <c r="O783" s="39"/>
    </row>
    <row r="784" spans="1:15" ht="18" customHeight="1">
      <c r="A784" s="103" t="s">
        <v>237</v>
      </c>
      <c r="B784" s="104"/>
      <c r="C784" s="104"/>
      <c r="D784" s="104"/>
      <c r="E784" s="105">
        <f>E770+E783</f>
        <v>0</v>
      </c>
      <c r="F784" s="40">
        <f>F770+F783</f>
        <v>120</v>
      </c>
      <c r="G784" s="40">
        <f>G770+G783</f>
        <v>513.6</v>
      </c>
      <c r="H784" s="41"/>
      <c r="I784" s="41"/>
      <c r="J784" s="41"/>
      <c r="K784" s="63"/>
      <c r="L784" s="63"/>
      <c r="M784" s="42">
        <f ca="1">IFERROR(M770+M783,"")</f>
        <v>0.50000000000000011</v>
      </c>
      <c r="N784" s="40" t="s">
        <v>238</v>
      </c>
      <c r="O784" s="48">
        <f>IFERROR(O770+O783,"")</f>
        <v>39360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234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236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3" t="s">
        <v>237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2026-07-30T05:59:25Z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