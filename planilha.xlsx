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281" documentId="8_{AF585B22-221D-4780-BB9C-493D365A6A02}" xr6:coauthVersionLast="47" xr6:coauthVersionMax="47" xr10:uidLastSave="{441B6968-31A0-44FD-B4E7-192D068BCB74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<sst xmlns="http://schemas.openxmlformats.org/spreadsheetml/2006/main" count="2490" uniqueCount="233">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</sst>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9" activePane="bottomLeft" state="frozen"/>
      <selection pane="bottomLeft" activeCell="H110" sqref="H1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>
        <v>1700000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19</v>
      </c>
      <c r="I110" s="26" t="s">
        <v>23</v>
      </c>
      <c r="J110" s="26"/>
      <c r="K110" s="29">
        <v>0.46875</v>
      </c>
      <c r="L110" s="29"/>
      <c r="M110" s="30">
        <f t="shared" ref="M110:M121" ca="1" si="25">IFERROR(IF(K110="","",IF(L110="",MOD(NOW()-K110,1),IF(L110&gt;=K110,L110-K110,L110+1-K110))),"")</f>
        <v>1.7691319444566034E-2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130</v>
      </c>
      <c r="G122" s="36">
        <f>SUM(G110:G121)</f>
        <v>546</v>
      </c>
      <c r="H122" s="37"/>
      <c r="I122" s="37"/>
      <c r="J122" s="37"/>
      <c r="K122" s="37"/>
      <c r="L122" s="37"/>
      <c r="M122" s="38">
        <f ca="1">IFERROR(SUM(M110:M121),"")</f>
        <v>1.7691319444566034E-2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130</v>
      </c>
      <c r="G136" s="40">
        <f>G122+G135</f>
        <v>546</v>
      </c>
      <c r="H136" s="41"/>
      <c r="I136" s="41"/>
      <c r="J136" s="41"/>
      <c r="K136" s="41"/>
      <c r="L136" s="41"/>
      <c r="M136" s="42">
        <f ca="1">IFERROR(M122+M135,"")</f>
        <v>1.7691319444566034E-2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89" activePane="bottomLeft" state="frozen"/>
      <selection pane="bottomLeft" activeCell="F114" sqref="F1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>
        <v>1087080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20</v>
      </c>
      <c r="G111" s="34">
        <f t="shared" si="24"/>
        <v>84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42</v>
      </c>
      <c r="G122" s="36">
        <f>SUM(G110:G121)</f>
        <v>176.4</v>
      </c>
      <c r="H122" s="37"/>
      <c r="I122" s="37"/>
      <c r="J122" s="37"/>
      <c r="K122" s="37"/>
      <c r="L122" s="37"/>
      <c r="M122" s="38">
        <f ca="1">IFERROR(SUM(M110:M121),"")</f>
        <v>7.7777777777777779E-2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42</v>
      </c>
      <c r="G136" s="40">
        <f>G122+G135</f>
        <v>176.4</v>
      </c>
      <c r="H136" s="41"/>
      <c r="I136" s="41"/>
      <c r="J136" s="41"/>
      <c r="K136" s="41"/>
      <c r="L136" s="41"/>
      <c r="M136" s="42">
        <f ca="1">IFERROR(M122+M135,"")</f>
        <v>7.7777777777777779E-2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199</v>
      </c>
      <c r="O108" s="39">
        <v>41230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0.19477465278032469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0.19477465278032469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0.19477465278032469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H117" sqref="H117:H1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199</v>
      </c>
      <c r="O108" s="39">
        <v>558590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0.19477465278032469</v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0.19477465278032469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0.19477465278032469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2026-07-05T15:40:49Z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