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10" documentId="8_{C51EB6CB-002B-4D6B-B68F-DDEBDB4460C0}" xr6:coauthVersionLast="47" xr6:coauthVersionMax="47" xr10:uidLastSave="{7C25B6AD-B7B5-4CD5-9FA3-A7C3C04C3D8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<sst xmlns="http://schemas.openxmlformats.org/spreadsheetml/2006/main" count="5080" uniqueCount="325">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</sst>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1" activePane="bottomLeft" state="frozen"/>
      <selection pane="bottomLeft" activeCell="F258" sqref="F2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/>
      <c r="G258" s="34" t="str">
        <f t="shared" ref="G258:G269" si="57">IF(F258="","",IF(E258="PC 17",F258*4.2,IF(E258="PC 19",F258*5,IF(E258="CB",F258*35,""))))</f>
        <v/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/>
      <c r="M258" s="30">
        <f t="shared" ref="M258:M269" ca="1" si="58">IFERROR(IF(K258="","",IF(L258="",MOD(NOW()-K258,1),IF(L258&gt;=K258,L258-K258,L258+1-K258))),"")</f>
        <v>3.1861226852925029E-2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3.1861226852925029E-2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8.7416782408480609E-2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58" sqref="F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0.70686122684855945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0.84575011573744829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0.93047233795967066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4.1666666666666519E-3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825.4</v>
      </c>
      <c r="H271" s="41"/>
      <c r="I271" s="41"/>
      <c r="J271" s="41"/>
      <c r="K271" s="41"/>
      <c r="L271" s="41"/>
      <c r="M271" s="42">
        <f ca="1">IFERROR(M257+M270,"")</f>
        <v>3.1250000000000056E-2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58" sqref="F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N259" sqref="N2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/>
      <c r="M258" s="35">
        <f t="shared" ref="M258:M269" ca="1" si="58">IFERROR(IF(K258="","",IF(L258="",MOD(NOW()-K258,1),IF(L258&gt;=K258,L258-K258,L258+1-K258))),"")</f>
        <v>3.1166782406216953E-2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3.1166782406216953E-2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182</v>
      </c>
      <c r="G271" s="40">
        <f>G257+G270</f>
        <v>822.80000000000007</v>
      </c>
      <c r="H271" s="41"/>
      <c r="I271" s="41"/>
      <c r="J271" s="41"/>
      <c r="K271" s="63"/>
      <c r="L271" s="63"/>
      <c r="M271" s="42">
        <f ca="1">IFERROR(M257+M270,"")</f>
        <v>0.12283344907288368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2026-08-10T23:53:25Z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