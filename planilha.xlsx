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52" documentId="13_ncr:1_{0A10D8D4-8450-4366-8075-B53B08E6B7EA}" xr6:coauthVersionLast="47" xr6:coauthVersionMax="47" xr10:uidLastSave="{C4154FC3-92D7-46FB-9C64-A3E5D95DA78E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5" i="6"/>
  <c r="J475" i="6" s="1"/>
  <c r="H476" i="6"/>
  <c r="J476" i="6" s="1"/>
  <c r="H477" i="6"/>
  <c r="J477" i="6" s="1"/>
  <c r="H478" i="6"/>
  <c r="J478" i="6" s="1"/>
  <c r="H479" i="6"/>
  <c r="J479" i="6" s="1"/>
  <c r="H480" i="6"/>
  <c r="J480" i="6" s="1"/>
  <c r="H481" i="6"/>
  <c r="J481" i="6" s="1"/>
  <c r="H482" i="6"/>
  <c r="J482" i="6" s="1"/>
  <c r="H483" i="6"/>
  <c r="J483" i="6" s="1"/>
  <c r="H484" i="6"/>
  <c r="J484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H474" i="6" s="1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H474" i="4" s="1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474" i="6" l="1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<sst xmlns="http://schemas.openxmlformats.org/spreadsheetml/2006/main" count="8058" uniqueCount="376">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</sst>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9" fontId="6" fillId="8" borderId="10" xfId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79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58" activePane="bottomLeft" state="frozen"/>
      <selection pane="bottomLeft" activeCell="F475" sqref="F475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278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247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245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40</v>
      </c>
      <c r="G486" s="36">
        <f>SUM(G474:G485)</f>
        <v>200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387</v>
      </c>
      <c r="G487" s="40">
        <f>G473+G486</f>
        <v>1935</v>
      </c>
      <c r="H487" s="41"/>
      <c r="I487" s="41"/>
      <c r="J487" s="41"/>
      <c r="K487" s="41"/>
      <c r="L487" s="41"/>
      <c r="M487" s="42">
        <f ca="1">IFERROR(M473+M486,"")</f>
        <v>3.1944444444444442E-2</v>
      </c>
      <c r="N487" s="40" t="s">
        <v>251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53" activePane="bottomLeft" state="frozen"/>
      <selection pane="bottomLeft" activeCell="E474" sqref="E474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0.71351724536361871</v>
      </c>
      <c r="R53" s="46" t="s">
        <v>289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0.85240613425250755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0.93712835647472992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291</v>
      </c>
      <c r="Q96" s="30" t="str">
        <f t="shared" ref="Q96:Q107" ca="1" si="22">IFERROR(IF(O96="","",IF(P96="",MOD(NOW()-O96,1),IF(P96&gt;=O96,P96-O96,P96+1-O96))),"")</f>
        <v/>
      </c>
      <c r="R96" s="46" t="s">
        <v>292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314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315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316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317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319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247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/>
      <c r="F475" s="134">
        <f>IFERROR(IF($D475="","",VLOOKUP($D475,Cadastro!$C$4:$E$7,3,FALSE)),"")</f>
        <v>0.35</v>
      </c>
      <c r="G475" s="105"/>
      <c r="H475" s="134" t="str">
        <f>IFERROR(IF($G475="","",$G475*$S$486/$G$486/Cadastro!$E$33),"")</f>
        <v/>
      </c>
      <c r="I475" s="135">
        <f>IFERROR(IF($D475="","",VLOOKUP($D475,Cadastro!$C$4:$G$7,5,FALSE)),"")</f>
        <v>0.6</v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/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/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/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/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/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17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71.400000000000006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210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881.99999999999989</v>
      </c>
      <c r="L487" s="41"/>
      <c r="M487" s="41"/>
      <c r="N487" s="41"/>
      <c r="O487" s="41"/>
      <c r="P487" s="41"/>
      <c r="Q487" s="42">
        <f ca="1">IFERROR(Q473+Q486,"")</f>
        <v>0.11944444444444435</v>
      </c>
      <c r="R487" s="40" t="s">
        <v>251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46" activePane="bottomLeft" state="frozen"/>
      <selection pane="bottomLeft" activeCell="E481" sqref="E48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320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321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320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320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322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323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324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325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327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328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329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330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331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333</v>
      </c>
      <c r="Q222" s="30" t="str">
        <f t="shared" ca="1" si="49"/>
        <v/>
      </c>
      <c r="R222" s="27" t="s">
        <v>334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335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336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337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338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339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340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340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341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247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/>
      <c r="H474" s="140" t="str">
        <f>IFERROR(IF($G474="","",$G474*$S$486/$G$486/Cadastro!$E$33),"")</f>
        <v/>
      </c>
      <c r="I474" s="141">
        <f>IFERROR(IF($D474="","",VLOOKUP($D474,Cadastro!$C$4:$G$7,5,FALSE)),"")</f>
        <v>0.6</v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>
        <v>0.79166666666666663</v>
      </c>
      <c r="P474" s="29"/>
      <c r="Q474" s="30">
        <f t="shared" ref="Q474:Q485" ca="1" si="118">IFERROR(IF(O474="","",IF(P474="",MOD(NOW()-O474,1),IF(P474&gt;=O474,P474-O474,P474+1-O474))),"")</f>
        <v>4.3378356480388902E-2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/>
      <c r="H475" s="134" t="str">
        <f>IFERROR(IF($G475="","",$G475*$S$486/$G$486/Cadastro!$E$33),"")</f>
        <v/>
      </c>
      <c r="I475" s="135">
        <f>IFERROR(IF($D475="","",VLOOKUP($D475,Cadastro!$C$4:$G$7,5,FALSE)),"")</f>
        <v>0.6</v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261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261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4.3378356480388902E-2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66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277.2</v>
      </c>
      <c r="L487" s="41"/>
      <c r="M487" s="41"/>
      <c r="N487" s="41"/>
      <c r="O487" s="41"/>
      <c r="P487" s="41"/>
      <c r="Q487" s="42">
        <f ca="1">IFERROR(Q473+Q486,"")</f>
        <v>0.33504502314705553</v>
      </c>
      <c r="R487" s="40" t="s">
        <v>251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59" activePane="bottomLeft" state="frozen"/>
      <selection pane="bottomLeft" activeCell="G475" sqref="G475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320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320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320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320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373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374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375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369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247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/>
      <c r="H475" s="134" t="str">
        <f>IFERROR(IF($G475="","",$G475*$S$486/$G$486/Cadastro!$E$33),"")</f>
        <v/>
      </c>
      <c r="I475" s="135">
        <f>IFERROR(IF($D475="","",VLOOKUP($D475,Cadastro!$C$4:$G$7,5,FALSE)),"")</f>
        <v>0.6</v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261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14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58.800000000000004</v>
      </c>
      <c r="L486" s="37"/>
      <c r="M486" s="37"/>
      <c r="N486" s="37"/>
      <c r="O486" s="61"/>
      <c r="P486" s="61"/>
      <c r="Q486" s="38">
        <f ca="1">IFERROR(SUM(Q474:Q485),"")</f>
        <v>1.3194444444444398E-2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168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705.6</v>
      </c>
      <c r="L487" s="41"/>
      <c r="M487" s="41"/>
      <c r="N487" s="41"/>
      <c r="O487" s="63"/>
      <c r="P487" s="63"/>
      <c r="Q487" s="42">
        <f ca="1">IFERROR(Q473+Q486,"")</f>
        <v>0.30624999999999974</v>
      </c>
      <c r="R487" s="40" t="s">
        <v>251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2026-08-19T00:02:40Z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