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301" documentId="8_{AF585B22-221D-4780-BB9C-493D365A6A02}" xr6:coauthVersionLast="47" xr6:coauthVersionMax="47" xr10:uidLastSave="{8BE89E54-6CC9-45D8-B5B8-F4F928765CB8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86" i="6" l="1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96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<sst xmlns="http://schemas.openxmlformats.org/spreadsheetml/2006/main" count="11994" uniqueCount="434">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</sst>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90030618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78" activePane="bottomLeft" state="frozen"/>
      <selection pane="bottomLeft" activeCell="N791" sqref="N79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/>
      <c r="M787" s="35">
        <f t="shared" ca="1" si="174"/>
        <v>1.851840277959127E-2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291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6.1573958335146783E-2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291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6.1573958335146783E-2</v>
      </c>
      <c r="N811" s="40" t="s">
        <v>239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78" activePane="bottomLeft" state="frozen"/>
      <selection pane="bottomLeft" activeCell="F796" sqref="F7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0.53240729166282108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0.69004618055170996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0.79976840277393213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0.51087951388763031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0.6817128472209637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0.82685173610985263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796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149</v>
      </c>
      <c r="G797" s="36">
        <f>SUM(G785:G796)</f>
        <v>631.4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149</v>
      </c>
      <c r="G811" s="40">
        <f>G797+G810</f>
        <v>631.4</v>
      </c>
      <c r="H811" s="41"/>
      <c r="I811" s="41"/>
      <c r="J811" s="41"/>
      <c r="K811" s="41"/>
      <c r="L811" s="41"/>
      <c r="M811" s="42">
        <f ca="1">IFERROR(M797+M810,"")</f>
        <v>0.12083333333333324</v>
      </c>
      <c r="N811" s="40" t="s">
        <v>239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78" zoomScale="50" zoomScaleNormal="50" workbookViewId="0">
      <selection activeCell="F796" sqref="F7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796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/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89</v>
      </c>
      <c r="G797" s="36">
        <f>SUM(G785:G796)</f>
        <v>379.4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89</v>
      </c>
      <c r="G811" s="40">
        <f>G797+G810</f>
        <v>379.4</v>
      </c>
      <c r="H811" s="41"/>
      <c r="I811" s="41"/>
      <c r="J811" s="41"/>
      <c r="K811" s="41"/>
      <c r="L811" s="41"/>
      <c r="M811" s="42">
        <f ca="1">IFERROR(M797+M810,"")</f>
        <v>0.10277777777777769</v>
      </c>
      <c r="N811" s="40" t="s">
        <v>239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70" activePane="bottomLeft" state="frozen"/>
      <selection pane="bottomLeft" activeCell="J788" sqref="J78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0.52268506944528781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0.72199062500084343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1.0893517361119545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796" si="176">IF(F786="","",IF(E786="PC 17",F786*4.2,IF(E786="PC 19",F786*5,"")))</f>
        <v/>
      </c>
      <c r="H786" s="26" t="s">
        <v>19</v>
      </c>
      <c r="I786" s="26" t="s">
        <v>57</v>
      </c>
      <c r="J786" s="26" t="s">
        <v>27</v>
      </c>
      <c r="K786" s="29">
        <v>0.4548611111111111</v>
      </c>
      <c r="L786" s="29">
        <v>0.46458333333333335</v>
      </c>
      <c r="M786" s="30">
        <f t="shared" ca="1" si="174"/>
        <v>9.7222222222222432E-3</v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0.63888888888888884</v>
      </c>
      <c r="M787" s="35">
        <f t="shared" ca="1" si="174"/>
        <v>2.7777777777777679E-2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106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0.42083333333333317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22</v>
      </c>
      <c r="G811" s="40">
        <f>G797+G810</f>
        <v>92.4</v>
      </c>
      <c r="H811" s="41"/>
      <c r="I811" s="41"/>
      <c r="J811" s="41"/>
      <c r="K811" s="63"/>
      <c r="L811" s="63"/>
      <c r="M811" s="42">
        <f ca="1">IFERROR(M797+M810,"")</f>
        <v>0.42083333333333317</v>
      </c>
      <c r="N811" s="40" t="s">
        <v>239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2026-07-30T22:31:40Z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