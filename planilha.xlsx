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4" documentId="8_{C51EB6CB-002B-4D6B-B68F-DDEBDB4460C0}" xr6:coauthVersionLast="47" xr6:coauthVersionMax="47" xr10:uidLastSave="{2C609358-E0FC-462C-8C80-4D05E5F1BC01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<sst xmlns="http://schemas.openxmlformats.org/spreadsheetml/2006/main" count="1418" uniqueCount="242">
  <si>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</si>
  <si>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</si>
  <si>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</si>
  <si>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</si>
  <si>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</si>
  <si>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</si>
  <si>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</si>
  <si>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</si>
  <si>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</si>
  <si>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</si>
  <si>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</si>
  <si>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</si>
  <si>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</si>
  <si>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</si>
  <si>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</si>
  <si>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</si>
  <si>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</si>
  <si>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</si>
  <si>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</si>
  <si>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</si>
  <si>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</si>
  <si>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</si>
  <si>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</si>
  <si>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</si>
  <si>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</si>
  <si>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</si>
  <si>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</si>
  <si>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</si>
  <si>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</si>
  <si>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</si>
  <si>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</si>
  <si>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</si>
  <si>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</si>
  <si>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</si>
  <si>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</si>
  <si>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</si>
  <si>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</si>
  <si>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</si>
  <si>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</si>
  <si>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</si>
  <si>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</si>
  <si>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</si>
  <si>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</si>
  <si>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</si>
  <si>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</si>
  <si>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</si>
  <si>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</si>
  <si>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</si>
  <si>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</si>
  <si>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</si>
  <si>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</si>
  <si>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</si>
  <si>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</si>
  <si>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</si>
  <si>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</si>
  <si>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</si>
  <si>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</si>
  <si>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</si>
  <si>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</si>
  <si>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</si>
  <si>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</si>
  <si>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</si>
  <si>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</si>
  <si>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</si>
  <si>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</si>
  <si>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</si>
  <si>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</si>
  <si>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</si>
  <si>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</si>
  <si>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</si>
  <si>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</si>
  <si>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</si>
  <si>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</si>
  <si>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</si>
  <si>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</si>
  <si>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</si>
  <si>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</si>
  <si>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</si>
  <si>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</si>
  <si>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</si>
  <si>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</si>
  <si>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</si>
  <si>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</si>
  <si>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</si>
  <si>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</si>
  <si>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</si>
  <si>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</si>
  <si>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</si>
  <si>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</si>
  <si>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</si>
  <si>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</si>
  <si>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</si>
  <si>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</si>
  <si>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</si>
  <si>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</si>
  <si>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</si>
  <si>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</si>
  <si>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</si>
  <si>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</si>
  <si>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</si>
  <si>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</si>
  <si>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</si>
  <si>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</si>
  <si>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</si>
  <si>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</si>
  <si>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</si>
  <si>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</si>
  <si>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</si>
  <si>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</si>
  <si>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</si>
  <si>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</si>
  <si>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</si>
  <si>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</si>
  <si>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</si>
  <si>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</si>
  <si>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</si>
  <si>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</si>
  <si>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</si>
  <si>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</si>
  <si>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</si>
  <si>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</si>
  <si>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</si>
  <si>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</si>
  <si>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</si>
  <si>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</si>
  <si>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</si>
  <si>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</si>
  <si>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</si>
  <si>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</si>
  <si>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</si>
  <si>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</si>
  <si>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</si>
  <si>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</si>
  <si>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</si>
  <si>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</si>
  <si>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</si>
  <si>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</si>
  <si>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</si>
  <si>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</si>
  <si>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</si>
  <si>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</si>
  <si>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</si>
  <si>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</si>
  <si>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</si>
  <si>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</si>
  <si>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</si>
  <si>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</si>
  <si>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</si>
  <si>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</si>
  <si>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</si>
  <si>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</si>
  <si>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</si>
  <si>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</si>
  <si>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</si>
  <si>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</si>
  <si>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</si>
  <si>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</si>
  <si>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</si>
  <si>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</si>
  <si>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</si>
  <si>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</si>
  <si>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</si>
  <si>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</si>
  <si>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</si>
  <si>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</si>
  <si>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</si>
  <si>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</si>
  <si>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</si>
  <si>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</si>
  <si>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</si>
  <si>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</si>
  <si>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</si>
  <si>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</si>
  <si>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</si>
  <si>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</si>
  <si>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</si>
  <si>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</si>
  <si>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</si>
  <si>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</si>
  <si>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</si>
  <si>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</si>
  <si>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</si>
  <si>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</si>
  <si>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</si>
  <si>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</si>
  <si>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</si>
  <si>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</si>
  <si>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</si>
  <si>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</si>
  <si>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</si>
  <si>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</si>
  <si>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</si>
  <si>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</si>
  <si>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</si>
  <si>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</si>
  <si>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</si>
  <si>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</si>
  <si>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</si>
  <si>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</si>
  <si>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</si>
  <si>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</si>
  <si>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</si>
  <si>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</si>
  <si>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</si>
  <si>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</si>
  <si>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</si>
  <si>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</si>
  <si>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</si>
  <si>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</si>
  <si>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</si>
  <si>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</si>
  <si>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</si>
  <si>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</si>
  <si>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</si>
  <si>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</si>
  <si>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</si>
  <si>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</si>
  <si>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</si>
  <si>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</si>
  <si>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</si>
  <si>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</si>
  <si>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</si>
  <si>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</si>
  <si>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</si>
  <si>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</si>
  <si>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</si>
  <si>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</si>
  <si>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</si>
  <si>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</si>
  <si>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</si>
  <si>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</si>
  <si>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</si>
  <si>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</si>
  <si>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</si>
  <si>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</si>
  <si>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</si>
  <si>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</si>
  <si>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</si>
  <si>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solda no queixo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</si>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</sst>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L15" sqref="L1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/>
      <c r="M15" s="35">
        <f t="shared" ref="M15:M26" ca="1" si="4">IFERROR(IF(K15="","",IF(L15="",MOD(NOW()-K15,1),IF(L15&gt;=K15,L15-K15,L15+1-K15))),"")</f>
        <v>8.5844907443970442E-3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134</v>
      </c>
      <c r="G27" s="36">
        <f>SUM(G15:G26)</f>
        <v>670</v>
      </c>
      <c r="H27" s="37"/>
      <c r="I27" s="37"/>
      <c r="J27" s="37"/>
      <c r="K27" s="37"/>
      <c r="L27" s="37"/>
      <c r="M27" s="38">
        <f ca="1">IFERROR(SUM(M15:M26),"")</f>
        <v>8.5844907443970442E-3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330</v>
      </c>
      <c r="G28" s="40">
        <f>G14+G27</f>
        <v>1650</v>
      </c>
      <c r="H28" s="41"/>
      <c r="I28" s="41"/>
      <c r="J28" s="41"/>
      <c r="K28" s="41"/>
      <c r="L28" s="41"/>
      <c r="M28" s="42">
        <f ca="1">IFERROR(M14+M27,"")</f>
        <v>7.4556712966619254E-2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" activePane="bottomLeft" state="frozen"/>
      <selection pane="bottomLeft" activeCell="N20" sqref="N2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14</v>
      </c>
      <c r="G20" s="34">
        <f t="shared" si="3"/>
        <v>58.800000000000004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76</v>
      </c>
      <c r="G27" s="36">
        <f>SUM(G15:G26)</f>
        <v>319.2</v>
      </c>
      <c r="H27" s="37"/>
      <c r="I27" s="37"/>
      <c r="J27" s="37"/>
      <c r="K27" s="37"/>
      <c r="L27" s="37"/>
      <c r="M27" s="38">
        <f ca="1">IFERROR(SUM(M15:M26),"")</f>
        <v>2.1527777777777729E-2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188</v>
      </c>
      <c r="G28" s="40">
        <f>G14+G27</f>
        <v>789.6</v>
      </c>
      <c r="H28" s="41"/>
      <c r="I28" s="41"/>
      <c r="J28" s="41"/>
      <c r="K28" s="41"/>
      <c r="L28" s="41"/>
      <c r="M28" s="42">
        <f ca="1">IFERROR(M14+M27,"")</f>
        <v>0.22222222222222207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21" sqref="F2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51</v>
      </c>
      <c r="G27" s="36">
        <f>SUM(G15:G26)</f>
        <v>214.2</v>
      </c>
      <c r="H27" s="37"/>
      <c r="I27" s="37"/>
      <c r="J27" s="37"/>
      <c r="K27" s="37"/>
      <c r="L27" s="37"/>
      <c r="M27" s="38">
        <f ca="1">IFERROR(SUM(M15:M26),"")</f>
        <v>4.0277777777777773E-2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132</v>
      </c>
      <c r="G28" s="40">
        <f>G14+G27</f>
        <v>554.40000000000009</v>
      </c>
      <c r="H28" s="41"/>
      <c r="I28" s="41"/>
      <c r="J28" s="41"/>
      <c r="K28" s="41"/>
      <c r="L28" s="41"/>
      <c r="M28" s="42">
        <f ca="1">IFERROR(M14+M27,"")</f>
        <v>5.3472222222222282E-2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F22" sqref="F2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>
        <v>17</v>
      </c>
      <c r="G21" s="34">
        <f t="shared" si="3"/>
        <v>71.400000000000006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93</v>
      </c>
      <c r="G27" s="36">
        <f>SUM(G15:G26)</f>
        <v>390.6</v>
      </c>
      <c r="H27" s="37"/>
      <c r="I27" s="37"/>
      <c r="J27" s="37"/>
      <c r="K27" s="61"/>
      <c r="L27" s="61"/>
      <c r="M27" s="38">
        <f ca="1">IFERROR(SUM(M15:M26),"")</f>
        <v>7.2916666666666741E-2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223</v>
      </c>
      <c r="G28" s="40">
        <f>G14+G27</f>
        <v>936.60000000000014</v>
      </c>
      <c r="H28" s="41"/>
      <c r="I28" s="41"/>
      <c r="J28" s="41"/>
      <c r="K28" s="63"/>
      <c r="L28" s="63"/>
      <c r="M28" s="42">
        <f ca="1">IFERROR(M14+M27,"")</f>
        <v>0.11180555555555566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2026-08-02T05:54:55Z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