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05" documentId="8_{C51EB6CB-002B-4D6B-B68F-DDEBDB4460C0}" xr6:coauthVersionLast="47" xr6:coauthVersionMax="47" xr10:uidLastSave="{C8D5972E-CC93-4A5B-85A5-1D9D06E28662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<sst xmlns="http://schemas.openxmlformats.org/spreadsheetml/2006/main" count="4890" uniqueCount="321">
  <si>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</si>
  <si>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</si>
  <si>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</si>
  <si>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</si>
  <si>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</si>
  <si>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</si>
  <si>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</si>
  <si>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</si>
  <si>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</si>
  <si>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</si>
  <si>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</si>
  <si>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</si>
  <si>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</si>
  <si>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</si>
  <si>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</si>
  <si>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</si>
  <si>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</si>
  <si>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</si>
  <si>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</si>
  <si>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</si>
  <si>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</si>
  <si>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</si>
  <si>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</si>
  <si>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</si>
  <si>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</si>
  <si>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</si>
  <si>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</si>
  <si>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</si>
  <si>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</si>
  <si>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</si>
  <si>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</si>
  <si>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</si>
  <si>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</si>
  <si>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</si>
  <si>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</si>
  <si>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</si>
  <si>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</si>
  <si>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</si>
  <si>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</si>
  <si>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</si>
  <si>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</si>
  <si>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</si>
  <si>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</si>
  <si>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</si>
  <si>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</si>
  <si>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</si>
  <si>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</si>
  <si>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</si>
  <si>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</si>
  <si>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</si>
  <si>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</si>
  <si>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</si>
  <si>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</si>
  <si>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</si>
  <si>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</si>
  <si>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</si>
  <si>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</si>
  <si>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</si>
  <si>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</si>
  <si>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</si>
  <si>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</si>
  <si>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</si>
  <si>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</si>
  <si>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</si>
  <si>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</si>
  <si>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</si>
  <si>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</si>
  <si>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</si>
  <si>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</si>
  <si>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</si>
  <si>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</si>
  <si>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</si>
  <si>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</si>
  <si>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</si>
  <si>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</si>
  <si>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</si>
  <si>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</si>
  <si>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</si>
  <si>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</si>
  <si>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</si>
  <si>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</si>
  <si>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</si>
  <si>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</si>
  <si>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</si>
  <si>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</si>
  <si>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</si>
  <si>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</si>
  <si>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</si>
  <si>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</si>
  <si>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</si>
  <si>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</si>
  <si>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</si>
  <si>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</si>
  <si>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</si>
  <si>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</si>
  <si>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</si>
  <si>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</si>
  <si>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</si>
  <si>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</si>
  <si>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</si>
  <si>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</si>
  <si>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</si>
  <si>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</si>
  <si>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</si>
  <si>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</si>
  <si>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</si>
  <si>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</si>
  <si>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</si>
  <si>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</si>
  <si>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</si>
  <si>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</si>
  <si>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</si>
  <si>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</si>
  <si>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</si>
  <si>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</si>
  <si>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</si>
  <si>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</si>
  <si>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</si>
  <si>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</si>
  <si>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</si>
  <si>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</si>
  <si>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</si>
  <si>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</si>
  <si>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</si>
  <si>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</si>
  <si>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</si>
  <si>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</si>
  <si>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</si>
  <si>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</si>
  <si>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</si>
  <si>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</si>
  <si>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</si>
  <si>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</si>
  <si>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</si>
  <si>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</si>
  <si>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</si>
  <si>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</si>
  <si>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</si>
  <si>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</si>
  <si>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</si>
  <si>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</si>
  <si>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</si>
  <si>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</si>
  <si>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</si>
  <si>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</si>
  <si>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</si>
  <si>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</si>
  <si>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</si>
  <si>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</si>
  <si>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</si>
  <si>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</si>
  <si>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</si>
  <si>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</si>
  <si>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</si>
  <si>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</si>
  <si>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</si>
  <si>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</si>
  <si>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</si>
  <si>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</si>
  <si>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</si>
  <si>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</si>
  <si>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</si>
  <si>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</si>
  <si>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</si>
  <si>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</si>
  <si>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</si>
  <si>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</si>
  <si>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</si>
  <si>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</si>
  <si>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</si>
  <si>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</si>
  <si>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</si>
  <si>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</si>
  <si>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</si>
  <si>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</si>
  <si>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</si>
  <si>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</si>
  <si>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</si>
  <si>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</si>
  <si>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</si>
  <si>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</si>
  <si>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</si>
  <si>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</si>
  <si>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</si>
  <si>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</si>
  <si>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</si>
  <si>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</si>
  <si>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</si>
  <si>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</si>
  <si>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</si>
  <si>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</si>
  <si>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</si>
  <si>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</si>
  <si>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</si>
  <si>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</si>
  <si>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</si>
  <si>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</si>
  <si>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</si>
  <si>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</si>
  <si>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</si>
  <si>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</si>
  <si>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</si>
  <si>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</si>
  <si>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</si>
  <si>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</si>
  <si>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</si>
  <si>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</si>
  <si>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</si>
  <si>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</si>
  <si>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</si>
  <si>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</si>
  <si>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</si>
  <si>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</si>
  <si>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</si>
  <si>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</si>
  <si>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</si>
  <si>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</si>
  <si>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</si>
  <si>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</si>
  <si>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</si>
  <si>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</si>
  <si>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</si>
  <si>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</si>
  <si>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</si>
  <si>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</si>
  <si>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</si>
  <si>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</si>
  <si>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</si>
  <si>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</si>
  <si>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</si>
  <si>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</si>
  <si>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</si>
  <si>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</si>
  <si>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</si>
  <si>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</si>
  <si>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</si>
  <si>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</si>
  <si>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</si>
  <si>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</si>
  <si>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</si>
  <si>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</si>
  <si>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</si>
  <si>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</si>
  <si>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</si>
  <si>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</si>
  <si>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</si>
  <si>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</si>
  <si>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</si>
  <si>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</si>
  <si>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</si>
  <si>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</si>
  <si>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</si>
  <si>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</si>
  <si>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</si>
  <si>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</si>
  <si>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</si>
  <si>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</si>
  <si>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</si>
  <si>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</si>
  <si>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</si>
  <si>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</si>
  <si>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</si>
  <si>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</si>
  <si>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</si>
  <si>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</si>
  <si>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</si>
  <si>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</si>
  <si>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</si>
  <si>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</si>
  <si>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</si>
  <si>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</si>
  <si>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</si>
  <si>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</si>
  <si>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</si>
  <si>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</si>
  <si>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</si>
  <si>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</si>
  <si>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</si>
  <si>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</si>
  <si>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</si>
  <si>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</si>
  <si>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</si>
  <si>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</si>
  <si>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</si>
  <si>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</si>
  <si>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</si>
  <si>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</si>
  <si>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</si>
  <si>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</si>
  <si>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</si>
  <si>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</si>
  <si>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</si>
  <si>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</si>
  <si>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</si>
  <si>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</si>
  <si>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</si>
  <si>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</si>
  <si>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</si>
  <si>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</si>
  <si>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</si>
  <si>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</si>
  <si>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</si>
  <si>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</si>
  <si>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</si>
  <si>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</si>
  <si>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</si>
  <si>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</si>
  <si>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</si>
  <si>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</si>
  <si>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</si>
  <si>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</si>
  <si>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</si>
  <si>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</si>
  <si>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</si>
  <si>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</si>
  <si>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</si>
  <si>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</si>
  <si>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</si>
  <si>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</si>
  <si>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</si>
  <si>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>solda na caixa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</si>
</sst>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20"/>
      <c r="I58" s="16"/>
      <c r="J58" s="16"/>
      <c r="K58" s="16" t="s">
        <v>208</v>
      </c>
      <c r="L58" s="16"/>
      <c r="M58" s="16"/>
    </row>
    <row r="59" spans="1:13" ht="15" customHeight="1">
      <c r="H59" s="120"/>
      <c r="I59" s="17"/>
      <c r="J59" s="17"/>
      <c r="K59" s="17" t="s">
        <v>209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210</v>
      </c>
      <c r="L61" s="17"/>
      <c r="M61" s="17"/>
    </row>
    <row r="62" spans="1:13" ht="15" customHeight="1">
      <c r="H62" s="120"/>
      <c r="I62" s="16"/>
      <c r="J62" s="16"/>
      <c r="K62" s="16" t="s">
        <v>211</v>
      </c>
      <c r="L62" s="16"/>
      <c r="M62" s="16"/>
    </row>
    <row r="63" spans="1:13" ht="15" customHeight="1">
      <c r="H63" s="120"/>
      <c r="I63" s="17"/>
      <c r="J63" s="17"/>
      <c r="K63" s="17" t="s">
        <v>212</v>
      </c>
      <c r="L63" s="17"/>
      <c r="M63" s="17"/>
    </row>
    <row r="64" spans="1:13" ht="15" customHeight="1">
      <c r="H64" s="120"/>
      <c r="I64" s="16"/>
      <c r="J64" s="16"/>
      <c r="K64" s="16" t="s">
        <v>213</v>
      </c>
      <c r="L64" s="16"/>
      <c r="M64" s="16"/>
    </row>
    <row r="65" spans="8:13" ht="15" customHeight="1">
      <c r="H65" s="120"/>
      <c r="I65" s="17"/>
      <c r="J65" s="17"/>
      <c r="K65" s="17" t="s">
        <v>214</v>
      </c>
      <c r="L65" s="17"/>
      <c r="M65" s="17"/>
    </row>
    <row r="66" spans="8:13" ht="15" customHeight="1">
      <c r="H66" s="120"/>
      <c r="I66" s="16"/>
      <c r="J66" s="16"/>
      <c r="K66" s="16" t="s">
        <v>215</v>
      </c>
      <c r="L66" s="16"/>
      <c r="M66" s="16"/>
    </row>
    <row r="67" spans="8:13" ht="15" customHeight="1">
      <c r="H67" s="120"/>
      <c r="I67" s="17"/>
      <c r="J67" s="17"/>
      <c r="K67" s="17" t="s">
        <v>216</v>
      </c>
      <c r="L67" s="17"/>
      <c r="M67" s="17"/>
    </row>
    <row r="68" spans="8:13" ht="15" customHeight="1">
      <c r="H68" s="120"/>
      <c r="I68" s="16"/>
      <c r="J68" s="16"/>
      <c r="K68" s="16" t="s">
        <v>217</v>
      </c>
      <c r="L68" s="16"/>
      <c r="M68" s="16"/>
    </row>
    <row r="69" spans="8:13" ht="15" customHeight="1">
      <c r="H69" s="120"/>
      <c r="I69" s="17"/>
      <c r="J69" s="17"/>
      <c r="K69" s="17" t="s">
        <v>218</v>
      </c>
      <c r="L69" s="17"/>
      <c r="M69" s="17"/>
    </row>
    <row r="70" spans="8:13" ht="15" customHeight="1">
      <c r="H70" s="120"/>
      <c r="I70" s="16"/>
      <c r="J70" s="16"/>
      <c r="K70" s="16" t="s">
        <v>219</v>
      </c>
      <c r="L70" s="16"/>
      <c r="M70" s="16"/>
    </row>
    <row r="71" spans="8:13" ht="15" customHeight="1">
      <c r="H71" s="120"/>
      <c r="I71" s="17"/>
      <c r="J71" s="17"/>
      <c r="K71" s="17" t="s">
        <v>220</v>
      </c>
      <c r="L71" s="17"/>
      <c r="M71" s="17"/>
    </row>
    <row r="72" spans="8:13" ht="15" customHeight="1">
      <c r="H72" s="120"/>
      <c r="I72" s="16"/>
      <c r="J72" s="16"/>
      <c r="K72" s="16" t="s">
        <v>221</v>
      </c>
      <c r="L72" s="16"/>
      <c r="M72" s="16"/>
    </row>
    <row r="73" spans="8:13" ht="15" customHeight="1">
      <c r="H73" s="120"/>
      <c r="I73" s="17"/>
      <c r="J73" s="17"/>
      <c r="K73" s="17" t="s">
        <v>222</v>
      </c>
      <c r="L73" s="17"/>
      <c r="M73" s="17"/>
    </row>
    <row r="74" spans="8:13" ht="15" customHeight="1">
      <c r="H74" s="120"/>
      <c r="I74" s="16"/>
      <c r="J74" s="16"/>
      <c r="K74" s="16" t="s">
        <v>223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L245" sqref="L24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235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/>
      <c r="M245" s="35">
        <f t="shared" ref="M245:M256" ca="1" si="55">IFERROR(IF(K245="","",IF(L245="",MOD(NOW()-K245,1),IF(L245&gt;=K245,L245-K245,L245+1-K245))),"")</f>
        <v>3.5738425940508023E-3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97</v>
      </c>
      <c r="G257" s="36">
        <f>SUM(G245:G256)</f>
        <v>485</v>
      </c>
      <c r="H257" s="37"/>
      <c r="I257" s="37"/>
      <c r="J257" s="37"/>
      <c r="K257" s="37"/>
      <c r="L257" s="37"/>
      <c r="M257" s="38">
        <f ca="1">IFERROR(SUM(M245:M256),"")</f>
        <v>3.5738425940508023E-3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97</v>
      </c>
      <c r="G271" s="40">
        <f>G257+G270</f>
        <v>485</v>
      </c>
      <c r="H271" s="41"/>
      <c r="I271" s="41"/>
      <c r="J271" s="41"/>
      <c r="K271" s="41"/>
      <c r="L271" s="41"/>
      <c r="M271" s="42">
        <f ca="1">IFERROR(M257+M270,"")</f>
        <v>3.5738425940508023E-3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3" t="s">
        <v>239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51" sqref="F2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0.4292682870363933</v>
      </c>
      <c r="N53" s="46" t="s">
        <v>263</v>
      </c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0.56815717592528214</v>
      </c>
      <c r="N54" s="36" t="s">
        <v>236</v>
      </c>
      <c r="O54" s="84">
        <v>352430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0.65287939814750451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235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95</v>
      </c>
      <c r="G257" s="36">
        <f>SUM(G245:G256)</f>
        <v>455.79999999999995</v>
      </c>
      <c r="H257" s="37"/>
      <c r="I257" s="37"/>
      <c r="J257" s="37"/>
      <c r="K257" s="37"/>
      <c r="L257" s="37"/>
      <c r="M257" s="38">
        <f ca="1">IFERROR(SUM(M245:M256),"")</f>
        <v>9.7222222222222432E-3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95</v>
      </c>
      <c r="G271" s="40">
        <f>G257+G270</f>
        <v>455.79999999999995</v>
      </c>
      <c r="H271" s="41"/>
      <c r="I271" s="41"/>
      <c r="J271" s="41"/>
      <c r="K271" s="41"/>
      <c r="L271" s="41"/>
      <c r="M271" s="42">
        <f ca="1">IFERROR(M257+M270,"")</f>
        <v>9.7222222222222432E-3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1" zoomScale="50" zoomScaleNormal="50" workbookViewId="0">
      <selection activeCell="D250" sqref="D2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238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235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3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3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3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235</v>
      </c>
      <c r="B257" s="88"/>
      <c r="C257" s="88"/>
      <c r="D257" s="88"/>
      <c r="E257" s="101"/>
      <c r="F257" s="102">
        <f>SUM(F245:F256)</f>
        <v>43</v>
      </c>
      <c r="G257" s="36">
        <f>SUM(G245:G256)</f>
        <v>206.2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43</v>
      </c>
      <c r="G271" s="40">
        <f>G257+G270</f>
        <v>206.2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H254" sqref="H25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235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235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234</v>
      </c>
      <c r="F249" s="27">
        <v>10</v>
      </c>
      <c r="G249" s="28">
        <f t="shared" si="54"/>
        <v>50</v>
      </c>
      <c r="H249" s="33" t="s">
        <v>18</v>
      </c>
      <c r="I249" s="33" t="s">
        <v>152</v>
      </c>
      <c r="J249" s="33" t="s">
        <v>130</v>
      </c>
      <c r="K249" s="29">
        <v>0.52708333333333335</v>
      </c>
      <c r="L249" s="29"/>
      <c r="M249" s="30">
        <f t="shared" ca="1" si="55"/>
        <v>2.3712731483101379E-2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234</v>
      </c>
      <c r="F250" s="27">
        <v>16</v>
      </c>
      <c r="G250" s="34">
        <f t="shared" si="54"/>
        <v>80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/>
      <c r="M250" s="35">
        <f t="shared" ca="1" si="55"/>
        <v>1.0518287039303686E-2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99</v>
      </c>
      <c r="G257" s="36">
        <f>SUM(G245:G256)</f>
        <v>495</v>
      </c>
      <c r="H257" s="37"/>
      <c r="I257" s="37"/>
      <c r="J257" s="37"/>
      <c r="K257" s="61"/>
      <c r="L257" s="61"/>
      <c r="M257" s="38">
        <f ca="1">IFERROR(SUM(M245:M256),"")</f>
        <v>6.9647685189071662E-2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99</v>
      </c>
      <c r="G271" s="40">
        <f>G257+G270</f>
        <v>495</v>
      </c>
      <c r="H271" s="41"/>
      <c r="I271" s="41"/>
      <c r="J271" s="41"/>
      <c r="K271" s="63"/>
      <c r="L271" s="63"/>
      <c r="M271" s="42">
        <f ca="1">IFERROR(M257+M270,"")</f>
        <v>6.9647685189071662E-2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235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2026-08-10T17:14:49Z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