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146" documentId="8_{1D11E9C4-FEA4-4128-910F-91CB6BBF9255}" xr6:coauthVersionLast="47" xr6:coauthVersionMax="47" xr10:uidLastSave="{BD6C4F4D-7B20-44A9-873A-7706764A962A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  <sheet name="Folha1" sheetId="7" r:id="rId7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<sst xmlns="http://schemas.openxmlformats.org/spreadsheetml/2006/main" count="8421" uniqueCount="376">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</sst>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9" activePane="bottomLeft" state="frozen"/>
      <selection pane="bottomLeft" activeCell="G2" sqref="G2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928270</v>
      </c>
      <c r="D32" s="49">
        <f>IFERROR('Linha 1'!N784,"")</f>
        <v>309470</v>
      </c>
      <c r="E32" s="49">
        <f>IFERROR('Linha 2'!N784,"")</f>
        <v>216400</v>
      </c>
      <c r="F32" s="49">
        <f>IFERROR('Linha 3'!N784,"")</f>
        <v>769540</v>
      </c>
      <c r="G32" s="50">
        <f t="shared" si="0"/>
        <v>1295410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49730180</v>
      </c>
      <c r="D34" s="55">
        <f t="shared" si="1"/>
        <v>24507090</v>
      </c>
      <c r="E34" s="55">
        <f t="shared" si="1"/>
        <v>9873850</v>
      </c>
      <c r="F34" s="55">
        <f t="shared" si="1"/>
        <v>28584285</v>
      </c>
      <c r="G34" s="55">
        <f t="shared" si="1"/>
        <v>62965225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176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177</v>
      </c>
      <c r="L48" s="3"/>
      <c r="M48" s="3"/>
    </row>
    <row r="49" spans="1:13" ht="18" customHeight="1">
      <c r="H49" s="103"/>
      <c r="I49" s="4"/>
      <c r="J49" s="4"/>
      <c r="K49" s="4" t="s">
        <v>178</v>
      </c>
      <c r="L49" s="4"/>
      <c r="M49" s="4"/>
    </row>
    <row r="50" spans="1:13" ht="21" customHeight="1">
      <c r="A50" s="6" t="s">
        <v>179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180</v>
      </c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64" activePane="bottomLeft" state="frozen"/>
      <selection pane="bottomLeft" activeCell="E782" sqref="E78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183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190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191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192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193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192</v>
      </c>
      <c r="N27" s="20">
        <v>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195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196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191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192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193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192</v>
      </c>
      <c r="N54" s="20">
        <v>125660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195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191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192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193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192</v>
      </c>
      <c r="N81" s="20">
        <v>580300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195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190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191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192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197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196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193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192</v>
      </c>
      <c r="N108" s="20">
        <v>652520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195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198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191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192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193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>
        <v>909050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195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190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191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192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193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192</v>
      </c>
      <c r="N162" s="27">
        <v>1048880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195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198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199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191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192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193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192</v>
      </c>
      <c r="N189" s="20">
        <v>797540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195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198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200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191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192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193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192</v>
      </c>
      <c r="N216" s="28">
        <v>203080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195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191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192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193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195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191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192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193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192</v>
      </c>
      <c r="N270" s="20">
        <f>346400+269080</f>
        <v>615480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195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201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191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192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193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192</v>
      </c>
      <c r="N297" s="20">
        <f>35160+383610</f>
        <v>418770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195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202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191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192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203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193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192</v>
      </c>
      <c r="N324" s="20">
        <f>411220+466620</f>
        <v>877840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195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204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191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192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193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192</v>
      </c>
      <c r="N351" s="20"/>
    </row>
    <row r="352" spans="1:14" ht="18" customHeight="1">
      <c r="A352" s="98" t="s">
        <v>194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195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205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191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192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206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207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193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192</v>
      </c>
      <c r="N378" s="20">
        <v>1299920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195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191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192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193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192</v>
      </c>
      <c r="N405" s="20">
        <v>1342790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195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208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191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192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209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193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192</v>
      </c>
      <c r="N432" s="20">
        <v>963120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195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191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192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193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192</v>
      </c>
      <c r="N459" s="20">
        <v>534910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195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210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211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191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192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193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192</v>
      </c>
      <c r="N486" s="20">
        <v>557170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195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191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192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212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193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192</v>
      </c>
      <c r="N513" s="20">
        <v>701090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195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214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191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192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193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192</v>
      </c>
      <c r="N540" s="20">
        <v>915770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195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215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216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217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191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192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193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192</v>
      </c>
      <c r="N567" s="20">
        <v>636740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195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218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219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191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192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220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193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192</v>
      </c>
      <c r="N594" s="20">
        <v>394820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195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221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222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222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223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191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192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224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193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192</v>
      </c>
      <c r="N621" s="20">
        <v>587370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195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176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191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192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225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193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192</v>
      </c>
      <c r="N648" s="20">
        <v>635110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195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191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192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193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192</v>
      </c>
      <c r="N675" s="20">
        <v>1608610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195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176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178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226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227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191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192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193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192</v>
      </c>
      <c r="N702" s="20">
        <f>316300+609860</f>
        <v>926160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195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228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229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191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192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193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192</v>
      </c>
      <c r="N729" s="20">
        <v>706600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195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191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192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193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1646670</v>
      </c>
    </row>
    <row r="757" spans="1:14" ht="18" customHeight="1">
      <c r="A757" s="22" t="s">
        <v>194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195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180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230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231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191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192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193</v>
      </c>
      <c r="B783" s="97"/>
      <c r="C783" s="97"/>
      <c r="D783" s="97"/>
      <c r="E783" s="19">
        <f>SUM(E771:E782)</f>
        <v>423</v>
      </c>
      <c r="F783" s="19">
        <f>SUM(F771:F782)</f>
        <v>2115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569</v>
      </c>
      <c r="F784" s="22">
        <f>F770+F783</f>
        <v>2845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195</v>
      </c>
      <c r="N784" s="31">
        <f>IFERROR(N770+N783,"")</f>
        <v>928270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191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193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56" zoomScale="85" zoomScaleNormal="85" workbookViewId="0">
      <selection activeCell="G771" sqref="G77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232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192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192</v>
      </c>
      <c r="N27" s="20">
        <v>1035240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195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233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192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192</v>
      </c>
      <c r="N54" s="20">
        <v>871960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195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234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192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235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192</v>
      </c>
      <c r="N81" s="20">
        <v>482250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195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236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192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237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192</v>
      </c>
      <c r="N108" s="20">
        <v>529500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195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237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237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192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237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238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192</v>
      </c>
      <c r="N135" s="20">
        <v>666150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195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236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239</v>
      </c>
      <c r="I139" s="16" t="s">
        <v>240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237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192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192</v>
      </c>
      <c r="N162" s="35">
        <v>183240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195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241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241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241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241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241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241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241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241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241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242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192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192</v>
      </c>
      <c r="N216" s="28">
        <v>525070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195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243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192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244000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195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244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245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192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192</v>
      </c>
      <c r="N270" s="20">
        <v>8130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195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247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192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192</v>
      </c>
      <c r="N297" s="20">
        <f>229280+228660</f>
        <v>457940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195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248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249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249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250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192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252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254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192</v>
      </c>
      <c r="N324" s="20">
        <f>217310+197670</f>
        <v>414980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195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255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256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192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257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258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192</v>
      </c>
      <c r="N351" s="20">
        <f>135270+304860</f>
        <v>440130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195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259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261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192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192</v>
      </c>
      <c r="N378" s="20">
        <f>291750+291000</f>
        <v>582750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195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192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262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263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192</v>
      </c>
      <c r="N405" s="20">
        <v>305810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195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264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265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266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192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267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268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192</v>
      </c>
      <c r="N432" s="20">
        <v>522180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195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269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270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192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192</v>
      </c>
      <c r="N459" s="20">
        <v>560220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195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273</v>
      </c>
      <c r="J465" s="13">
        <v>0.70833333333333337</v>
      </c>
      <c r="K465" s="13" t="s">
        <v>274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192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276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277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192</v>
      </c>
      <c r="N486" s="20">
        <v>400000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195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192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278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192</v>
      </c>
      <c r="N513" s="20">
        <f>1031250+71560</f>
        <v>1102810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195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213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213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213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192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281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282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283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283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192</v>
      </c>
      <c r="N540" s="20">
        <v>504470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195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284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192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192</v>
      </c>
      <c r="N567" s="20">
        <v>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195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192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285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192</v>
      </c>
      <c r="N594" s="20">
        <v>258960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195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286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287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288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192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289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290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192</v>
      </c>
      <c r="N621" s="20">
        <v>687740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195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291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192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292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293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294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192</v>
      </c>
      <c r="N648" s="20">
        <f>47050+58630</f>
        <v>105680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195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192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295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296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297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192</v>
      </c>
      <c r="N675" s="20">
        <v>546550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195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298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192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299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300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192</v>
      </c>
      <c r="N702" s="20">
        <f>430070+116100</f>
        <v>546170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195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301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191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192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192</v>
      </c>
      <c r="N729" s="20">
        <v>477920</v>
      </c>
    </row>
    <row r="730" spans="1:14" ht="18" customHeight="1">
      <c r="A730" s="98" t="s">
        <v>194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195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302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192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303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379890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195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304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305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192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/>
      <c r="I771" s="16"/>
      <c r="J771" s="13">
        <v>0.23958333333333334</v>
      </c>
      <c r="K771" s="13">
        <v>0.25</v>
      </c>
      <c r="L771" s="71">
        <f t="shared" ref="L771:L782" si="173">IFERROR(IF(K771="","",IF(K771&gt;=J771,K771-J771,K771+1-J771)),"")</f>
        <v>1.0416666666666657E-2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1.0416666666666657E-2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0.12916666666666662</v>
      </c>
      <c r="M784" s="22" t="s">
        <v>195</v>
      </c>
      <c r="N784" s="31">
        <f>IFERROR(N770+N783,"")</f>
        <v>309470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9" activePane="bottomLeft" state="frozen"/>
      <selection pane="bottomLeft" activeCell="E782" sqref="E78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8" t="s">
        <v>13</v>
      </c>
      <c r="E1" s="8" t="s">
        <v>182</v>
      </c>
      <c r="F1" s="8" t="s">
        <v>306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192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192</v>
      </c>
      <c r="N27" s="20"/>
    </row>
    <row r="28" spans="1:14" ht="18" customHeight="1">
      <c r="A28" s="98" t="s">
        <v>194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195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192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192</v>
      </c>
      <c r="N54" s="20"/>
    </row>
    <row r="55" spans="1:14" ht="18" customHeight="1">
      <c r="A55" s="98" t="s">
        <v>194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195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192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307</v>
      </c>
      <c r="I80" s="10" t="s">
        <v>235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192</v>
      </c>
      <c r="N81" s="20">
        <v>206440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195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192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192</v>
      </c>
      <c r="N108" s="20"/>
    </row>
    <row r="109" spans="1:14" ht="18" customHeight="1">
      <c r="A109" s="98" t="s">
        <v>194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195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192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192</v>
      </c>
      <c r="N135" s="20"/>
    </row>
    <row r="136" spans="1:14" ht="18" customHeight="1">
      <c r="A136" s="98" t="s">
        <v>194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195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192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192</v>
      </c>
      <c r="N162" s="20">
        <v>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195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192</v>
      </c>
      <c r="N189" s="20">
        <v>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195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192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192</v>
      </c>
      <c r="N216" s="20"/>
    </row>
    <row r="217" spans="1:14" ht="18" customHeight="1">
      <c r="A217" s="98" t="s">
        <v>194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195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192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192</v>
      </c>
      <c r="N243" s="20">
        <v>180000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195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192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246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192</v>
      </c>
      <c r="N270" s="20">
        <f>103170+137770</f>
        <v>240940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195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192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192</v>
      </c>
      <c r="N297" s="20">
        <f>110740+118380</f>
        <v>229120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195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192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253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192</v>
      </c>
      <c r="N324" s="20">
        <f>119730+227060</f>
        <v>346790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195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192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258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192</v>
      </c>
      <c r="N351" s="20">
        <f>50730+24450</f>
        <v>75180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195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261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192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192</v>
      </c>
      <c r="N378" s="20">
        <f>151130+160740</f>
        <v>311870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195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191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192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192</v>
      </c>
      <c r="N405" s="20">
        <v>340530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195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192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192</v>
      </c>
      <c r="N432" s="20">
        <v>169230</v>
      </c>
    </row>
    <row r="433" spans="1:14" ht="18" customHeight="1">
      <c r="A433" s="98" t="s">
        <v>194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195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271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191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192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192</v>
      </c>
      <c r="N459" s="20">
        <v>221750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195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273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275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275</v>
      </c>
      <c r="N472" s="30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192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192</v>
      </c>
      <c r="N486" s="20">
        <v>240000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195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192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192</v>
      </c>
      <c r="N513" s="20">
        <v>3930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195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192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281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192</v>
      </c>
      <c r="N540" s="20">
        <v>304230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195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269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192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192</v>
      </c>
      <c r="N567" s="20">
        <v>437260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195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191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192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253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192</v>
      </c>
      <c r="N594" s="20">
        <v>269570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195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192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192</v>
      </c>
      <c r="N621" s="20">
        <v>176650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195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192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192</v>
      </c>
      <c r="N648" s="20">
        <f>154590+56700</f>
        <v>211290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195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191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192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192</v>
      </c>
      <c r="N675" s="20">
        <v>234010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195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192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192</v>
      </c>
      <c r="N702" s="20">
        <f>151740+85690</f>
        <v>237430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195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223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192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192</v>
      </c>
      <c r="N729" s="20">
        <v>377030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195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302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192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303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192</v>
      </c>
      <c r="N756" s="20">
        <v>265090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195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324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191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192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57</v>
      </c>
      <c r="F783" s="19">
        <f>SUM(F771:F782)</f>
        <v>228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117</v>
      </c>
      <c r="F784" s="22">
        <f>F770+F783</f>
        <v>468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195</v>
      </c>
      <c r="N784" s="31">
        <f>IFERROR(N770+N783,"")</f>
        <v>216400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191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192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193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192</v>
      </c>
      <c r="N810" s="20"/>
    </row>
    <row r="811" spans="1:14" ht="18" customHeight="1">
      <c r="A811" s="98" t="s">
        <v>194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195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56" activePane="bottomLeft" state="frozen"/>
      <selection pane="bottomLeft" activeCell="E782" sqref="E782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181</v>
      </c>
      <c r="C1" s="8" t="s">
        <v>12</v>
      </c>
      <c r="D1" s="57" t="s">
        <v>13</v>
      </c>
      <c r="E1" s="8" t="s">
        <v>182</v>
      </c>
      <c r="F1" s="8" t="s">
        <v>325</v>
      </c>
      <c r="G1" s="8" t="s">
        <v>14</v>
      </c>
      <c r="H1" s="8" t="s">
        <v>15</v>
      </c>
      <c r="I1" s="8" t="s">
        <v>184</v>
      </c>
      <c r="J1" s="8" t="s">
        <v>185</v>
      </c>
      <c r="K1" s="8" t="s">
        <v>186</v>
      </c>
      <c r="L1" s="69" t="s">
        <v>187</v>
      </c>
      <c r="M1" s="8" t="s">
        <v>188</v>
      </c>
      <c r="N1" s="8" t="s">
        <v>189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326</v>
      </c>
      <c r="I2" s="10" t="s">
        <v>327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326</v>
      </c>
      <c r="I3" s="16" t="s">
        <v>327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326</v>
      </c>
      <c r="I4" s="10" t="s">
        <v>327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326</v>
      </c>
      <c r="I5" s="16" t="s">
        <v>327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326</v>
      </c>
      <c r="I6" s="10" t="s">
        <v>327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326</v>
      </c>
      <c r="I7" s="16" t="s">
        <v>327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326</v>
      </c>
      <c r="I8" s="10" t="s">
        <v>327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326</v>
      </c>
      <c r="I9" s="16" t="s">
        <v>327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326</v>
      </c>
      <c r="I10" s="10" t="s">
        <v>327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326</v>
      </c>
      <c r="I11" s="16" t="s">
        <v>327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326</v>
      </c>
      <c r="I12" s="10" t="s">
        <v>327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326</v>
      </c>
      <c r="I13" s="16" t="s">
        <v>327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191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192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193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192</v>
      </c>
      <c r="N27" s="20">
        <v>537710</v>
      </c>
    </row>
    <row r="28" spans="1:14" ht="18" customHeight="1">
      <c r="A28" s="98" t="s">
        <v>194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195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330</v>
      </c>
      <c r="I33" s="16" t="s">
        <v>331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190</v>
      </c>
      <c r="H36" s="10" t="s">
        <v>332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191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192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235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193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192</v>
      </c>
      <c r="N54" s="20">
        <v>800250</v>
      </c>
    </row>
    <row r="55" spans="1:14" ht="18" customHeight="1">
      <c r="A55" s="98" t="s">
        <v>194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195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191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192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332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193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192</v>
      </c>
      <c r="N81" s="20">
        <v>423590</v>
      </c>
    </row>
    <row r="82" spans="1:14" ht="18" customHeight="1">
      <c r="A82" s="98" t="s">
        <v>194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195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191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192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193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192</v>
      </c>
      <c r="N108" s="20">
        <v>784300</v>
      </c>
    </row>
    <row r="109" spans="1:14" ht="18" customHeight="1">
      <c r="A109" s="98" t="s">
        <v>194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195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191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192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190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193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192</v>
      </c>
      <c r="N135" s="20">
        <v>527600</v>
      </c>
    </row>
    <row r="136" spans="1:14" ht="18" customHeight="1">
      <c r="A136" s="98" t="s">
        <v>194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195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190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191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192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193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192</v>
      </c>
      <c r="N162" s="20">
        <v>215370</v>
      </c>
    </row>
    <row r="163" spans="1:14" ht="18" customHeight="1">
      <c r="A163" s="98" t="s">
        <v>194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195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191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192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193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192</v>
      </c>
      <c r="N189" s="20">
        <v>400530</v>
      </c>
    </row>
    <row r="190" spans="1:14" ht="18" customHeight="1">
      <c r="A190" s="98" t="s">
        <v>194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195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191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192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238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193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192</v>
      </c>
      <c r="N216" s="28">
        <v>704110</v>
      </c>
    </row>
    <row r="217" spans="1:14" ht="18" customHeight="1">
      <c r="A217" s="98" t="s">
        <v>194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195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253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191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192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193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192</v>
      </c>
      <c r="N243" s="20">
        <v>0</v>
      </c>
    </row>
    <row r="244" spans="1:14" ht="18" customHeight="1">
      <c r="A244" s="98" t="s">
        <v>194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195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191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192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193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192</v>
      </c>
      <c r="N270" s="20">
        <f>214250+252630</f>
        <v>466880</v>
      </c>
    </row>
    <row r="271" spans="1:14" ht="18" customHeight="1">
      <c r="A271" s="98" t="s">
        <v>194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195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191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192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193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192</v>
      </c>
      <c r="N297" s="20">
        <f>124260+105220</f>
        <v>229480</v>
      </c>
    </row>
    <row r="298" spans="1:14" ht="18" customHeight="1">
      <c r="A298" s="98" t="s">
        <v>194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195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191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192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193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192</v>
      </c>
      <c r="N324" s="20">
        <f>311920+165290</f>
        <v>477210</v>
      </c>
    </row>
    <row r="325" spans="1:14" ht="18" customHeight="1">
      <c r="A325" s="98" t="s">
        <v>194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195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191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192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258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193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192</v>
      </c>
      <c r="N351" s="20">
        <f>117790+390790</f>
        <v>508580</v>
      </c>
    </row>
    <row r="352" spans="1:14" ht="18" customHeight="1">
      <c r="A352" s="98" t="s">
        <v>194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195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191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192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193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192</v>
      </c>
      <c r="N378" s="20">
        <f>490380+390690</f>
        <v>881070</v>
      </c>
    </row>
    <row r="379" spans="1:14" ht="18" customHeight="1">
      <c r="A379" s="98" t="s">
        <v>194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195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191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192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193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192</v>
      </c>
      <c r="N405" s="20">
        <v>745910</v>
      </c>
    </row>
    <row r="406" spans="1:14" ht="18" customHeight="1">
      <c r="A406" s="98" t="s">
        <v>194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195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191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192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193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192</v>
      </c>
      <c r="N432" s="20">
        <v>669300</v>
      </c>
    </row>
    <row r="433" spans="1:16" ht="18" customHeight="1">
      <c r="A433" s="98" t="s">
        <v>194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195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191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192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193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192</v>
      </c>
      <c r="N459" s="20">
        <v>561580</v>
      </c>
    </row>
    <row r="460" spans="1:14" ht="18" customHeight="1">
      <c r="A460" s="98" t="s">
        <v>194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195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275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275</v>
      </c>
      <c r="N472" s="41"/>
    </row>
    <row r="473" spans="1:14" ht="15.75" customHeight="1">
      <c r="A473" s="105" t="s">
        <v>191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192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193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192</v>
      </c>
      <c r="N486" s="20">
        <v>508000</v>
      </c>
    </row>
    <row r="487" spans="1:14" ht="18" customHeight="1">
      <c r="A487" s="98" t="s">
        <v>194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195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191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192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193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192</v>
      </c>
      <c r="N513" s="20">
        <v>745760</v>
      </c>
    </row>
    <row r="514" spans="1:14" ht="18" customHeight="1">
      <c r="A514" s="98" t="s">
        <v>194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195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191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192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253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193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192</v>
      </c>
      <c r="N540" s="20">
        <v>426450</v>
      </c>
    </row>
    <row r="541" spans="1:14" ht="18" customHeight="1">
      <c r="A541" s="98" t="s">
        <v>194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195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191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192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193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192</v>
      </c>
      <c r="N567" s="20">
        <v>652080</v>
      </c>
    </row>
    <row r="568" spans="1:14" ht="18" customHeight="1">
      <c r="A568" s="98" t="s">
        <v>194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195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191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192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279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253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193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192</v>
      </c>
      <c r="N594" s="20">
        <v>800310</v>
      </c>
    </row>
    <row r="595" spans="1:14" ht="18" customHeight="1">
      <c r="A595" s="98" t="s">
        <v>194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195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191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192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193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192</v>
      </c>
      <c r="N621" s="20">
        <v>141320</v>
      </c>
    </row>
    <row r="622" spans="1:14" ht="18" customHeight="1">
      <c r="A622" s="98" t="s">
        <v>194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195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191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192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177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193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192</v>
      </c>
      <c r="N648" s="20">
        <f>89640+153770</f>
        <v>243410</v>
      </c>
    </row>
    <row r="649" spans="1:14" ht="18" customHeight="1">
      <c r="A649" s="98" t="s">
        <v>194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195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191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192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193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192</v>
      </c>
      <c r="N675" s="20">
        <v>425320</v>
      </c>
    </row>
    <row r="676" spans="1:14" ht="18" customHeight="1">
      <c r="A676" s="98" t="s">
        <v>194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195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191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192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193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192</v>
      </c>
      <c r="N702" s="20">
        <f>626540+94190</f>
        <v>720730</v>
      </c>
    </row>
    <row r="703" spans="1:14" ht="18" customHeight="1">
      <c r="A703" s="98" t="s">
        <v>194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195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191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192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193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192</v>
      </c>
      <c r="N729" s="20">
        <v>874110</v>
      </c>
    </row>
    <row r="730" spans="1:14" ht="18" customHeight="1">
      <c r="A730" s="98" t="s">
        <v>194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195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374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302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191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192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303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193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192</v>
      </c>
      <c r="N756" s="20">
        <v>1001690</v>
      </c>
    </row>
    <row r="757" spans="1:14" ht="18" customHeight="1">
      <c r="A757" s="98" t="s">
        <v>194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195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375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191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192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193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192</v>
      </c>
      <c r="N783" s="20"/>
    </row>
    <row r="784" spans="1:14" ht="18" customHeight="1">
      <c r="A784" s="98" t="s">
        <v>194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195</v>
      </c>
      <c r="N784" s="31">
        <f>IFERROR(N770+N783,"")</f>
        <v>769540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191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192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193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192</v>
      </c>
      <c r="N810" s="20"/>
    </row>
    <row r="811" spans="1:14" ht="18" customHeight="1">
      <c r="A811" s="110" t="s">
        <v>194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195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6ED51-ED3C-4223-AE1E-9EE55C9C6767}">
  <dimension ref="A1"/>
  <sheetViews>
    <sheetView workbookViewId="0"/>
  </sheetViews>
  <sheetFormatPr defaultRowHeight="1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2026-06-30T10:27:07Z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