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33" documentId="13_ncr:1_{9DFDFEE8-78F7-4C04-B87C-99924EE6CC37}" xr6:coauthVersionLast="47" xr6:coauthVersionMax="47" xr10:uidLastSave="{CC5E46F1-9E9B-4DDF-9257-7067383B6AB1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<sst xmlns="http://schemas.openxmlformats.org/spreadsheetml/2006/main" count="8888" uniqueCount="2873">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</sst>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1" sqref="F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51</v>
      </c>
      <c r="G81" s="2">
        <f>SUM(G69:G80)</f>
        <v>255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440</v>
      </c>
      <c r="G82" s="1">
        <f>G68+G81</f>
        <v>2176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54" activePane="bottomLeft" state="frozen"/>
      <selection pane="bottomLeft" activeCell="O72" sqref="O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260.39999999999998</v>
      </c>
      <c r="L81" s="87"/>
      <c r="M81" s="87"/>
      <c r="N81" s="87"/>
      <c r="O81" s="87"/>
      <c r="P81" s="87"/>
      <c r="Q81" s="88">
        <f ca="1">IFERROR(SUM(Q69:Q80),"")</f>
        <v>2.7777777777777901E-2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234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982.8</v>
      </c>
      <c r="L82" s="91"/>
      <c r="M82" s="91"/>
      <c r="N82" s="91"/>
      <c r="O82" s="91"/>
      <c r="P82" s="91"/>
      <c r="Q82" s="92">
        <f ca="1">IFERROR(Q68+Q81,"")</f>
        <v>9.2361111111111338E-2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N69" sqref="N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/>
      <c r="Q69" s="86">
        <f t="shared" ref="Q69:Q80" ca="1" si="22">IFERROR(IF(O69="","",IF(P69="",MOD(NOW()-O69,1),IF(P69&gt;=O69,P69-O69,P69+1-O69))),"")</f>
        <v>6.0138888875371777E-3</v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37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155.4</v>
      </c>
      <c r="L81" s="87"/>
      <c r="M81" s="87"/>
      <c r="N81" s="87"/>
      <c r="O81" s="87"/>
      <c r="P81" s="87"/>
      <c r="Q81" s="88">
        <f ca="1">IFERROR(SUM(Q69:Q80),"")</f>
        <v>6.0138888875371777E-3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163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684.6</v>
      </c>
      <c r="L82" s="91"/>
      <c r="M82" s="91"/>
      <c r="N82" s="91"/>
      <c r="O82" s="91"/>
      <c r="P82" s="91"/>
      <c r="Q82" s="92">
        <f ca="1">IFERROR(Q68+Q81,"")</f>
        <v>3.5180555554203852E-2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2" sqref="G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44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184.8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241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1012.2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2026-09-04T03:04:11Z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