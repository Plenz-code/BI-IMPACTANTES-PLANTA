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7" documentId="13_ncr:1_{A6DBCFB4-28D9-4249-9038-216934055CA6}" xr6:coauthVersionLast="47" xr6:coauthVersionMax="47" xr10:uidLastSave="{062129D0-9728-45E5-A4DE-3111BC1B2B4D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5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K609" i="6" l="1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54" i="6" l="1"/>
  <c r="J654" i="6" s="1"/>
  <c r="H650" i="6"/>
  <c r="J650" i="6" s="1"/>
  <c r="H655" i="6"/>
  <c r="J655" i="6" s="1"/>
  <c r="H653" i="6"/>
  <c r="J653" i="6" s="1"/>
  <c r="H652" i="6"/>
  <c r="J652" i="6" s="1"/>
  <c r="H651" i="6"/>
  <c r="J651" i="6" s="1"/>
  <c r="H656" i="6"/>
  <c r="J656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76" i="6" l="1"/>
  <c r="T676" i="6" s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<sst xmlns="http://schemas.openxmlformats.org/spreadsheetml/2006/main" count="10853" uniqueCount="442">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</sst>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D1" zoomScaleNormal="100" workbookViewId="0">
      <pane ySplit="3" topLeftCell="A20" activePane="bottomLeft" state="frozen"/>
      <selection activeCell="B1" sqref="B1"/>
      <selection pane="bottomLeft" activeCell="J38" sqref="J38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>
        <v>1088.1099999999999</v>
      </c>
      <c r="J26" s="22">
        <f t="shared" si="1"/>
        <v>0.6464245912149531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9156.869999999999</v>
      </c>
      <c r="J35" s="32">
        <f>IFERROR(IF(H35&gt;I35,MAX(0,2-H35/I35),H35/I35),"")</f>
        <v>0.94774902282531204</v>
      </c>
      <c r="K35" s="32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 x14ac:dyDescent="0.3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 x14ac:dyDescent="0.3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 x14ac:dyDescent="0.3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 x14ac:dyDescent="0.3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 x14ac:dyDescent="0.3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 x14ac:dyDescent="0.3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 x14ac:dyDescent="0.3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 x14ac:dyDescent="0.3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 x14ac:dyDescent="0.3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 x14ac:dyDescent="0.3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 x14ac:dyDescent="0.3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 x14ac:dyDescent="0.3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 x14ac:dyDescent="0.3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 x14ac:dyDescent="0.3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 x14ac:dyDescent="0.3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 x14ac:dyDescent="0.3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 x14ac:dyDescent="0.3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 x14ac:dyDescent="0.3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 x14ac:dyDescent="0.3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 x14ac:dyDescent="0.3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 x14ac:dyDescent="0.3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 x14ac:dyDescent="0.3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 x14ac:dyDescent="0.3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 x14ac:dyDescent="0.3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 x14ac:dyDescent="0.3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 x14ac:dyDescent="0.3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 x14ac:dyDescent="0.3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 x14ac:dyDescent="0.3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 x14ac:dyDescent="0.3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 x14ac:dyDescent="0.3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 x14ac:dyDescent="0.3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 x14ac:dyDescent="0.3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 x14ac:dyDescent="0.3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 x14ac:dyDescent="0.3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 x14ac:dyDescent="0.3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 x14ac:dyDescent="0.3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 x14ac:dyDescent="0.3">
      <c r="M61" s="164"/>
      <c r="N61" s="39"/>
      <c r="O61" s="39"/>
      <c r="P61" s="39" t="s">
        <v>227</v>
      </c>
      <c r="Q61" s="39"/>
      <c r="R61" s="39"/>
    </row>
    <row r="62" spans="1:18" ht="15" customHeight="1" x14ac:dyDescent="0.3">
      <c r="M62" s="164"/>
      <c r="N62" s="36"/>
      <c r="O62" s="36"/>
      <c r="P62" s="36" t="s">
        <v>228</v>
      </c>
      <c r="Q62" s="36"/>
      <c r="R62" s="36"/>
    </row>
    <row r="63" spans="1:18" ht="15" customHeight="1" x14ac:dyDescent="0.3">
      <c r="M63" s="164"/>
      <c r="N63" s="39"/>
      <c r="O63" s="39"/>
      <c r="P63" s="39" t="s">
        <v>229</v>
      </c>
      <c r="Q63" s="39"/>
      <c r="R63" s="39"/>
    </row>
    <row r="64" spans="1:18" ht="15" customHeight="1" x14ac:dyDescent="0.3">
      <c r="M64" s="164"/>
      <c r="N64" s="36"/>
      <c r="O64" s="36"/>
      <c r="P64" s="36" t="s">
        <v>230</v>
      </c>
      <c r="Q64" s="36"/>
      <c r="R64" s="36"/>
    </row>
    <row r="65" spans="13:18" ht="15" customHeight="1" x14ac:dyDescent="0.3">
      <c r="M65" s="164"/>
      <c r="N65" s="39"/>
      <c r="O65" s="39"/>
      <c r="P65" s="39" t="s">
        <v>231</v>
      </c>
      <c r="Q65" s="39"/>
      <c r="R65" s="39"/>
    </row>
    <row r="66" spans="13:18" ht="15" customHeight="1" x14ac:dyDescent="0.3">
      <c r="M66" s="164"/>
      <c r="N66" s="36"/>
      <c r="O66" s="36"/>
      <c r="P66" s="36" t="s">
        <v>232</v>
      </c>
      <c r="Q66" s="36"/>
      <c r="R66" s="36"/>
    </row>
    <row r="67" spans="13:18" ht="15" customHeight="1" x14ac:dyDescent="0.3">
      <c r="M67" s="164"/>
      <c r="N67" s="39"/>
      <c r="O67" s="39"/>
      <c r="P67" s="39" t="s">
        <v>233</v>
      </c>
      <c r="Q67" s="39"/>
      <c r="R67" s="39"/>
    </row>
    <row r="68" spans="13:18" ht="15" customHeight="1" x14ac:dyDescent="0.3">
      <c r="M68" s="164"/>
      <c r="N68" s="36"/>
      <c r="O68" s="36"/>
      <c r="P68" s="36" t="s">
        <v>234</v>
      </c>
      <c r="Q68" s="36"/>
      <c r="R68" s="36"/>
    </row>
    <row r="69" spans="13:18" ht="15" customHeight="1" x14ac:dyDescent="0.3">
      <c r="M69" s="164"/>
      <c r="N69" s="39"/>
      <c r="O69" s="39"/>
      <c r="P69" s="39" t="s">
        <v>235</v>
      </c>
      <c r="Q69" s="39"/>
      <c r="R69" s="39"/>
    </row>
    <row r="70" spans="13:18" ht="15" customHeight="1" x14ac:dyDescent="0.3">
      <c r="M70" s="164"/>
      <c r="N70" s="36"/>
      <c r="O70" s="36"/>
      <c r="P70" s="36" t="s">
        <v>236</v>
      </c>
      <c r="Q70" s="36"/>
      <c r="R70" s="36"/>
    </row>
    <row r="71" spans="13:18" ht="15" customHeight="1" x14ac:dyDescent="0.3">
      <c r="M71" s="164"/>
      <c r="N71" s="39"/>
      <c r="O71" s="39"/>
      <c r="P71" s="39" t="s">
        <v>237</v>
      </c>
      <c r="Q71" s="39"/>
      <c r="R71" s="39"/>
    </row>
    <row r="72" spans="13:18" ht="15" customHeight="1" x14ac:dyDescent="0.3">
      <c r="M72" s="164"/>
      <c r="N72" s="36"/>
      <c r="O72" s="36"/>
      <c r="P72" s="36" t="s">
        <v>238</v>
      </c>
      <c r="Q72" s="36"/>
      <c r="R72" s="36"/>
    </row>
    <row r="73" spans="13:18" ht="15" customHeight="1" x14ac:dyDescent="0.3">
      <c r="M73" s="164"/>
      <c r="N73" s="39"/>
      <c r="O73" s="39"/>
      <c r="P73" s="39" t="s">
        <v>239</v>
      </c>
      <c r="Q73" s="39"/>
      <c r="R73" s="39"/>
    </row>
    <row r="74" spans="13:18" ht="15" customHeight="1" x14ac:dyDescent="0.3">
      <c r="M74" s="164"/>
      <c r="N74" s="36"/>
      <c r="O74" s="36"/>
      <c r="P74" s="36" t="s">
        <v>240</v>
      </c>
      <c r="Q74" s="36"/>
      <c r="R74" s="36"/>
    </row>
    <row r="75" spans="13:18" ht="15" customHeight="1" x14ac:dyDescent="0.3">
      <c r="M75" s="164"/>
      <c r="N75" s="39"/>
      <c r="O75" s="39"/>
      <c r="P75" s="39" t="s">
        <v>241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 x14ac:dyDescent="0.3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7" sqref="F657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 x14ac:dyDescent="0.3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 x14ac:dyDescent="0.3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 x14ac:dyDescent="0.3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 x14ac:dyDescent="0.3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 x14ac:dyDescent="0.3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 x14ac:dyDescent="0.3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 x14ac:dyDescent="0.3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 x14ac:dyDescent="0.3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 x14ac:dyDescent="0.3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 x14ac:dyDescent="0.3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 x14ac:dyDescent="0.3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 x14ac:dyDescent="0.3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 x14ac:dyDescent="0.3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 x14ac:dyDescent="0.3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 x14ac:dyDescent="0.3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 x14ac:dyDescent="0.3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 x14ac:dyDescent="0.3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 x14ac:dyDescent="0.3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 x14ac:dyDescent="0.3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 x14ac:dyDescent="0.3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 x14ac:dyDescent="0.3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 x14ac:dyDescent="0.3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 x14ac:dyDescent="0.3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 x14ac:dyDescent="0.3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/>
      <c r="M650" s="65">
        <f t="shared" ref="M650:M661" ca="1" si="141">IFERROR(IF(K650="","",IF(L650="",MOD(NOW()-K650,1),IF(L650&gt;=K650,L650-K650,L650+1-K650))),"")</f>
        <v>0.10281956019025529</v>
      </c>
      <c r="N650" s="79"/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/>
      <c r="G657" s="68" t="str">
        <f t="shared" si="140"/>
        <v/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/>
      <c r="G658" s="63" t="str">
        <f t="shared" si="140"/>
        <v/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67" t="s">
        <v>264</v>
      </c>
      <c r="B662" s="167"/>
      <c r="C662" s="167"/>
      <c r="D662" s="167"/>
      <c r="E662" s="167"/>
      <c r="F662" s="2">
        <f>SUM(F650:F661)</f>
        <v>198</v>
      </c>
      <c r="G662" s="2">
        <f>SUM(G650:G661)</f>
        <v>990</v>
      </c>
      <c r="H662" s="71"/>
      <c r="I662" s="71"/>
      <c r="J662" s="71"/>
      <c r="K662" s="71"/>
      <c r="L662" s="71"/>
      <c r="M662" s="72">
        <f ca="1">IFERROR(SUM(M650:M661),"")</f>
        <v>0.10281956019025529</v>
      </c>
      <c r="N662" s="2" t="s">
        <v>265</v>
      </c>
      <c r="O662" s="73"/>
    </row>
    <row r="663" spans="1:15" ht="15" customHeight="1" x14ac:dyDescent="0.3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 x14ac:dyDescent="0.3">
      <c r="A676" s="168" t="s">
        <v>253</v>
      </c>
      <c r="B676" s="168"/>
      <c r="C676" s="168"/>
      <c r="D676" s="168"/>
      <c r="E676" s="168"/>
      <c r="F676" s="1">
        <f>F662+F675</f>
        <v>198</v>
      </c>
      <c r="G676" s="1">
        <f>G662+G675</f>
        <v>990</v>
      </c>
      <c r="H676" s="75"/>
      <c r="I676" s="75"/>
      <c r="J676" s="75"/>
      <c r="K676" s="75"/>
      <c r="L676" s="75"/>
      <c r="M676" s="76">
        <f ca="1">IFERROR(M662+M675,"")</f>
        <v>0.10281956019025529</v>
      </c>
      <c r="N676" s="1" t="s">
        <v>268</v>
      </c>
      <c r="O676" s="81">
        <f>IFERROR(O662+O675,"")</f>
        <v>0</v>
      </c>
    </row>
    <row r="677" spans="1:15" ht="15" customHeight="1" x14ac:dyDescent="0.3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 x14ac:dyDescent="0.3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 x14ac:dyDescent="0.3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 x14ac:dyDescent="0.3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 x14ac:dyDescent="0.3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 x14ac:dyDescent="0.3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 x14ac:dyDescent="0.3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 x14ac:dyDescent="0.3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 x14ac:dyDescent="0.3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P637" sqref="P637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9" width="16.109375" style="53" hidden="1" customWidth="1"/>
    <col min="10" max="10" width="13.88671875" style="53" hidden="1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58" t="s">
        <v>264</v>
      </c>
      <c r="B14" s="158"/>
      <c r="C14" s="158"/>
      <c r="D14" s="158"/>
      <c r="E14" s="158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58" t="s">
        <v>267</v>
      </c>
      <c r="B27" s="158"/>
      <c r="C27" s="158"/>
      <c r="D27" s="158"/>
      <c r="E27" s="158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 x14ac:dyDescent="0.3">
      <c r="A28" s="159" t="s">
        <v>253</v>
      </c>
      <c r="B28" s="159"/>
      <c r="C28" s="159"/>
      <c r="D28" s="159"/>
      <c r="E28" s="159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58" t="s">
        <v>264</v>
      </c>
      <c r="B41" s="158"/>
      <c r="C41" s="158"/>
      <c r="D41" s="158"/>
      <c r="E41" s="158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0.49865289351873798</v>
      </c>
      <c r="R53" s="79" t="s">
        <v>319</v>
      </c>
      <c r="S53" s="66"/>
    </row>
    <row r="54" spans="1:20" ht="15.75" customHeight="1" x14ac:dyDescent="0.3">
      <c r="A54" s="158" t="s">
        <v>267</v>
      </c>
      <c r="B54" s="158"/>
      <c r="C54" s="158"/>
      <c r="D54" s="158"/>
      <c r="E54" s="158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0.63754178240762571</v>
      </c>
      <c r="R54" s="2" t="s">
        <v>265</v>
      </c>
      <c r="S54" s="112">
        <v>352430</v>
      </c>
      <c r="T54" s="113"/>
    </row>
    <row r="55" spans="1:20" ht="18" customHeight="1" x14ac:dyDescent="0.3">
      <c r="A55" s="159" t="s">
        <v>253</v>
      </c>
      <c r="B55" s="159"/>
      <c r="C55" s="159"/>
      <c r="D55" s="159"/>
      <c r="E55" s="159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0.72226400462984852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58" t="s">
        <v>264</v>
      </c>
      <c r="B68" s="158"/>
      <c r="C68" s="158"/>
      <c r="D68" s="158"/>
      <c r="E68" s="158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58" t="s">
        <v>267</v>
      </c>
      <c r="B81" s="158"/>
      <c r="C81" s="158"/>
      <c r="D81" s="158"/>
      <c r="E81" s="158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 x14ac:dyDescent="0.3">
      <c r="A82" s="159" t="s">
        <v>253</v>
      </c>
      <c r="B82" s="159"/>
      <c r="C82" s="159"/>
      <c r="D82" s="159"/>
      <c r="E82" s="159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58" t="s">
        <v>264</v>
      </c>
      <c r="B95" s="158"/>
      <c r="C95" s="158"/>
      <c r="D95" s="158"/>
      <c r="E95" s="158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58" t="s">
        <v>267</v>
      </c>
      <c r="B108" s="158"/>
      <c r="C108" s="158"/>
      <c r="D108" s="158"/>
      <c r="E108" s="158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 x14ac:dyDescent="0.3">
      <c r="A109" s="159" t="s">
        <v>253</v>
      </c>
      <c r="B109" s="159"/>
      <c r="C109" s="159"/>
      <c r="D109" s="159"/>
      <c r="E109" s="159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58" t="s">
        <v>264</v>
      </c>
      <c r="B122" s="158"/>
      <c r="C122" s="158"/>
      <c r="D122" s="158"/>
      <c r="E122" s="158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58" t="s">
        <v>267</v>
      </c>
      <c r="B135" s="158"/>
      <c r="C135" s="158"/>
      <c r="D135" s="158"/>
      <c r="E135" s="158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 x14ac:dyDescent="0.3">
      <c r="A136" s="159" t="s">
        <v>253</v>
      </c>
      <c r="B136" s="159"/>
      <c r="C136" s="159"/>
      <c r="D136" s="159"/>
      <c r="E136" s="159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58" t="s">
        <v>264</v>
      </c>
      <c r="B149" s="158"/>
      <c r="C149" s="158"/>
      <c r="D149" s="158"/>
      <c r="E149" s="158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58" t="s">
        <v>267</v>
      </c>
      <c r="B162" s="158"/>
      <c r="C162" s="158"/>
      <c r="D162" s="158"/>
      <c r="E162" s="158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 x14ac:dyDescent="0.3">
      <c r="A163" s="159" t="s">
        <v>253</v>
      </c>
      <c r="B163" s="159"/>
      <c r="C163" s="159"/>
      <c r="D163" s="159"/>
      <c r="E163" s="159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58" t="s">
        <v>264</v>
      </c>
      <c r="B176" s="158"/>
      <c r="C176" s="158"/>
      <c r="D176" s="158"/>
      <c r="E176" s="158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58" t="s">
        <v>267</v>
      </c>
      <c r="B189" s="158"/>
      <c r="C189" s="158"/>
      <c r="D189" s="158"/>
      <c r="E189" s="158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 x14ac:dyDescent="0.3">
      <c r="A190" s="159" t="s">
        <v>253</v>
      </c>
      <c r="B190" s="159"/>
      <c r="C190" s="159"/>
      <c r="D190" s="159"/>
      <c r="E190" s="159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58" t="s">
        <v>264</v>
      </c>
      <c r="B203" s="158"/>
      <c r="C203" s="158"/>
      <c r="D203" s="158"/>
      <c r="E203" s="158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58" t="s">
        <v>267</v>
      </c>
      <c r="B216" s="158"/>
      <c r="C216" s="158"/>
      <c r="D216" s="158"/>
      <c r="E216" s="158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 x14ac:dyDescent="0.3">
      <c r="A217" s="159" t="s">
        <v>253</v>
      </c>
      <c r="B217" s="159"/>
      <c r="C217" s="159"/>
      <c r="D217" s="159"/>
      <c r="E217" s="159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58" t="s">
        <v>264</v>
      </c>
      <c r="B230" s="158"/>
      <c r="C230" s="158"/>
      <c r="D230" s="158"/>
      <c r="E230" s="158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58" t="s">
        <v>267</v>
      </c>
      <c r="B243" s="158"/>
      <c r="C243" s="158"/>
      <c r="D243" s="158"/>
      <c r="E243" s="158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 x14ac:dyDescent="0.3">
      <c r="A244" s="159" t="s">
        <v>253</v>
      </c>
      <c r="B244" s="159"/>
      <c r="C244" s="159"/>
      <c r="D244" s="159"/>
      <c r="E244" s="159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58" t="s">
        <v>264</v>
      </c>
      <c r="B257" s="158"/>
      <c r="C257" s="158"/>
      <c r="D257" s="158"/>
      <c r="E257" s="158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58" t="s">
        <v>267</v>
      </c>
      <c r="B270" s="158"/>
      <c r="C270" s="158"/>
      <c r="D270" s="158"/>
      <c r="E270" s="158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 x14ac:dyDescent="0.3">
      <c r="A271" s="159" t="s">
        <v>253</v>
      </c>
      <c r="B271" s="159"/>
      <c r="C271" s="159"/>
      <c r="D271" s="159"/>
      <c r="E271" s="159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58" t="s">
        <v>264</v>
      </c>
      <c r="B284" s="158"/>
      <c r="C284" s="158"/>
      <c r="D284" s="158"/>
      <c r="E284" s="158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58" t="s">
        <v>267</v>
      </c>
      <c r="B297" s="158"/>
      <c r="C297" s="158"/>
      <c r="D297" s="158"/>
      <c r="E297" s="158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 x14ac:dyDescent="0.3">
      <c r="A298" s="159" t="s">
        <v>253</v>
      </c>
      <c r="B298" s="159"/>
      <c r="C298" s="159"/>
      <c r="D298" s="159"/>
      <c r="E298" s="159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58" t="s">
        <v>264</v>
      </c>
      <c r="B311" s="158"/>
      <c r="C311" s="158"/>
      <c r="D311" s="158"/>
      <c r="E311" s="158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58" t="s">
        <v>267</v>
      </c>
      <c r="B324" s="158"/>
      <c r="C324" s="158"/>
      <c r="D324" s="158"/>
      <c r="E324" s="158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59" t="s">
        <v>253</v>
      </c>
      <c r="B325" s="159"/>
      <c r="C325" s="159"/>
      <c r="D325" s="159"/>
      <c r="E325" s="159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58" t="s">
        <v>264</v>
      </c>
      <c r="B338" s="158"/>
      <c r="C338" s="158"/>
      <c r="D338" s="158"/>
      <c r="E338" s="158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58" t="s">
        <v>267</v>
      </c>
      <c r="B351" s="158"/>
      <c r="C351" s="158"/>
      <c r="D351" s="158"/>
      <c r="E351" s="158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 x14ac:dyDescent="0.3">
      <c r="A352" s="159" t="s">
        <v>253</v>
      </c>
      <c r="B352" s="159"/>
      <c r="C352" s="159"/>
      <c r="D352" s="159"/>
      <c r="E352" s="159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58" t="s">
        <v>264</v>
      </c>
      <c r="B365" s="158"/>
      <c r="C365" s="158"/>
      <c r="D365" s="158"/>
      <c r="E365" s="158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58" t="s">
        <v>267</v>
      </c>
      <c r="B378" s="158"/>
      <c r="C378" s="158"/>
      <c r="D378" s="158"/>
      <c r="E378" s="158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 x14ac:dyDescent="0.3">
      <c r="A379" s="159" t="s">
        <v>253</v>
      </c>
      <c r="B379" s="159"/>
      <c r="C379" s="159"/>
      <c r="D379" s="159"/>
      <c r="E379" s="159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58" t="s">
        <v>264</v>
      </c>
      <c r="B392" s="158"/>
      <c r="C392" s="158"/>
      <c r="D392" s="158"/>
      <c r="E392" s="158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58" t="s">
        <v>267</v>
      </c>
      <c r="B405" s="158"/>
      <c r="C405" s="158"/>
      <c r="D405" s="158"/>
      <c r="E405" s="158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 x14ac:dyDescent="0.3">
      <c r="A406" s="159" t="s">
        <v>253</v>
      </c>
      <c r="B406" s="159"/>
      <c r="C406" s="159"/>
      <c r="D406" s="159"/>
      <c r="E406" s="159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58" t="s">
        <v>264</v>
      </c>
      <c r="B419" s="158"/>
      <c r="C419" s="158"/>
      <c r="D419" s="158"/>
      <c r="E419" s="158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58" t="s">
        <v>264</v>
      </c>
      <c r="B446" s="158"/>
      <c r="C446" s="158"/>
      <c r="D446" s="158"/>
      <c r="E446" s="158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58" t="s">
        <v>267</v>
      </c>
      <c r="B459" s="158"/>
      <c r="C459" s="158"/>
      <c r="D459" s="158"/>
      <c r="E459" s="158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 x14ac:dyDescent="0.3">
      <c r="A460" s="159" t="s">
        <v>253</v>
      </c>
      <c r="B460" s="159"/>
      <c r="C460" s="159"/>
      <c r="D460" s="159"/>
      <c r="E460" s="159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58" t="s">
        <v>264</v>
      </c>
      <c r="B473" s="158"/>
      <c r="C473" s="158"/>
      <c r="D473" s="158"/>
      <c r="E473" s="158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58" t="s">
        <v>267</v>
      </c>
      <c r="B486" s="158"/>
      <c r="C486" s="158"/>
      <c r="D486" s="158"/>
      <c r="E486" s="158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59" t="s">
        <v>253</v>
      </c>
      <c r="B487" s="159"/>
      <c r="C487" s="159"/>
      <c r="D487" s="159"/>
      <c r="E487" s="159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58" t="s">
        <v>264</v>
      </c>
      <c r="B500" s="158"/>
      <c r="C500" s="158"/>
      <c r="D500" s="158"/>
      <c r="E500" s="158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 x14ac:dyDescent="0.3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58" t="s">
        <v>264</v>
      </c>
      <c r="B527" s="158"/>
      <c r="C527" s="158"/>
      <c r="D527" s="158"/>
      <c r="E527" s="158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58" t="s">
        <v>267</v>
      </c>
      <c r="B540" s="158"/>
      <c r="C540" s="158"/>
      <c r="D540" s="158"/>
      <c r="E540" s="158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 x14ac:dyDescent="0.3">
      <c r="A541" s="159" t="s">
        <v>253</v>
      </c>
      <c r="B541" s="159"/>
      <c r="C541" s="159"/>
      <c r="D541" s="159"/>
      <c r="E541" s="159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58" t="s">
        <v>264</v>
      </c>
      <c r="B554" s="158"/>
      <c r="C554" s="158"/>
      <c r="D554" s="158"/>
      <c r="E554" s="158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58" t="s">
        <v>267</v>
      </c>
      <c r="B567" s="158"/>
      <c r="C567" s="158"/>
      <c r="D567" s="158"/>
      <c r="E567" s="158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 x14ac:dyDescent="0.3">
      <c r="A568" s="159" t="s">
        <v>253</v>
      </c>
      <c r="B568" s="159"/>
      <c r="C568" s="159"/>
      <c r="D568" s="159"/>
      <c r="E568" s="159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58" t="s">
        <v>264</v>
      </c>
      <c r="B581" s="158"/>
      <c r="C581" s="158"/>
      <c r="D581" s="158"/>
      <c r="E581" s="158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58" t="s">
        <v>267</v>
      </c>
      <c r="B594" s="158"/>
      <c r="C594" s="158"/>
      <c r="D594" s="158"/>
      <c r="E594" s="158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 x14ac:dyDescent="0.3">
      <c r="A595" s="159" t="s">
        <v>253</v>
      </c>
      <c r="B595" s="159"/>
      <c r="C595" s="159"/>
      <c r="D595" s="159"/>
      <c r="E595" s="159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58" t="s">
        <v>264</v>
      </c>
      <c r="B608" s="158"/>
      <c r="C608" s="158"/>
      <c r="D608" s="158"/>
      <c r="E608" s="158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58" t="s">
        <v>267</v>
      </c>
      <c r="B621" s="158"/>
      <c r="C621" s="158"/>
      <c r="D621" s="158"/>
      <c r="E621" s="158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 x14ac:dyDescent="0.3">
      <c r="A622" s="159" t="s">
        <v>253</v>
      </c>
      <c r="B622" s="159"/>
      <c r="C622" s="159"/>
      <c r="D622" s="159"/>
      <c r="E622" s="159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58" t="s">
        <v>264</v>
      </c>
      <c r="B635" s="158"/>
      <c r="C635" s="158"/>
      <c r="D635" s="158"/>
      <c r="E635" s="158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58" t="s">
        <v>267</v>
      </c>
      <c r="B648" s="158"/>
      <c r="C648" s="158"/>
      <c r="D648" s="158"/>
      <c r="E648" s="158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 x14ac:dyDescent="0.3">
      <c r="A649" s="159" t="s">
        <v>253</v>
      </c>
      <c r="B649" s="159"/>
      <c r="C649" s="159"/>
      <c r="D649" s="159"/>
      <c r="E649" s="159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72">IFERROR(IF(O650="","",IF(P650="",MOD(NOW()-O650,1),IF(P650&gt;=O650,P650-O650,P650+1-O650))),"")</f>
        <v>0.32851400463550817</v>
      </c>
      <c r="R650" s="79"/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70"/>
        <v/>
      </c>
      <c r="K651" s="68">
        <f t="shared" si="171"/>
        <v>0</v>
      </c>
      <c r="L651" s="69"/>
      <c r="M651" s="69"/>
      <c r="N651" s="69"/>
      <c r="O651" s="64"/>
      <c r="P651" s="64"/>
      <c r="Q651" s="70" t="str">
        <f t="shared" ca="1" si="172"/>
        <v/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70"/>
        <v/>
      </c>
      <c r="K657" s="68" t="str">
        <f t="shared" si="171"/>
        <v/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58" t="s">
        <v>264</v>
      </c>
      <c r="B662" s="158"/>
      <c r="C662" s="158"/>
      <c r="D662" s="158"/>
      <c r="E662" s="158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0.32851400463550817</v>
      </c>
      <c r="R662" s="2" t="s">
        <v>265</v>
      </c>
      <c r="S662" s="73"/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58" t="s">
        <v>267</v>
      </c>
      <c r="B675" s="158"/>
      <c r="C675" s="158"/>
      <c r="D675" s="158"/>
      <c r="E675" s="158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59" t="s">
        <v>253</v>
      </c>
      <c r="B676" s="159"/>
      <c r="C676" s="159"/>
      <c r="D676" s="159"/>
      <c r="E676" s="159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0.32851400463550817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58" t="s">
        <v>264</v>
      </c>
      <c r="B689" s="158"/>
      <c r="C689" s="158"/>
      <c r="D689" s="158"/>
      <c r="E689" s="158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58" t="s">
        <v>267</v>
      </c>
      <c r="B702" s="158"/>
      <c r="C702" s="158"/>
      <c r="D702" s="158"/>
      <c r="E702" s="15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59" t="s">
        <v>253</v>
      </c>
      <c r="B703" s="159"/>
      <c r="C703" s="159"/>
      <c r="D703" s="159"/>
      <c r="E703" s="159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58" t="s">
        <v>264</v>
      </c>
      <c r="B716" s="158"/>
      <c r="C716" s="158"/>
      <c r="D716" s="158"/>
      <c r="E716" s="15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58" t="s">
        <v>267</v>
      </c>
      <c r="B729" s="158"/>
      <c r="C729" s="158"/>
      <c r="D729" s="158"/>
      <c r="E729" s="15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59" t="s">
        <v>253</v>
      </c>
      <c r="B730" s="159"/>
      <c r="C730" s="159"/>
      <c r="D730" s="159"/>
      <c r="E730" s="15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58" t="s">
        <v>264</v>
      </c>
      <c r="B743" s="158"/>
      <c r="C743" s="158"/>
      <c r="D743" s="158"/>
      <c r="E743" s="15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58" t="s">
        <v>267</v>
      </c>
      <c r="B756" s="158"/>
      <c r="C756" s="158"/>
      <c r="D756" s="158"/>
      <c r="E756" s="15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59" t="s">
        <v>253</v>
      </c>
      <c r="B757" s="159"/>
      <c r="C757" s="159"/>
      <c r="D757" s="159"/>
      <c r="E757" s="15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58" t="s">
        <v>264</v>
      </c>
      <c r="B770" s="158"/>
      <c r="C770" s="158"/>
      <c r="D770" s="158"/>
      <c r="E770" s="15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58" t="s">
        <v>267</v>
      </c>
      <c r="B783" s="158"/>
      <c r="C783" s="158"/>
      <c r="D783" s="158"/>
      <c r="E783" s="15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59" t="s">
        <v>253</v>
      </c>
      <c r="B784" s="159"/>
      <c r="C784" s="159"/>
      <c r="D784" s="159"/>
      <c r="E784" s="15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58" t="s">
        <v>264</v>
      </c>
      <c r="B797" s="158"/>
      <c r="C797" s="158"/>
      <c r="D797" s="158"/>
      <c r="E797" s="15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58" t="s">
        <v>267</v>
      </c>
      <c r="B810" s="158"/>
      <c r="C810" s="158"/>
      <c r="D810" s="158"/>
      <c r="E810" s="15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59" t="s">
        <v>253</v>
      </c>
      <c r="B811" s="159"/>
      <c r="C811" s="159"/>
      <c r="D811" s="159"/>
      <c r="E811" s="15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58" t="s">
        <v>264</v>
      </c>
      <c r="B824" s="158"/>
      <c r="C824" s="158"/>
      <c r="D824" s="158"/>
      <c r="E824" s="15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58" t="s">
        <v>267</v>
      </c>
      <c r="B837" s="158"/>
      <c r="C837" s="158"/>
      <c r="D837" s="158"/>
      <c r="E837" s="15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 x14ac:dyDescent="0.3">
      <c r="A838" s="159" t="s">
        <v>253</v>
      </c>
      <c r="B838" s="159"/>
      <c r="C838" s="159"/>
      <c r="D838" s="159"/>
      <c r="E838" s="15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58" t="s">
        <v>264</v>
      </c>
      <c r="B14" s="158"/>
      <c r="C14" s="158"/>
      <c r="D14" s="158"/>
      <c r="E14" s="158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357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358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58" t="s">
        <v>267</v>
      </c>
      <c r="B27" s="158"/>
      <c r="C27" s="158"/>
      <c r="D27" s="158"/>
      <c r="E27" s="158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 x14ac:dyDescent="0.3">
      <c r="A28" s="159" t="s">
        <v>253</v>
      </c>
      <c r="B28" s="159"/>
      <c r="C28" s="159"/>
      <c r="D28" s="159"/>
      <c r="E28" s="159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58" t="s">
        <v>264</v>
      </c>
      <c r="B41" s="158"/>
      <c r="C41" s="158"/>
      <c r="D41" s="158"/>
      <c r="E41" s="158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357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357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58" t="s">
        <v>267</v>
      </c>
      <c r="B54" s="158"/>
      <c r="C54" s="158"/>
      <c r="D54" s="158"/>
      <c r="E54" s="158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 x14ac:dyDescent="0.3">
      <c r="A55" s="159" t="s">
        <v>253</v>
      </c>
      <c r="B55" s="159"/>
      <c r="C55" s="159"/>
      <c r="D55" s="159"/>
      <c r="E55" s="159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359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58" t="s">
        <v>264</v>
      </c>
      <c r="B68" s="158"/>
      <c r="C68" s="158"/>
      <c r="D68" s="158"/>
      <c r="E68" s="158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360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58" t="s">
        <v>267</v>
      </c>
      <c r="B81" s="158"/>
      <c r="C81" s="158"/>
      <c r="D81" s="158"/>
      <c r="E81" s="158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 x14ac:dyDescent="0.3">
      <c r="A82" s="159" t="s">
        <v>253</v>
      </c>
      <c r="B82" s="159"/>
      <c r="C82" s="159"/>
      <c r="D82" s="159"/>
      <c r="E82" s="159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361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362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58" t="s">
        <v>264</v>
      </c>
      <c r="B95" s="158"/>
      <c r="C95" s="158"/>
      <c r="D95" s="158"/>
      <c r="E95" s="158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363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58" t="s">
        <v>267</v>
      </c>
      <c r="B108" s="158"/>
      <c r="C108" s="158"/>
      <c r="D108" s="158"/>
      <c r="E108" s="158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 x14ac:dyDescent="0.3">
      <c r="A109" s="159" t="s">
        <v>253</v>
      </c>
      <c r="B109" s="159"/>
      <c r="C109" s="159"/>
      <c r="D109" s="159"/>
      <c r="E109" s="159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58" t="s">
        <v>264</v>
      </c>
      <c r="B122" s="158"/>
      <c r="C122" s="158"/>
      <c r="D122" s="158"/>
      <c r="E122" s="158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364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58" t="s">
        <v>267</v>
      </c>
      <c r="B135" s="158"/>
      <c r="C135" s="158"/>
      <c r="D135" s="158"/>
      <c r="E135" s="158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 x14ac:dyDescent="0.3">
      <c r="A136" s="159" t="s">
        <v>253</v>
      </c>
      <c r="B136" s="159"/>
      <c r="C136" s="159"/>
      <c r="D136" s="159"/>
      <c r="E136" s="159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365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58" t="s">
        <v>264</v>
      </c>
      <c r="B149" s="158"/>
      <c r="C149" s="158"/>
      <c r="D149" s="158"/>
      <c r="E149" s="158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58" t="s">
        <v>267</v>
      </c>
      <c r="B162" s="158"/>
      <c r="C162" s="158"/>
      <c r="D162" s="158"/>
      <c r="E162" s="158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 x14ac:dyDescent="0.3">
      <c r="A163" s="159" t="s">
        <v>253</v>
      </c>
      <c r="B163" s="159"/>
      <c r="C163" s="159"/>
      <c r="D163" s="159"/>
      <c r="E163" s="159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366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58" t="s">
        <v>264</v>
      </c>
      <c r="B176" s="158"/>
      <c r="C176" s="158"/>
      <c r="D176" s="158"/>
      <c r="E176" s="158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367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58" t="s">
        <v>267</v>
      </c>
      <c r="B189" s="158"/>
      <c r="C189" s="158"/>
      <c r="D189" s="158"/>
      <c r="E189" s="158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 x14ac:dyDescent="0.3">
      <c r="A190" s="159" t="s">
        <v>253</v>
      </c>
      <c r="B190" s="159"/>
      <c r="C190" s="159"/>
      <c r="D190" s="159"/>
      <c r="E190" s="159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58" t="s">
        <v>264</v>
      </c>
      <c r="B203" s="158"/>
      <c r="C203" s="158"/>
      <c r="D203" s="158"/>
      <c r="E203" s="158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368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58" t="s">
        <v>267</v>
      </c>
      <c r="B216" s="158"/>
      <c r="C216" s="158"/>
      <c r="D216" s="158"/>
      <c r="E216" s="158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 x14ac:dyDescent="0.3">
      <c r="A217" s="159" t="s">
        <v>253</v>
      </c>
      <c r="B217" s="159"/>
      <c r="C217" s="159"/>
      <c r="D217" s="159"/>
      <c r="E217" s="159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369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370</v>
      </c>
      <c r="Q222" s="65" t="str">
        <f t="shared" ca="1" si="49"/>
        <v/>
      </c>
      <c r="R222" s="62" t="s">
        <v>371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58" t="s">
        <v>264</v>
      </c>
      <c r="B230" s="158"/>
      <c r="C230" s="158"/>
      <c r="D230" s="158"/>
      <c r="E230" s="158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58" t="s">
        <v>267</v>
      </c>
      <c r="B243" s="158"/>
      <c r="C243" s="158"/>
      <c r="D243" s="158"/>
      <c r="E243" s="158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 x14ac:dyDescent="0.3">
      <c r="A244" s="159" t="s">
        <v>253</v>
      </c>
      <c r="B244" s="159"/>
      <c r="C244" s="159"/>
      <c r="D244" s="159"/>
      <c r="E244" s="159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372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58" t="s">
        <v>264</v>
      </c>
      <c r="B257" s="158"/>
      <c r="C257" s="158"/>
      <c r="D257" s="158"/>
      <c r="E257" s="158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58" t="s">
        <v>267</v>
      </c>
      <c r="B270" s="158"/>
      <c r="C270" s="158"/>
      <c r="D270" s="158"/>
      <c r="E270" s="158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 x14ac:dyDescent="0.3">
      <c r="A271" s="159" t="s">
        <v>253</v>
      </c>
      <c r="B271" s="159"/>
      <c r="C271" s="159"/>
      <c r="D271" s="159"/>
      <c r="E271" s="159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58" t="s">
        <v>264</v>
      </c>
      <c r="B284" s="158"/>
      <c r="C284" s="158"/>
      <c r="D284" s="158"/>
      <c r="E284" s="158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58" t="s">
        <v>267</v>
      </c>
      <c r="B297" s="158"/>
      <c r="C297" s="158"/>
      <c r="D297" s="158"/>
      <c r="E297" s="158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 x14ac:dyDescent="0.3">
      <c r="A298" s="159" t="s">
        <v>253</v>
      </c>
      <c r="B298" s="159"/>
      <c r="C298" s="159"/>
      <c r="D298" s="159"/>
      <c r="E298" s="159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58" t="s">
        <v>264</v>
      </c>
      <c r="B311" s="158"/>
      <c r="C311" s="158"/>
      <c r="D311" s="158"/>
      <c r="E311" s="158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58" t="s">
        <v>267</v>
      </c>
      <c r="B324" s="158"/>
      <c r="C324" s="158"/>
      <c r="D324" s="158"/>
      <c r="E324" s="158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 x14ac:dyDescent="0.3">
      <c r="A325" s="159" t="s">
        <v>253</v>
      </c>
      <c r="B325" s="159"/>
      <c r="C325" s="159"/>
      <c r="D325" s="159"/>
      <c r="E325" s="159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373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58" t="s">
        <v>264</v>
      </c>
      <c r="B338" s="158"/>
      <c r="C338" s="158"/>
      <c r="D338" s="158"/>
      <c r="E338" s="158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58" t="s">
        <v>267</v>
      </c>
      <c r="B351" s="158"/>
      <c r="C351" s="158"/>
      <c r="D351" s="158"/>
      <c r="E351" s="158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 x14ac:dyDescent="0.3">
      <c r="A352" s="159" t="s">
        <v>253</v>
      </c>
      <c r="B352" s="159"/>
      <c r="C352" s="159"/>
      <c r="D352" s="159"/>
      <c r="E352" s="159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58" t="s">
        <v>264</v>
      </c>
      <c r="B365" s="158"/>
      <c r="C365" s="158"/>
      <c r="D365" s="158"/>
      <c r="E365" s="158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58" t="s">
        <v>267</v>
      </c>
      <c r="B378" s="158"/>
      <c r="C378" s="158"/>
      <c r="D378" s="158"/>
      <c r="E378" s="158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 x14ac:dyDescent="0.3">
      <c r="A379" s="159" t="s">
        <v>253</v>
      </c>
      <c r="B379" s="159"/>
      <c r="C379" s="159"/>
      <c r="D379" s="159"/>
      <c r="E379" s="159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374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58" t="s">
        <v>264</v>
      </c>
      <c r="B392" s="158"/>
      <c r="C392" s="158"/>
      <c r="D392" s="158"/>
      <c r="E392" s="158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58" t="s">
        <v>267</v>
      </c>
      <c r="B405" s="158"/>
      <c r="C405" s="158"/>
      <c r="D405" s="158"/>
      <c r="E405" s="158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 x14ac:dyDescent="0.3">
      <c r="A406" s="159" t="s">
        <v>253</v>
      </c>
      <c r="B406" s="159"/>
      <c r="C406" s="159"/>
      <c r="D406" s="159"/>
      <c r="E406" s="159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375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58" t="s">
        <v>264</v>
      </c>
      <c r="B419" s="158"/>
      <c r="C419" s="158"/>
      <c r="D419" s="158"/>
      <c r="E419" s="158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376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58" t="s">
        <v>267</v>
      </c>
      <c r="B432" s="158"/>
      <c r="C432" s="158"/>
      <c r="D432" s="158"/>
      <c r="E432" s="158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59" t="s">
        <v>253</v>
      </c>
      <c r="B433" s="159"/>
      <c r="C433" s="159"/>
      <c r="D433" s="159"/>
      <c r="E433" s="159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377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377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58" t="s">
        <v>264</v>
      </c>
      <c r="B446" s="158"/>
      <c r="C446" s="158"/>
      <c r="D446" s="158"/>
      <c r="E446" s="158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378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58" t="s">
        <v>267</v>
      </c>
      <c r="B459" s="158"/>
      <c r="C459" s="158"/>
      <c r="D459" s="158"/>
      <c r="E459" s="158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 x14ac:dyDescent="0.3">
      <c r="A460" s="159" t="s">
        <v>253</v>
      </c>
      <c r="B460" s="159"/>
      <c r="C460" s="159"/>
      <c r="D460" s="159"/>
      <c r="E460" s="159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58" t="s">
        <v>264</v>
      </c>
      <c r="B473" s="158"/>
      <c r="C473" s="158"/>
      <c r="D473" s="158"/>
      <c r="E473" s="158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379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58" t="s">
        <v>267</v>
      </c>
      <c r="B486" s="158"/>
      <c r="C486" s="158"/>
      <c r="D486" s="158"/>
      <c r="E486" s="158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59" t="s">
        <v>253</v>
      </c>
      <c r="B487" s="159"/>
      <c r="C487" s="159"/>
      <c r="D487" s="159"/>
      <c r="E487" s="159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364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58" t="s">
        <v>264</v>
      </c>
      <c r="B500" s="158"/>
      <c r="C500" s="158"/>
      <c r="D500" s="158"/>
      <c r="E500" s="158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380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381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58" t="s">
        <v>267</v>
      </c>
      <c r="B513" s="158"/>
      <c r="C513" s="158"/>
      <c r="D513" s="158"/>
      <c r="E513" s="158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 x14ac:dyDescent="0.3">
      <c r="A514" s="159" t="s">
        <v>253</v>
      </c>
      <c r="B514" s="159"/>
      <c r="C514" s="159"/>
      <c r="D514" s="159"/>
      <c r="E514" s="159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382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58" t="s">
        <v>264</v>
      </c>
      <c r="B527" s="158"/>
      <c r="C527" s="158"/>
      <c r="D527" s="158"/>
      <c r="E527" s="158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383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58" t="s">
        <v>267</v>
      </c>
      <c r="B540" s="158"/>
      <c r="C540" s="158"/>
      <c r="D540" s="158"/>
      <c r="E540" s="158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 x14ac:dyDescent="0.3">
      <c r="A541" s="159" t="s">
        <v>253</v>
      </c>
      <c r="B541" s="159"/>
      <c r="C541" s="159"/>
      <c r="D541" s="159"/>
      <c r="E541" s="159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384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58" t="s">
        <v>264</v>
      </c>
      <c r="B554" s="158"/>
      <c r="C554" s="158"/>
      <c r="D554" s="158"/>
      <c r="E554" s="158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385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357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58" t="s">
        <v>267</v>
      </c>
      <c r="B567" s="158"/>
      <c r="C567" s="158"/>
      <c r="D567" s="158"/>
      <c r="E567" s="158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59" t="s">
        <v>253</v>
      </c>
      <c r="B568" s="159"/>
      <c r="C568" s="159"/>
      <c r="D568" s="159"/>
      <c r="E568" s="159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58" t="s">
        <v>264</v>
      </c>
      <c r="B581" s="158"/>
      <c r="C581" s="158"/>
      <c r="D581" s="158"/>
      <c r="E581" s="158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380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58" t="s">
        <v>267</v>
      </c>
      <c r="B594" s="158"/>
      <c r="C594" s="158"/>
      <c r="D594" s="158"/>
      <c r="E594" s="158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 x14ac:dyDescent="0.3">
      <c r="A595" s="159" t="s">
        <v>253</v>
      </c>
      <c r="B595" s="159"/>
      <c r="C595" s="159"/>
      <c r="D595" s="159"/>
      <c r="E595" s="159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58" t="s">
        <v>264</v>
      </c>
      <c r="B608" s="158"/>
      <c r="C608" s="158"/>
      <c r="D608" s="158"/>
      <c r="E608" s="158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377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386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386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386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58" t="s">
        <v>267</v>
      </c>
      <c r="B621" s="158"/>
      <c r="C621" s="158"/>
      <c r="D621" s="158"/>
      <c r="E621" s="158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 x14ac:dyDescent="0.3">
      <c r="A622" s="159" t="s">
        <v>253</v>
      </c>
      <c r="B622" s="159"/>
      <c r="C622" s="159"/>
      <c r="D622" s="159"/>
      <c r="E622" s="159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362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58" t="s">
        <v>264</v>
      </c>
      <c r="B635" s="158"/>
      <c r="C635" s="158"/>
      <c r="D635" s="158"/>
      <c r="E635" s="158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387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58" t="s">
        <v>267</v>
      </c>
      <c r="B648" s="158"/>
      <c r="C648" s="158"/>
      <c r="D648" s="158"/>
      <c r="E648" s="158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 x14ac:dyDescent="0.3">
      <c r="A649" s="159" t="s">
        <v>253</v>
      </c>
      <c r="B649" s="159"/>
      <c r="C649" s="159"/>
      <c r="D649" s="159"/>
      <c r="E649" s="159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0.32851400463550817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 t="str">
        <f t="shared" si="168"/>
        <v/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 t="str">
        <f t="shared" si="168"/>
        <v/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58" t="s">
        <v>264</v>
      </c>
      <c r="B662" s="158"/>
      <c r="C662" s="158"/>
      <c r="D662" s="158"/>
      <c r="E662" s="158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0.32851400463550817</v>
      </c>
      <c r="R662" s="2" t="s">
        <v>265</v>
      </c>
      <c r="S662" s="73"/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58" t="s">
        <v>267</v>
      </c>
      <c r="B675" s="158"/>
      <c r="C675" s="158"/>
      <c r="D675" s="158"/>
      <c r="E675" s="158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59" t="s">
        <v>253</v>
      </c>
      <c r="B676" s="159"/>
      <c r="C676" s="159"/>
      <c r="D676" s="159"/>
      <c r="E676" s="159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0.32851400463550817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58" t="s">
        <v>264</v>
      </c>
      <c r="B689" s="158"/>
      <c r="C689" s="158"/>
      <c r="D689" s="158"/>
      <c r="E689" s="158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58" t="s">
        <v>267</v>
      </c>
      <c r="B702" s="158"/>
      <c r="C702" s="158"/>
      <c r="D702" s="158"/>
      <c r="E702" s="15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59" t="s">
        <v>253</v>
      </c>
      <c r="B703" s="159"/>
      <c r="C703" s="159"/>
      <c r="D703" s="159"/>
      <c r="E703" s="159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58" t="s">
        <v>264</v>
      </c>
      <c r="B716" s="158"/>
      <c r="C716" s="158"/>
      <c r="D716" s="158"/>
      <c r="E716" s="15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58" t="s">
        <v>267</v>
      </c>
      <c r="B729" s="158"/>
      <c r="C729" s="158"/>
      <c r="D729" s="158"/>
      <c r="E729" s="15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59" t="s">
        <v>253</v>
      </c>
      <c r="B730" s="159"/>
      <c r="C730" s="159"/>
      <c r="D730" s="159"/>
      <c r="E730" s="15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58" t="s">
        <v>264</v>
      </c>
      <c r="B743" s="158"/>
      <c r="C743" s="158"/>
      <c r="D743" s="158"/>
      <c r="E743" s="15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58" t="s">
        <v>267</v>
      </c>
      <c r="B756" s="158"/>
      <c r="C756" s="158"/>
      <c r="D756" s="158"/>
      <c r="E756" s="15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59" t="s">
        <v>253</v>
      </c>
      <c r="B757" s="159"/>
      <c r="C757" s="159"/>
      <c r="D757" s="159"/>
      <c r="E757" s="15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58" t="s">
        <v>264</v>
      </c>
      <c r="B770" s="158"/>
      <c r="C770" s="158"/>
      <c r="D770" s="158"/>
      <c r="E770" s="15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58" t="s">
        <v>267</v>
      </c>
      <c r="B783" s="158"/>
      <c r="C783" s="158"/>
      <c r="D783" s="158"/>
      <c r="E783" s="15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59" t="s">
        <v>253</v>
      </c>
      <c r="B784" s="159"/>
      <c r="C784" s="159"/>
      <c r="D784" s="159"/>
      <c r="E784" s="15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58" t="s">
        <v>264</v>
      </c>
      <c r="B797" s="158"/>
      <c r="C797" s="158"/>
      <c r="D797" s="158"/>
      <c r="E797" s="15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58" t="s">
        <v>267</v>
      </c>
      <c r="B810" s="158"/>
      <c r="C810" s="158"/>
      <c r="D810" s="158"/>
      <c r="E810" s="15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59" t="s">
        <v>253</v>
      </c>
      <c r="B811" s="159"/>
      <c r="C811" s="159"/>
      <c r="D811" s="159"/>
      <c r="E811" s="15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58" t="s">
        <v>264</v>
      </c>
      <c r="B824" s="158"/>
      <c r="C824" s="158"/>
      <c r="D824" s="158"/>
      <c r="E824" s="15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58" t="s">
        <v>267</v>
      </c>
      <c r="B837" s="158"/>
      <c r="C837" s="158"/>
      <c r="D837" s="158"/>
      <c r="E837" s="15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3">
      <c r="A838" s="159" t="s">
        <v>253</v>
      </c>
      <c r="B838" s="159"/>
      <c r="C838" s="159"/>
      <c r="D838" s="159"/>
      <c r="E838" s="15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4" activePane="bottomLeft" state="frozen"/>
      <selection pane="bottomLeft" activeCell="L609" sqref="L609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58" t="s">
        <v>264</v>
      </c>
      <c r="B14" s="158"/>
      <c r="C14" s="158"/>
      <c r="D14" s="158"/>
      <c r="E14" s="158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388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357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389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390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58" t="s">
        <v>267</v>
      </c>
      <c r="B27" s="158"/>
      <c r="C27" s="158"/>
      <c r="D27" s="158"/>
      <c r="E27" s="158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 x14ac:dyDescent="0.3">
      <c r="A28" s="159" t="s">
        <v>253</v>
      </c>
      <c r="B28" s="159"/>
      <c r="C28" s="159"/>
      <c r="D28" s="159"/>
      <c r="E28" s="159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58" t="s">
        <v>264</v>
      </c>
      <c r="B41" s="158"/>
      <c r="C41" s="158"/>
      <c r="D41" s="158"/>
      <c r="E41" s="158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391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58" t="s">
        <v>267</v>
      </c>
      <c r="B54" s="158"/>
      <c r="C54" s="158"/>
      <c r="D54" s="158"/>
      <c r="E54" s="158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 x14ac:dyDescent="0.3">
      <c r="A55" s="159" t="s">
        <v>253</v>
      </c>
      <c r="B55" s="159"/>
      <c r="C55" s="159"/>
      <c r="D55" s="159"/>
      <c r="E55" s="159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392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393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58" t="s">
        <v>264</v>
      </c>
      <c r="B68" s="158"/>
      <c r="C68" s="158"/>
      <c r="D68" s="158"/>
      <c r="E68" s="158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394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357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58" t="s">
        <v>267</v>
      </c>
      <c r="B81" s="158"/>
      <c r="C81" s="158"/>
      <c r="D81" s="158"/>
      <c r="E81" s="158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 x14ac:dyDescent="0.3">
      <c r="A82" s="159" t="s">
        <v>253</v>
      </c>
      <c r="B82" s="159"/>
      <c r="C82" s="159"/>
      <c r="D82" s="159"/>
      <c r="E82" s="159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58" t="s">
        <v>264</v>
      </c>
      <c r="B95" s="158"/>
      <c r="C95" s="158"/>
      <c r="D95" s="158"/>
      <c r="E95" s="158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357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58" t="s">
        <v>267</v>
      </c>
      <c r="B108" s="158"/>
      <c r="C108" s="158"/>
      <c r="D108" s="158"/>
      <c r="E108" s="158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 x14ac:dyDescent="0.3">
      <c r="A109" s="159" t="s">
        <v>253</v>
      </c>
      <c r="B109" s="159"/>
      <c r="C109" s="159"/>
      <c r="D109" s="159"/>
      <c r="E109" s="159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395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58" t="s">
        <v>264</v>
      </c>
      <c r="B122" s="158"/>
      <c r="C122" s="158"/>
      <c r="D122" s="158"/>
      <c r="E122" s="158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396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357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58" t="s">
        <v>267</v>
      </c>
      <c r="B135" s="158"/>
      <c r="C135" s="158"/>
      <c r="D135" s="158"/>
      <c r="E135" s="158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 x14ac:dyDescent="0.3">
      <c r="A136" s="159" t="s">
        <v>253</v>
      </c>
      <c r="B136" s="159"/>
      <c r="C136" s="159"/>
      <c r="D136" s="159"/>
      <c r="E136" s="159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397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398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399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400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58" t="s">
        <v>267</v>
      </c>
      <c r="B162" s="158"/>
      <c r="C162" s="158"/>
      <c r="D162" s="158"/>
      <c r="E162" s="158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 x14ac:dyDescent="0.3">
      <c r="A163" s="159" t="s">
        <v>253</v>
      </c>
      <c r="B163" s="159"/>
      <c r="C163" s="159"/>
      <c r="D163" s="159"/>
      <c r="E163" s="159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401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58" t="s">
        <v>264</v>
      </c>
      <c r="B176" s="158"/>
      <c r="C176" s="158"/>
      <c r="D176" s="158"/>
      <c r="E176" s="158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402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58" t="s">
        <v>267</v>
      </c>
      <c r="B189" s="158"/>
      <c r="C189" s="158"/>
      <c r="D189" s="158"/>
      <c r="E189" s="158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 x14ac:dyDescent="0.3">
      <c r="A190" s="159" t="s">
        <v>253</v>
      </c>
      <c r="B190" s="159"/>
      <c r="C190" s="159"/>
      <c r="D190" s="159"/>
      <c r="E190" s="159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403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58" t="s">
        <v>264</v>
      </c>
      <c r="B203" s="158"/>
      <c r="C203" s="158"/>
      <c r="D203" s="158"/>
      <c r="E203" s="158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404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405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406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58" t="s">
        <v>267</v>
      </c>
      <c r="B216" s="158"/>
      <c r="C216" s="158"/>
      <c r="D216" s="158"/>
      <c r="E216" s="158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 x14ac:dyDescent="0.3">
      <c r="A217" s="159" t="s">
        <v>253</v>
      </c>
      <c r="B217" s="159"/>
      <c r="C217" s="159"/>
      <c r="D217" s="159"/>
      <c r="E217" s="159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407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408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58" t="s">
        <v>264</v>
      </c>
      <c r="B230" s="158"/>
      <c r="C230" s="158"/>
      <c r="D230" s="158"/>
      <c r="E230" s="158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409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410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58" t="s">
        <v>267</v>
      </c>
      <c r="B243" s="158"/>
      <c r="C243" s="158"/>
      <c r="D243" s="158"/>
      <c r="E243" s="158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 x14ac:dyDescent="0.3">
      <c r="A244" s="159" t="s">
        <v>253</v>
      </c>
      <c r="B244" s="159"/>
      <c r="C244" s="159"/>
      <c r="D244" s="159"/>
      <c r="E244" s="159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411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58" t="s">
        <v>264</v>
      </c>
      <c r="B257" s="158"/>
      <c r="C257" s="158"/>
      <c r="D257" s="158"/>
      <c r="E257" s="158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58" t="s">
        <v>267</v>
      </c>
      <c r="B270" s="158"/>
      <c r="C270" s="158"/>
      <c r="D270" s="158"/>
      <c r="E270" s="158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 x14ac:dyDescent="0.3">
      <c r="A271" s="159" t="s">
        <v>253</v>
      </c>
      <c r="B271" s="159"/>
      <c r="C271" s="159"/>
      <c r="D271" s="159"/>
      <c r="E271" s="159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58" t="s">
        <v>264</v>
      </c>
      <c r="B284" s="158"/>
      <c r="C284" s="158"/>
      <c r="D284" s="158"/>
      <c r="E284" s="158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58" t="s">
        <v>267</v>
      </c>
      <c r="B297" s="158"/>
      <c r="C297" s="158"/>
      <c r="D297" s="158"/>
      <c r="E297" s="158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 x14ac:dyDescent="0.3">
      <c r="A298" s="159" t="s">
        <v>253</v>
      </c>
      <c r="B298" s="159"/>
      <c r="C298" s="159"/>
      <c r="D298" s="159"/>
      <c r="E298" s="159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58" t="s">
        <v>264</v>
      </c>
      <c r="B311" s="158"/>
      <c r="C311" s="158"/>
      <c r="D311" s="158"/>
      <c r="E311" s="158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58" t="s">
        <v>267</v>
      </c>
      <c r="B324" s="158"/>
      <c r="C324" s="158"/>
      <c r="D324" s="158"/>
      <c r="E324" s="158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59" t="s">
        <v>253</v>
      </c>
      <c r="B325" s="159"/>
      <c r="C325" s="159"/>
      <c r="D325" s="159"/>
      <c r="E325" s="159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58" t="s">
        <v>264</v>
      </c>
      <c r="B338" s="158"/>
      <c r="C338" s="158"/>
      <c r="D338" s="158"/>
      <c r="E338" s="158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412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413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58" t="s">
        <v>267</v>
      </c>
      <c r="B351" s="158"/>
      <c r="C351" s="158"/>
      <c r="D351" s="158"/>
      <c r="E351" s="158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 x14ac:dyDescent="0.3">
      <c r="A352" s="159" t="s">
        <v>253</v>
      </c>
      <c r="B352" s="159"/>
      <c r="C352" s="159"/>
      <c r="D352" s="159"/>
      <c r="E352" s="159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414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415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416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58" t="s">
        <v>267</v>
      </c>
      <c r="B378" s="158"/>
      <c r="C378" s="158"/>
      <c r="D378" s="158"/>
      <c r="E378" s="158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 x14ac:dyDescent="0.3">
      <c r="A379" s="159" t="s">
        <v>253</v>
      </c>
      <c r="B379" s="159"/>
      <c r="C379" s="159"/>
      <c r="D379" s="159"/>
      <c r="E379" s="159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417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58" t="s">
        <v>264</v>
      </c>
      <c r="B392" s="158"/>
      <c r="C392" s="158"/>
      <c r="D392" s="158"/>
      <c r="E392" s="158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418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58" t="s">
        <v>267</v>
      </c>
      <c r="B405" s="158"/>
      <c r="C405" s="158"/>
      <c r="D405" s="158"/>
      <c r="E405" s="158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 x14ac:dyDescent="0.3">
      <c r="A406" s="159" t="s">
        <v>253</v>
      </c>
      <c r="B406" s="159"/>
      <c r="C406" s="159"/>
      <c r="D406" s="159"/>
      <c r="E406" s="159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419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58" t="s">
        <v>264</v>
      </c>
      <c r="B419" s="158"/>
      <c r="C419" s="158"/>
      <c r="D419" s="158"/>
      <c r="E419" s="158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420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58" t="s">
        <v>267</v>
      </c>
      <c r="B432" s="158"/>
      <c r="C432" s="158"/>
      <c r="D432" s="158"/>
      <c r="E432" s="158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59" t="s">
        <v>253</v>
      </c>
      <c r="B433" s="159"/>
      <c r="C433" s="159"/>
      <c r="D433" s="159"/>
      <c r="E433" s="159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58" t="s">
        <v>264</v>
      </c>
      <c r="B446" s="158"/>
      <c r="C446" s="158"/>
      <c r="D446" s="158"/>
      <c r="E446" s="158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421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415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58" t="s">
        <v>267</v>
      </c>
      <c r="B459" s="158"/>
      <c r="C459" s="158"/>
      <c r="D459" s="158"/>
      <c r="E459" s="158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 x14ac:dyDescent="0.3">
      <c r="A460" s="159" t="s">
        <v>253</v>
      </c>
      <c r="B460" s="159"/>
      <c r="C460" s="159"/>
      <c r="D460" s="159"/>
      <c r="E460" s="159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58" t="s">
        <v>264</v>
      </c>
      <c r="B473" s="158"/>
      <c r="C473" s="158"/>
      <c r="D473" s="158"/>
      <c r="E473" s="158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422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379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58" t="s">
        <v>267</v>
      </c>
      <c r="B486" s="158"/>
      <c r="C486" s="158"/>
      <c r="D486" s="158"/>
      <c r="E486" s="158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59" t="s">
        <v>253</v>
      </c>
      <c r="B487" s="159"/>
      <c r="C487" s="159"/>
      <c r="D487" s="159"/>
      <c r="E487" s="159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58" t="s">
        <v>264</v>
      </c>
      <c r="B500" s="158"/>
      <c r="C500" s="158"/>
      <c r="D500" s="158"/>
      <c r="E500" s="158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423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58" t="s">
        <v>267</v>
      </c>
      <c r="B513" s="158"/>
      <c r="C513" s="158"/>
      <c r="D513" s="158"/>
      <c r="E513" s="158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 x14ac:dyDescent="0.3">
      <c r="A514" s="159" t="s">
        <v>253</v>
      </c>
      <c r="B514" s="159"/>
      <c r="C514" s="159"/>
      <c r="D514" s="159"/>
      <c r="E514" s="159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58" t="s">
        <v>264</v>
      </c>
      <c r="B527" s="158"/>
      <c r="C527" s="158"/>
      <c r="D527" s="158"/>
      <c r="E527" s="158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58" t="s">
        <v>267</v>
      </c>
      <c r="B540" s="158"/>
      <c r="C540" s="158"/>
      <c r="D540" s="158"/>
      <c r="E540" s="158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 x14ac:dyDescent="0.3">
      <c r="A541" s="159" t="s">
        <v>253</v>
      </c>
      <c r="B541" s="159"/>
      <c r="C541" s="159"/>
      <c r="D541" s="159"/>
      <c r="E541" s="159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424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425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58" t="s">
        <v>264</v>
      </c>
      <c r="B554" s="158"/>
      <c r="C554" s="158"/>
      <c r="D554" s="158"/>
      <c r="E554" s="158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426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427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428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429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430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431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414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58" t="s">
        <v>267</v>
      </c>
      <c r="B567" s="158"/>
      <c r="C567" s="158"/>
      <c r="D567" s="158"/>
      <c r="E567" s="158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59" t="s">
        <v>253</v>
      </c>
      <c r="B568" s="159"/>
      <c r="C568" s="159"/>
      <c r="D568" s="159"/>
      <c r="E568" s="159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415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432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58" t="s">
        <v>264</v>
      </c>
      <c r="B581" s="158"/>
      <c r="C581" s="158"/>
      <c r="D581" s="158"/>
      <c r="E581" s="158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433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434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379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58" t="s">
        <v>267</v>
      </c>
      <c r="B594" s="158"/>
      <c r="C594" s="158"/>
      <c r="D594" s="158"/>
      <c r="E594" s="158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 x14ac:dyDescent="0.3">
      <c r="A595" s="159" t="s">
        <v>253</v>
      </c>
      <c r="B595" s="159"/>
      <c r="C595" s="159"/>
      <c r="D595" s="159"/>
      <c r="E595" s="159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435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58" t="s">
        <v>264</v>
      </c>
      <c r="B608" s="158"/>
      <c r="C608" s="158"/>
      <c r="D608" s="158"/>
      <c r="E608" s="158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63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379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414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436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431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58" t="s">
        <v>267</v>
      </c>
      <c r="B621" s="158"/>
      <c r="C621" s="158"/>
      <c r="D621" s="158"/>
      <c r="E621" s="158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 x14ac:dyDescent="0.3">
      <c r="A622" s="159" t="s">
        <v>253</v>
      </c>
      <c r="B622" s="159"/>
      <c r="C622" s="159"/>
      <c r="D622" s="159"/>
      <c r="E622" s="159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437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58" t="s">
        <v>264</v>
      </c>
      <c r="B635" s="158"/>
      <c r="C635" s="158"/>
      <c r="D635" s="158"/>
      <c r="E635" s="158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438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439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440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58" t="s">
        <v>267</v>
      </c>
      <c r="B648" s="158"/>
      <c r="C648" s="158"/>
      <c r="D648" s="158"/>
      <c r="E648" s="158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 x14ac:dyDescent="0.3">
      <c r="A649" s="159" t="s">
        <v>253</v>
      </c>
      <c r="B649" s="159"/>
      <c r="C649" s="159"/>
      <c r="D649" s="159"/>
      <c r="E649" s="159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/>
      <c r="Q652" s="65">
        <f t="shared" ca="1" si="172"/>
        <v>4.902893524558749E-3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58" t="s">
        <v>264</v>
      </c>
      <c r="B662" s="158"/>
      <c r="C662" s="158"/>
      <c r="D662" s="158"/>
      <c r="E662" s="158"/>
      <c r="F662" s="94"/>
      <c r="G662" s="95">
        <f>SUM(G650:G661)</f>
        <v>46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203.60000000000002</v>
      </c>
      <c r="L662" s="71"/>
      <c r="M662" s="71"/>
      <c r="N662" s="71"/>
      <c r="O662" s="133"/>
      <c r="P662" s="133"/>
      <c r="Q662" s="72">
        <f ca="1">IFERROR(SUM(Q650:Q661),"")</f>
        <v>0.22295844908011425</v>
      </c>
      <c r="R662" s="2" t="s">
        <v>265</v>
      </c>
      <c r="S662" s="73"/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58" t="s">
        <v>267</v>
      </c>
      <c r="B675" s="158"/>
      <c r="C675" s="158"/>
      <c r="D675" s="158"/>
      <c r="E675" s="158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59" t="s">
        <v>253</v>
      </c>
      <c r="B676" s="159"/>
      <c r="C676" s="159"/>
      <c r="D676" s="159"/>
      <c r="E676" s="159"/>
      <c r="F676" s="107"/>
      <c r="G676" s="108">
        <f>G662+G675</f>
        <v>46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203.60000000000002</v>
      </c>
      <c r="L676" s="75"/>
      <c r="M676" s="75"/>
      <c r="N676" s="75"/>
      <c r="O676" s="134"/>
      <c r="P676" s="134"/>
      <c r="Q676" s="76">
        <f ca="1">IFERROR(Q662+Q675,"")</f>
        <v>0.22295844908011425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58" t="s">
        <v>264</v>
      </c>
      <c r="B689" s="158"/>
      <c r="C689" s="158"/>
      <c r="D689" s="158"/>
      <c r="E689" s="158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58" t="s">
        <v>267</v>
      </c>
      <c r="B702" s="158"/>
      <c r="C702" s="158"/>
      <c r="D702" s="158"/>
      <c r="E702" s="15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59" t="s">
        <v>253</v>
      </c>
      <c r="B703" s="159"/>
      <c r="C703" s="159"/>
      <c r="D703" s="159"/>
      <c r="E703" s="159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58" t="s">
        <v>264</v>
      </c>
      <c r="B716" s="158"/>
      <c r="C716" s="158"/>
      <c r="D716" s="158"/>
      <c r="E716" s="15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58" t="s">
        <v>267</v>
      </c>
      <c r="B729" s="158"/>
      <c r="C729" s="158"/>
      <c r="D729" s="158"/>
      <c r="E729" s="15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59" t="s">
        <v>253</v>
      </c>
      <c r="B730" s="159"/>
      <c r="C730" s="159"/>
      <c r="D730" s="159"/>
      <c r="E730" s="15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58" t="s">
        <v>264</v>
      </c>
      <c r="B743" s="158"/>
      <c r="C743" s="158"/>
      <c r="D743" s="158"/>
      <c r="E743" s="15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58" t="s">
        <v>267</v>
      </c>
      <c r="B756" s="158"/>
      <c r="C756" s="158"/>
      <c r="D756" s="158"/>
      <c r="E756" s="15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59" t="s">
        <v>253</v>
      </c>
      <c r="B757" s="159"/>
      <c r="C757" s="159"/>
      <c r="D757" s="159"/>
      <c r="E757" s="15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58" t="s">
        <v>264</v>
      </c>
      <c r="B770" s="158"/>
      <c r="C770" s="158"/>
      <c r="D770" s="158"/>
      <c r="E770" s="15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58" t="s">
        <v>267</v>
      </c>
      <c r="B783" s="158"/>
      <c r="C783" s="158"/>
      <c r="D783" s="158"/>
      <c r="E783" s="15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59" t="s">
        <v>253</v>
      </c>
      <c r="B784" s="159"/>
      <c r="C784" s="159"/>
      <c r="D784" s="159"/>
      <c r="E784" s="15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58" t="s">
        <v>264</v>
      </c>
      <c r="B797" s="158"/>
      <c r="C797" s="158"/>
      <c r="D797" s="158"/>
      <c r="E797" s="15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58" t="s">
        <v>267</v>
      </c>
      <c r="B810" s="158"/>
      <c r="C810" s="158"/>
      <c r="D810" s="158"/>
      <c r="E810" s="15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59" t="s">
        <v>253</v>
      </c>
      <c r="B811" s="159"/>
      <c r="C811" s="159"/>
      <c r="D811" s="159"/>
      <c r="E811" s="15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58" t="s">
        <v>264</v>
      </c>
      <c r="B824" s="158"/>
      <c r="C824" s="158"/>
      <c r="D824" s="158"/>
      <c r="E824" s="15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58" t="s">
        <v>267</v>
      </c>
      <c r="B837" s="158"/>
      <c r="C837" s="158"/>
      <c r="D837" s="158"/>
      <c r="E837" s="15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3">
      <c r="A838" s="159" t="s">
        <v>253</v>
      </c>
      <c r="B838" s="159"/>
      <c r="C838" s="159"/>
      <c r="D838" s="159"/>
      <c r="E838" s="15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2026-08-25T18:53:03Z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