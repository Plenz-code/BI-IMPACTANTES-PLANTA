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365" documentId="8_{AF585B22-221D-4780-BB9C-493D365A6A02}" xr6:coauthVersionLast="47" xr6:coauthVersionMax="47" xr10:uidLastSave="{2756C31E-5BE9-4833-91D8-4C7259118274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<sst xmlns="http://schemas.openxmlformats.org/spreadsheetml/2006/main" count="4120" uniqueCount="279">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</sst>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3" sqref="G13:G34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16" activePane="bottomLeft" state="frozen"/>
      <selection pane="bottomLeft" activeCell="F234" sqref="F23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/>
      <c r="E232" s="62"/>
      <c r="F232" s="27">
        <v>22</v>
      </c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/>
      <c r="E233" s="62"/>
      <c r="F233" s="27">
        <v>30</v>
      </c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52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290</v>
      </c>
      <c r="G244" s="40">
        <f>G230+G243</f>
        <v>1190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09" activePane="bottomLeft" state="frozen"/>
      <selection pane="bottomLeft" activeCell="F234" sqref="F2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21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21</v>
      </c>
      <c r="G243" s="36">
        <f>SUM(G231:G242)</f>
        <v>88.2</v>
      </c>
      <c r="H243" s="37"/>
      <c r="I243" s="37"/>
      <c r="J243" s="37"/>
      <c r="K243" s="37"/>
      <c r="L243" s="37"/>
      <c r="M243" s="38">
        <f ca="1">IFERROR(SUM(M231:M242),"")</f>
        <v>8.680555555555558E-2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136</v>
      </c>
      <c r="G244" s="40">
        <f>G230+G243</f>
        <v>571.20000000000005</v>
      </c>
      <c r="H244" s="41"/>
      <c r="I244" s="41"/>
      <c r="J244" s="41"/>
      <c r="K244" s="41"/>
      <c r="L244" s="41"/>
      <c r="M244" s="42">
        <f ca="1">IFERROR(M230+M243,"")</f>
        <v>0.41736111111111107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F235" sqref="F23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29.400000000000002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4</v>
      </c>
      <c r="G233" s="34">
        <f t="shared" si="51"/>
        <v>16.8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10</v>
      </c>
      <c r="G234" s="28">
        <f t="shared" si="51"/>
        <v>42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41</v>
      </c>
      <c r="G243" s="36">
        <f>SUM(G231:G242)</f>
        <v>172.20000000000002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143</v>
      </c>
      <c r="G244" s="40">
        <f>G230+G243</f>
        <v>600.6</v>
      </c>
      <c r="H244" s="41"/>
      <c r="I244" s="41"/>
      <c r="J244" s="41"/>
      <c r="K244" s="41"/>
      <c r="L244" s="41"/>
      <c r="M244" s="42">
        <f ca="1">IFERROR(M230+M243,"")</f>
        <v>3.5416666666666763E-2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6" activePane="bottomLeft" state="frozen"/>
      <selection pane="bottomLeft" activeCell="F234" sqref="F23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0.66841909722279524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0.86772465277835087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1.2350857638894619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88.2</v>
      </c>
      <c r="H232" s="26"/>
      <c r="I232" s="26" t="s">
        <v>52</v>
      </c>
      <c r="J232" s="26"/>
      <c r="K232" s="29">
        <v>0.87847222222222221</v>
      </c>
      <c r="L232" s="29"/>
      <c r="M232" s="30">
        <f t="shared" ca="1" si="52"/>
        <v>3.9252430557098705E-2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45</v>
      </c>
      <c r="G243" s="36">
        <f>SUM(G231:G242)</f>
        <v>189</v>
      </c>
      <c r="H243" s="37"/>
      <c r="I243" s="37"/>
      <c r="J243" s="37"/>
      <c r="K243" s="61"/>
      <c r="L243" s="61"/>
      <c r="M243" s="38">
        <f ca="1">IFERROR(SUM(M231:M242),"")</f>
        <v>5.3835763890431987E-2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163</v>
      </c>
      <c r="G244" s="40">
        <f>G230+G243</f>
        <v>684.6</v>
      </c>
      <c r="H244" s="41"/>
      <c r="I244" s="41"/>
      <c r="J244" s="41"/>
      <c r="K244" s="63"/>
      <c r="L244" s="63"/>
      <c r="M244" s="42">
        <f ca="1">IFERROR(M230+M243,"")</f>
        <v>0.25036354166820995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2026-07-10T02:01:48Z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