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330" documentId="8_{C51EB6CB-002B-4D6B-B68F-DDEBDB4460C0}" xr6:coauthVersionLast="47" xr6:coauthVersionMax="47" xr10:uidLastSave="{AC84829A-6E36-4BD6-8080-D3B4A6B08B24}"/>
  <bookViews>
    <workbookView xWindow="-108" yWindow="-108" windowWidth="23256" windowHeight="12456" tabRatio="500" firstSheet="2" activeTab="5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M166" i="5" l="1"/>
  <c r="M225" i="6"/>
  <c r="M303" i="5"/>
  <c r="E811" i="3"/>
  <c r="F811" i="3"/>
  <c r="O838" i="6"/>
  <c r="F837" i="6"/>
  <c r="F838" i="6" s="1"/>
  <c r="E837" i="6"/>
  <c r="M836" i="6"/>
  <c r="G836" i="6"/>
  <c r="M835" i="6"/>
  <c r="G835" i="6"/>
  <c r="M834" i="6"/>
  <c r="G834" i="6"/>
  <c r="M833" i="6"/>
  <c r="G833" i="6"/>
  <c r="B833" i="6"/>
  <c r="B834" i="6" s="1"/>
  <c r="B835" i="6" s="1"/>
  <c r="B836" i="6" s="1"/>
  <c r="M832" i="6"/>
  <c r="G832" i="6"/>
  <c r="M831" i="6"/>
  <c r="G831" i="6"/>
  <c r="M830" i="6"/>
  <c r="G830" i="6"/>
  <c r="M829" i="6"/>
  <c r="G829" i="6"/>
  <c r="M828" i="6"/>
  <c r="G828" i="6"/>
  <c r="M827" i="6"/>
  <c r="G827" i="6"/>
  <c r="M826" i="6"/>
  <c r="G826" i="6"/>
  <c r="B826" i="6"/>
  <c r="B827" i="6" s="1"/>
  <c r="B828" i="6" s="1"/>
  <c r="B829" i="6" s="1"/>
  <c r="B830" i="6" s="1"/>
  <c r="B831" i="6" s="1"/>
  <c r="B832" i="6" s="1"/>
  <c r="M825" i="6"/>
  <c r="G825" i="6"/>
  <c r="F824" i="6"/>
  <c r="E824" i="6"/>
  <c r="E838" i="6" s="1"/>
  <c r="M823" i="6"/>
  <c r="G823" i="6"/>
  <c r="M822" i="6"/>
  <c r="G822" i="6"/>
  <c r="M821" i="6"/>
  <c r="G821" i="6"/>
  <c r="M820" i="6"/>
  <c r="G820" i="6"/>
  <c r="M819" i="6"/>
  <c r="G819" i="6"/>
  <c r="M818" i="6"/>
  <c r="G818" i="6"/>
  <c r="M817" i="6"/>
  <c r="G817" i="6"/>
  <c r="M816" i="6"/>
  <c r="G816" i="6"/>
  <c r="M815" i="6"/>
  <c r="G815" i="6"/>
  <c r="M814" i="6"/>
  <c r="G814" i="6"/>
  <c r="B814" i="6"/>
  <c r="B815" i="6" s="1"/>
  <c r="B816" i="6" s="1"/>
  <c r="B817" i="6" s="1"/>
  <c r="B818" i="6" s="1"/>
  <c r="B819" i="6" s="1"/>
  <c r="B820" i="6" s="1"/>
  <c r="B821" i="6" s="1"/>
  <c r="B822" i="6" s="1"/>
  <c r="B823" i="6" s="1"/>
  <c r="M813" i="6"/>
  <c r="G813" i="6"/>
  <c r="B813" i="6"/>
  <c r="M812" i="6"/>
  <c r="G812" i="6"/>
  <c r="O811" i="6"/>
  <c r="E811" i="6"/>
  <c r="F810" i="6"/>
  <c r="F811" i="6" s="1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B804" i="6"/>
  <c r="B805" i="6" s="1"/>
  <c r="B806" i="6" s="1"/>
  <c r="B807" i="6" s="1"/>
  <c r="B808" i="6" s="1"/>
  <c r="B809" i="6" s="1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M798" i="6"/>
  <c r="G797" i="6"/>
  <c r="F797" i="6"/>
  <c r="E797" i="6"/>
  <c r="M796" i="6"/>
  <c r="M795" i="6"/>
  <c r="M794" i="6"/>
  <c r="M793" i="6"/>
  <c r="M792" i="6"/>
  <c r="M791" i="6"/>
  <c r="M790" i="6"/>
  <c r="B790" i="6"/>
  <c r="B791" i="6" s="1"/>
  <c r="B792" i="6" s="1"/>
  <c r="B793" i="6" s="1"/>
  <c r="B794" i="6" s="1"/>
  <c r="B795" i="6" s="1"/>
  <c r="B796" i="6" s="1"/>
  <c r="M789" i="6"/>
  <c r="M788" i="6"/>
  <c r="M787" i="6"/>
  <c r="M786" i="6"/>
  <c r="B786" i="6"/>
  <c r="B787" i="6" s="1"/>
  <c r="B788" i="6" s="1"/>
  <c r="B789" i="6" s="1"/>
  <c r="M785" i="6"/>
  <c r="O784" i="6"/>
  <c r="F783" i="6"/>
  <c r="F784" i="6" s="1"/>
  <c r="E783" i="6"/>
  <c r="M782" i="6"/>
  <c r="G782" i="6"/>
  <c r="M781" i="6"/>
  <c r="G781" i="6"/>
  <c r="M780" i="6"/>
  <c r="G780" i="6"/>
  <c r="B780" i="6"/>
  <c r="B781" i="6" s="1"/>
  <c r="B782" i="6" s="1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M771" i="6"/>
  <c r="G771" i="6"/>
  <c r="F770" i="6"/>
  <c r="E770" i="6"/>
  <c r="E784" i="6" s="1"/>
  <c r="M769" i="6"/>
  <c r="G769" i="6"/>
  <c r="B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B761" i="6"/>
  <c r="B762" i="6" s="1"/>
  <c r="B763" i="6" s="1"/>
  <c r="B764" i="6" s="1"/>
  <c r="B765" i="6" s="1"/>
  <c r="B766" i="6" s="1"/>
  <c r="B767" i="6" s="1"/>
  <c r="B768" i="6" s="1"/>
  <c r="M760" i="6"/>
  <c r="G760" i="6"/>
  <c r="B760" i="6"/>
  <c r="M759" i="6"/>
  <c r="G759" i="6"/>
  <c r="B759" i="6"/>
  <c r="M758" i="6"/>
  <c r="G758" i="6"/>
  <c r="O757" i="6"/>
  <c r="F31" i="1" s="1"/>
  <c r="F757" i="6"/>
  <c r="E757" i="6"/>
  <c r="F756" i="6"/>
  <c r="E756" i="6"/>
  <c r="M755" i="6"/>
  <c r="G755" i="6"/>
  <c r="M754" i="6"/>
  <c r="G754" i="6"/>
  <c r="B754" i="6"/>
  <c r="B755" i="6" s="1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M744" i="6"/>
  <c r="G744" i="6"/>
  <c r="F743" i="6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B737" i="6"/>
  <c r="B738" i="6" s="1"/>
  <c r="B739" i="6" s="1"/>
  <c r="B740" i="6" s="1"/>
  <c r="B741" i="6" s="1"/>
  <c r="B742" i="6" s="1"/>
  <c r="M736" i="6"/>
  <c r="G736" i="6"/>
  <c r="B736" i="6"/>
  <c r="M735" i="6"/>
  <c r="G735" i="6"/>
  <c r="M734" i="6"/>
  <c r="G734" i="6"/>
  <c r="M733" i="6"/>
  <c r="G733" i="6"/>
  <c r="B733" i="6"/>
  <c r="B734" i="6" s="1"/>
  <c r="B735" i="6" s="1"/>
  <c r="M732" i="6"/>
  <c r="G732" i="6"/>
  <c r="B732" i="6"/>
  <c r="M731" i="6"/>
  <c r="G731" i="6"/>
  <c r="O730" i="6"/>
  <c r="F729" i="6"/>
  <c r="F730" i="6" s="1"/>
  <c r="E729" i="6"/>
  <c r="E730" i="6" s="1"/>
  <c r="M728" i="6"/>
  <c r="G728" i="6"/>
  <c r="M727" i="6"/>
  <c r="G727" i="6"/>
  <c r="B727" i="6"/>
  <c r="B728" i="6" s="1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M717" i="6"/>
  <c r="G717" i="6"/>
  <c r="F716" i="6"/>
  <c r="E716" i="6"/>
  <c r="M715" i="6"/>
  <c r="G715" i="6"/>
  <c r="M714" i="6"/>
  <c r="G714" i="6"/>
  <c r="B714" i="6"/>
  <c r="B715" i="6" s="1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B706" i="6"/>
  <c r="B707" i="6" s="1"/>
  <c r="B708" i="6" s="1"/>
  <c r="B709" i="6" s="1"/>
  <c r="B710" i="6" s="1"/>
  <c r="B711" i="6" s="1"/>
  <c r="B712" i="6" s="1"/>
  <c r="B713" i="6" s="1"/>
  <c r="M705" i="6"/>
  <c r="G705" i="6"/>
  <c r="B705" i="6"/>
  <c r="M704" i="6"/>
  <c r="G704" i="6"/>
  <c r="O703" i="6"/>
  <c r="F702" i="6"/>
  <c r="E702" i="6"/>
  <c r="M701" i="6"/>
  <c r="G701" i="6"/>
  <c r="M700" i="6"/>
  <c r="G700" i="6"/>
  <c r="M699" i="6"/>
  <c r="G699" i="6"/>
  <c r="M698" i="6"/>
  <c r="G698" i="6"/>
  <c r="B698" i="6"/>
  <c r="B699" i="6" s="1"/>
  <c r="B700" i="6" s="1"/>
  <c r="B701" i="6" s="1"/>
  <c r="M697" i="6"/>
  <c r="G697" i="6"/>
  <c r="M696" i="6"/>
  <c r="G696" i="6"/>
  <c r="M695" i="6"/>
  <c r="G695" i="6"/>
  <c r="M694" i="6"/>
  <c r="G694" i="6"/>
  <c r="M693" i="6"/>
  <c r="G693" i="6"/>
  <c r="M692" i="6"/>
  <c r="G692" i="6"/>
  <c r="B692" i="6"/>
  <c r="B693" i="6" s="1"/>
  <c r="B694" i="6" s="1"/>
  <c r="B695" i="6" s="1"/>
  <c r="B696" i="6" s="1"/>
  <c r="B697" i="6" s="1"/>
  <c r="M691" i="6"/>
  <c r="G691" i="6"/>
  <c r="B691" i="6"/>
  <c r="M690" i="6"/>
  <c r="G690" i="6"/>
  <c r="F689" i="6"/>
  <c r="F703" i="6" s="1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676" i="6"/>
  <c r="F675" i="6"/>
  <c r="E675" i="6"/>
  <c r="E676" i="6" s="1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B666" i="6"/>
  <c r="B667" i="6" s="1"/>
  <c r="B668" i="6" s="1"/>
  <c r="B669" i="6" s="1"/>
  <c r="B670" i="6" s="1"/>
  <c r="B671" i="6" s="1"/>
  <c r="B672" i="6" s="1"/>
  <c r="B673" i="6" s="1"/>
  <c r="B674" i="6" s="1"/>
  <c r="M665" i="6"/>
  <c r="G665" i="6"/>
  <c r="M664" i="6"/>
  <c r="G664" i="6"/>
  <c r="B664" i="6"/>
  <c r="B665" i="6" s="1"/>
  <c r="M663" i="6"/>
  <c r="G663" i="6"/>
  <c r="F662" i="6"/>
  <c r="E662" i="6"/>
  <c r="M661" i="6"/>
  <c r="G661" i="6"/>
  <c r="M660" i="6"/>
  <c r="G660" i="6"/>
  <c r="M659" i="6"/>
  <c r="G659" i="6"/>
  <c r="M658" i="6"/>
  <c r="G658" i="6"/>
  <c r="M657" i="6"/>
  <c r="G657" i="6"/>
  <c r="M656" i="6"/>
  <c r="G656" i="6"/>
  <c r="B656" i="6"/>
  <c r="B657" i="6" s="1"/>
  <c r="B658" i="6" s="1"/>
  <c r="B659" i="6" s="1"/>
  <c r="B660" i="6" s="1"/>
  <c r="B661" i="6" s="1"/>
  <c r="M655" i="6"/>
  <c r="G655" i="6"/>
  <c r="M654" i="6"/>
  <c r="G654" i="6"/>
  <c r="M653" i="6"/>
  <c r="G653" i="6"/>
  <c r="M652" i="6"/>
  <c r="G652" i="6"/>
  <c r="B652" i="6"/>
  <c r="B653" i="6" s="1"/>
  <c r="B654" i="6" s="1"/>
  <c r="B655" i="6" s="1"/>
  <c r="M651" i="6"/>
  <c r="G651" i="6"/>
  <c r="B651" i="6"/>
  <c r="M650" i="6"/>
  <c r="G650" i="6"/>
  <c r="O649" i="6"/>
  <c r="F648" i="6"/>
  <c r="E648" i="6"/>
  <c r="M647" i="6"/>
  <c r="G647" i="6"/>
  <c r="M646" i="6"/>
  <c r="G646" i="6"/>
  <c r="M645" i="6"/>
  <c r="G645" i="6"/>
  <c r="G648" i="6" s="1"/>
  <c r="M644" i="6"/>
  <c r="G644" i="6"/>
  <c r="M643" i="6"/>
  <c r="G643" i="6"/>
  <c r="M642" i="6"/>
  <c r="G642" i="6"/>
  <c r="M641" i="6"/>
  <c r="G641" i="6"/>
  <c r="B641" i="6"/>
  <c r="B642" i="6" s="1"/>
  <c r="B643" i="6" s="1"/>
  <c r="B644" i="6" s="1"/>
  <c r="B645" i="6" s="1"/>
  <c r="B646" i="6" s="1"/>
  <c r="B647" i="6" s="1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M636" i="6"/>
  <c r="G636" i="6"/>
  <c r="G635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B627" i="6"/>
  <c r="B628" i="6" s="1"/>
  <c r="B629" i="6" s="1"/>
  <c r="B630" i="6" s="1"/>
  <c r="B631" i="6" s="1"/>
  <c r="B632" i="6" s="1"/>
  <c r="B633" i="6" s="1"/>
  <c r="B634" i="6" s="1"/>
  <c r="M626" i="6"/>
  <c r="G626" i="6"/>
  <c r="M625" i="6"/>
  <c r="G625" i="6"/>
  <c r="M624" i="6"/>
  <c r="G624" i="6"/>
  <c r="B624" i="6"/>
  <c r="B625" i="6" s="1"/>
  <c r="B626" i="6" s="1"/>
  <c r="M623" i="6"/>
  <c r="G623" i="6"/>
  <c r="O622" i="6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B611" i="6"/>
  <c r="B612" i="6" s="1"/>
  <c r="B613" i="6" s="1"/>
  <c r="B614" i="6" s="1"/>
  <c r="B615" i="6" s="1"/>
  <c r="B616" i="6" s="1"/>
  <c r="B617" i="6" s="1"/>
  <c r="B618" i="6" s="1"/>
  <c r="B619" i="6" s="1"/>
  <c r="B620" i="6" s="1"/>
  <c r="M610" i="6"/>
  <c r="G610" i="6"/>
  <c r="B610" i="6"/>
  <c r="M609" i="6"/>
  <c r="G609" i="6"/>
  <c r="F608" i="6"/>
  <c r="F622" i="6" s="1"/>
  <c r="E608" i="6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G608" i="6" s="1"/>
  <c r="B601" i="6"/>
  <c r="B602" i="6" s="1"/>
  <c r="B603" i="6" s="1"/>
  <c r="B604" i="6" s="1"/>
  <c r="B605" i="6" s="1"/>
  <c r="B606" i="6" s="1"/>
  <c r="B607" i="6" s="1"/>
  <c r="M600" i="6"/>
  <c r="G600" i="6"/>
  <c r="M599" i="6"/>
  <c r="G599" i="6"/>
  <c r="M598" i="6"/>
  <c r="G598" i="6"/>
  <c r="B598" i="6"/>
  <c r="B599" i="6" s="1"/>
  <c r="B600" i="6" s="1"/>
  <c r="M597" i="6"/>
  <c r="G597" i="6"/>
  <c r="B597" i="6"/>
  <c r="M596" i="6"/>
  <c r="G596" i="6"/>
  <c r="O595" i="6"/>
  <c r="F594" i="6"/>
  <c r="F595" i="6" s="1"/>
  <c r="E594" i="6"/>
  <c r="E595" i="6" s="1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F581" i="6"/>
  <c r="E581" i="6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B574" i="6"/>
  <c r="B575" i="6" s="1"/>
  <c r="B576" i="6" s="1"/>
  <c r="B577" i="6" s="1"/>
  <c r="B578" i="6" s="1"/>
  <c r="B579" i="6" s="1"/>
  <c r="B580" i="6" s="1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M569" i="6"/>
  <c r="G569" i="6"/>
  <c r="O568" i="6"/>
  <c r="F567" i="6"/>
  <c r="E567" i="6"/>
  <c r="E568" i="6" s="1"/>
  <c r="M566" i="6"/>
  <c r="G566" i="6"/>
  <c r="B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G555" i="6"/>
  <c r="G567" i="6" s="1"/>
  <c r="F554" i="6"/>
  <c r="E554" i="6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B547" i="6"/>
  <c r="B548" i="6" s="1"/>
  <c r="B549" i="6" s="1"/>
  <c r="B550" i="6" s="1"/>
  <c r="B551" i="6" s="1"/>
  <c r="B552" i="6" s="1"/>
  <c r="B553" i="6" s="1"/>
  <c r="M546" i="6"/>
  <c r="G546" i="6"/>
  <c r="M545" i="6"/>
  <c r="G545" i="6"/>
  <c r="M544" i="6"/>
  <c r="G544" i="6"/>
  <c r="B544" i="6"/>
  <c r="B545" i="6" s="1"/>
  <c r="B546" i="6" s="1"/>
  <c r="M543" i="6"/>
  <c r="G543" i="6"/>
  <c r="B543" i="6"/>
  <c r="M542" i="6"/>
  <c r="G542" i="6"/>
  <c r="O541" i="6"/>
  <c r="F541" i="6"/>
  <c r="E541" i="6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B531" i="6"/>
  <c r="B532" i="6" s="1"/>
  <c r="B533" i="6" s="1"/>
  <c r="B534" i="6" s="1"/>
  <c r="B535" i="6" s="1"/>
  <c r="B536" i="6" s="1"/>
  <c r="B537" i="6" s="1"/>
  <c r="B538" i="6" s="1"/>
  <c r="B539" i="6" s="1"/>
  <c r="M530" i="6"/>
  <c r="G530" i="6"/>
  <c r="M529" i="6"/>
  <c r="G529" i="6"/>
  <c r="B529" i="6"/>
  <c r="B530" i="6" s="1"/>
  <c r="M528" i="6"/>
  <c r="G528" i="6"/>
  <c r="F527" i="6"/>
  <c r="E527" i="6"/>
  <c r="M526" i="6"/>
  <c r="G526" i="6"/>
  <c r="M525" i="6"/>
  <c r="G525" i="6"/>
  <c r="B525" i="6"/>
  <c r="B526" i="6" s="1"/>
  <c r="M524" i="6"/>
  <c r="G524" i="6"/>
  <c r="M523" i="6"/>
  <c r="G523" i="6"/>
  <c r="M522" i="6"/>
  <c r="G522" i="6"/>
  <c r="M521" i="6"/>
  <c r="G521" i="6"/>
  <c r="M520" i="6"/>
  <c r="G520" i="6"/>
  <c r="B520" i="6"/>
  <c r="B521" i="6" s="1"/>
  <c r="B522" i="6" s="1"/>
  <c r="B523" i="6" s="1"/>
  <c r="B524" i="6" s="1"/>
  <c r="M519" i="6"/>
  <c r="G519" i="6"/>
  <c r="M518" i="6"/>
  <c r="G518" i="6"/>
  <c r="M517" i="6"/>
  <c r="G517" i="6"/>
  <c r="B517" i="6"/>
  <c r="B518" i="6" s="1"/>
  <c r="B519" i="6" s="1"/>
  <c r="M516" i="6"/>
  <c r="G516" i="6"/>
  <c r="B516" i="6"/>
  <c r="M515" i="6"/>
  <c r="G515" i="6"/>
  <c r="O514" i="6"/>
  <c r="F514" i="6"/>
  <c r="E514" i="6"/>
  <c r="F513" i="6"/>
  <c r="E513" i="6"/>
  <c r="M512" i="6"/>
  <c r="G512" i="6"/>
  <c r="B512" i="6"/>
  <c r="M511" i="6"/>
  <c r="G511" i="6"/>
  <c r="M510" i="6"/>
  <c r="G510" i="6"/>
  <c r="M509" i="6"/>
  <c r="G509" i="6"/>
  <c r="M508" i="6"/>
  <c r="G508" i="6"/>
  <c r="M507" i="6"/>
  <c r="G507" i="6"/>
  <c r="B507" i="6"/>
  <c r="B508" i="6" s="1"/>
  <c r="B509" i="6" s="1"/>
  <c r="B510" i="6" s="1"/>
  <c r="B511" i="6" s="1"/>
  <c r="M506" i="6"/>
  <c r="G506" i="6"/>
  <c r="B506" i="6"/>
  <c r="M505" i="6"/>
  <c r="G505" i="6"/>
  <c r="M504" i="6"/>
  <c r="G504" i="6"/>
  <c r="M503" i="6"/>
  <c r="G503" i="6"/>
  <c r="G513" i="6" s="1"/>
  <c r="B503" i="6"/>
  <c r="B504" i="6" s="1"/>
  <c r="B505" i="6" s="1"/>
  <c r="M502" i="6"/>
  <c r="G502" i="6"/>
  <c r="B502" i="6"/>
  <c r="M501" i="6"/>
  <c r="G501" i="6"/>
  <c r="F500" i="6"/>
  <c r="E500" i="6"/>
  <c r="M499" i="6"/>
  <c r="G499" i="6"/>
  <c r="M498" i="6"/>
  <c r="G498" i="6"/>
  <c r="M497" i="6"/>
  <c r="G497" i="6"/>
  <c r="M496" i="6"/>
  <c r="G496" i="6"/>
  <c r="M495" i="6"/>
  <c r="G495" i="6"/>
  <c r="B495" i="6"/>
  <c r="B496" i="6" s="1"/>
  <c r="B497" i="6" s="1"/>
  <c r="B498" i="6" s="1"/>
  <c r="B499" i="6" s="1"/>
  <c r="M494" i="6"/>
  <c r="G494" i="6"/>
  <c r="M493" i="6"/>
  <c r="G493" i="6"/>
  <c r="G492" i="6"/>
  <c r="M491" i="6"/>
  <c r="G491" i="6"/>
  <c r="M490" i="6"/>
  <c r="G490" i="6"/>
  <c r="B490" i="6"/>
  <c r="B491" i="6" s="1"/>
  <c r="B492" i="6" s="1"/>
  <c r="B493" i="6" s="1"/>
  <c r="B494" i="6" s="1"/>
  <c r="M489" i="6"/>
  <c r="G489" i="6"/>
  <c r="B489" i="6"/>
  <c r="M488" i="6"/>
  <c r="G488" i="6"/>
  <c r="O487" i="6"/>
  <c r="F486" i="6"/>
  <c r="E486" i="6"/>
  <c r="M485" i="6"/>
  <c r="G485" i="6"/>
  <c r="M484" i="6"/>
  <c r="G484" i="6"/>
  <c r="M483" i="6"/>
  <c r="G483" i="6"/>
  <c r="M482" i="6"/>
  <c r="G482" i="6"/>
  <c r="M481" i="6"/>
  <c r="G481" i="6"/>
  <c r="G486" i="6" s="1"/>
  <c r="B481" i="6"/>
  <c r="B482" i="6" s="1"/>
  <c r="B483" i="6" s="1"/>
  <c r="B484" i="6" s="1"/>
  <c r="B485" i="6" s="1"/>
  <c r="M480" i="6"/>
  <c r="G480" i="6"/>
  <c r="M479" i="6"/>
  <c r="G479" i="6"/>
  <c r="B479" i="6"/>
  <c r="B480" i="6" s="1"/>
  <c r="M478" i="6"/>
  <c r="G478" i="6"/>
  <c r="M477" i="6"/>
  <c r="G477" i="6"/>
  <c r="M476" i="6"/>
  <c r="G476" i="6"/>
  <c r="B476" i="6"/>
  <c r="B477" i="6" s="1"/>
  <c r="B478" i="6" s="1"/>
  <c r="M475" i="6"/>
  <c r="G475" i="6"/>
  <c r="B475" i="6"/>
  <c r="M474" i="6"/>
  <c r="G474" i="6"/>
  <c r="G473" i="6"/>
  <c r="G487" i="6" s="1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B465" i="6"/>
  <c r="B466" i="6" s="1"/>
  <c r="B467" i="6" s="1"/>
  <c r="B468" i="6" s="1"/>
  <c r="B469" i="6" s="1"/>
  <c r="B470" i="6" s="1"/>
  <c r="B471" i="6" s="1"/>
  <c r="B472" i="6" s="1"/>
  <c r="M464" i="6"/>
  <c r="G464" i="6"/>
  <c r="B464" i="6"/>
  <c r="M463" i="6"/>
  <c r="G463" i="6"/>
  <c r="M462" i="6"/>
  <c r="G462" i="6"/>
  <c r="B462" i="6"/>
  <c r="B463" i="6" s="1"/>
  <c r="M461" i="6"/>
  <c r="G461" i="6"/>
  <c r="O460" i="6"/>
  <c r="F459" i="6"/>
  <c r="E459" i="6"/>
  <c r="M458" i="6"/>
  <c r="G458" i="6"/>
  <c r="M457" i="6"/>
  <c r="G457" i="6"/>
  <c r="M456" i="6"/>
  <c r="G456" i="6"/>
  <c r="M455" i="6"/>
  <c r="G455" i="6"/>
  <c r="B455" i="6"/>
  <c r="B456" i="6" s="1"/>
  <c r="B457" i="6" s="1"/>
  <c r="B458" i="6" s="1"/>
  <c r="M454" i="6"/>
  <c r="G454" i="6"/>
  <c r="G459" i="6" s="1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M447" i="6"/>
  <c r="G447" i="6"/>
  <c r="F446" i="6"/>
  <c r="E446" i="6"/>
  <c r="M445" i="6"/>
  <c r="G445" i="6"/>
  <c r="M444" i="6"/>
  <c r="G444" i="6"/>
  <c r="M443" i="6"/>
  <c r="G443" i="6"/>
  <c r="B443" i="6"/>
  <c r="B444" i="6" s="1"/>
  <c r="B445" i="6" s="1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B436" i="6"/>
  <c r="B437" i="6" s="1"/>
  <c r="B438" i="6" s="1"/>
  <c r="B439" i="6" s="1"/>
  <c r="B440" i="6" s="1"/>
  <c r="B441" i="6" s="1"/>
  <c r="B442" i="6" s="1"/>
  <c r="M435" i="6"/>
  <c r="G435" i="6"/>
  <c r="B435" i="6"/>
  <c r="M434" i="6"/>
  <c r="G434" i="6"/>
  <c r="O433" i="6"/>
  <c r="F432" i="6"/>
  <c r="F433" i="6" s="1"/>
  <c r="E432" i="6"/>
  <c r="M431" i="6"/>
  <c r="G431" i="6"/>
  <c r="M430" i="6"/>
  <c r="G430" i="6"/>
  <c r="M429" i="6"/>
  <c r="G429" i="6"/>
  <c r="M428" i="6"/>
  <c r="G428" i="6"/>
  <c r="M427" i="6"/>
  <c r="G427" i="6"/>
  <c r="B427" i="6"/>
  <c r="B428" i="6" s="1"/>
  <c r="B429" i="6" s="1"/>
  <c r="B430" i="6" s="1"/>
  <c r="B431" i="6" s="1"/>
  <c r="M426" i="6"/>
  <c r="G426" i="6"/>
  <c r="M425" i="6"/>
  <c r="G425" i="6"/>
  <c r="B425" i="6"/>
  <c r="B426" i="6" s="1"/>
  <c r="M424" i="6"/>
  <c r="G424" i="6"/>
  <c r="M423" i="6"/>
  <c r="G423" i="6"/>
  <c r="M422" i="6"/>
  <c r="G422" i="6"/>
  <c r="B422" i="6"/>
  <c r="B423" i="6" s="1"/>
  <c r="B424" i="6" s="1"/>
  <c r="M421" i="6"/>
  <c r="G421" i="6"/>
  <c r="B421" i="6"/>
  <c r="M420" i="6"/>
  <c r="G420" i="6"/>
  <c r="F419" i="6"/>
  <c r="E419" i="6"/>
  <c r="E433" i="6" s="1"/>
  <c r="M418" i="6"/>
  <c r="G418" i="6"/>
  <c r="M417" i="6"/>
  <c r="G417" i="6"/>
  <c r="B417" i="6"/>
  <c r="B418" i="6" s="1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M407" i="6"/>
  <c r="G407" i="6"/>
  <c r="O406" i="6"/>
  <c r="F406" i="6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B399" i="6"/>
  <c r="B400" i="6" s="1"/>
  <c r="B401" i="6" s="1"/>
  <c r="B402" i="6" s="1"/>
  <c r="B403" i="6" s="1"/>
  <c r="B404" i="6" s="1"/>
  <c r="M398" i="6"/>
  <c r="G398" i="6"/>
  <c r="M397" i="6"/>
  <c r="G397" i="6"/>
  <c r="M396" i="6"/>
  <c r="G396" i="6"/>
  <c r="B396" i="6"/>
  <c r="B397" i="6" s="1"/>
  <c r="B398" i="6" s="1"/>
  <c r="M395" i="6"/>
  <c r="G395" i="6"/>
  <c r="M394" i="6"/>
  <c r="G394" i="6"/>
  <c r="B394" i="6"/>
  <c r="B395" i="6" s="1"/>
  <c r="M393" i="6"/>
  <c r="G393" i="6"/>
  <c r="F392" i="6"/>
  <c r="E392" i="6"/>
  <c r="E406" i="6" s="1"/>
  <c r="M391" i="6"/>
  <c r="G391" i="6"/>
  <c r="M390" i="6"/>
  <c r="G390" i="6"/>
  <c r="B390" i="6"/>
  <c r="B391" i="6" s="1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B382" i="6"/>
  <c r="B383" i="6" s="1"/>
  <c r="B384" i="6" s="1"/>
  <c r="B385" i="6" s="1"/>
  <c r="B386" i="6" s="1"/>
  <c r="B387" i="6" s="1"/>
  <c r="B388" i="6" s="1"/>
  <c r="B389" i="6" s="1"/>
  <c r="M381" i="6"/>
  <c r="G381" i="6"/>
  <c r="B381" i="6"/>
  <c r="M380" i="6"/>
  <c r="G380" i="6"/>
  <c r="O379" i="6"/>
  <c r="F379" i="6"/>
  <c r="E379" i="6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E365" i="6"/>
  <c r="M364" i="6"/>
  <c r="G364" i="6"/>
  <c r="M363" i="6"/>
  <c r="G363" i="6"/>
  <c r="B363" i="6"/>
  <c r="B364" i="6" s="1"/>
  <c r="M362" i="6"/>
  <c r="G362" i="6"/>
  <c r="M361" i="6"/>
  <c r="G361" i="6"/>
  <c r="M360" i="6"/>
  <c r="G360" i="6"/>
  <c r="M359" i="6"/>
  <c r="G359" i="6"/>
  <c r="B359" i="6"/>
  <c r="B360" i="6" s="1"/>
  <c r="B361" i="6" s="1"/>
  <c r="B362" i="6" s="1"/>
  <c r="M358" i="6"/>
  <c r="G358" i="6"/>
  <c r="M357" i="6"/>
  <c r="G357" i="6"/>
  <c r="M356" i="6"/>
  <c r="G356" i="6"/>
  <c r="B356" i="6"/>
  <c r="B357" i="6" s="1"/>
  <c r="B358" i="6" s="1"/>
  <c r="M355" i="6"/>
  <c r="G355" i="6"/>
  <c r="M354" i="6"/>
  <c r="G354" i="6"/>
  <c r="B354" i="6"/>
  <c r="B355" i="6" s="1"/>
  <c r="M353" i="6"/>
  <c r="G353" i="6"/>
  <c r="O352" i="6"/>
  <c r="F16" i="1" s="1"/>
  <c r="F351" i="6"/>
  <c r="E351" i="6"/>
  <c r="E352" i="6" s="1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324" i="6"/>
  <c r="E324" i="6"/>
  <c r="M323" i="6"/>
  <c r="G323" i="6"/>
  <c r="M322" i="6"/>
  <c r="G322" i="6"/>
  <c r="M321" i="6"/>
  <c r="G321" i="6"/>
  <c r="M320" i="6"/>
  <c r="G320" i="6"/>
  <c r="M319" i="6"/>
  <c r="G319" i="6"/>
  <c r="B319" i="6"/>
  <c r="B320" i="6" s="1"/>
  <c r="B321" i="6" s="1"/>
  <c r="B322" i="6" s="1"/>
  <c r="B323" i="6" s="1"/>
  <c r="M318" i="6"/>
  <c r="G318" i="6"/>
  <c r="B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M312" i="6"/>
  <c r="G312" i="6"/>
  <c r="F311" i="6"/>
  <c r="E311" i="6"/>
  <c r="E325" i="6" s="1"/>
  <c r="M310" i="6"/>
  <c r="G310" i="6"/>
  <c r="B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B302" i="6"/>
  <c r="B303" i="6" s="1"/>
  <c r="B304" i="6" s="1"/>
  <c r="B305" i="6" s="1"/>
  <c r="B306" i="6" s="1"/>
  <c r="B307" i="6" s="1"/>
  <c r="B308" i="6" s="1"/>
  <c r="B309" i="6" s="1"/>
  <c r="M301" i="6"/>
  <c r="G301" i="6"/>
  <c r="B301" i="6"/>
  <c r="M300" i="6"/>
  <c r="G300" i="6"/>
  <c r="G311" i="6" s="1"/>
  <c r="B300" i="6"/>
  <c r="M299" i="6"/>
  <c r="G299" i="6"/>
  <c r="O298" i="6"/>
  <c r="F297" i="6"/>
  <c r="E297" i="6"/>
  <c r="M296" i="6"/>
  <c r="G296" i="6"/>
  <c r="M295" i="6"/>
  <c r="G295" i="6"/>
  <c r="M294" i="6"/>
  <c r="G294" i="6"/>
  <c r="M293" i="6"/>
  <c r="G293" i="6"/>
  <c r="M292" i="6"/>
  <c r="G292" i="6"/>
  <c r="G297" i="6" s="1"/>
  <c r="M291" i="6"/>
  <c r="G291" i="6"/>
  <c r="M290" i="6"/>
  <c r="G290" i="6"/>
  <c r="M289" i="6"/>
  <c r="G289" i="6"/>
  <c r="M288" i="6"/>
  <c r="G288" i="6"/>
  <c r="M287" i="6"/>
  <c r="G287" i="6"/>
  <c r="B287" i="6"/>
  <c r="B288" i="6" s="1"/>
  <c r="B289" i="6" s="1"/>
  <c r="B290" i="6" s="1"/>
  <c r="B291" i="6" s="1"/>
  <c r="B292" i="6" s="1"/>
  <c r="B293" i="6" s="1"/>
  <c r="B294" i="6" s="1"/>
  <c r="B295" i="6" s="1"/>
  <c r="B296" i="6" s="1"/>
  <c r="M286" i="6"/>
  <c r="G286" i="6"/>
  <c r="B286" i="6"/>
  <c r="M285" i="6"/>
  <c r="G285" i="6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B277" i="6"/>
  <c r="B278" i="6" s="1"/>
  <c r="B279" i="6" s="1"/>
  <c r="B280" i="6" s="1"/>
  <c r="B281" i="6" s="1"/>
  <c r="B282" i="6" s="1"/>
  <c r="B283" i="6" s="1"/>
  <c r="M276" i="6"/>
  <c r="G276" i="6"/>
  <c r="M275" i="6"/>
  <c r="G275" i="6"/>
  <c r="M274" i="6"/>
  <c r="G274" i="6"/>
  <c r="G284" i="6" s="1"/>
  <c r="G298" i="6" s="1"/>
  <c r="B274" i="6"/>
  <c r="B275" i="6" s="1"/>
  <c r="B276" i="6" s="1"/>
  <c r="M273" i="6"/>
  <c r="G273" i="6"/>
  <c r="B273" i="6"/>
  <c r="M272" i="6"/>
  <c r="G272" i="6"/>
  <c r="O271" i="6"/>
  <c r="F13" i="1" s="1"/>
  <c r="F270" i="6"/>
  <c r="E270" i="6"/>
  <c r="M269" i="6"/>
  <c r="G269" i="6"/>
  <c r="M268" i="6"/>
  <c r="G268" i="6"/>
  <c r="B268" i="6"/>
  <c r="B269" i="6" s="1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B261" i="6"/>
  <c r="B262" i="6" s="1"/>
  <c r="B263" i="6" s="1"/>
  <c r="B264" i="6" s="1"/>
  <c r="B265" i="6" s="1"/>
  <c r="B266" i="6" s="1"/>
  <c r="B267" i="6" s="1"/>
  <c r="M260" i="6"/>
  <c r="G260" i="6"/>
  <c r="B260" i="6"/>
  <c r="M259" i="6"/>
  <c r="G259" i="6"/>
  <c r="B259" i="6"/>
  <c r="M258" i="6"/>
  <c r="G258" i="6"/>
  <c r="G270" i="6" s="1"/>
  <c r="F257" i="6"/>
  <c r="F271" i="6" s="1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B250" i="6"/>
  <c r="B251" i="6" s="1"/>
  <c r="B252" i="6" s="1"/>
  <c r="B253" i="6" s="1"/>
  <c r="B254" i="6" s="1"/>
  <c r="B255" i="6" s="1"/>
  <c r="B256" i="6" s="1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M245" i="6"/>
  <c r="G245" i="6"/>
  <c r="O244" i="6"/>
  <c r="F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G243" i="6" s="1"/>
  <c r="B235" i="6"/>
  <c r="B236" i="6" s="1"/>
  <c r="B237" i="6" s="1"/>
  <c r="B238" i="6" s="1"/>
  <c r="B239" i="6" s="1"/>
  <c r="B240" i="6" s="1"/>
  <c r="B241" i="6" s="1"/>
  <c r="B242" i="6" s="1"/>
  <c r="M234" i="6"/>
  <c r="G234" i="6"/>
  <c r="M233" i="6"/>
  <c r="G233" i="6"/>
  <c r="M232" i="6"/>
  <c r="G232" i="6"/>
  <c r="B232" i="6"/>
  <c r="B233" i="6" s="1"/>
  <c r="B234" i="6" s="1"/>
  <c r="M231" i="6"/>
  <c r="G231" i="6"/>
  <c r="F230" i="6"/>
  <c r="E230" i="6"/>
  <c r="M229" i="6"/>
  <c r="G229" i="6"/>
  <c r="M228" i="6"/>
  <c r="G228" i="6"/>
  <c r="M227" i="6"/>
  <c r="G227" i="6"/>
  <c r="M226" i="6"/>
  <c r="G226" i="6"/>
  <c r="G225" i="6"/>
  <c r="B225" i="6"/>
  <c r="B226" i="6" s="1"/>
  <c r="B227" i="6" s="1"/>
  <c r="B228" i="6" s="1"/>
  <c r="B229" i="6" s="1"/>
  <c r="M224" i="6"/>
  <c r="G224" i="6"/>
  <c r="G230" i="6" s="1"/>
  <c r="G244" i="6" s="1"/>
  <c r="M223" i="6"/>
  <c r="G223" i="6"/>
  <c r="M222" i="6"/>
  <c r="G222" i="6"/>
  <c r="B222" i="6"/>
  <c r="B223" i="6" s="1"/>
  <c r="B224" i="6" s="1"/>
  <c r="M221" i="6"/>
  <c r="G221" i="6"/>
  <c r="M220" i="6"/>
  <c r="G220" i="6"/>
  <c r="B220" i="6"/>
  <c r="B221" i="6" s="1"/>
  <c r="M219" i="6"/>
  <c r="G219" i="6"/>
  <c r="B219" i="6"/>
  <c r="M218" i="6"/>
  <c r="G218" i="6"/>
  <c r="O217" i="6"/>
  <c r="F216" i="6"/>
  <c r="E216" i="6"/>
  <c r="E217" i="6" s="1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G216" i="6" s="1"/>
  <c r="B206" i="6"/>
  <c r="B207" i="6" s="1"/>
  <c r="B208" i="6" s="1"/>
  <c r="B209" i="6" s="1"/>
  <c r="B210" i="6" s="1"/>
  <c r="B211" i="6" s="1"/>
  <c r="B212" i="6" s="1"/>
  <c r="B213" i="6" s="1"/>
  <c r="B214" i="6" s="1"/>
  <c r="B215" i="6" s="1"/>
  <c r="M205" i="6"/>
  <c r="G205" i="6"/>
  <c r="B205" i="6"/>
  <c r="M204" i="6"/>
  <c r="G204" i="6"/>
  <c r="F203" i="6"/>
  <c r="E203" i="6"/>
  <c r="M202" i="6"/>
  <c r="G202" i="6"/>
  <c r="M201" i="6"/>
  <c r="G201" i="6"/>
  <c r="M200" i="6"/>
  <c r="G200" i="6"/>
  <c r="M199" i="6"/>
  <c r="G199" i="6"/>
  <c r="M198" i="6"/>
  <c r="G198" i="6"/>
  <c r="B198" i="6"/>
  <c r="B199" i="6" s="1"/>
  <c r="B200" i="6" s="1"/>
  <c r="B201" i="6" s="1"/>
  <c r="B202" i="6" s="1"/>
  <c r="M197" i="6"/>
  <c r="G197" i="6"/>
  <c r="M196" i="6"/>
  <c r="G196" i="6"/>
  <c r="B196" i="6"/>
  <c r="B197" i="6" s="1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M191" i="6"/>
  <c r="G191" i="6"/>
  <c r="O190" i="6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B179" i="6"/>
  <c r="B180" i="6" s="1"/>
  <c r="B181" i="6" s="1"/>
  <c r="B182" i="6" s="1"/>
  <c r="B183" i="6" s="1"/>
  <c r="B184" i="6" s="1"/>
  <c r="B185" i="6" s="1"/>
  <c r="B186" i="6" s="1"/>
  <c r="B187" i="6" s="1"/>
  <c r="B188" i="6" s="1"/>
  <c r="M178" i="6"/>
  <c r="G178" i="6"/>
  <c r="B178" i="6"/>
  <c r="M177" i="6"/>
  <c r="G177" i="6"/>
  <c r="F176" i="6"/>
  <c r="E176" i="6"/>
  <c r="M175" i="6"/>
  <c r="G175" i="6"/>
  <c r="M174" i="6"/>
  <c r="G174" i="6"/>
  <c r="M173" i="6"/>
  <c r="G173" i="6"/>
  <c r="M172" i="6"/>
  <c r="G172" i="6"/>
  <c r="B172" i="6"/>
  <c r="B173" i="6" s="1"/>
  <c r="B174" i="6" s="1"/>
  <c r="B175" i="6" s="1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M164" i="6"/>
  <c r="G164" i="6"/>
  <c r="O163" i="6"/>
  <c r="F9" i="1" s="1"/>
  <c r="F163" i="6"/>
  <c r="G162" i="6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B155" i="6"/>
  <c r="B156" i="6" s="1"/>
  <c r="B157" i="6" s="1"/>
  <c r="B158" i="6" s="1"/>
  <c r="B159" i="6" s="1"/>
  <c r="B160" i="6" s="1"/>
  <c r="B161" i="6" s="1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M150" i="6"/>
  <c r="G150" i="6"/>
  <c r="F149" i="6"/>
  <c r="E149" i="6"/>
  <c r="E163" i="6" s="1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B140" i="6"/>
  <c r="B141" i="6" s="1"/>
  <c r="B142" i="6" s="1"/>
  <c r="B143" i="6" s="1"/>
  <c r="B144" i="6" s="1"/>
  <c r="B145" i="6" s="1"/>
  <c r="B146" i="6" s="1"/>
  <c r="B147" i="6" s="1"/>
  <c r="B148" i="6" s="1"/>
  <c r="M139" i="6"/>
  <c r="G139" i="6"/>
  <c r="M138" i="6"/>
  <c r="G138" i="6"/>
  <c r="B138" i="6"/>
  <c r="B139" i="6" s="1"/>
  <c r="M137" i="6"/>
  <c r="G137" i="6"/>
  <c r="O136" i="6"/>
  <c r="F135" i="6"/>
  <c r="E135" i="6"/>
  <c r="E136" i="6" s="1"/>
  <c r="M134" i="6"/>
  <c r="G134" i="6"/>
  <c r="M133" i="6"/>
  <c r="G133" i="6"/>
  <c r="M132" i="6"/>
  <c r="G132" i="6"/>
  <c r="M131" i="6"/>
  <c r="G131" i="6"/>
  <c r="M130" i="6"/>
  <c r="G130" i="6"/>
  <c r="G135" i="6" s="1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M121" i="6"/>
  <c r="G121" i="6"/>
  <c r="M120" i="6"/>
  <c r="G120" i="6"/>
  <c r="B120" i="6"/>
  <c r="B121" i="6" s="1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B112" i="6"/>
  <c r="B113" i="6" s="1"/>
  <c r="B114" i="6" s="1"/>
  <c r="B115" i="6" s="1"/>
  <c r="B116" i="6" s="1"/>
  <c r="B117" i="6" s="1"/>
  <c r="B118" i="6" s="1"/>
  <c r="B119" i="6" s="1"/>
  <c r="M111" i="6"/>
  <c r="G111" i="6"/>
  <c r="B111" i="6"/>
  <c r="M110" i="6"/>
  <c r="G110" i="6"/>
  <c r="O109" i="6"/>
  <c r="F108" i="6"/>
  <c r="F109" i="6" s="1"/>
  <c r="E108" i="6"/>
  <c r="M107" i="6"/>
  <c r="G107" i="6"/>
  <c r="M106" i="6"/>
  <c r="G106" i="6"/>
  <c r="M105" i="6"/>
  <c r="G105" i="6"/>
  <c r="M104" i="6"/>
  <c r="G104" i="6"/>
  <c r="M103" i="6"/>
  <c r="G103" i="6"/>
  <c r="M102" i="6"/>
  <c r="G102" i="6"/>
  <c r="M101" i="6"/>
  <c r="G101" i="6"/>
  <c r="M100" i="6"/>
  <c r="G100" i="6"/>
  <c r="M99" i="6"/>
  <c r="G99" i="6"/>
  <c r="B99" i="6"/>
  <c r="B100" i="6" s="1"/>
  <c r="B101" i="6" s="1"/>
  <c r="B102" i="6" s="1"/>
  <c r="B103" i="6" s="1"/>
  <c r="B104" i="6" s="1"/>
  <c r="B105" i="6" s="1"/>
  <c r="B106" i="6" s="1"/>
  <c r="B107" i="6" s="1"/>
  <c r="M98" i="6"/>
  <c r="G98" i="6"/>
  <c r="B98" i="6"/>
  <c r="M97" i="6"/>
  <c r="G97" i="6"/>
  <c r="B97" i="6"/>
  <c r="M96" i="6"/>
  <c r="G96" i="6"/>
  <c r="F95" i="6"/>
  <c r="E95" i="6"/>
  <c r="M94" i="6"/>
  <c r="G94" i="6"/>
  <c r="M93" i="6"/>
  <c r="G93" i="6"/>
  <c r="M92" i="6"/>
  <c r="G92" i="6"/>
  <c r="M91" i="6"/>
  <c r="G91" i="6"/>
  <c r="B91" i="6"/>
  <c r="B92" i="6" s="1"/>
  <c r="B93" i="6" s="1"/>
  <c r="B94" i="6" s="1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M83" i="6"/>
  <c r="G83" i="6"/>
  <c r="O82" i="6"/>
  <c r="F82" i="6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B73" i="6"/>
  <c r="B74" i="6" s="1"/>
  <c r="B75" i="6" s="1"/>
  <c r="B76" i="6" s="1"/>
  <c r="B77" i="6" s="1"/>
  <c r="B78" i="6" s="1"/>
  <c r="B79" i="6" s="1"/>
  <c r="B80" i="6" s="1"/>
  <c r="M72" i="6"/>
  <c r="G72" i="6"/>
  <c r="M71" i="6"/>
  <c r="G71" i="6"/>
  <c r="M70" i="6"/>
  <c r="G70" i="6"/>
  <c r="B70" i="6"/>
  <c r="B71" i="6" s="1"/>
  <c r="B72" i="6" s="1"/>
  <c r="M69" i="6"/>
  <c r="G69" i="6"/>
  <c r="F68" i="6"/>
  <c r="E68" i="6"/>
  <c r="M67" i="6"/>
  <c r="G67" i="6"/>
  <c r="M66" i="6"/>
  <c r="G66" i="6"/>
  <c r="M65" i="6"/>
  <c r="G65" i="6"/>
  <c r="M64" i="6"/>
  <c r="G64" i="6"/>
  <c r="B64" i="6"/>
  <c r="B65" i="6" s="1"/>
  <c r="B66" i="6" s="1"/>
  <c r="B67" i="6" s="1"/>
  <c r="M63" i="6"/>
  <c r="G63" i="6"/>
  <c r="M62" i="6"/>
  <c r="G62" i="6"/>
  <c r="B62" i="6"/>
  <c r="B63" i="6" s="1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M56" i="6"/>
  <c r="G56" i="6"/>
  <c r="O55" i="6"/>
  <c r="F54" i="6"/>
  <c r="E54" i="6"/>
  <c r="E55" i="6" s="1"/>
  <c r="M53" i="6"/>
  <c r="G53" i="6"/>
  <c r="M52" i="6"/>
  <c r="G52" i="6"/>
  <c r="M51" i="6"/>
  <c r="G51" i="6"/>
  <c r="M50" i="6"/>
  <c r="G50" i="6"/>
  <c r="M49" i="6"/>
  <c r="G49" i="6"/>
  <c r="M48" i="6"/>
  <c r="G48" i="6"/>
  <c r="M47" i="6"/>
  <c r="G47" i="6"/>
  <c r="M46" i="6"/>
  <c r="G46" i="6"/>
  <c r="B46" i="6"/>
  <c r="B47" i="6" s="1"/>
  <c r="B48" i="6" s="1"/>
  <c r="B49" i="6" s="1"/>
  <c r="B50" i="6" s="1"/>
  <c r="B51" i="6" s="1"/>
  <c r="B52" i="6" s="1"/>
  <c r="B53" i="6" s="1"/>
  <c r="M45" i="6"/>
  <c r="G45" i="6"/>
  <c r="M44" i="6"/>
  <c r="G44" i="6"/>
  <c r="B44" i="6"/>
  <c r="B45" i="6" s="1"/>
  <c r="M43" i="6"/>
  <c r="G43" i="6"/>
  <c r="B43" i="6"/>
  <c r="M42" i="6"/>
  <c r="G42" i="6"/>
  <c r="F41" i="6"/>
  <c r="F55" i="6" s="1"/>
  <c r="E41" i="6"/>
  <c r="M40" i="6"/>
  <c r="G40" i="6"/>
  <c r="M39" i="6"/>
  <c r="G39" i="6"/>
  <c r="M38" i="6"/>
  <c r="G38" i="6"/>
  <c r="M37" i="6"/>
  <c r="G37" i="6"/>
  <c r="M36" i="6"/>
  <c r="G36" i="6"/>
  <c r="B36" i="6"/>
  <c r="B37" i="6" s="1"/>
  <c r="B38" i="6" s="1"/>
  <c r="B39" i="6" s="1"/>
  <c r="B40" i="6" s="1"/>
  <c r="M35" i="6"/>
  <c r="G35" i="6"/>
  <c r="M34" i="6"/>
  <c r="G34" i="6"/>
  <c r="M33" i="6"/>
  <c r="G33" i="6"/>
  <c r="M32" i="6"/>
  <c r="G32" i="6"/>
  <c r="B32" i="6"/>
  <c r="B33" i="6" s="1"/>
  <c r="B34" i="6" s="1"/>
  <c r="B35" i="6" s="1"/>
  <c r="M31" i="6"/>
  <c r="G31" i="6"/>
  <c r="B31" i="6"/>
  <c r="M30" i="6"/>
  <c r="G30" i="6"/>
  <c r="B30" i="6"/>
  <c r="M29" i="6"/>
  <c r="G29" i="6"/>
  <c r="G41" i="6" s="1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B17" i="6"/>
  <c r="B18" i="6" s="1"/>
  <c r="B19" i="6" s="1"/>
  <c r="B20" i="6" s="1"/>
  <c r="B21" i="6" s="1"/>
  <c r="B22" i="6" s="1"/>
  <c r="B23" i="6" s="1"/>
  <c r="B24" i="6" s="1"/>
  <c r="B25" i="6" s="1"/>
  <c r="B26" i="6" s="1"/>
  <c r="M16" i="6"/>
  <c r="G16" i="6"/>
  <c r="B16" i="6"/>
  <c r="M15" i="6"/>
  <c r="G15" i="6"/>
  <c r="F14" i="6"/>
  <c r="M13" i="6"/>
  <c r="G13" i="6"/>
  <c r="M12" i="6"/>
  <c r="G12" i="6"/>
  <c r="M11" i="6"/>
  <c r="G11" i="6"/>
  <c r="M10" i="6"/>
  <c r="G10" i="6"/>
  <c r="M9" i="6"/>
  <c r="G9" i="6"/>
  <c r="M8" i="6"/>
  <c r="G8" i="6"/>
  <c r="B8" i="6"/>
  <c r="B9" i="6" s="1"/>
  <c r="B10" i="6" s="1"/>
  <c r="B11" i="6" s="1"/>
  <c r="B12" i="6" s="1"/>
  <c r="B13" i="6" s="1"/>
  <c r="M7" i="6"/>
  <c r="G7" i="6"/>
  <c r="M6" i="6"/>
  <c r="G6" i="6"/>
  <c r="M5" i="6"/>
  <c r="G5" i="6"/>
  <c r="M4" i="6"/>
  <c r="G4" i="6"/>
  <c r="B4" i="6"/>
  <c r="B5" i="6" s="1"/>
  <c r="B6" i="6" s="1"/>
  <c r="B7" i="6" s="1"/>
  <c r="M3" i="6"/>
  <c r="G3" i="6"/>
  <c r="B3" i="6"/>
  <c r="M2" i="6"/>
  <c r="G2" i="6"/>
  <c r="O838" i="5"/>
  <c r="F838" i="5"/>
  <c r="F837" i="5"/>
  <c r="E837" i="5"/>
  <c r="E838" i="5" s="1"/>
  <c r="M836" i="5"/>
  <c r="G836" i="5"/>
  <c r="M835" i="5"/>
  <c r="G835" i="5"/>
  <c r="M834" i="5"/>
  <c r="G834" i="5"/>
  <c r="M833" i="5"/>
  <c r="G833" i="5"/>
  <c r="M832" i="5"/>
  <c r="G832" i="5"/>
  <c r="M831" i="5"/>
  <c r="G831" i="5"/>
  <c r="M830" i="5"/>
  <c r="G830" i="5"/>
  <c r="M829" i="5"/>
  <c r="G829" i="5"/>
  <c r="M828" i="5"/>
  <c r="G828" i="5"/>
  <c r="B828" i="5"/>
  <c r="B829" i="5" s="1"/>
  <c r="B830" i="5" s="1"/>
  <c r="B831" i="5" s="1"/>
  <c r="B832" i="5" s="1"/>
  <c r="B833" i="5" s="1"/>
  <c r="B834" i="5" s="1"/>
  <c r="B835" i="5" s="1"/>
  <c r="B836" i="5" s="1"/>
  <c r="M827" i="5"/>
  <c r="G827" i="5"/>
  <c r="M826" i="5"/>
  <c r="G826" i="5"/>
  <c r="B826" i="5"/>
  <c r="B827" i="5" s="1"/>
  <c r="M825" i="5"/>
  <c r="G825" i="5"/>
  <c r="F824" i="5"/>
  <c r="E824" i="5"/>
  <c r="M823" i="5"/>
  <c r="G823" i="5"/>
  <c r="M822" i="5"/>
  <c r="G822" i="5"/>
  <c r="M821" i="5"/>
  <c r="G821" i="5"/>
  <c r="M820" i="5"/>
  <c r="G820" i="5"/>
  <c r="M819" i="5"/>
  <c r="G819" i="5"/>
  <c r="M818" i="5"/>
  <c r="G818" i="5"/>
  <c r="M817" i="5"/>
  <c r="G817" i="5"/>
  <c r="M816" i="5"/>
  <c r="G816" i="5"/>
  <c r="M815" i="5"/>
  <c r="G815" i="5"/>
  <c r="M814" i="5"/>
  <c r="G814" i="5"/>
  <c r="M813" i="5"/>
  <c r="G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M812" i="5"/>
  <c r="G812" i="5"/>
  <c r="O811" i="5"/>
  <c r="F810" i="5"/>
  <c r="E810" i="5"/>
  <c r="M809" i="5"/>
  <c r="G809" i="5"/>
  <c r="M808" i="5"/>
  <c r="G808" i="5"/>
  <c r="M807" i="5"/>
  <c r="G807" i="5"/>
  <c r="M806" i="5"/>
  <c r="G806" i="5"/>
  <c r="M805" i="5"/>
  <c r="G805" i="5"/>
  <c r="B805" i="5"/>
  <c r="B806" i="5" s="1"/>
  <c r="B807" i="5" s="1"/>
  <c r="B808" i="5" s="1"/>
  <c r="B809" i="5" s="1"/>
  <c r="M804" i="5"/>
  <c r="G804" i="5"/>
  <c r="M803" i="5"/>
  <c r="G803" i="5"/>
  <c r="M802" i="5"/>
  <c r="G802" i="5"/>
  <c r="M801" i="5"/>
  <c r="G801" i="5"/>
  <c r="M800" i="5"/>
  <c r="M799" i="5"/>
  <c r="B799" i="5"/>
  <c r="B800" i="5" s="1"/>
  <c r="B801" i="5" s="1"/>
  <c r="B802" i="5" s="1"/>
  <c r="B803" i="5" s="1"/>
  <c r="B804" i="5" s="1"/>
  <c r="M798" i="5"/>
  <c r="G797" i="5"/>
  <c r="F797" i="5"/>
  <c r="F811" i="5" s="1"/>
  <c r="E797" i="5"/>
  <c r="M796" i="5"/>
  <c r="M795" i="5"/>
  <c r="M794" i="5"/>
  <c r="M793" i="5"/>
  <c r="M792" i="5"/>
  <c r="M791" i="5"/>
  <c r="M790" i="5"/>
  <c r="M789" i="5"/>
  <c r="B789" i="5"/>
  <c r="B790" i="5" s="1"/>
  <c r="B791" i="5" s="1"/>
  <c r="B792" i="5" s="1"/>
  <c r="B793" i="5" s="1"/>
  <c r="B794" i="5" s="1"/>
  <c r="B795" i="5" s="1"/>
  <c r="B796" i="5" s="1"/>
  <c r="M788" i="5"/>
  <c r="M787" i="5"/>
  <c r="M786" i="5"/>
  <c r="B786" i="5"/>
  <c r="B787" i="5" s="1"/>
  <c r="B788" i="5" s="1"/>
  <c r="M785" i="5"/>
  <c r="O784" i="5"/>
  <c r="E784" i="5"/>
  <c r="F783" i="5"/>
  <c r="E783" i="5"/>
  <c r="M782" i="5"/>
  <c r="G782" i="5"/>
  <c r="M781" i="5"/>
  <c r="G781" i="5"/>
  <c r="M780" i="5"/>
  <c r="G780" i="5"/>
  <c r="M779" i="5"/>
  <c r="G779" i="5"/>
  <c r="M778" i="5"/>
  <c r="G778" i="5"/>
  <c r="M777" i="5"/>
  <c r="G777" i="5"/>
  <c r="M776" i="5"/>
  <c r="G776" i="5"/>
  <c r="M775" i="5"/>
  <c r="G775" i="5"/>
  <c r="M774" i="5"/>
  <c r="G774" i="5"/>
  <c r="M773" i="5"/>
  <c r="G773" i="5"/>
  <c r="M772" i="5"/>
  <c r="G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M771" i="5"/>
  <c r="G771" i="5"/>
  <c r="F770" i="5"/>
  <c r="E770" i="5"/>
  <c r="M769" i="5"/>
  <c r="G769" i="5"/>
  <c r="M768" i="5"/>
  <c r="G768" i="5"/>
  <c r="M767" i="5"/>
  <c r="G767" i="5"/>
  <c r="M766" i="5"/>
  <c r="G766" i="5"/>
  <c r="M765" i="5"/>
  <c r="G765" i="5"/>
  <c r="M764" i="5"/>
  <c r="G764" i="5"/>
  <c r="B764" i="5"/>
  <c r="B765" i="5" s="1"/>
  <c r="B766" i="5" s="1"/>
  <c r="B767" i="5" s="1"/>
  <c r="B768" i="5" s="1"/>
  <c r="B769" i="5" s="1"/>
  <c r="M763" i="5"/>
  <c r="G763" i="5"/>
  <c r="M762" i="5"/>
  <c r="G762" i="5"/>
  <c r="B762" i="5"/>
  <c r="B763" i="5" s="1"/>
  <c r="M761" i="5"/>
  <c r="G761" i="5"/>
  <c r="B761" i="5"/>
  <c r="M760" i="5"/>
  <c r="G760" i="5"/>
  <c r="B760" i="5"/>
  <c r="M759" i="5"/>
  <c r="G759" i="5"/>
  <c r="B759" i="5"/>
  <c r="M758" i="5"/>
  <c r="G758" i="5"/>
  <c r="O757" i="5"/>
  <c r="F757" i="5"/>
  <c r="E757" i="5"/>
  <c r="F756" i="5"/>
  <c r="E756" i="5"/>
  <c r="M755" i="5"/>
  <c r="G755" i="5"/>
  <c r="M754" i="5"/>
  <c r="G754" i="5"/>
  <c r="M753" i="5"/>
  <c r="G753" i="5"/>
  <c r="M752" i="5"/>
  <c r="G752" i="5"/>
  <c r="M751" i="5"/>
  <c r="G751" i="5"/>
  <c r="M750" i="5"/>
  <c r="G750" i="5"/>
  <c r="M749" i="5"/>
  <c r="G749" i="5"/>
  <c r="M748" i="5"/>
  <c r="G748" i="5"/>
  <c r="M747" i="5"/>
  <c r="G747" i="5"/>
  <c r="B747" i="5"/>
  <c r="B748" i="5" s="1"/>
  <c r="B749" i="5" s="1"/>
  <c r="B750" i="5" s="1"/>
  <c r="B751" i="5" s="1"/>
  <c r="B752" i="5" s="1"/>
  <c r="B753" i="5" s="1"/>
  <c r="B754" i="5" s="1"/>
  <c r="B755" i="5" s="1"/>
  <c r="M746" i="5"/>
  <c r="G746" i="5"/>
  <c r="B746" i="5"/>
  <c r="M745" i="5"/>
  <c r="G745" i="5"/>
  <c r="B745" i="5"/>
  <c r="M744" i="5"/>
  <c r="G744" i="5"/>
  <c r="F743" i="5"/>
  <c r="E743" i="5"/>
  <c r="M742" i="5"/>
  <c r="G742" i="5"/>
  <c r="M741" i="5"/>
  <c r="G741" i="5"/>
  <c r="M740" i="5"/>
  <c r="G740" i="5"/>
  <c r="M739" i="5"/>
  <c r="G739" i="5"/>
  <c r="M738" i="5"/>
  <c r="G738" i="5"/>
  <c r="M737" i="5"/>
  <c r="G737" i="5"/>
  <c r="M736" i="5"/>
  <c r="G736" i="5"/>
  <c r="M735" i="5"/>
  <c r="G735" i="5"/>
  <c r="M734" i="5"/>
  <c r="G734" i="5"/>
  <c r="M733" i="5"/>
  <c r="G733" i="5"/>
  <c r="M732" i="5"/>
  <c r="G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M731" i="5"/>
  <c r="G731" i="5"/>
  <c r="O730" i="5"/>
  <c r="E30" i="1" s="1"/>
  <c r="F730" i="5"/>
  <c r="G729" i="5"/>
  <c r="G730" i="5" s="1"/>
  <c r="F729" i="5"/>
  <c r="E729" i="5"/>
  <c r="M728" i="5"/>
  <c r="G728" i="5"/>
  <c r="M727" i="5"/>
  <c r="G727" i="5"/>
  <c r="M726" i="5"/>
  <c r="G726" i="5"/>
  <c r="M725" i="5"/>
  <c r="G725" i="5"/>
  <c r="M724" i="5"/>
  <c r="G724" i="5"/>
  <c r="M723" i="5"/>
  <c r="G723" i="5"/>
  <c r="M722" i="5"/>
  <c r="G722" i="5"/>
  <c r="B722" i="5"/>
  <c r="B723" i="5" s="1"/>
  <c r="B724" i="5" s="1"/>
  <c r="B725" i="5" s="1"/>
  <c r="B726" i="5" s="1"/>
  <c r="B727" i="5" s="1"/>
  <c r="B728" i="5" s="1"/>
  <c r="M721" i="5"/>
  <c r="G721" i="5"/>
  <c r="M720" i="5"/>
  <c r="G720" i="5"/>
  <c r="M719" i="5"/>
  <c r="G719" i="5"/>
  <c r="M718" i="5"/>
  <c r="G718" i="5"/>
  <c r="B718" i="5"/>
  <c r="B719" i="5" s="1"/>
  <c r="B720" i="5" s="1"/>
  <c r="B721" i="5" s="1"/>
  <c r="M717" i="5"/>
  <c r="G717" i="5"/>
  <c r="F716" i="5"/>
  <c r="E716" i="5"/>
  <c r="E730" i="5" s="1"/>
  <c r="M715" i="5"/>
  <c r="G715" i="5"/>
  <c r="M714" i="5"/>
  <c r="G714" i="5"/>
  <c r="M713" i="5"/>
  <c r="G713" i="5"/>
  <c r="M712" i="5"/>
  <c r="G712" i="5"/>
  <c r="B712" i="5"/>
  <c r="B713" i="5" s="1"/>
  <c r="B714" i="5" s="1"/>
  <c r="B715" i="5" s="1"/>
  <c r="M711" i="5"/>
  <c r="G711" i="5"/>
  <c r="M710" i="5"/>
  <c r="G710" i="5"/>
  <c r="M709" i="5"/>
  <c r="G709" i="5"/>
  <c r="M708" i="5"/>
  <c r="G708" i="5"/>
  <c r="M707" i="5"/>
  <c r="G707" i="5"/>
  <c r="B707" i="5"/>
  <c r="B708" i="5" s="1"/>
  <c r="B709" i="5" s="1"/>
  <c r="B710" i="5" s="1"/>
  <c r="B711" i="5" s="1"/>
  <c r="M706" i="5"/>
  <c r="G706" i="5"/>
  <c r="M705" i="5"/>
  <c r="G705" i="5"/>
  <c r="G716" i="5" s="1"/>
  <c r="B705" i="5"/>
  <c r="B706" i="5" s="1"/>
  <c r="M704" i="5"/>
  <c r="G704" i="5"/>
  <c r="O703" i="5"/>
  <c r="E29" i="1" s="1"/>
  <c r="F702" i="5"/>
  <c r="F703" i="5" s="1"/>
  <c r="E702" i="5"/>
  <c r="E703" i="5" s="1"/>
  <c r="M701" i="5"/>
  <c r="G701" i="5"/>
  <c r="M700" i="5"/>
  <c r="G700" i="5"/>
  <c r="M699" i="5"/>
  <c r="G699" i="5"/>
  <c r="M698" i="5"/>
  <c r="G698" i="5"/>
  <c r="M697" i="5"/>
  <c r="G697" i="5"/>
  <c r="M696" i="5"/>
  <c r="G696" i="5"/>
  <c r="M695" i="5"/>
  <c r="G695" i="5"/>
  <c r="M694" i="5"/>
  <c r="G694" i="5"/>
  <c r="B694" i="5"/>
  <c r="B695" i="5" s="1"/>
  <c r="B696" i="5" s="1"/>
  <c r="B697" i="5" s="1"/>
  <c r="B698" i="5" s="1"/>
  <c r="B699" i="5" s="1"/>
  <c r="B700" i="5" s="1"/>
  <c r="B701" i="5" s="1"/>
  <c r="M693" i="5"/>
  <c r="G693" i="5"/>
  <c r="M692" i="5"/>
  <c r="G692" i="5"/>
  <c r="M691" i="5"/>
  <c r="G691" i="5"/>
  <c r="B691" i="5"/>
  <c r="B692" i="5" s="1"/>
  <c r="B693" i="5" s="1"/>
  <c r="M690" i="5"/>
  <c r="G690" i="5"/>
  <c r="F689" i="5"/>
  <c r="E689" i="5"/>
  <c r="M688" i="5"/>
  <c r="G688" i="5"/>
  <c r="M687" i="5"/>
  <c r="G687" i="5"/>
  <c r="M686" i="5"/>
  <c r="G686" i="5"/>
  <c r="M685" i="5"/>
  <c r="G685" i="5"/>
  <c r="M684" i="5"/>
  <c r="G684" i="5"/>
  <c r="M683" i="5"/>
  <c r="G683" i="5"/>
  <c r="M682" i="5"/>
  <c r="G682" i="5"/>
  <c r="M681" i="5"/>
  <c r="G681" i="5"/>
  <c r="M680" i="5"/>
  <c r="G680" i="5"/>
  <c r="M679" i="5"/>
  <c r="G679" i="5"/>
  <c r="G689" i="5" s="1"/>
  <c r="B679" i="5"/>
  <c r="B680" i="5" s="1"/>
  <c r="B681" i="5" s="1"/>
  <c r="B682" i="5" s="1"/>
  <c r="B683" i="5" s="1"/>
  <c r="B684" i="5" s="1"/>
  <c r="B685" i="5" s="1"/>
  <c r="B686" i="5" s="1"/>
  <c r="B687" i="5" s="1"/>
  <c r="B688" i="5" s="1"/>
  <c r="M678" i="5"/>
  <c r="G678" i="5"/>
  <c r="B678" i="5"/>
  <c r="M677" i="5"/>
  <c r="G677" i="5"/>
  <c r="O676" i="5"/>
  <c r="F676" i="5"/>
  <c r="G675" i="5"/>
  <c r="F675" i="5"/>
  <c r="E675" i="5"/>
  <c r="M674" i="5"/>
  <c r="G674" i="5"/>
  <c r="M673" i="5"/>
  <c r="G673" i="5"/>
  <c r="M672" i="5"/>
  <c r="G672" i="5"/>
  <c r="M671" i="5"/>
  <c r="G671" i="5"/>
  <c r="M670" i="5"/>
  <c r="G670" i="5"/>
  <c r="M669" i="5"/>
  <c r="G669" i="5"/>
  <c r="M668" i="5"/>
  <c r="G668" i="5"/>
  <c r="M667" i="5"/>
  <c r="G667" i="5"/>
  <c r="M666" i="5"/>
  <c r="G666" i="5"/>
  <c r="M665" i="5"/>
  <c r="G665" i="5"/>
  <c r="M664" i="5"/>
  <c r="G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M663" i="5"/>
  <c r="G663" i="5"/>
  <c r="F662" i="5"/>
  <c r="E662" i="5"/>
  <c r="E676" i="5" s="1"/>
  <c r="M661" i="5"/>
  <c r="G661" i="5"/>
  <c r="M660" i="5"/>
  <c r="G660" i="5"/>
  <c r="M659" i="5"/>
  <c r="G659" i="5"/>
  <c r="M658" i="5"/>
  <c r="G658" i="5"/>
  <c r="M657" i="5"/>
  <c r="G657" i="5"/>
  <c r="M656" i="5"/>
  <c r="G656" i="5"/>
  <c r="M655" i="5"/>
  <c r="G655" i="5"/>
  <c r="M654" i="5"/>
  <c r="G654" i="5"/>
  <c r="M653" i="5"/>
  <c r="G653" i="5"/>
  <c r="M652" i="5"/>
  <c r="G652" i="5"/>
  <c r="M651" i="5"/>
  <c r="G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M650" i="5"/>
  <c r="G650" i="5"/>
  <c r="O649" i="5"/>
  <c r="F648" i="5"/>
  <c r="F649" i="5" s="1"/>
  <c r="E648" i="5"/>
  <c r="M647" i="5"/>
  <c r="G647" i="5"/>
  <c r="M646" i="5"/>
  <c r="G646" i="5"/>
  <c r="M645" i="5"/>
  <c r="G645" i="5"/>
  <c r="M644" i="5"/>
  <c r="G644" i="5"/>
  <c r="B644" i="5"/>
  <c r="B645" i="5" s="1"/>
  <c r="B646" i="5" s="1"/>
  <c r="B647" i="5" s="1"/>
  <c r="M643" i="5"/>
  <c r="G643" i="5"/>
  <c r="G648" i="5" s="1"/>
  <c r="M642" i="5"/>
  <c r="G642" i="5"/>
  <c r="M641" i="5"/>
  <c r="G641" i="5"/>
  <c r="M640" i="5"/>
  <c r="G640" i="5"/>
  <c r="M639" i="5"/>
  <c r="G639" i="5"/>
  <c r="M638" i="5"/>
  <c r="G638" i="5"/>
  <c r="M637" i="5"/>
  <c r="G637" i="5"/>
  <c r="B637" i="5"/>
  <c r="B638" i="5" s="1"/>
  <c r="B639" i="5" s="1"/>
  <c r="B640" i="5" s="1"/>
  <c r="B641" i="5" s="1"/>
  <c r="B642" i="5" s="1"/>
  <c r="B643" i="5" s="1"/>
  <c r="M636" i="5"/>
  <c r="G636" i="5"/>
  <c r="F635" i="5"/>
  <c r="E635" i="5"/>
  <c r="M634" i="5"/>
  <c r="G634" i="5"/>
  <c r="M633" i="5"/>
  <c r="G633" i="5"/>
  <c r="M632" i="5"/>
  <c r="G632" i="5"/>
  <c r="M631" i="5"/>
  <c r="G631" i="5"/>
  <c r="M630" i="5"/>
  <c r="G630" i="5"/>
  <c r="M629" i="5"/>
  <c r="G629" i="5"/>
  <c r="M628" i="5"/>
  <c r="G628" i="5"/>
  <c r="M627" i="5"/>
  <c r="G627" i="5"/>
  <c r="M626" i="5"/>
  <c r="G626" i="5"/>
  <c r="B626" i="5"/>
  <c r="B627" i="5" s="1"/>
  <c r="B628" i="5" s="1"/>
  <c r="B629" i="5" s="1"/>
  <c r="B630" i="5" s="1"/>
  <c r="B631" i="5" s="1"/>
  <c r="B632" i="5" s="1"/>
  <c r="B633" i="5" s="1"/>
  <c r="B634" i="5" s="1"/>
  <c r="M625" i="5"/>
  <c r="G625" i="5"/>
  <c r="M624" i="5"/>
  <c r="G624" i="5"/>
  <c r="B624" i="5"/>
  <c r="B625" i="5" s="1"/>
  <c r="M623" i="5"/>
  <c r="G623" i="5"/>
  <c r="O622" i="5"/>
  <c r="F622" i="5"/>
  <c r="F621" i="5"/>
  <c r="E621" i="5"/>
  <c r="M620" i="5"/>
  <c r="G620" i="5"/>
  <c r="M619" i="5"/>
  <c r="G619" i="5"/>
  <c r="M618" i="5"/>
  <c r="G618" i="5"/>
  <c r="B618" i="5"/>
  <c r="B619" i="5" s="1"/>
  <c r="B620" i="5" s="1"/>
  <c r="M617" i="5"/>
  <c r="G617" i="5"/>
  <c r="M616" i="5"/>
  <c r="G616" i="5"/>
  <c r="B616" i="5"/>
  <c r="B617" i="5" s="1"/>
  <c r="M615" i="5"/>
  <c r="M614" i="5"/>
  <c r="G614" i="5"/>
  <c r="M613" i="5"/>
  <c r="G613" i="5"/>
  <c r="M612" i="5"/>
  <c r="G612" i="5"/>
  <c r="M611" i="5"/>
  <c r="G611" i="5"/>
  <c r="B611" i="5"/>
  <c r="B612" i="5" s="1"/>
  <c r="B613" i="5" s="1"/>
  <c r="B614" i="5" s="1"/>
  <c r="B615" i="5" s="1"/>
  <c r="M610" i="5"/>
  <c r="G610" i="5"/>
  <c r="B610" i="5"/>
  <c r="M609" i="5"/>
  <c r="G609" i="5"/>
  <c r="F608" i="5"/>
  <c r="E608" i="5"/>
  <c r="E622" i="5" s="1"/>
  <c r="M607" i="5"/>
  <c r="G607" i="5"/>
  <c r="B607" i="5"/>
  <c r="M606" i="5"/>
  <c r="G606" i="5"/>
  <c r="M605" i="5"/>
  <c r="G605" i="5"/>
  <c r="M604" i="5"/>
  <c r="G604" i="5"/>
  <c r="M603" i="5"/>
  <c r="G603" i="5"/>
  <c r="M602" i="5"/>
  <c r="G602" i="5"/>
  <c r="M601" i="5"/>
  <c r="G601" i="5"/>
  <c r="M600" i="5"/>
  <c r="G600" i="5"/>
  <c r="M599" i="5"/>
  <c r="G599" i="5"/>
  <c r="B599" i="5"/>
  <c r="B600" i="5" s="1"/>
  <c r="B601" i="5" s="1"/>
  <c r="B602" i="5" s="1"/>
  <c r="B603" i="5" s="1"/>
  <c r="B604" i="5" s="1"/>
  <c r="B605" i="5" s="1"/>
  <c r="B606" i="5" s="1"/>
  <c r="M598" i="5"/>
  <c r="G598" i="5"/>
  <c r="M597" i="5"/>
  <c r="G597" i="5"/>
  <c r="B597" i="5"/>
  <c r="B598" i="5" s="1"/>
  <c r="M596" i="5"/>
  <c r="G596" i="5"/>
  <c r="O595" i="5"/>
  <c r="E25" i="1" s="1"/>
  <c r="F595" i="5"/>
  <c r="E595" i="5"/>
  <c r="F594" i="5"/>
  <c r="E594" i="5"/>
  <c r="M593" i="5"/>
  <c r="G593" i="5"/>
  <c r="M592" i="5"/>
  <c r="G592" i="5"/>
  <c r="M591" i="5"/>
  <c r="G591" i="5"/>
  <c r="M590" i="5"/>
  <c r="G590" i="5"/>
  <c r="M589" i="5"/>
  <c r="G589" i="5"/>
  <c r="M588" i="5"/>
  <c r="G588" i="5"/>
  <c r="M587" i="5"/>
  <c r="G587" i="5"/>
  <c r="M586" i="5"/>
  <c r="G586" i="5"/>
  <c r="M585" i="5"/>
  <c r="G585" i="5"/>
  <c r="B585" i="5"/>
  <c r="B586" i="5" s="1"/>
  <c r="B587" i="5" s="1"/>
  <c r="B588" i="5" s="1"/>
  <c r="B589" i="5" s="1"/>
  <c r="B590" i="5" s="1"/>
  <c r="B591" i="5" s="1"/>
  <c r="B592" i="5" s="1"/>
  <c r="B593" i="5" s="1"/>
  <c r="M584" i="5"/>
  <c r="G584" i="5"/>
  <c r="M583" i="5"/>
  <c r="G583" i="5"/>
  <c r="B583" i="5"/>
  <c r="B584" i="5" s="1"/>
  <c r="M582" i="5"/>
  <c r="G582" i="5"/>
  <c r="F581" i="5"/>
  <c r="E581" i="5"/>
  <c r="M580" i="5"/>
  <c r="G580" i="5"/>
  <c r="M579" i="5"/>
  <c r="G579" i="5"/>
  <c r="M578" i="5"/>
  <c r="G578" i="5"/>
  <c r="M577" i="5"/>
  <c r="G577" i="5"/>
  <c r="M576" i="5"/>
  <c r="G576" i="5"/>
  <c r="M575" i="5"/>
  <c r="G575" i="5"/>
  <c r="M574" i="5"/>
  <c r="G574" i="5"/>
  <c r="M573" i="5"/>
  <c r="G573" i="5"/>
  <c r="M572" i="5"/>
  <c r="G572" i="5"/>
  <c r="G581" i="5" s="1"/>
  <c r="M571" i="5"/>
  <c r="G571" i="5"/>
  <c r="B571" i="5"/>
  <c r="B572" i="5" s="1"/>
  <c r="B573" i="5" s="1"/>
  <c r="B574" i="5" s="1"/>
  <c r="B575" i="5" s="1"/>
  <c r="B576" i="5" s="1"/>
  <c r="B577" i="5" s="1"/>
  <c r="B578" i="5" s="1"/>
  <c r="B579" i="5" s="1"/>
  <c r="B580" i="5" s="1"/>
  <c r="M570" i="5"/>
  <c r="G570" i="5"/>
  <c r="B570" i="5"/>
  <c r="M569" i="5"/>
  <c r="G569" i="5"/>
  <c r="O568" i="5"/>
  <c r="F567" i="5"/>
  <c r="E567" i="5"/>
  <c r="M566" i="5"/>
  <c r="G566" i="5"/>
  <c r="M565" i="5"/>
  <c r="G565" i="5"/>
  <c r="M564" i="5"/>
  <c r="G564" i="5"/>
  <c r="M563" i="5"/>
  <c r="G563" i="5"/>
  <c r="M562" i="5"/>
  <c r="G562" i="5"/>
  <c r="M561" i="5"/>
  <c r="G561" i="5"/>
  <c r="M560" i="5"/>
  <c r="G560" i="5"/>
  <c r="M559" i="5"/>
  <c r="G559" i="5"/>
  <c r="M558" i="5"/>
  <c r="G558" i="5"/>
  <c r="M557" i="5"/>
  <c r="G557" i="5"/>
  <c r="B557" i="5"/>
  <c r="B558" i="5" s="1"/>
  <c r="B559" i="5" s="1"/>
  <c r="B560" i="5" s="1"/>
  <c r="B561" i="5" s="1"/>
  <c r="B562" i="5" s="1"/>
  <c r="B563" i="5" s="1"/>
  <c r="B564" i="5" s="1"/>
  <c r="B565" i="5" s="1"/>
  <c r="B566" i="5" s="1"/>
  <c r="M556" i="5"/>
  <c r="G556" i="5"/>
  <c r="B556" i="5"/>
  <c r="M555" i="5"/>
  <c r="G555" i="5"/>
  <c r="F554" i="5"/>
  <c r="E554" i="5"/>
  <c r="M553" i="5"/>
  <c r="G553" i="5"/>
  <c r="M552" i="5"/>
  <c r="G552" i="5"/>
  <c r="M551" i="5"/>
  <c r="G551" i="5"/>
  <c r="M550" i="5"/>
  <c r="G550" i="5"/>
  <c r="M549" i="5"/>
  <c r="G549" i="5"/>
  <c r="M548" i="5"/>
  <c r="G548" i="5"/>
  <c r="M547" i="5"/>
  <c r="G547" i="5"/>
  <c r="M546" i="5"/>
  <c r="G546" i="5"/>
  <c r="M545" i="5"/>
  <c r="G545" i="5"/>
  <c r="M544" i="5"/>
  <c r="G544" i="5"/>
  <c r="M543" i="5"/>
  <c r="G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M542" i="5"/>
  <c r="G542" i="5"/>
  <c r="O541" i="5"/>
  <c r="F540" i="5"/>
  <c r="E540" i="5"/>
  <c r="E541" i="5" s="1"/>
  <c r="M539" i="5"/>
  <c r="G539" i="5"/>
  <c r="M538" i="5"/>
  <c r="G538" i="5"/>
  <c r="M537" i="5"/>
  <c r="G537" i="5"/>
  <c r="M536" i="5"/>
  <c r="G536" i="5"/>
  <c r="M535" i="5"/>
  <c r="G535" i="5"/>
  <c r="M534" i="5"/>
  <c r="G534" i="5"/>
  <c r="M533" i="5"/>
  <c r="G533" i="5"/>
  <c r="M532" i="5"/>
  <c r="G532" i="5"/>
  <c r="B532" i="5"/>
  <c r="B533" i="5" s="1"/>
  <c r="B534" i="5" s="1"/>
  <c r="B535" i="5" s="1"/>
  <c r="B536" i="5" s="1"/>
  <c r="B537" i="5" s="1"/>
  <c r="B538" i="5" s="1"/>
  <c r="B539" i="5" s="1"/>
  <c r="M531" i="5"/>
  <c r="G531" i="5"/>
  <c r="B531" i="5"/>
  <c r="M530" i="5"/>
  <c r="G530" i="5"/>
  <c r="B530" i="5"/>
  <c r="M529" i="5"/>
  <c r="G529" i="5"/>
  <c r="B529" i="5"/>
  <c r="M528" i="5"/>
  <c r="G528" i="5"/>
  <c r="F527" i="5"/>
  <c r="F541" i="5" s="1"/>
  <c r="E527" i="5"/>
  <c r="M526" i="5"/>
  <c r="G526" i="5"/>
  <c r="M525" i="5"/>
  <c r="G525" i="5"/>
  <c r="M524" i="5"/>
  <c r="G524" i="5"/>
  <c r="M523" i="5"/>
  <c r="G523" i="5"/>
  <c r="M522" i="5"/>
  <c r="G522" i="5"/>
  <c r="M521" i="5"/>
  <c r="G521" i="5"/>
  <c r="M520" i="5"/>
  <c r="G520" i="5"/>
  <c r="M519" i="5"/>
  <c r="G519" i="5"/>
  <c r="M518" i="5"/>
  <c r="G518" i="5"/>
  <c r="M517" i="5"/>
  <c r="G517" i="5"/>
  <c r="M516" i="5"/>
  <c r="G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M515" i="5"/>
  <c r="G515" i="5"/>
  <c r="O514" i="5"/>
  <c r="E22" i="1" s="1"/>
  <c r="F513" i="5"/>
  <c r="F514" i="5" s="1"/>
  <c r="E513" i="5"/>
  <c r="M512" i="5"/>
  <c r="G512" i="5"/>
  <c r="M511" i="5"/>
  <c r="G511" i="5"/>
  <c r="M510" i="5"/>
  <c r="G510" i="5"/>
  <c r="M509" i="5"/>
  <c r="G509" i="5"/>
  <c r="M508" i="5"/>
  <c r="G508" i="5"/>
  <c r="M507" i="5"/>
  <c r="G507" i="5"/>
  <c r="B507" i="5"/>
  <c r="B508" i="5" s="1"/>
  <c r="B509" i="5" s="1"/>
  <c r="B510" i="5" s="1"/>
  <c r="B511" i="5" s="1"/>
  <c r="B512" i="5" s="1"/>
  <c r="M506" i="5"/>
  <c r="G506" i="5"/>
  <c r="M505" i="5"/>
  <c r="G505" i="5"/>
  <c r="M504" i="5"/>
  <c r="G504" i="5"/>
  <c r="M503" i="5"/>
  <c r="G503" i="5"/>
  <c r="M502" i="5"/>
  <c r="G502" i="5"/>
  <c r="B502" i="5"/>
  <c r="B503" i="5" s="1"/>
  <c r="B504" i="5" s="1"/>
  <c r="B505" i="5" s="1"/>
  <c r="B506" i="5" s="1"/>
  <c r="M501" i="5"/>
  <c r="G501" i="5"/>
  <c r="F500" i="5"/>
  <c r="E500" i="5"/>
  <c r="E514" i="5" s="1"/>
  <c r="M499" i="5"/>
  <c r="G499" i="5"/>
  <c r="M498" i="5"/>
  <c r="G498" i="5"/>
  <c r="B498" i="5"/>
  <c r="B499" i="5" s="1"/>
  <c r="M497" i="5"/>
  <c r="G497" i="5"/>
  <c r="M496" i="5"/>
  <c r="G496" i="5"/>
  <c r="M495" i="5"/>
  <c r="G495" i="5"/>
  <c r="M494" i="5"/>
  <c r="G494" i="5"/>
  <c r="M493" i="5"/>
  <c r="G493" i="5"/>
  <c r="M492" i="5"/>
  <c r="G492" i="5"/>
  <c r="M491" i="5"/>
  <c r="G491" i="5"/>
  <c r="M490" i="5"/>
  <c r="G490" i="5"/>
  <c r="G500" i="5" s="1"/>
  <c r="B490" i="5"/>
  <c r="B491" i="5" s="1"/>
  <c r="B492" i="5" s="1"/>
  <c r="B493" i="5" s="1"/>
  <c r="B494" i="5" s="1"/>
  <c r="B495" i="5" s="1"/>
  <c r="B496" i="5" s="1"/>
  <c r="B497" i="5" s="1"/>
  <c r="M489" i="5"/>
  <c r="G489" i="5"/>
  <c r="B489" i="5"/>
  <c r="M488" i="5"/>
  <c r="G488" i="5"/>
  <c r="O487" i="5"/>
  <c r="F486" i="5"/>
  <c r="F487" i="5" s="1"/>
  <c r="E486" i="5"/>
  <c r="M485" i="5"/>
  <c r="G485" i="5"/>
  <c r="B485" i="5"/>
  <c r="M484" i="5"/>
  <c r="G484" i="5"/>
  <c r="M483" i="5"/>
  <c r="G483" i="5"/>
  <c r="M482" i="5"/>
  <c r="G482" i="5"/>
  <c r="M481" i="5"/>
  <c r="G481" i="5"/>
  <c r="M480" i="5"/>
  <c r="G480" i="5"/>
  <c r="M479" i="5"/>
  <c r="G479" i="5"/>
  <c r="M478" i="5"/>
  <c r="G478" i="5"/>
  <c r="B478" i="5"/>
  <c r="B479" i="5" s="1"/>
  <c r="B480" i="5" s="1"/>
  <c r="B481" i="5" s="1"/>
  <c r="B482" i="5" s="1"/>
  <c r="B483" i="5" s="1"/>
  <c r="B484" i="5" s="1"/>
  <c r="M477" i="5"/>
  <c r="G477" i="5"/>
  <c r="G486" i="5" s="1"/>
  <c r="M476" i="5"/>
  <c r="G476" i="5"/>
  <c r="B476" i="5"/>
  <c r="B477" i="5" s="1"/>
  <c r="M475" i="5"/>
  <c r="G475" i="5"/>
  <c r="B475" i="5"/>
  <c r="M474" i="5"/>
  <c r="G474" i="5"/>
  <c r="F473" i="5"/>
  <c r="E473" i="5"/>
  <c r="M472" i="5"/>
  <c r="G472" i="5"/>
  <c r="M471" i="5"/>
  <c r="G471" i="5"/>
  <c r="M470" i="5"/>
  <c r="G470" i="5"/>
  <c r="M469" i="5"/>
  <c r="G469" i="5"/>
  <c r="M468" i="5"/>
  <c r="G468" i="5"/>
  <c r="M467" i="5"/>
  <c r="G467" i="5"/>
  <c r="M466" i="5"/>
  <c r="G466" i="5"/>
  <c r="M465" i="5"/>
  <c r="G465" i="5"/>
  <c r="B465" i="5"/>
  <c r="B466" i="5" s="1"/>
  <c r="B467" i="5" s="1"/>
  <c r="B468" i="5" s="1"/>
  <c r="B469" i="5" s="1"/>
  <c r="B470" i="5" s="1"/>
  <c r="B471" i="5" s="1"/>
  <c r="B472" i="5" s="1"/>
  <c r="M464" i="5"/>
  <c r="G464" i="5"/>
  <c r="B464" i="5"/>
  <c r="M463" i="5"/>
  <c r="G463" i="5"/>
  <c r="M462" i="5"/>
  <c r="G462" i="5"/>
  <c r="B462" i="5"/>
  <c r="B463" i="5" s="1"/>
  <c r="M461" i="5"/>
  <c r="G461" i="5"/>
  <c r="O460" i="5"/>
  <c r="F460" i="5"/>
  <c r="F459" i="5"/>
  <c r="E459" i="5"/>
  <c r="M458" i="5"/>
  <c r="G458" i="5"/>
  <c r="M457" i="5"/>
  <c r="G457" i="5"/>
  <c r="M456" i="5"/>
  <c r="G456" i="5"/>
  <c r="M455" i="5"/>
  <c r="G455" i="5"/>
  <c r="M454" i="5"/>
  <c r="G454" i="5"/>
  <c r="M453" i="5"/>
  <c r="G453" i="5"/>
  <c r="M452" i="5"/>
  <c r="G452" i="5"/>
  <c r="M451" i="5"/>
  <c r="G451" i="5"/>
  <c r="M450" i="5"/>
  <c r="G450" i="5"/>
  <c r="G459" i="5" s="1"/>
  <c r="M449" i="5"/>
  <c r="G449" i="5"/>
  <c r="M448" i="5"/>
  <c r="G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M447" i="5"/>
  <c r="G447" i="5"/>
  <c r="F446" i="5"/>
  <c r="E446" i="5"/>
  <c r="M445" i="5"/>
  <c r="G445" i="5"/>
  <c r="M444" i="5"/>
  <c r="G444" i="5"/>
  <c r="M443" i="5"/>
  <c r="G443" i="5"/>
  <c r="M442" i="5"/>
  <c r="G442" i="5"/>
  <c r="B442" i="5"/>
  <c r="B443" i="5" s="1"/>
  <c r="B444" i="5" s="1"/>
  <c r="B445" i="5" s="1"/>
  <c r="M441" i="5"/>
  <c r="G441" i="5"/>
  <c r="M440" i="5"/>
  <c r="G440" i="5"/>
  <c r="B440" i="5"/>
  <c r="B441" i="5" s="1"/>
  <c r="M439" i="5"/>
  <c r="G439" i="5"/>
  <c r="M438" i="5"/>
  <c r="G438" i="5"/>
  <c r="M437" i="5"/>
  <c r="G437" i="5"/>
  <c r="M436" i="5"/>
  <c r="G436" i="5"/>
  <c r="M435" i="5"/>
  <c r="G435" i="5"/>
  <c r="B435" i="5"/>
  <c r="B436" i="5" s="1"/>
  <c r="B437" i="5" s="1"/>
  <c r="B438" i="5" s="1"/>
  <c r="B439" i="5" s="1"/>
  <c r="M434" i="5"/>
  <c r="G434" i="5"/>
  <c r="O433" i="5"/>
  <c r="E19" i="1" s="1"/>
  <c r="F432" i="5"/>
  <c r="F433" i="5" s="1"/>
  <c r="E432" i="5"/>
  <c r="M431" i="5"/>
  <c r="G431" i="5"/>
  <c r="M430" i="5"/>
  <c r="G430" i="5"/>
  <c r="M429" i="5"/>
  <c r="G429" i="5"/>
  <c r="M428" i="5"/>
  <c r="G428" i="5"/>
  <c r="M427" i="5"/>
  <c r="G427" i="5"/>
  <c r="M426" i="5"/>
  <c r="G426" i="5"/>
  <c r="M425" i="5"/>
  <c r="G425" i="5"/>
  <c r="M424" i="5"/>
  <c r="G424" i="5"/>
  <c r="M423" i="5"/>
  <c r="G423" i="5"/>
  <c r="M422" i="5"/>
  <c r="G422" i="5"/>
  <c r="B422" i="5"/>
  <c r="B423" i="5" s="1"/>
  <c r="B424" i="5" s="1"/>
  <c r="B425" i="5" s="1"/>
  <c r="B426" i="5" s="1"/>
  <c r="B427" i="5" s="1"/>
  <c r="B428" i="5" s="1"/>
  <c r="B429" i="5" s="1"/>
  <c r="B430" i="5" s="1"/>
  <c r="B431" i="5" s="1"/>
  <c r="M421" i="5"/>
  <c r="G421" i="5"/>
  <c r="B421" i="5"/>
  <c r="M420" i="5"/>
  <c r="G420" i="5"/>
  <c r="F419" i="5"/>
  <c r="E419" i="5"/>
  <c r="E433" i="5" s="1"/>
  <c r="M418" i="5"/>
  <c r="G418" i="5"/>
  <c r="M417" i="5"/>
  <c r="G417" i="5"/>
  <c r="M416" i="5"/>
  <c r="G416" i="5"/>
  <c r="M415" i="5"/>
  <c r="G415" i="5"/>
  <c r="M414" i="5"/>
  <c r="G414" i="5"/>
  <c r="M413" i="5"/>
  <c r="G413" i="5"/>
  <c r="M412" i="5"/>
  <c r="G412" i="5"/>
  <c r="M411" i="5"/>
  <c r="G411" i="5"/>
  <c r="M410" i="5"/>
  <c r="G410" i="5"/>
  <c r="M409" i="5"/>
  <c r="G409" i="5"/>
  <c r="M408" i="5"/>
  <c r="G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M407" i="5"/>
  <c r="G407" i="5"/>
  <c r="O406" i="5"/>
  <c r="E18" i="1" s="1"/>
  <c r="F406" i="5"/>
  <c r="F405" i="5"/>
  <c r="E405" i="5"/>
  <c r="M404" i="5"/>
  <c r="G404" i="5"/>
  <c r="M403" i="5"/>
  <c r="G403" i="5"/>
  <c r="B403" i="5"/>
  <c r="B404" i="5" s="1"/>
  <c r="M402" i="5"/>
  <c r="G402" i="5"/>
  <c r="M401" i="5"/>
  <c r="G401" i="5"/>
  <c r="M400" i="5"/>
  <c r="G400" i="5"/>
  <c r="M399" i="5"/>
  <c r="G399" i="5"/>
  <c r="M398" i="5"/>
  <c r="G398" i="5"/>
  <c r="M397" i="5"/>
  <c r="G397" i="5"/>
  <c r="M396" i="5"/>
  <c r="G396" i="5"/>
  <c r="M395" i="5"/>
  <c r="G395" i="5"/>
  <c r="M394" i="5"/>
  <c r="G394" i="5"/>
  <c r="B394" i="5"/>
  <c r="B395" i="5" s="1"/>
  <c r="B396" i="5" s="1"/>
  <c r="B397" i="5" s="1"/>
  <c r="B398" i="5" s="1"/>
  <c r="B399" i="5" s="1"/>
  <c r="B400" i="5" s="1"/>
  <c r="B401" i="5" s="1"/>
  <c r="B402" i="5" s="1"/>
  <c r="M393" i="5"/>
  <c r="G393" i="5"/>
  <c r="G405" i="5" s="1"/>
  <c r="F392" i="5"/>
  <c r="E392" i="5"/>
  <c r="E406" i="5" s="1"/>
  <c r="M391" i="5"/>
  <c r="G391" i="5"/>
  <c r="M390" i="5"/>
  <c r="G390" i="5"/>
  <c r="M389" i="5"/>
  <c r="G389" i="5"/>
  <c r="M388" i="5"/>
  <c r="G388" i="5"/>
  <c r="M387" i="5"/>
  <c r="G387" i="5"/>
  <c r="M386" i="5"/>
  <c r="G386" i="5"/>
  <c r="M385" i="5"/>
  <c r="G385" i="5"/>
  <c r="B385" i="5"/>
  <c r="B386" i="5" s="1"/>
  <c r="B387" i="5" s="1"/>
  <c r="B388" i="5" s="1"/>
  <c r="B389" i="5" s="1"/>
  <c r="B390" i="5" s="1"/>
  <c r="B391" i="5" s="1"/>
  <c r="M384" i="5"/>
  <c r="G384" i="5"/>
  <c r="M383" i="5"/>
  <c r="G383" i="5"/>
  <c r="M382" i="5"/>
  <c r="B382" i="5"/>
  <c r="B383" i="5" s="1"/>
  <c r="B384" i="5" s="1"/>
  <c r="M381" i="5"/>
  <c r="G381" i="5"/>
  <c r="B381" i="5"/>
  <c r="M380" i="5"/>
  <c r="G380" i="5"/>
  <c r="O379" i="5"/>
  <c r="F379" i="5"/>
  <c r="E379" i="5"/>
  <c r="F378" i="5"/>
  <c r="E378" i="5"/>
  <c r="M377" i="5"/>
  <c r="G377" i="5"/>
  <c r="M376" i="5"/>
  <c r="G376" i="5"/>
  <c r="M375" i="5"/>
  <c r="G375" i="5"/>
  <c r="M374" i="5"/>
  <c r="G374" i="5"/>
  <c r="M373" i="5"/>
  <c r="G373" i="5"/>
  <c r="M372" i="5"/>
  <c r="G372" i="5"/>
  <c r="M371" i="5"/>
  <c r="G371" i="5"/>
  <c r="G378" i="5" s="1"/>
  <c r="M370" i="5"/>
  <c r="G370" i="5"/>
  <c r="M369" i="5"/>
  <c r="G369" i="5"/>
  <c r="M368" i="5"/>
  <c r="G368" i="5"/>
  <c r="M367" i="5"/>
  <c r="G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M366" i="5"/>
  <c r="G366" i="5"/>
  <c r="F365" i="5"/>
  <c r="E365" i="5"/>
  <c r="M364" i="5"/>
  <c r="G364" i="5"/>
  <c r="M363" i="5"/>
  <c r="G363" i="5"/>
  <c r="M362" i="5"/>
  <c r="G362" i="5"/>
  <c r="M361" i="5"/>
  <c r="G361" i="5"/>
  <c r="M360" i="5"/>
  <c r="G360" i="5"/>
  <c r="M359" i="5"/>
  <c r="G359" i="5"/>
  <c r="M358" i="5"/>
  <c r="G358" i="5"/>
  <c r="M357" i="5"/>
  <c r="G357" i="5"/>
  <c r="M356" i="5"/>
  <c r="G356" i="5"/>
  <c r="M355" i="5"/>
  <c r="G355" i="5"/>
  <c r="M354" i="5"/>
  <c r="G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M353" i="5"/>
  <c r="G353" i="5"/>
  <c r="O352" i="5"/>
  <c r="F352" i="5"/>
  <c r="G351" i="5"/>
  <c r="F351" i="5"/>
  <c r="E351" i="5"/>
  <c r="M350" i="5"/>
  <c r="G350" i="5"/>
  <c r="M349" i="5"/>
  <c r="G349" i="5"/>
  <c r="M348" i="5"/>
  <c r="G348" i="5"/>
  <c r="M347" i="5"/>
  <c r="G347" i="5"/>
  <c r="M346" i="5"/>
  <c r="G346" i="5"/>
  <c r="M345" i="5"/>
  <c r="G345" i="5"/>
  <c r="M344" i="5"/>
  <c r="G344" i="5"/>
  <c r="M343" i="5"/>
  <c r="G343" i="5"/>
  <c r="M342" i="5"/>
  <c r="G342" i="5"/>
  <c r="B342" i="5"/>
  <c r="B343" i="5" s="1"/>
  <c r="B344" i="5" s="1"/>
  <c r="B345" i="5" s="1"/>
  <c r="B346" i="5" s="1"/>
  <c r="B347" i="5" s="1"/>
  <c r="B348" i="5" s="1"/>
  <c r="B349" i="5" s="1"/>
  <c r="B350" i="5" s="1"/>
  <c r="M341" i="5"/>
  <c r="G341" i="5"/>
  <c r="B341" i="5"/>
  <c r="M340" i="5"/>
  <c r="G340" i="5"/>
  <c r="B340" i="5"/>
  <c r="M339" i="5"/>
  <c r="G339" i="5"/>
  <c r="F338" i="5"/>
  <c r="E338" i="5"/>
  <c r="E352" i="5" s="1"/>
  <c r="M337" i="5"/>
  <c r="G337" i="5"/>
  <c r="M336" i="5"/>
  <c r="G336" i="5"/>
  <c r="M335" i="5"/>
  <c r="G335" i="5"/>
  <c r="M334" i="5"/>
  <c r="G334" i="5"/>
  <c r="M333" i="5"/>
  <c r="G333" i="5"/>
  <c r="B333" i="5"/>
  <c r="B334" i="5" s="1"/>
  <c r="B335" i="5" s="1"/>
  <c r="B336" i="5" s="1"/>
  <c r="B337" i="5" s="1"/>
  <c r="M332" i="5"/>
  <c r="G332" i="5"/>
  <c r="M331" i="5"/>
  <c r="G331" i="5"/>
  <c r="M330" i="5"/>
  <c r="G330" i="5"/>
  <c r="M329" i="5"/>
  <c r="G329" i="5"/>
  <c r="M328" i="5"/>
  <c r="G328" i="5"/>
  <c r="M327" i="5"/>
  <c r="G327" i="5"/>
  <c r="B327" i="5"/>
  <c r="B328" i="5" s="1"/>
  <c r="B329" i="5" s="1"/>
  <c r="B330" i="5" s="1"/>
  <c r="B331" i="5" s="1"/>
  <c r="B332" i="5" s="1"/>
  <c r="M326" i="5"/>
  <c r="G326" i="5"/>
  <c r="G338" i="5" s="1"/>
  <c r="O325" i="5"/>
  <c r="F324" i="5"/>
  <c r="E324" i="5"/>
  <c r="M323" i="5"/>
  <c r="G323" i="5"/>
  <c r="M322" i="5"/>
  <c r="G322" i="5"/>
  <c r="M321" i="5"/>
  <c r="G321" i="5"/>
  <c r="M320" i="5"/>
  <c r="G320" i="5"/>
  <c r="M319" i="5"/>
  <c r="G319" i="5"/>
  <c r="M318" i="5"/>
  <c r="G318" i="5"/>
  <c r="B318" i="5"/>
  <c r="B319" i="5" s="1"/>
  <c r="B320" i="5" s="1"/>
  <c r="B321" i="5" s="1"/>
  <c r="B322" i="5" s="1"/>
  <c r="B323" i="5" s="1"/>
  <c r="M317" i="5"/>
  <c r="G317" i="5"/>
  <c r="B317" i="5"/>
  <c r="M316" i="5"/>
  <c r="G316" i="5"/>
  <c r="M315" i="5"/>
  <c r="G315" i="5"/>
  <c r="M314" i="5"/>
  <c r="G314" i="5"/>
  <c r="B314" i="5"/>
  <c r="B315" i="5" s="1"/>
  <c r="B316" i="5" s="1"/>
  <c r="M313" i="5"/>
  <c r="G313" i="5"/>
  <c r="B313" i="5"/>
  <c r="M312" i="5"/>
  <c r="G312" i="5"/>
  <c r="F311" i="5"/>
  <c r="F325" i="5" s="1"/>
  <c r="E311" i="5"/>
  <c r="E325" i="5" s="1"/>
  <c r="M310" i="5"/>
  <c r="G310" i="5"/>
  <c r="M309" i="5"/>
  <c r="G309" i="5"/>
  <c r="B309" i="5"/>
  <c r="B310" i="5" s="1"/>
  <c r="M308" i="5"/>
  <c r="G308" i="5"/>
  <c r="M307" i="5"/>
  <c r="G307" i="5"/>
  <c r="M306" i="5"/>
  <c r="G306" i="5"/>
  <c r="M305" i="5"/>
  <c r="G305" i="5"/>
  <c r="M304" i="5"/>
  <c r="G304" i="5"/>
  <c r="G303" i="5"/>
  <c r="M302" i="5"/>
  <c r="G302" i="5"/>
  <c r="M301" i="5"/>
  <c r="G301" i="5"/>
  <c r="B301" i="5"/>
  <c r="B302" i="5" s="1"/>
  <c r="B303" i="5" s="1"/>
  <c r="B304" i="5" s="1"/>
  <c r="B305" i="5" s="1"/>
  <c r="B306" i="5" s="1"/>
  <c r="B307" i="5" s="1"/>
  <c r="B308" i="5" s="1"/>
  <c r="M300" i="5"/>
  <c r="G300" i="5"/>
  <c r="B300" i="5"/>
  <c r="M299" i="5"/>
  <c r="G299" i="5"/>
  <c r="O298" i="5"/>
  <c r="F298" i="5"/>
  <c r="F297" i="5"/>
  <c r="E297" i="5"/>
  <c r="M296" i="5"/>
  <c r="G296" i="5"/>
  <c r="M295" i="5"/>
  <c r="G295" i="5"/>
  <c r="M294" i="5"/>
  <c r="G294" i="5"/>
  <c r="M293" i="5"/>
  <c r="G293" i="5"/>
  <c r="M292" i="5"/>
  <c r="G292" i="5"/>
  <c r="M291" i="5"/>
  <c r="G291" i="5"/>
  <c r="B291" i="5"/>
  <c r="B292" i="5" s="1"/>
  <c r="B293" i="5" s="1"/>
  <c r="B294" i="5" s="1"/>
  <c r="B295" i="5" s="1"/>
  <c r="B296" i="5" s="1"/>
  <c r="M290" i="5"/>
  <c r="G290" i="5"/>
  <c r="M289" i="5"/>
  <c r="G289" i="5"/>
  <c r="M288" i="5"/>
  <c r="G288" i="5"/>
  <c r="M287" i="5"/>
  <c r="G287" i="5"/>
  <c r="M286" i="5"/>
  <c r="G286" i="5"/>
  <c r="B286" i="5"/>
  <c r="B287" i="5" s="1"/>
  <c r="B288" i="5" s="1"/>
  <c r="B289" i="5" s="1"/>
  <c r="B290" i="5" s="1"/>
  <c r="M285" i="5"/>
  <c r="G285" i="5"/>
  <c r="F284" i="5"/>
  <c r="E284" i="5"/>
  <c r="E298" i="5" s="1"/>
  <c r="M283" i="5"/>
  <c r="G283" i="5"/>
  <c r="M282" i="5"/>
  <c r="G282" i="5"/>
  <c r="M281" i="5"/>
  <c r="G281" i="5"/>
  <c r="M280" i="5"/>
  <c r="G280" i="5"/>
  <c r="M279" i="5"/>
  <c r="G279" i="5"/>
  <c r="M278" i="5"/>
  <c r="G278" i="5"/>
  <c r="M277" i="5"/>
  <c r="G277" i="5"/>
  <c r="M276" i="5"/>
  <c r="G276" i="5"/>
  <c r="M275" i="5"/>
  <c r="G275" i="5"/>
  <c r="B275" i="5"/>
  <c r="B276" i="5" s="1"/>
  <c r="B277" i="5" s="1"/>
  <c r="B278" i="5" s="1"/>
  <c r="B279" i="5" s="1"/>
  <c r="B280" i="5" s="1"/>
  <c r="B281" i="5" s="1"/>
  <c r="B282" i="5" s="1"/>
  <c r="B283" i="5" s="1"/>
  <c r="M274" i="5"/>
  <c r="G274" i="5"/>
  <c r="M273" i="5"/>
  <c r="G273" i="5"/>
  <c r="B273" i="5"/>
  <c r="B274" i="5" s="1"/>
  <c r="M272" i="5"/>
  <c r="G272" i="5"/>
  <c r="O271" i="5"/>
  <c r="E13" i="1" s="1"/>
  <c r="F270" i="5"/>
  <c r="E270" i="5"/>
  <c r="M269" i="5"/>
  <c r="G269" i="5"/>
  <c r="M268" i="5"/>
  <c r="G268" i="5"/>
  <c r="M267" i="5"/>
  <c r="G267" i="5"/>
  <c r="M266" i="5"/>
  <c r="G266" i="5"/>
  <c r="M265" i="5"/>
  <c r="G265" i="5"/>
  <c r="M264" i="5"/>
  <c r="G264" i="5"/>
  <c r="B264" i="5"/>
  <c r="B265" i="5" s="1"/>
  <c r="B266" i="5" s="1"/>
  <c r="B267" i="5" s="1"/>
  <c r="B268" i="5" s="1"/>
  <c r="B269" i="5" s="1"/>
  <c r="M263" i="5"/>
  <c r="G263" i="5"/>
  <c r="M262" i="5"/>
  <c r="G262" i="5"/>
  <c r="M261" i="5"/>
  <c r="G261" i="5"/>
  <c r="M260" i="5"/>
  <c r="G260" i="5"/>
  <c r="M259" i="5"/>
  <c r="G259" i="5"/>
  <c r="B259" i="5"/>
  <c r="B260" i="5" s="1"/>
  <c r="B261" i="5" s="1"/>
  <c r="B262" i="5" s="1"/>
  <c r="B263" i="5" s="1"/>
  <c r="M258" i="5"/>
  <c r="G258" i="5"/>
  <c r="F257" i="5"/>
  <c r="F271" i="5" s="1"/>
  <c r="E257" i="5"/>
  <c r="E271" i="5" s="1"/>
  <c r="M256" i="5"/>
  <c r="G256" i="5"/>
  <c r="M255" i="5"/>
  <c r="G255" i="5"/>
  <c r="B255" i="5"/>
  <c r="B256" i="5" s="1"/>
  <c r="M254" i="5"/>
  <c r="G254" i="5"/>
  <c r="M253" i="5"/>
  <c r="G253" i="5"/>
  <c r="M252" i="5"/>
  <c r="G252" i="5"/>
  <c r="M251" i="5"/>
  <c r="G251" i="5"/>
  <c r="B251" i="5"/>
  <c r="B252" i="5" s="1"/>
  <c r="B253" i="5" s="1"/>
  <c r="B254" i="5" s="1"/>
  <c r="M250" i="5"/>
  <c r="G250" i="5"/>
  <c r="M249" i="5"/>
  <c r="G249" i="5"/>
  <c r="B249" i="5"/>
  <c r="B250" i="5" s="1"/>
  <c r="M248" i="5"/>
  <c r="G248" i="5"/>
  <c r="B248" i="5"/>
  <c r="M247" i="5"/>
  <c r="G247" i="5"/>
  <c r="M246" i="5"/>
  <c r="G246" i="5"/>
  <c r="B246" i="5"/>
  <c r="B247" i="5" s="1"/>
  <c r="M245" i="5"/>
  <c r="G245" i="5"/>
  <c r="O244" i="5"/>
  <c r="F244" i="5"/>
  <c r="E244" i="5"/>
  <c r="F243" i="5"/>
  <c r="E243" i="5"/>
  <c r="M242" i="5"/>
  <c r="G242" i="5"/>
  <c r="M241" i="5"/>
  <c r="G241" i="5"/>
  <c r="M240" i="5"/>
  <c r="G240" i="5"/>
  <c r="M239" i="5"/>
  <c r="G239" i="5"/>
  <c r="M238" i="5"/>
  <c r="G238" i="5"/>
  <c r="M237" i="5"/>
  <c r="G237" i="5"/>
  <c r="M236" i="5"/>
  <c r="G236" i="5"/>
  <c r="M235" i="5"/>
  <c r="G235" i="5"/>
  <c r="B235" i="5"/>
  <c r="B236" i="5" s="1"/>
  <c r="B237" i="5" s="1"/>
  <c r="B238" i="5" s="1"/>
  <c r="B239" i="5" s="1"/>
  <c r="B240" i="5" s="1"/>
  <c r="B241" i="5" s="1"/>
  <c r="B242" i="5" s="1"/>
  <c r="M234" i="5"/>
  <c r="G234" i="5"/>
  <c r="M233" i="5"/>
  <c r="G233" i="5"/>
  <c r="M232" i="5"/>
  <c r="G232" i="5"/>
  <c r="B232" i="5"/>
  <c r="B233" i="5" s="1"/>
  <c r="B234" i="5" s="1"/>
  <c r="M231" i="5"/>
  <c r="G231" i="5"/>
  <c r="F230" i="5"/>
  <c r="E230" i="5"/>
  <c r="M229" i="5"/>
  <c r="G229" i="5"/>
  <c r="M228" i="5"/>
  <c r="G228" i="5"/>
  <c r="M227" i="5"/>
  <c r="G227" i="5"/>
  <c r="M226" i="5"/>
  <c r="G226" i="5"/>
  <c r="B226" i="5"/>
  <c r="B227" i="5" s="1"/>
  <c r="B228" i="5" s="1"/>
  <c r="B229" i="5" s="1"/>
  <c r="M225" i="5"/>
  <c r="G225" i="5"/>
  <c r="M224" i="5"/>
  <c r="G224" i="5"/>
  <c r="M223" i="5"/>
  <c r="G223" i="5"/>
  <c r="G230" i="5" s="1"/>
  <c r="B223" i="5"/>
  <c r="B224" i="5" s="1"/>
  <c r="B225" i="5" s="1"/>
  <c r="M222" i="5"/>
  <c r="G222" i="5"/>
  <c r="M221" i="5"/>
  <c r="G221" i="5"/>
  <c r="B221" i="5"/>
  <c r="B222" i="5" s="1"/>
  <c r="M220" i="5"/>
  <c r="G220" i="5"/>
  <c r="B220" i="5"/>
  <c r="M219" i="5"/>
  <c r="G219" i="5"/>
  <c r="B219" i="5"/>
  <c r="M218" i="5"/>
  <c r="G218" i="5"/>
  <c r="O217" i="5"/>
  <c r="E11" i="1" s="1"/>
  <c r="F216" i="5"/>
  <c r="E216" i="5"/>
  <c r="M215" i="5"/>
  <c r="G215" i="5"/>
  <c r="M214" i="5"/>
  <c r="G214" i="5"/>
  <c r="M213" i="5"/>
  <c r="G213" i="5"/>
  <c r="M212" i="5"/>
  <c r="G212" i="5"/>
  <c r="M211" i="5"/>
  <c r="G211" i="5"/>
  <c r="M210" i="5"/>
  <c r="G210" i="5"/>
  <c r="M209" i="5"/>
  <c r="G209" i="5"/>
  <c r="M208" i="5"/>
  <c r="G208" i="5"/>
  <c r="B208" i="5"/>
  <c r="B209" i="5" s="1"/>
  <c r="B210" i="5" s="1"/>
  <c r="B211" i="5" s="1"/>
  <c r="B212" i="5" s="1"/>
  <c r="B213" i="5" s="1"/>
  <c r="B214" i="5" s="1"/>
  <c r="B215" i="5" s="1"/>
  <c r="M207" i="5"/>
  <c r="G207" i="5"/>
  <c r="B207" i="5"/>
  <c r="M206" i="5"/>
  <c r="G206" i="5"/>
  <c r="B206" i="5"/>
  <c r="M205" i="5"/>
  <c r="G205" i="5"/>
  <c r="B205" i="5"/>
  <c r="M204" i="5"/>
  <c r="G204" i="5"/>
  <c r="F203" i="5"/>
  <c r="F217" i="5" s="1"/>
  <c r="E203" i="5"/>
  <c r="M202" i="5"/>
  <c r="G202" i="5"/>
  <c r="M201" i="5"/>
  <c r="G201" i="5"/>
  <c r="M200" i="5"/>
  <c r="G200" i="5"/>
  <c r="B200" i="5"/>
  <c r="B201" i="5" s="1"/>
  <c r="B202" i="5" s="1"/>
  <c r="M199" i="5"/>
  <c r="G199" i="5"/>
  <c r="M198" i="5"/>
  <c r="G198" i="5"/>
  <c r="M197" i="5"/>
  <c r="G197" i="5"/>
  <c r="M196" i="5"/>
  <c r="G196" i="5"/>
  <c r="M195" i="5"/>
  <c r="G195" i="5"/>
  <c r="M194" i="5"/>
  <c r="G194" i="5"/>
  <c r="M193" i="5"/>
  <c r="G193" i="5"/>
  <c r="M192" i="5"/>
  <c r="G192" i="5"/>
  <c r="B192" i="5"/>
  <c r="B193" i="5" s="1"/>
  <c r="B194" i="5" s="1"/>
  <c r="B195" i="5" s="1"/>
  <c r="B196" i="5" s="1"/>
  <c r="B197" i="5" s="1"/>
  <c r="B198" i="5" s="1"/>
  <c r="B199" i="5" s="1"/>
  <c r="M191" i="5"/>
  <c r="G191" i="5"/>
  <c r="O190" i="5"/>
  <c r="E10" i="1" s="1"/>
  <c r="G10" i="1" s="1"/>
  <c r="F189" i="5"/>
  <c r="E189" i="5"/>
  <c r="M188" i="5"/>
  <c r="G188" i="5"/>
  <c r="M187" i="5"/>
  <c r="G187" i="5"/>
  <c r="M186" i="5"/>
  <c r="G186" i="5"/>
  <c r="M185" i="5"/>
  <c r="G185" i="5"/>
  <c r="M184" i="5"/>
  <c r="G184" i="5"/>
  <c r="M183" i="5"/>
  <c r="G183" i="5"/>
  <c r="M182" i="5"/>
  <c r="G182" i="5"/>
  <c r="B182" i="5"/>
  <c r="B183" i="5" s="1"/>
  <c r="B184" i="5" s="1"/>
  <c r="B185" i="5" s="1"/>
  <c r="B186" i="5" s="1"/>
  <c r="B187" i="5" s="1"/>
  <c r="B188" i="5" s="1"/>
  <c r="M181" i="5"/>
  <c r="G181" i="5"/>
  <c r="M180" i="5"/>
  <c r="G180" i="5"/>
  <c r="M179" i="5"/>
  <c r="G179" i="5"/>
  <c r="M178" i="5"/>
  <c r="G178" i="5"/>
  <c r="B178" i="5"/>
  <c r="B179" i="5" s="1"/>
  <c r="B180" i="5" s="1"/>
  <c r="B181" i="5" s="1"/>
  <c r="M177" i="5"/>
  <c r="G177" i="5"/>
  <c r="F176" i="5"/>
  <c r="F190" i="5" s="1"/>
  <c r="E176" i="5"/>
  <c r="E190" i="5" s="1"/>
  <c r="M175" i="5"/>
  <c r="G175" i="5"/>
  <c r="M174" i="5"/>
  <c r="G174" i="5"/>
  <c r="M173" i="5"/>
  <c r="G173" i="5"/>
  <c r="B173" i="5"/>
  <c r="B174" i="5" s="1"/>
  <c r="B175" i="5" s="1"/>
  <c r="M172" i="5"/>
  <c r="G172" i="5"/>
  <c r="M171" i="5"/>
  <c r="G171" i="5"/>
  <c r="M170" i="5"/>
  <c r="G170" i="5"/>
  <c r="M169" i="5"/>
  <c r="G169" i="5"/>
  <c r="M168" i="5"/>
  <c r="G168" i="5"/>
  <c r="M167" i="5"/>
  <c r="G167" i="5"/>
  <c r="G166" i="5"/>
  <c r="B166" i="5"/>
  <c r="B167" i="5" s="1"/>
  <c r="B168" i="5" s="1"/>
  <c r="B169" i="5" s="1"/>
  <c r="B170" i="5" s="1"/>
  <c r="B171" i="5" s="1"/>
  <c r="B172" i="5" s="1"/>
  <c r="M165" i="5"/>
  <c r="G165" i="5"/>
  <c r="B165" i="5"/>
  <c r="M164" i="5"/>
  <c r="G164" i="5"/>
  <c r="O163" i="5"/>
  <c r="F162" i="5"/>
  <c r="F163" i="5" s="1"/>
  <c r="E162" i="5"/>
  <c r="M161" i="5"/>
  <c r="G161" i="5"/>
  <c r="M160" i="5"/>
  <c r="G160" i="5"/>
  <c r="M159" i="5"/>
  <c r="G159" i="5"/>
  <c r="M158" i="5"/>
  <c r="G158" i="5"/>
  <c r="M157" i="5"/>
  <c r="G157" i="5"/>
  <c r="G162" i="5" s="1"/>
  <c r="M156" i="5"/>
  <c r="G156" i="5"/>
  <c r="M155" i="5"/>
  <c r="G155" i="5"/>
  <c r="M154" i="5"/>
  <c r="G154" i="5"/>
  <c r="M153" i="5"/>
  <c r="G153" i="5"/>
  <c r="B153" i="5"/>
  <c r="B154" i="5" s="1"/>
  <c r="B155" i="5" s="1"/>
  <c r="B156" i="5" s="1"/>
  <c r="B157" i="5" s="1"/>
  <c r="B158" i="5" s="1"/>
  <c r="B159" i="5" s="1"/>
  <c r="B160" i="5" s="1"/>
  <c r="B161" i="5" s="1"/>
  <c r="M152" i="5"/>
  <c r="G152" i="5"/>
  <c r="M151" i="5"/>
  <c r="G151" i="5"/>
  <c r="B151" i="5"/>
  <c r="B152" i="5" s="1"/>
  <c r="M150" i="5"/>
  <c r="G150" i="5"/>
  <c r="F149" i="5"/>
  <c r="E149" i="5"/>
  <c r="M148" i="5"/>
  <c r="G148" i="5"/>
  <c r="M147" i="5"/>
  <c r="G147" i="5"/>
  <c r="M146" i="5"/>
  <c r="G146" i="5"/>
  <c r="M145" i="5"/>
  <c r="G145" i="5"/>
  <c r="M144" i="5"/>
  <c r="G144" i="5"/>
  <c r="M143" i="5"/>
  <c r="G143" i="5"/>
  <c r="M142" i="5"/>
  <c r="G142" i="5"/>
  <c r="M141" i="5"/>
  <c r="G141" i="5"/>
  <c r="M140" i="5"/>
  <c r="G140" i="5"/>
  <c r="M139" i="5"/>
  <c r="G139" i="5"/>
  <c r="M138" i="5"/>
  <c r="G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M137" i="5"/>
  <c r="G137" i="5"/>
  <c r="O136" i="5"/>
  <c r="F135" i="5"/>
  <c r="E135" i="5"/>
  <c r="M134" i="5"/>
  <c r="G134" i="5"/>
  <c r="M133" i="5"/>
  <c r="G133" i="5"/>
  <c r="M132" i="5"/>
  <c r="G132" i="5"/>
  <c r="M131" i="5"/>
  <c r="G131" i="5"/>
  <c r="M130" i="5"/>
  <c r="G130" i="5"/>
  <c r="G135" i="5" s="1"/>
  <c r="M129" i="5"/>
  <c r="G129" i="5"/>
  <c r="M128" i="5"/>
  <c r="G128" i="5"/>
  <c r="M127" i="5"/>
  <c r="G127" i="5"/>
  <c r="M126" i="5"/>
  <c r="G126" i="5"/>
  <c r="M125" i="5"/>
  <c r="G125" i="5"/>
  <c r="M124" i="5"/>
  <c r="G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M123" i="5"/>
  <c r="G123" i="5"/>
  <c r="F122" i="5"/>
  <c r="F136" i="5" s="1"/>
  <c r="E122" i="5"/>
  <c r="E136" i="5" s="1"/>
  <c r="M121" i="5"/>
  <c r="G121" i="5"/>
  <c r="M120" i="5"/>
  <c r="G120" i="5"/>
  <c r="B120" i="5"/>
  <c r="B121" i="5" s="1"/>
  <c r="M119" i="5"/>
  <c r="G119" i="5"/>
  <c r="M118" i="5"/>
  <c r="G118" i="5"/>
  <c r="M117" i="5"/>
  <c r="G117" i="5"/>
  <c r="M116" i="5"/>
  <c r="G116" i="5"/>
  <c r="M115" i="5"/>
  <c r="G115" i="5"/>
  <c r="M114" i="5"/>
  <c r="G114" i="5"/>
  <c r="B114" i="5"/>
  <c r="B115" i="5" s="1"/>
  <c r="B116" i="5" s="1"/>
  <c r="B117" i="5" s="1"/>
  <c r="B118" i="5" s="1"/>
  <c r="B119" i="5" s="1"/>
  <c r="M113" i="5"/>
  <c r="G113" i="5"/>
  <c r="G122" i="5" s="1"/>
  <c r="G136" i="5" s="1"/>
  <c r="B113" i="5"/>
  <c r="M112" i="5"/>
  <c r="G112" i="5"/>
  <c r="B112" i="5"/>
  <c r="M111" i="5"/>
  <c r="G111" i="5"/>
  <c r="B111" i="5"/>
  <c r="M110" i="5"/>
  <c r="G110" i="5"/>
  <c r="O109" i="5"/>
  <c r="F108" i="5"/>
  <c r="F109" i="5" s="1"/>
  <c r="E108" i="5"/>
  <c r="E109" i="5" s="1"/>
  <c r="M107" i="5"/>
  <c r="G107" i="5"/>
  <c r="M106" i="5"/>
  <c r="G106" i="5"/>
  <c r="B106" i="5"/>
  <c r="B107" i="5" s="1"/>
  <c r="M105" i="5"/>
  <c r="G105" i="5"/>
  <c r="M104" i="5"/>
  <c r="G104" i="5"/>
  <c r="M103" i="5"/>
  <c r="G103" i="5"/>
  <c r="M102" i="5"/>
  <c r="G102" i="5"/>
  <c r="M101" i="5"/>
  <c r="G101" i="5"/>
  <c r="M100" i="5"/>
  <c r="G100" i="5"/>
  <c r="M99" i="5"/>
  <c r="G99" i="5"/>
  <c r="M98" i="5"/>
  <c r="G98" i="5"/>
  <c r="B98" i="5"/>
  <c r="B99" i="5" s="1"/>
  <c r="B100" i="5" s="1"/>
  <c r="B101" i="5" s="1"/>
  <c r="B102" i="5" s="1"/>
  <c r="B103" i="5" s="1"/>
  <c r="B104" i="5" s="1"/>
  <c r="B105" i="5" s="1"/>
  <c r="M97" i="5"/>
  <c r="G97" i="5"/>
  <c r="B97" i="5"/>
  <c r="M96" i="5"/>
  <c r="G96" i="5"/>
  <c r="F95" i="5"/>
  <c r="E95" i="5"/>
  <c r="M94" i="5"/>
  <c r="G94" i="5"/>
  <c r="M93" i="5"/>
  <c r="G93" i="5"/>
  <c r="M92" i="5"/>
  <c r="G92" i="5"/>
  <c r="M91" i="5"/>
  <c r="G91" i="5"/>
  <c r="M90" i="5"/>
  <c r="G90" i="5"/>
  <c r="M89" i="5"/>
  <c r="G89" i="5"/>
  <c r="M88" i="5"/>
  <c r="G88" i="5"/>
  <c r="M87" i="5"/>
  <c r="G87" i="5"/>
  <c r="M86" i="5"/>
  <c r="G86" i="5"/>
  <c r="B86" i="5"/>
  <c r="B87" i="5" s="1"/>
  <c r="B88" i="5" s="1"/>
  <c r="B89" i="5" s="1"/>
  <c r="B90" i="5" s="1"/>
  <c r="B91" i="5" s="1"/>
  <c r="B92" i="5" s="1"/>
  <c r="B93" i="5" s="1"/>
  <c r="B94" i="5" s="1"/>
  <c r="M85" i="5"/>
  <c r="G85" i="5"/>
  <c r="M84" i="5"/>
  <c r="G84" i="5"/>
  <c r="B84" i="5"/>
  <c r="B85" i="5" s="1"/>
  <c r="M83" i="5"/>
  <c r="G83" i="5"/>
  <c r="O82" i="5"/>
  <c r="E6" i="1" s="1"/>
  <c r="E82" i="5"/>
  <c r="F81" i="5"/>
  <c r="E81" i="5"/>
  <c r="M80" i="5"/>
  <c r="G80" i="5"/>
  <c r="M79" i="5"/>
  <c r="G79" i="5"/>
  <c r="M78" i="5"/>
  <c r="G78" i="5"/>
  <c r="B78" i="5"/>
  <c r="B79" i="5" s="1"/>
  <c r="B80" i="5" s="1"/>
  <c r="M77" i="5"/>
  <c r="G77" i="5"/>
  <c r="M76" i="5"/>
  <c r="G76" i="5"/>
  <c r="M75" i="5"/>
  <c r="G75" i="5"/>
  <c r="M74" i="5"/>
  <c r="G74" i="5"/>
  <c r="M73" i="5"/>
  <c r="G73" i="5"/>
  <c r="M72" i="5"/>
  <c r="G72" i="5"/>
  <c r="M71" i="5"/>
  <c r="G71" i="5"/>
  <c r="M70" i="5"/>
  <c r="G70" i="5"/>
  <c r="B70" i="5"/>
  <c r="B71" i="5" s="1"/>
  <c r="B72" i="5" s="1"/>
  <c r="B73" i="5" s="1"/>
  <c r="B74" i="5" s="1"/>
  <c r="B75" i="5" s="1"/>
  <c r="B76" i="5" s="1"/>
  <c r="B77" i="5" s="1"/>
  <c r="M69" i="5"/>
  <c r="G69" i="5"/>
  <c r="F68" i="5"/>
  <c r="F82" i="5" s="1"/>
  <c r="E68" i="5"/>
  <c r="M67" i="5"/>
  <c r="G67" i="5"/>
  <c r="M66" i="5"/>
  <c r="G66" i="5"/>
  <c r="M65" i="5"/>
  <c r="G65" i="5"/>
  <c r="M64" i="5"/>
  <c r="G64" i="5"/>
  <c r="M63" i="5"/>
  <c r="G63" i="5"/>
  <c r="M62" i="5"/>
  <c r="G62" i="5"/>
  <c r="M61" i="5"/>
  <c r="G61" i="5"/>
  <c r="M60" i="5"/>
  <c r="G60" i="5"/>
  <c r="B60" i="5"/>
  <c r="B61" i="5" s="1"/>
  <c r="B62" i="5" s="1"/>
  <c r="B63" i="5" s="1"/>
  <c r="B64" i="5" s="1"/>
  <c r="B65" i="5" s="1"/>
  <c r="B66" i="5" s="1"/>
  <c r="B67" i="5" s="1"/>
  <c r="M59" i="5"/>
  <c r="G59" i="5"/>
  <c r="M58" i="5"/>
  <c r="G58" i="5"/>
  <c r="G68" i="5" s="1"/>
  <c r="B58" i="5"/>
  <c r="B59" i="5" s="1"/>
  <c r="M57" i="5"/>
  <c r="G57" i="5"/>
  <c r="B57" i="5"/>
  <c r="M56" i="5"/>
  <c r="G56" i="5"/>
  <c r="O55" i="5"/>
  <c r="E55" i="5"/>
  <c r="F54" i="5"/>
  <c r="E54" i="5"/>
  <c r="M53" i="5"/>
  <c r="G53" i="5"/>
  <c r="M52" i="5"/>
  <c r="G52" i="5"/>
  <c r="M51" i="5"/>
  <c r="G51" i="5"/>
  <c r="M50" i="5"/>
  <c r="G50" i="5"/>
  <c r="M49" i="5"/>
  <c r="G49" i="5"/>
  <c r="M48" i="5"/>
  <c r="G48" i="5"/>
  <c r="M47" i="5"/>
  <c r="G47" i="5"/>
  <c r="G54" i="5" s="1"/>
  <c r="B47" i="5"/>
  <c r="B48" i="5" s="1"/>
  <c r="B49" i="5" s="1"/>
  <c r="B50" i="5" s="1"/>
  <c r="B51" i="5" s="1"/>
  <c r="B52" i="5" s="1"/>
  <c r="B53" i="5" s="1"/>
  <c r="M46" i="5"/>
  <c r="G46" i="5"/>
  <c r="B46" i="5"/>
  <c r="M45" i="5"/>
  <c r="G45" i="5"/>
  <c r="M44" i="5"/>
  <c r="G44" i="5"/>
  <c r="B44" i="5"/>
  <c r="B45" i="5" s="1"/>
  <c r="M43" i="5"/>
  <c r="G43" i="5"/>
  <c r="B43" i="5"/>
  <c r="M42" i="5"/>
  <c r="G42" i="5"/>
  <c r="G41" i="5"/>
  <c r="G55" i="5" s="1"/>
  <c r="F41" i="5"/>
  <c r="F55" i="5" s="1"/>
  <c r="E41" i="5"/>
  <c r="M40" i="5"/>
  <c r="G40" i="5"/>
  <c r="M39" i="5"/>
  <c r="G39" i="5"/>
  <c r="B39" i="5"/>
  <c r="B40" i="5" s="1"/>
  <c r="M38" i="5"/>
  <c r="G38" i="5"/>
  <c r="M37" i="5"/>
  <c r="G37" i="5"/>
  <c r="M36" i="5"/>
  <c r="G36" i="5"/>
  <c r="M35" i="5"/>
  <c r="G35" i="5"/>
  <c r="M34" i="5"/>
  <c r="G34" i="5"/>
  <c r="M33" i="5"/>
  <c r="G33" i="5"/>
  <c r="B33" i="5"/>
  <c r="B34" i="5" s="1"/>
  <c r="B35" i="5" s="1"/>
  <c r="B36" i="5" s="1"/>
  <c r="B37" i="5" s="1"/>
  <c r="B38" i="5" s="1"/>
  <c r="M32" i="5"/>
  <c r="G32" i="5"/>
  <c r="M31" i="5"/>
  <c r="G31" i="5"/>
  <c r="B31" i="5"/>
  <c r="B32" i="5" s="1"/>
  <c r="M30" i="5"/>
  <c r="G30" i="5"/>
  <c r="B30" i="5"/>
  <c r="M29" i="5"/>
  <c r="G29" i="5"/>
  <c r="O28" i="5"/>
  <c r="F27" i="5"/>
  <c r="M26" i="5"/>
  <c r="G26" i="5"/>
  <c r="M25" i="5"/>
  <c r="G25" i="5"/>
  <c r="M24" i="5"/>
  <c r="G24" i="5"/>
  <c r="M23" i="5"/>
  <c r="G23" i="5"/>
  <c r="M22" i="5"/>
  <c r="G22" i="5"/>
  <c r="B22" i="5"/>
  <c r="B23" i="5" s="1"/>
  <c r="B24" i="5" s="1"/>
  <c r="B25" i="5" s="1"/>
  <c r="B26" i="5" s="1"/>
  <c r="M21" i="5"/>
  <c r="G21" i="5"/>
  <c r="B21" i="5"/>
  <c r="M20" i="5"/>
  <c r="G20" i="5"/>
  <c r="M19" i="5"/>
  <c r="G19" i="5"/>
  <c r="M18" i="5"/>
  <c r="G18" i="5"/>
  <c r="M17" i="5"/>
  <c r="G17" i="5"/>
  <c r="M16" i="5"/>
  <c r="G16" i="5"/>
  <c r="B16" i="5"/>
  <c r="B17" i="5" s="1"/>
  <c r="B18" i="5" s="1"/>
  <c r="B19" i="5" s="1"/>
  <c r="B20" i="5" s="1"/>
  <c r="M15" i="5"/>
  <c r="G15" i="5"/>
  <c r="F14" i="5"/>
  <c r="F28" i="5" s="1"/>
  <c r="M13" i="5"/>
  <c r="G13" i="5"/>
  <c r="M12" i="5"/>
  <c r="G12" i="5"/>
  <c r="M11" i="5"/>
  <c r="G11" i="5"/>
  <c r="M10" i="5"/>
  <c r="G10" i="5"/>
  <c r="M9" i="5"/>
  <c r="G9" i="5"/>
  <c r="M8" i="5"/>
  <c r="G8" i="5"/>
  <c r="M7" i="5"/>
  <c r="G7" i="5"/>
  <c r="M6" i="5"/>
  <c r="G6" i="5"/>
  <c r="M5" i="5"/>
  <c r="G5" i="5"/>
  <c r="M4" i="5"/>
  <c r="G4" i="5"/>
  <c r="M3" i="5"/>
  <c r="G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M2" i="5"/>
  <c r="G2" i="5"/>
  <c r="O838" i="3"/>
  <c r="F837" i="3"/>
  <c r="E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B830" i="3"/>
  <c r="B831" i="3" s="1"/>
  <c r="B832" i="3" s="1"/>
  <c r="B833" i="3" s="1"/>
  <c r="B834" i="3" s="1"/>
  <c r="B835" i="3" s="1"/>
  <c r="B836" i="3" s="1"/>
  <c r="M829" i="3"/>
  <c r="G829" i="3"/>
  <c r="B829" i="3"/>
  <c r="M828" i="3"/>
  <c r="G828" i="3"/>
  <c r="M827" i="3"/>
  <c r="G827" i="3"/>
  <c r="G837" i="3" s="1"/>
  <c r="B827" i="3"/>
  <c r="B828" i="3" s="1"/>
  <c r="M826" i="3"/>
  <c r="G826" i="3"/>
  <c r="B826" i="3"/>
  <c r="M825" i="3"/>
  <c r="G825" i="3"/>
  <c r="F824" i="3"/>
  <c r="F838" i="3" s="1"/>
  <c r="E824" i="3"/>
  <c r="E838" i="3" s="1"/>
  <c r="M823" i="3"/>
  <c r="G823" i="3"/>
  <c r="M822" i="3"/>
  <c r="G822" i="3"/>
  <c r="B822" i="3"/>
  <c r="B823" i="3" s="1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B814" i="3"/>
  <c r="B815" i="3" s="1"/>
  <c r="B816" i="3" s="1"/>
  <c r="B817" i="3" s="1"/>
  <c r="B818" i="3" s="1"/>
  <c r="B819" i="3" s="1"/>
  <c r="B820" i="3" s="1"/>
  <c r="B821" i="3" s="1"/>
  <c r="M813" i="3"/>
  <c r="G813" i="3"/>
  <c r="B813" i="3"/>
  <c r="M812" i="3"/>
  <c r="G812" i="3"/>
  <c r="O811" i="3"/>
  <c r="F810" i="3"/>
  <c r="E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F797" i="3"/>
  <c r="E797" i="3"/>
  <c r="M796" i="3"/>
  <c r="M795" i="3"/>
  <c r="B795" i="3"/>
  <c r="B796" i="3" s="1"/>
  <c r="M794" i="3"/>
  <c r="M793" i="3"/>
  <c r="M792" i="3"/>
  <c r="M791" i="3"/>
  <c r="M790" i="3"/>
  <c r="M789" i="3"/>
  <c r="M788" i="3"/>
  <c r="M787" i="3"/>
  <c r="B787" i="3"/>
  <c r="B788" i="3" s="1"/>
  <c r="B789" i="3" s="1"/>
  <c r="B790" i="3" s="1"/>
  <c r="B791" i="3" s="1"/>
  <c r="B792" i="3" s="1"/>
  <c r="B793" i="3" s="1"/>
  <c r="B794" i="3" s="1"/>
  <c r="M786" i="3"/>
  <c r="B786" i="3"/>
  <c r="M785" i="3"/>
  <c r="O784" i="3"/>
  <c r="C32" i="1" s="1"/>
  <c r="F784" i="3"/>
  <c r="F783" i="3"/>
  <c r="E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G783" i="3" s="1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F770" i="3"/>
  <c r="E770" i="3"/>
  <c r="E784" i="3" s="1"/>
  <c r="M769" i="3"/>
  <c r="G769" i="3"/>
  <c r="M768" i="3"/>
  <c r="G768" i="3"/>
  <c r="M767" i="3"/>
  <c r="G767" i="3"/>
  <c r="B767" i="3"/>
  <c r="B768" i="3" s="1"/>
  <c r="B769" i="3" s="1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M758" i="3"/>
  <c r="G758" i="3"/>
  <c r="O757" i="3"/>
  <c r="C31" i="1" s="1"/>
  <c r="F756" i="3"/>
  <c r="E756" i="3"/>
  <c r="M755" i="3"/>
  <c r="G755" i="3"/>
  <c r="M754" i="3"/>
  <c r="G754" i="3"/>
  <c r="M753" i="3"/>
  <c r="G753" i="3"/>
  <c r="M752" i="3"/>
  <c r="G752" i="3"/>
  <c r="M751" i="3"/>
  <c r="G751" i="3"/>
  <c r="B751" i="3"/>
  <c r="B752" i="3" s="1"/>
  <c r="B753" i="3" s="1"/>
  <c r="B754" i="3" s="1"/>
  <c r="B755" i="3" s="1"/>
  <c r="M750" i="3"/>
  <c r="G750" i="3"/>
  <c r="M749" i="3"/>
  <c r="G749" i="3"/>
  <c r="B749" i="3"/>
  <c r="B750" i="3" s="1"/>
  <c r="M748" i="3"/>
  <c r="G748" i="3"/>
  <c r="M747" i="3"/>
  <c r="G747" i="3"/>
  <c r="M746" i="3"/>
  <c r="G746" i="3"/>
  <c r="B746" i="3"/>
  <c r="B747" i="3" s="1"/>
  <c r="B748" i="3" s="1"/>
  <c r="M745" i="3"/>
  <c r="G745" i="3"/>
  <c r="B745" i="3"/>
  <c r="M744" i="3"/>
  <c r="G744" i="3"/>
  <c r="F743" i="3"/>
  <c r="F757" i="3" s="1"/>
  <c r="E743" i="3"/>
  <c r="E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G743" i="3" s="1"/>
  <c r="B734" i="3"/>
  <c r="B735" i="3" s="1"/>
  <c r="B736" i="3" s="1"/>
  <c r="B737" i="3" s="1"/>
  <c r="B738" i="3" s="1"/>
  <c r="B739" i="3" s="1"/>
  <c r="B740" i="3" s="1"/>
  <c r="B741" i="3" s="1"/>
  <c r="B742" i="3" s="1"/>
  <c r="M733" i="3"/>
  <c r="G733" i="3"/>
  <c r="B733" i="3"/>
  <c r="M732" i="3"/>
  <c r="G732" i="3"/>
  <c r="B732" i="3"/>
  <c r="M731" i="3"/>
  <c r="G731" i="3"/>
  <c r="O730" i="3"/>
  <c r="F729" i="3"/>
  <c r="E729" i="3"/>
  <c r="M728" i="3"/>
  <c r="G728" i="3"/>
  <c r="M727" i="3"/>
  <c r="G727" i="3"/>
  <c r="M726" i="3"/>
  <c r="G726" i="3"/>
  <c r="B726" i="3"/>
  <c r="B727" i="3" s="1"/>
  <c r="B728" i="3" s="1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M717" i="3"/>
  <c r="G717" i="3"/>
  <c r="G716" i="3"/>
  <c r="F716" i="3"/>
  <c r="E716" i="3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B709" i="3"/>
  <c r="B710" i="3" s="1"/>
  <c r="B711" i="3" s="1"/>
  <c r="B712" i="3" s="1"/>
  <c r="B713" i="3" s="1"/>
  <c r="B714" i="3" s="1"/>
  <c r="B715" i="3" s="1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M704" i="3"/>
  <c r="G704" i="3"/>
  <c r="O703" i="3"/>
  <c r="F703" i="3"/>
  <c r="F702" i="3"/>
  <c r="E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B695" i="3"/>
  <c r="B696" i="3" s="1"/>
  <c r="B697" i="3" s="1"/>
  <c r="B698" i="3" s="1"/>
  <c r="B699" i="3" s="1"/>
  <c r="B700" i="3" s="1"/>
  <c r="B701" i="3" s="1"/>
  <c r="M694" i="3"/>
  <c r="G694" i="3"/>
  <c r="B694" i="3"/>
  <c r="M693" i="3"/>
  <c r="G693" i="3"/>
  <c r="G702" i="3" s="1"/>
  <c r="M692" i="3"/>
  <c r="G692" i="3"/>
  <c r="M691" i="3"/>
  <c r="G691" i="3"/>
  <c r="B691" i="3"/>
  <c r="B692" i="3" s="1"/>
  <c r="B693" i="3" s="1"/>
  <c r="M690" i="3"/>
  <c r="G690" i="3"/>
  <c r="F689" i="3"/>
  <c r="E689" i="3"/>
  <c r="M688" i="3"/>
  <c r="G688" i="3"/>
  <c r="M687" i="3"/>
  <c r="G687" i="3"/>
  <c r="M686" i="3"/>
  <c r="G686" i="3"/>
  <c r="B686" i="3"/>
  <c r="B687" i="3" s="1"/>
  <c r="B688" i="3" s="1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B679" i="3"/>
  <c r="B680" i="3" s="1"/>
  <c r="B681" i="3" s="1"/>
  <c r="B682" i="3" s="1"/>
  <c r="B683" i="3" s="1"/>
  <c r="B684" i="3" s="1"/>
  <c r="B685" i="3" s="1"/>
  <c r="M678" i="3"/>
  <c r="G678" i="3"/>
  <c r="B678" i="3"/>
  <c r="M677" i="3"/>
  <c r="G677" i="3"/>
  <c r="O676" i="3"/>
  <c r="G675" i="3"/>
  <c r="F675" i="3"/>
  <c r="F676" i="3" s="1"/>
  <c r="E675" i="3"/>
  <c r="E676" i="3" s="1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B666" i="3"/>
  <c r="B667" i="3" s="1"/>
  <c r="B668" i="3" s="1"/>
  <c r="B669" i="3" s="1"/>
  <c r="B670" i="3" s="1"/>
  <c r="B671" i="3" s="1"/>
  <c r="B672" i="3" s="1"/>
  <c r="B673" i="3" s="1"/>
  <c r="B674" i="3" s="1"/>
  <c r="M665" i="3"/>
  <c r="G665" i="3"/>
  <c r="B665" i="3"/>
  <c r="M664" i="3"/>
  <c r="G664" i="3"/>
  <c r="B664" i="3"/>
  <c r="M663" i="3"/>
  <c r="G663" i="3"/>
  <c r="F662" i="3"/>
  <c r="E662" i="3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O649" i="3"/>
  <c r="C27" i="1" s="1"/>
  <c r="F648" i="3"/>
  <c r="F649" i="3" s="1"/>
  <c r="E648" i="3"/>
  <c r="M647" i="3"/>
  <c r="G647" i="3"/>
  <c r="M646" i="3"/>
  <c r="G646" i="3"/>
  <c r="M645" i="3"/>
  <c r="G645" i="3"/>
  <c r="M644" i="3"/>
  <c r="G644" i="3"/>
  <c r="M643" i="3"/>
  <c r="G643" i="3"/>
  <c r="B643" i="3"/>
  <c r="B644" i="3" s="1"/>
  <c r="B645" i="3" s="1"/>
  <c r="B646" i="3" s="1"/>
  <c r="B647" i="3" s="1"/>
  <c r="M642" i="3"/>
  <c r="G642" i="3"/>
  <c r="M641" i="3"/>
  <c r="G641" i="3"/>
  <c r="B641" i="3"/>
  <c r="B642" i="3" s="1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M636" i="3"/>
  <c r="G636" i="3"/>
  <c r="F635" i="3"/>
  <c r="E635" i="3"/>
  <c r="E649" i="3" s="1"/>
  <c r="M634" i="3"/>
  <c r="G634" i="3"/>
  <c r="M633" i="3"/>
  <c r="G633" i="3"/>
  <c r="M632" i="3"/>
  <c r="G632" i="3"/>
  <c r="B632" i="3"/>
  <c r="B633" i="3" s="1"/>
  <c r="B634" i="3" s="1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M623" i="3"/>
  <c r="G623" i="3"/>
  <c r="O622" i="3"/>
  <c r="F621" i="3"/>
  <c r="E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B614" i="3"/>
  <c r="B615" i="3" s="1"/>
  <c r="B616" i="3" s="1"/>
  <c r="B617" i="3" s="1"/>
  <c r="B618" i="3" s="1"/>
  <c r="B619" i="3" s="1"/>
  <c r="B620" i="3" s="1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M609" i="3"/>
  <c r="G609" i="3"/>
  <c r="F608" i="3"/>
  <c r="F622" i="3" s="1"/>
  <c r="E608" i="3"/>
  <c r="E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B601" i="3"/>
  <c r="B602" i="3" s="1"/>
  <c r="B603" i="3" s="1"/>
  <c r="B604" i="3" s="1"/>
  <c r="B605" i="3" s="1"/>
  <c r="B606" i="3" s="1"/>
  <c r="B607" i="3" s="1"/>
  <c r="M600" i="3"/>
  <c r="G600" i="3"/>
  <c r="M599" i="3"/>
  <c r="G599" i="3"/>
  <c r="M598" i="3"/>
  <c r="G598" i="3"/>
  <c r="B598" i="3"/>
  <c r="B599" i="3" s="1"/>
  <c r="B600" i="3" s="1"/>
  <c r="M597" i="3"/>
  <c r="G597" i="3"/>
  <c r="B597" i="3"/>
  <c r="M596" i="3"/>
  <c r="G596" i="3"/>
  <c r="O595" i="3"/>
  <c r="F594" i="3"/>
  <c r="E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G594" i="3" s="1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F581" i="3"/>
  <c r="F595" i="3" s="1"/>
  <c r="E581" i="3"/>
  <c r="E595" i="3" s="1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B574" i="3"/>
  <c r="B575" i="3" s="1"/>
  <c r="B576" i="3" s="1"/>
  <c r="B577" i="3" s="1"/>
  <c r="B578" i="3" s="1"/>
  <c r="B579" i="3" s="1"/>
  <c r="B580" i="3" s="1"/>
  <c r="M573" i="3"/>
  <c r="G573" i="3"/>
  <c r="M572" i="3"/>
  <c r="G572" i="3"/>
  <c r="M571" i="3"/>
  <c r="G571" i="3"/>
  <c r="B571" i="3"/>
  <c r="B572" i="3" s="1"/>
  <c r="B573" i="3" s="1"/>
  <c r="M570" i="3"/>
  <c r="G570" i="3"/>
  <c r="B570" i="3"/>
  <c r="M569" i="3"/>
  <c r="G569" i="3"/>
  <c r="O568" i="3"/>
  <c r="C24" i="1" s="1"/>
  <c r="F567" i="3"/>
  <c r="E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F554" i="3"/>
  <c r="F568" i="3" s="1"/>
  <c r="E554" i="3"/>
  <c r="E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G554" i="3" s="1"/>
  <c r="B547" i="3"/>
  <c r="B548" i="3" s="1"/>
  <c r="B549" i="3" s="1"/>
  <c r="B550" i="3" s="1"/>
  <c r="B551" i="3" s="1"/>
  <c r="B552" i="3" s="1"/>
  <c r="B553" i="3" s="1"/>
  <c r="M546" i="3"/>
  <c r="G546" i="3"/>
  <c r="B546" i="3"/>
  <c r="M545" i="3"/>
  <c r="G545" i="3"/>
  <c r="M544" i="3"/>
  <c r="G544" i="3"/>
  <c r="B544" i="3"/>
  <c r="B545" i="3" s="1"/>
  <c r="M543" i="3"/>
  <c r="G543" i="3"/>
  <c r="B543" i="3"/>
  <c r="M542" i="3"/>
  <c r="G542" i="3"/>
  <c r="O541" i="3"/>
  <c r="F540" i="3"/>
  <c r="F541" i="3" s="1"/>
  <c r="E540" i="3"/>
  <c r="E541" i="3" s="1"/>
  <c r="M539" i="3"/>
  <c r="G539" i="3"/>
  <c r="G540" i="3" s="1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B531" i="3"/>
  <c r="B532" i="3" s="1"/>
  <c r="B533" i="3" s="1"/>
  <c r="B534" i="3" s="1"/>
  <c r="B535" i="3" s="1"/>
  <c r="B536" i="3" s="1"/>
  <c r="B537" i="3" s="1"/>
  <c r="B538" i="3" s="1"/>
  <c r="B539" i="3" s="1"/>
  <c r="M530" i="3"/>
  <c r="G530" i="3"/>
  <c r="M529" i="3"/>
  <c r="G529" i="3"/>
  <c r="B529" i="3"/>
  <c r="B530" i="3" s="1"/>
  <c r="G528" i="3"/>
  <c r="F527" i="3"/>
  <c r="E527" i="3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O514" i="3"/>
  <c r="C22" i="1" s="1"/>
  <c r="F513" i="3"/>
  <c r="E513" i="3"/>
  <c r="E514" i="3" s="1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B505" i="3"/>
  <c r="B506" i="3" s="1"/>
  <c r="B507" i="3" s="1"/>
  <c r="B508" i="3" s="1"/>
  <c r="B509" i="3" s="1"/>
  <c r="B510" i="3" s="1"/>
  <c r="B511" i="3" s="1"/>
  <c r="B512" i="3" s="1"/>
  <c r="M504" i="3"/>
  <c r="G504" i="3"/>
  <c r="M503" i="3"/>
  <c r="G503" i="3"/>
  <c r="M502" i="3"/>
  <c r="G502" i="3"/>
  <c r="B502" i="3"/>
  <c r="B503" i="3" s="1"/>
  <c r="B504" i="3" s="1"/>
  <c r="M501" i="3"/>
  <c r="G501" i="3"/>
  <c r="F500" i="3"/>
  <c r="F514" i="3" s="1"/>
  <c r="E500" i="3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G491" i="3"/>
  <c r="M490" i="3"/>
  <c r="G490" i="3"/>
  <c r="B490" i="3"/>
  <c r="B491" i="3" s="1"/>
  <c r="B492" i="3" s="1"/>
  <c r="B493" i="3" s="1"/>
  <c r="B494" i="3" s="1"/>
  <c r="B495" i="3" s="1"/>
  <c r="B496" i="3" s="1"/>
  <c r="B497" i="3" s="1"/>
  <c r="B498" i="3" s="1"/>
  <c r="B499" i="3" s="1"/>
  <c r="M489" i="3"/>
  <c r="G489" i="3"/>
  <c r="B489" i="3"/>
  <c r="M488" i="3"/>
  <c r="G488" i="3"/>
  <c r="O487" i="3"/>
  <c r="C21" i="1" s="1"/>
  <c r="F487" i="3"/>
  <c r="E487" i="3"/>
  <c r="F486" i="3"/>
  <c r="E486" i="3"/>
  <c r="M485" i="3"/>
  <c r="G485" i="3"/>
  <c r="M484" i="3"/>
  <c r="G484" i="3"/>
  <c r="M483" i="3"/>
  <c r="G483" i="3"/>
  <c r="M482" i="3"/>
  <c r="G482" i="3"/>
  <c r="B482" i="3"/>
  <c r="B483" i="3" s="1"/>
  <c r="B484" i="3" s="1"/>
  <c r="B485" i="3" s="1"/>
  <c r="M481" i="3"/>
  <c r="G481" i="3"/>
  <c r="M480" i="3"/>
  <c r="G480" i="3"/>
  <c r="M479" i="3"/>
  <c r="G479" i="3"/>
  <c r="M478" i="3"/>
  <c r="G478" i="3"/>
  <c r="M477" i="3"/>
  <c r="G477" i="3"/>
  <c r="M476" i="3"/>
  <c r="G476" i="3"/>
  <c r="B476" i="3"/>
  <c r="B477" i="3" s="1"/>
  <c r="B478" i="3" s="1"/>
  <c r="B479" i="3" s="1"/>
  <c r="B480" i="3" s="1"/>
  <c r="B481" i="3" s="1"/>
  <c r="M475" i="3"/>
  <c r="G475" i="3"/>
  <c r="B475" i="3"/>
  <c r="M474" i="3"/>
  <c r="G474" i="3"/>
  <c r="F473" i="3"/>
  <c r="E473" i="3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B464" i="3"/>
  <c r="B465" i="3" s="1"/>
  <c r="B466" i="3" s="1"/>
  <c r="B467" i="3" s="1"/>
  <c r="B468" i="3" s="1"/>
  <c r="B469" i="3" s="1"/>
  <c r="B470" i="3" s="1"/>
  <c r="B471" i="3" s="1"/>
  <c r="B472" i="3" s="1"/>
  <c r="M463" i="3"/>
  <c r="G463" i="3"/>
  <c r="G473" i="3" s="1"/>
  <c r="M462" i="3"/>
  <c r="G462" i="3"/>
  <c r="B462" i="3"/>
  <c r="B463" i="3" s="1"/>
  <c r="M461" i="3"/>
  <c r="G461" i="3"/>
  <c r="O460" i="3"/>
  <c r="F459" i="3"/>
  <c r="E459" i="3"/>
  <c r="M458" i="3"/>
  <c r="G458" i="3"/>
  <c r="B458" i="3"/>
  <c r="M457" i="3"/>
  <c r="G457" i="3"/>
  <c r="M456" i="3"/>
  <c r="G456" i="3"/>
  <c r="M455" i="3"/>
  <c r="G455" i="3"/>
  <c r="M454" i="3"/>
  <c r="B454" i="3"/>
  <c r="B455" i="3" s="1"/>
  <c r="B456" i="3" s="1"/>
  <c r="B457" i="3" s="1"/>
  <c r="M453" i="3"/>
  <c r="G453" i="3"/>
  <c r="M452" i="3"/>
  <c r="G452" i="3"/>
  <c r="M451" i="3"/>
  <c r="G451" i="3"/>
  <c r="M450" i="3"/>
  <c r="G450" i="3"/>
  <c r="B450" i="3"/>
  <c r="B451" i="3" s="1"/>
  <c r="B452" i="3" s="1"/>
  <c r="B453" i="3" s="1"/>
  <c r="M449" i="3"/>
  <c r="G449" i="3"/>
  <c r="M448" i="3"/>
  <c r="G448" i="3"/>
  <c r="B448" i="3"/>
  <c r="B449" i="3" s="1"/>
  <c r="M447" i="3"/>
  <c r="G447" i="3"/>
  <c r="F446" i="3"/>
  <c r="F460" i="3" s="1"/>
  <c r="E446" i="3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B438" i="3"/>
  <c r="B439" i="3" s="1"/>
  <c r="B440" i="3" s="1"/>
  <c r="B441" i="3" s="1"/>
  <c r="B442" i="3" s="1"/>
  <c r="B443" i="3" s="1"/>
  <c r="B444" i="3" s="1"/>
  <c r="B445" i="3" s="1"/>
  <c r="M437" i="3"/>
  <c r="G437" i="3"/>
  <c r="M436" i="3"/>
  <c r="G436" i="3"/>
  <c r="M435" i="3"/>
  <c r="G435" i="3"/>
  <c r="B435" i="3"/>
  <c r="B436" i="3" s="1"/>
  <c r="B437" i="3" s="1"/>
  <c r="M434" i="3"/>
  <c r="G434" i="3"/>
  <c r="O433" i="3"/>
  <c r="C19" i="1" s="1"/>
  <c r="F432" i="3"/>
  <c r="E432" i="3"/>
  <c r="M431" i="3"/>
  <c r="G431" i="3"/>
  <c r="M430" i="3"/>
  <c r="G430" i="3"/>
  <c r="M429" i="3"/>
  <c r="G429" i="3"/>
  <c r="B429" i="3"/>
  <c r="B430" i="3" s="1"/>
  <c r="B431" i="3" s="1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B422" i="3"/>
  <c r="B423" i="3" s="1"/>
  <c r="B424" i="3" s="1"/>
  <c r="B425" i="3" s="1"/>
  <c r="B426" i="3" s="1"/>
  <c r="B427" i="3" s="1"/>
  <c r="B428" i="3" s="1"/>
  <c r="M421" i="3"/>
  <c r="G421" i="3"/>
  <c r="B421" i="3"/>
  <c r="M420" i="3"/>
  <c r="G420" i="3"/>
  <c r="F419" i="3"/>
  <c r="E419" i="3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B409" i="3"/>
  <c r="B410" i="3" s="1"/>
  <c r="B411" i="3" s="1"/>
  <c r="B412" i="3" s="1"/>
  <c r="B413" i="3" s="1"/>
  <c r="B414" i="3" s="1"/>
  <c r="B415" i="3" s="1"/>
  <c r="B416" i="3" s="1"/>
  <c r="B417" i="3" s="1"/>
  <c r="B418" i="3" s="1"/>
  <c r="M408" i="3"/>
  <c r="G408" i="3"/>
  <c r="B408" i="3"/>
  <c r="M407" i="3"/>
  <c r="G407" i="3"/>
  <c r="O406" i="3"/>
  <c r="C18" i="1" s="1"/>
  <c r="F405" i="3"/>
  <c r="E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G405" i="3" s="1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G393" i="3"/>
  <c r="F392" i="3"/>
  <c r="E392" i="3"/>
  <c r="E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G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G392" i="3" s="1"/>
  <c r="G406" i="3" s="1"/>
  <c r="O379" i="3"/>
  <c r="F378" i="3"/>
  <c r="E378" i="3"/>
  <c r="M377" i="3"/>
  <c r="G377" i="3"/>
  <c r="M376" i="3"/>
  <c r="G376" i="3"/>
  <c r="M375" i="3"/>
  <c r="G375" i="3"/>
  <c r="M374" i="3"/>
  <c r="G374" i="3"/>
  <c r="M373" i="3"/>
  <c r="G373" i="3"/>
  <c r="B373" i="3"/>
  <c r="B374" i="3" s="1"/>
  <c r="B375" i="3" s="1"/>
  <c r="B376" i="3" s="1"/>
  <c r="B377" i="3" s="1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M366" i="3"/>
  <c r="G366" i="3"/>
  <c r="F365" i="3"/>
  <c r="F379" i="3" s="1"/>
  <c r="E365" i="3"/>
  <c r="E379" i="3" s="1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G365" i="3" s="1"/>
  <c r="B357" i="3"/>
  <c r="B358" i="3" s="1"/>
  <c r="B359" i="3" s="1"/>
  <c r="B360" i="3" s="1"/>
  <c r="B361" i="3" s="1"/>
  <c r="B362" i="3" s="1"/>
  <c r="B363" i="3" s="1"/>
  <c r="B364" i="3" s="1"/>
  <c r="M356" i="3"/>
  <c r="G356" i="3"/>
  <c r="M355" i="3"/>
  <c r="G355" i="3"/>
  <c r="B355" i="3"/>
  <c r="B356" i="3" s="1"/>
  <c r="M354" i="3"/>
  <c r="G354" i="3"/>
  <c r="B354" i="3"/>
  <c r="M353" i="3"/>
  <c r="G353" i="3"/>
  <c r="O352" i="3"/>
  <c r="F351" i="3"/>
  <c r="F352" i="3" s="1"/>
  <c r="E351" i="3"/>
  <c r="E352" i="3" s="1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B342" i="3"/>
  <c r="B343" i="3" s="1"/>
  <c r="B344" i="3" s="1"/>
  <c r="B345" i="3" s="1"/>
  <c r="B346" i="3" s="1"/>
  <c r="B347" i="3" s="1"/>
  <c r="B348" i="3" s="1"/>
  <c r="B349" i="3" s="1"/>
  <c r="B350" i="3" s="1"/>
  <c r="M341" i="3"/>
  <c r="G341" i="3"/>
  <c r="B341" i="3"/>
  <c r="M340" i="3"/>
  <c r="G340" i="3"/>
  <c r="B340" i="3"/>
  <c r="M339" i="3"/>
  <c r="G339" i="3"/>
  <c r="F338" i="3"/>
  <c r="E338" i="3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B329" i="3"/>
  <c r="B330" i="3" s="1"/>
  <c r="B331" i="3" s="1"/>
  <c r="B332" i="3" s="1"/>
  <c r="B333" i="3" s="1"/>
  <c r="B334" i="3" s="1"/>
  <c r="B335" i="3" s="1"/>
  <c r="B336" i="3" s="1"/>
  <c r="B337" i="3" s="1"/>
  <c r="M328" i="3"/>
  <c r="G328" i="3"/>
  <c r="M327" i="3"/>
  <c r="G327" i="3"/>
  <c r="B327" i="3"/>
  <c r="B328" i="3" s="1"/>
  <c r="M326" i="3"/>
  <c r="G326" i="3"/>
  <c r="O325" i="3"/>
  <c r="C15" i="1" s="1"/>
  <c r="F325" i="3"/>
  <c r="F324" i="3"/>
  <c r="E324" i="3"/>
  <c r="M323" i="3"/>
  <c r="G323" i="3"/>
  <c r="M322" i="3"/>
  <c r="G322" i="3"/>
  <c r="M321" i="3"/>
  <c r="G321" i="3"/>
  <c r="M320" i="3"/>
  <c r="G320" i="3"/>
  <c r="B320" i="3"/>
  <c r="B321" i="3" s="1"/>
  <c r="B322" i="3" s="1"/>
  <c r="B323" i="3" s="1"/>
  <c r="M319" i="3"/>
  <c r="G319" i="3"/>
  <c r="M318" i="3"/>
  <c r="G318" i="3"/>
  <c r="M317" i="3"/>
  <c r="G317" i="3"/>
  <c r="M316" i="3"/>
  <c r="G316" i="3"/>
  <c r="M315" i="3"/>
  <c r="G315" i="3"/>
  <c r="M314" i="3"/>
  <c r="G314" i="3"/>
  <c r="M313" i="3"/>
  <c r="G313" i="3"/>
  <c r="B313" i="3"/>
  <c r="B314" i="3" s="1"/>
  <c r="B315" i="3" s="1"/>
  <c r="B316" i="3" s="1"/>
  <c r="B317" i="3" s="1"/>
  <c r="B318" i="3" s="1"/>
  <c r="B319" i="3" s="1"/>
  <c r="M312" i="3"/>
  <c r="G312" i="3"/>
  <c r="F311" i="3"/>
  <c r="E311" i="3"/>
  <c r="E325" i="3" s="1"/>
  <c r="M310" i="3"/>
  <c r="G310" i="3"/>
  <c r="M309" i="3"/>
  <c r="G309" i="3"/>
  <c r="M308" i="3"/>
  <c r="G308" i="3"/>
  <c r="M307" i="3"/>
  <c r="G307" i="3"/>
  <c r="M306" i="3"/>
  <c r="G306" i="3"/>
  <c r="M305" i="3"/>
  <c r="G305" i="3"/>
  <c r="M304" i="3"/>
  <c r="G304" i="3"/>
  <c r="M303" i="3"/>
  <c r="G303" i="3"/>
  <c r="M302" i="3"/>
  <c r="G302" i="3"/>
  <c r="B302" i="3"/>
  <c r="B303" i="3" s="1"/>
  <c r="B304" i="3" s="1"/>
  <c r="B305" i="3" s="1"/>
  <c r="B306" i="3" s="1"/>
  <c r="B307" i="3" s="1"/>
  <c r="B308" i="3" s="1"/>
  <c r="B309" i="3" s="1"/>
  <c r="B310" i="3" s="1"/>
  <c r="M301" i="3"/>
  <c r="G301" i="3"/>
  <c r="G311" i="3" s="1"/>
  <c r="M300" i="3"/>
  <c r="G300" i="3"/>
  <c r="B300" i="3"/>
  <c r="B301" i="3" s="1"/>
  <c r="M299" i="3"/>
  <c r="G299" i="3"/>
  <c r="O298" i="3"/>
  <c r="C14" i="1" s="1"/>
  <c r="F297" i="3"/>
  <c r="E297" i="3"/>
  <c r="E298" i="3" s="1"/>
  <c r="M296" i="3"/>
  <c r="G296" i="3"/>
  <c r="M295" i="3"/>
  <c r="G295" i="3"/>
  <c r="B295" i="3"/>
  <c r="B296" i="3" s="1"/>
  <c r="M294" i="3"/>
  <c r="G294" i="3"/>
  <c r="M293" i="3"/>
  <c r="G293" i="3"/>
  <c r="M292" i="3"/>
  <c r="G292" i="3"/>
  <c r="M291" i="3"/>
  <c r="G291" i="3"/>
  <c r="M290" i="3"/>
  <c r="G290" i="3"/>
  <c r="M289" i="3"/>
  <c r="G289" i="3"/>
  <c r="M288" i="3"/>
  <c r="G288" i="3"/>
  <c r="M287" i="3"/>
  <c r="G287" i="3"/>
  <c r="B287" i="3"/>
  <c r="B288" i="3" s="1"/>
  <c r="B289" i="3" s="1"/>
  <c r="B290" i="3" s="1"/>
  <c r="B291" i="3" s="1"/>
  <c r="B292" i="3" s="1"/>
  <c r="B293" i="3" s="1"/>
  <c r="B294" i="3" s="1"/>
  <c r="M286" i="3"/>
  <c r="G286" i="3"/>
  <c r="B286" i="3"/>
  <c r="M285" i="3"/>
  <c r="G285" i="3"/>
  <c r="G297" i="3" s="1"/>
  <c r="F284" i="3"/>
  <c r="F298" i="3" s="1"/>
  <c r="E284" i="3"/>
  <c r="M283" i="3"/>
  <c r="G283" i="3"/>
  <c r="M282" i="3"/>
  <c r="G282" i="3"/>
  <c r="M281" i="3"/>
  <c r="G281" i="3"/>
  <c r="M280" i="3"/>
  <c r="G280" i="3"/>
  <c r="M279" i="3"/>
  <c r="G279" i="3"/>
  <c r="M278" i="3"/>
  <c r="G278" i="3"/>
  <c r="M277" i="3"/>
  <c r="G277" i="3"/>
  <c r="G284" i="3" s="1"/>
  <c r="B277" i="3"/>
  <c r="B278" i="3" s="1"/>
  <c r="B279" i="3" s="1"/>
  <c r="B280" i="3" s="1"/>
  <c r="B281" i="3" s="1"/>
  <c r="B282" i="3" s="1"/>
  <c r="B283" i="3" s="1"/>
  <c r="M276" i="3"/>
  <c r="G276" i="3"/>
  <c r="M275" i="3"/>
  <c r="G275" i="3"/>
  <c r="M274" i="3"/>
  <c r="G274" i="3"/>
  <c r="M273" i="3"/>
  <c r="G273" i="3"/>
  <c r="B273" i="3"/>
  <c r="B274" i="3" s="1"/>
  <c r="B275" i="3" s="1"/>
  <c r="B276" i="3" s="1"/>
  <c r="M272" i="3"/>
  <c r="G272" i="3"/>
  <c r="O271" i="3"/>
  <c r="C13" i="1" s="1"/>
  <c r="F270" i="3"/>
  <c r="E270" i="3"/>
  <c r="E271" i="3" s="1"/>
  <c r="M269" i="3"/>
  <c r="G269" i="3"/>
  <c r="M268" i="3"/>
  <c r="G268" i="3"/>
  <c r="M267" i="3"/>
  <c r="G267" i="3"/>
  <c r="M266" i="3"/>
  <c r="G266" i="3"/>
  <c r="M265" i="3"/>
  <c r="G265" i="3"/>
  <c r="M264" i="3"/>
  <c r="G264" i="3"/>
  <c r="M263" i="3"/>
  <c r="G263" i="3"/>
  <c r="M262" i="3"/>
  <c r="G262" i="3"/>
  <c r="G270" i="3" s="1"/>
  <c r="B262" i="3"/>
  <c r="B263" i="3" s="1"/>
  <c r="B264" i="3" s="1"/>
  <c r="B265" i="3" s="1"/>
  <c r="B266" i="3" s="1"/>
  <c r="B267" i="3" s="1"/>
  <c r="B268" i="3" s="1"/>
  <c r="B269" i="3" s="1"/>
  <c r="M261" i="3"/>
  <c r="G261" i="3"/>
  <c r="M260" i="3"/>
  <c r="G260" i="3"/>
  <c r="M259" i="3"/>
  <c r="G259" i="3"/>
  <c r="B259" i="3"/>
  <c r="B260" i="3" s="1"/>
  <c r="B261" i="3" s="1"/>
  <c r="M258" i="3"/>
  <c r="G258" i="3"/>
  <c r="F257" i="3"/>
  <c r="E257" i="3"/>
  <c r="M256" i="3"/>
  <c r="G256" i="3"/>
  <c r="M255" i="3"/>
  <c r="G255" i="3"/>
  <c r="M254" i="3"/>
  <c r="G254" i="3"/>
  <c r="M253" i="3"/>
  <c r="G253" i="3"/>
  <c r="M252" i="3"/>
  <c r="G252" i="3"/>
  <c r="M251" i="3"/>
  <c r="G251" i="3"/>
  <c r="M250" i="3"/>
  <c r="G250" i="3"/>
  <c r="M249" i="3"/>
  <c r="G249" i="3"/>
  <c r="M248" i="3"/>
  <c r="G248" i="3"/>
  <c r="M247" i="3"/>
  <c r="G247" i="3"/>
  <c r="B247" i="3"/>
  <c r="B248" i="3" s="1"/>
  <c r="B249" i="3" s="1"/>
  <c r="B250" i="3" s="1"/>
  <c r="B251" i="3" s="1"/>
  <c r="B252" i="3" s="1"/>
  <c r="B253" i="3" s="1"/>
  <c r="B254" i="3" s="1"/>
  <c r="B255" i="3" s="1"/>
  <c r="B256" i="3" s="1"/>
  <c r="M246" i="3"/>
  <c r="G246" i="3"/>
  <c r="B246" i="3"/>
  <c r="M245" i="3"/>
  <c r="G245" i="3"/>
  <c r="O244" i="3"/>
  <c r="F243" i="3"/>
  <c r="E243" i="3"/>
  <c r="E244" i="3" s="1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G243" i="3" s="1"/>
  <c r="F230" i="3"/>
  <c r="F244" i="3" s="1"/>
  <c r="E230" i="3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B223" i="3"/>
  <c r="B224" i="3" s="1"/>
  <c r="B225" i="3" s="1"/>
  <c r="B226" i="3" s="1"/>
  <c r="B227" i="3" s="1"/>
  <c r="B228" i="3" s="1"/>
  <c r="B229" i="3" s="1"/>
  <c r="M222" i="3"/>
  <c r="G222" i="3"/>
  <c r="M221" i="3"/>
  <c r="G221" i="3"/>
  <c r="B221" i="3"/>
  <c r="B222" i="3" s="1"/>
  <c r="M220" i="3"/>
  <c r="G220" i="3"/>
  <c r="B220" i="3"/>
  <c r="M219" i="3"/>
  <c r="G219" i="3"/>
  <c r="B219" i="3"/>
  <c r="M218" i="3"/>
  <c r="G218" i="3"/>
  <c r="O217" i="3"/>
  <c r="E217" i="3"/>
  <c r="F216" i="3"/>
  <c r="F217" i="3" s="1"/>
  <c r="E216" i="3"/>
  <c r="M215" i="3"/>
  <c r="G215" i="3"/>
  <c r="M214" i="3"/>
  <c r="G214" i="3"/>
  <c r="B214" i="3"/>
  <c r="B215" i="3" s="1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B206" i="3"/>
  <c r="B207" i="3" s="1"/>
  <c r="B208" i="3" s="1"/>
  <c r="B209" i="3" s="1"/>
  <c r="B210" i="3" s="1"/>
  <c r="B211" i="3" s="1"/>
  <c r="B212" i="3" s="1"/>
  <c r="B213" i="3" s="1"/>
  <c r="M205" i="3"/>
  <c r="G205" i="3"/>
  <c r="B205" i="3"/>
  <c r="M204" i="3"/>
  <c r="G204" i="3"/>
  <c r="F203" i="3"/>
  <c r="E203" i="3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B193" i="3"/>
  <c r="B194" i="3" s="1"/>
  <c r="B195" i="3" s="1"/>
  <c r="B196" i="3" s="1"/>
  <c r="B197" i="3" s="1"/>
  <c r="B198" i="3" s="1"/>
  <c r="B199" i="3" s="1"/>
  <c r="B200" i="3" s="1"/>
  <c r="B201" i="3" s="1"/>
  <c r="B202" i="3" s="1"/>
  <c r="M192" i="3"/>
  <c r="G192" i="3"/>
  <c r="G203" i="3" s="1"/>
  <c r="B192" i="3"/>
  <c r="M191" i="3"/>
  <c r="G191" i="3"/>
  <c r="O190" i="3"/>
  <c r="F189" i="3"/>
  <c r="F190" i="3" s="1"/>
  <c r="E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F176" i="3"/>
  <c r="E176" i="3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B166" i="3"/>
  <c r="B167" i="3" s="1"/>
  <c r="B168" i="3" s="1"/>
  <c r="B169" i="3" s="1"/>
  <c r="B170" i="3" s="1"/>
  <c r="B171" i="3" s="1"/>
  <c r="B172" i="3" s="1"/>
  <c r="B173" i="3" s="1"/>
  <c r="B174" i="3" s="1"/>
  <c r="B175" i="3" s="1"/>
  <c r="M165" i="3"/>
  <c r="G165" i="3"/>
  <c r="B165" i="3"/>
  <c r="M164" i="3"/>
  <c r="G164" i="3"/>
  <c r="O163" i="3"/>
  <c r="F162" i="3"/>
  <c r="E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B152" i="3"/>
  <c r="B153" i="3" s="1"/>
  <c r="B154" i="3" s="1"/>
  <c r="B155" i="3" s="1"/>
  <c r="B156" i="3" s="1"/>
  <c r="B157" i="3" s="1"/>
  <c r="B158" i="3" s="1"/>
  <c r="B159" i="3" s="1"/>
  <c r="B160" i="3" s="1"/>
  <c r="B161" i="3" s="1"/>
  <c r="M151" i="3"/>
  <c r="G151" i="3"/>
  <c r="B151" i="3"/>
  <c r="M150" i="3"/>
  <c r="G150" i="3"/>
  <c r="F149" i="3"/>
  <c r="F163" i="3" s="1"/>
  <c r="E149" i="3"/>
  <c r="E163" i="3" s="1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G149" i="3" s="1"/>
  <c r="M141" i="3"/>
  <c r="G141" i="3"/>
  <c r="M140" i="3"/>
  <c r="G140" i="3"/>
  <c r="M139" i="3"/>
  <c r="G139" i="3"/>
  <c r="B139" i="3"/>
  <c r="B140" i="3" s="1"/>
  <c r="B141" i="3" s="1"/>
  <c r="B142" i="3" s="1"/>
  <c r="B143" i="3" s="1"/>
  <c r="B144" i="3" s="1"/>
  <c r="B145" i="3" s="1"/>
  <c r="B146" i="3" s="1"/>
  <c r="B147" i="3" s="1"/>
  <c r="B148" i="3" s="1"/>
  <c r="M138" i="3"/>
  <c r="G138" i="3"/>
  <c r="B138" i="3"/>
  <c r="M137" i="3"/>
  <c r="G137" i="3"/>
  <c r="O136" i="3"/>
  <c r="C8" i="1" s="1"/>
  <c r="F135" i="3"/>
  <c r="E135" i="3"/>
  <c r="E136" i="3" s="1"/>
  <c r="M134" i="3"/>
  <c r="G134" i="3"/>
  <c r="B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B126" i="3"/>
  <c r="B127" i="3" s="1"/>
  <c r="B128" i="3" s="1"/>
  <c r="B129" i="3" s="1"/>
  <c r="B130" i="3" s="1"/>
  <c r="B131" i="3" s="1"/>
  <c r="B132" i="3" s="1"/>
  <c r="B133" i="3" s="1"/>
  <c r="M125" i="3"/>
  <c r="G125" i="3"/>
  <c r="M124" i="3"/>
  <c r="G124" i="3"/>
  <c r="B124" i="3"/>
  <c r="B125" i="3" s="1"/>
  <c r="M123" i="3"/>
  <c r="G123" i="3"/>
  <c r="F122" i="3"/>
  <c r="E122" i="3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B113" i="3"/>
  <c r="B114" i="3" s="1"/>
  <c r="B115" i="3" s="1"/>
  <c r="B116" i="3" s="1"/>
  <c r="B117" i="3" s="1"/>
  <c r="B118" i="3" s="1"/>
  <c r="B119" i="3" s="1"/>
  <c r="B120" i="3" s="1"/>
  <c r="B121" i="3" s="1"/>
  <c r="M112" i="3"/>
  <c r="G112" i="3"/>
  <c r="M111" i="3"/>
  <c r="G111" i="3"/>
  <c r="B111" i="3"/>
  <c r="B112" i="3" s="1"/>
  <c r="M110" i="3"/>
  <c r="G110" i="3"/>
  <c r="O109" i="3"/>
  <c r="C7" i="1" s="1"/>
  <c r="F108" i="3"/>
  <c r="E108" i="3"/>
  <c r="M107" i="3"/>
  <c r="G107" i="3"/>
  <c r="M106" i="3"/>
  <c r="G106" i="3"/>
  <c r="B106" i="3"/>
  <c r="B107" i="3" s="1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B98" i="3"/>
  <c r="B99" i="3" s="1"/>
  <c r="B100" i="3" s="1"/>
  <c r="B101" i="3" s="1"/>
  <c r="B102" i="3" s="1"/>
  <c r="B103" i="3" s="1"/>
  <c r="B104" i="3" s="1"/>
  <c r="B105" i="3" s="1"/>
  <c r="M97" i="3"/>
  <c r="G97" i="3"/>
  <c r="B97" i="3"/>
  <c r="M96" i="3"/>
  <c r="G96" i="3"/>
  <c r="F95" i="3"/>
  <c r="F109" i="3" s="1"/>
  <c r="E95" i="3"/>
  <c r="E109" i="3" s="1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B87" i="3"/>
  <c r="B88" i="3" s="1"/>
  <c r="B89" i="3" s="1"/>
  <c r="B90" i="3" s="1"/>
  <c r="B91" i="3" s="1"/>
  <c r="B92" i="3" s="1"/>
  <c r="B93" i="3" s="1"/>
  <c r="B94" i="3" s="1"/>
  <c r="M86" i="3"/>
  <c r="G86" i="3"/>
  <c r="G95" i="3" s="1"/>
  <c r="B86" i="3"/>
  <c r="M85" i="3"/>
  <c r="G85" i="3"/>
  <c r="M84" i="3"/>
  <c r="G84" i="3"/>
  <c r="B84" i="3"/>
  <c r="B85" i="3" s="1"/>
  <c r="M83" i="3"/>
  <c r="G83" i="3"/>
  <c r="O82" i="3"/>
  <c r="C6" i="1" s="1"/>
  <c r="F81" i="3"/>
  <c r="E81" i="3"/>
  <c r="E82" i="3" s="1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G81" i="3" s="1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F68" i="3"/>
  <c r="E68" i="3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O55" i="3"/>
  <c r="C5" i="1" s="1"/>
  <c r="E55" i="3"/>
  <c r="F54" i="3"/>
  <c r="E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G54" i="3" s="1"/>
  <c r="B46" i="3"/>
  <c r="B47" i="3" s="1"/>
  <c r="B48" i="3" s="1"/>
  <c r="B49" i="3" s="1"/>
  <c r="B50" i="3" s="1"/>
  <c r="B51" i="3" s="1"/>
  <c r="B52" i="3" s="1"/>
  <c r="B53" i="3" s="1"/>
  <c r="M45" i="3"/>
  <c r="G45" i="3"/>
  <c r="M44" i="3"/>
  <c r="G44" i="3"/>
  <c r="M43" i="3"/>
  <c r="G43" i="3"/>
  <c r="B43" i="3"/>
  <c r="B44" i="3" s="1"/>
  <c r="B45" i="3" s="1"/>
  <c r="M42" i="3"/>
  <c r="G42" i="3"/>
  <c r="F41" i="3"/>
  <c r="E41" i="3"/>
  <c r="M40" i="3"/>
  <c r="G40" i="3"/>
  <c r="M39" i="3"/>
  <c r="G39" i="3"/>
  <c r="M38" i="3"/>
  <c r="G38" i="3"/>
  <c r="B38" i="3"/>
  <c r="B39" i="3" s="1"/>
  <c r="B40" i="3" s="1"/>
  <c r="M37" i="3"/>
  <c r="G37" i="3"/>
  <c r="M36" i="3"/>
  <c r="G36" i="3"/>
  <c r="M35" i="3"/>
  <c r="G35" i="3"/>
  <c r="M34" i="3"/>
  <c r="G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M29" i="3"/>
  <c r="G29" i="3"/>
  <c r="O28" i="3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F34" i="1"/>
  <c r="E34" i="1"/>
  <c r="D34" i="1"/>
  <c r="G34" i="1" s="1"/>
  <c r="C34" i="1"/>
  <c r="F33" i="1"/>
  <c r="E33" i="1"/>
  <c r="G33" i="1" s="1"/>
  <c r="C33" i="1"/>
  <c r="F32" i="1"/>
  <c r="E32" i="1"/>
  <c r="D32" i="1"/>
  <c r="E31" i="1"/>
  <c r="D31" i="1"/>
  <c r="G31" i="1" s="1"/>
  <c r="F30" i="1"/>
  <c r="C30" i="1"/>
  <c r="F29" i="1"/>
  <c r="C29" i="1"/>
  <c r="F28" i="1"/>
  <c r="E28" i="1"/>
  <c r="G28" i="1" s="1"/>
  <c r="C28" i="1"/>
  <c r="F27" i="1"/>
  <c r="G27" i="1" s="1"/>
  <c r="E27" i="1"/>
  <c r="F26" i="1"/>
  <c r="E26" i="1"/>
  <c r="C26" i="1"/>
  <c r="F25" i="1"/>
  <c r="C25" i="1"/>
  <c r="F24" i="1"/>
  <c r="E24" i="1"/>
  <c r="D24" i="1"/>
  <c r="G24" i="1" s="1"/>
  <c r="F23" i="1"/>
  <c r="E23" i="1"/>
  <c r="D23" i="1"/>
  <c r="G23" i="1" s="1"/>
  <c r="C23" i="1"/>
  <c r="F22" i="1"/>
  <c r="D22" i="1"/>
  <c r="F21" i="1"/>
  <c r="E21" i="1"/>
  <c r="F20" i="1"/>
  <c r="E20" i="1"/>
  <c r="D20" i="1"/>
  <c r="G20" i="1" s="1"/>
  <c r="C20" i="1"/>
  <c r="F19" i="1"/>
  <c r="F18" i="1"/>
  <c r="F17" i="1"/>
  <c r="E17" i="1"/>
  <c r="D17" i="1"/>
  <c r="G17" i="1" s="1"/>
  <c r="C17" i="1"/>
  <c r="E16" i="1"/>
  <c r="C16" i="1"/>
  <c r="F15" i="1"/>
  <c r="E15" i="1"/>
  <c r="D15" i="1"/>
  <c r="G15" i="1" s="1"/>
  <c r="F14" i="1"/>
  <c r="E14" i="1"/>
  <c r="D14" i="1"/>
  <c r="G14" i="1" s="1"/>
  <c r="E12" i="1"/>
  <c r="D12" i="1"/>
  <c r="C12" i="1"/>
  <c r="F11" i="1"/>
  <c r="C11" i="1"/>
  <c r="F10" i="1"/>
  <c r="C10" i="1"/>
  <c r="E9" i="1"/>
  <c r="D9" i="1"/>
  <c r="G9" i="1" s="1"/>
  <c r="C9" i="1"/>
  <c r="F8" i="1"/>
  <c r="E8" i="1"/>
  <c r="F7" i="1"/>
  <c r="E7" i="1"/>
  <c r="D7" i="1"/>
  <c r="G7" i="1" s="1"/>
  <c r="F6" i="1"/>
  <c r="G6" i="1" s="1"/>
  <c r="F5" i="1"/>
  <c r="E5" i="1"/>
  <c r="E4" i="1"/>
  <c r="C4" i="1"/>
  <c r="O838" i="4"/>
  <c r="F838" i="4"/>
  <c r="E838" i="4"/>
  <c r="F837" i="4"/>
  <c r="E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B831" i="4"/>
  <c r="B832" i="4" s="1"/>
  <c r="B833" i="4" s="1"/>
  <c r="B834" i="4" s="1"/>
  <c r="B835" i="4" s="1"/>
  <c r="B836" i="4" s="1"/>
  <c r="M830" i="4"/>
  <c r="G830" i="4"/>
  <c r="B830" i="4"/>
  <c r="M829" i="4"/>
  <c r="G829" i="4"/>
  <c r="B829" i="4"/>
  <c r="M828" i="4"/>
  <c r="G828" i="4"/>
  <c r="M827" i="4"/>
  <c r="G827" i="4"/>
  <c r="M826" i="4"/>
  <c r="G826" i="4"/>
  <c r="B826" i="4"/>
  <c r="B827" i="4" s="1"/>
  <c r="B828" i="4" s="1"/>
  <c r="M825" i="4"/>
  <c r="G825" i="4"/>
  <c r="F824" i="4"/>
  <c r="E824" i="4"/>
  <c r="M823" i="4"/>
  <c r="G823" i="4"/>
  <c r="M822" i="4"/>
  <c r="G822" i="4"/>
  <c r="B822" i="4"/>
  <c r="B823" i="4" s="1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B814" i="4"/>
  <c r="B815" i="4" s="1"/>
  <c r="B816" i="4" s="1"/>
  <c r="B817" i="4" s="1"/>
  <c r="B818" i="4" s="1"/>
  <c r="B819" i="4" s="1"/>
  <c r="B820" i="4" s="1"/>
  <c r="B821" i="4" s="1"/>
  <c r="M813" i="4"/>
  <c r="G813" i="4"/>
  <c r="B813" i="4"/>
  <c r="M812" i="4"/>
  <c r="G812" i="4"/>
  <c r="O811" i="4"/>
  <c r="D33" i="1" s="1"/>
  <c r="F810" i="4"/>
  <c r="F811" i="4" s="1"/>
  <c r="E810" i="4"/>
  <c r="E811" i="4" s="1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G802" i="4"/>
  <c r="M801" i="4"/>
  <c r="G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G797" i="4"/>
  <c r="F797" i="4"/>
  <c r="E797" i="4"/>
  <c r="M796" i="4"/>
  <c r="M795" i="4"/>
  <c r="M794" i="4"/>
  <c r="M793" i="4"/>
  <c r="M792" i="4"/>
  <c r="M791" i="4"/>
  <c r="M790" i="4"/>
  <c r="M789" i="4"/>
  <c r="M788" i="4"/>
  <c r="B788" i="4"/>
  <c r="B789" i="4" s="1"/>
  <c r="B790" i="4" s="1"/>
  <c r="B791" i="4" s="1"/>
  <c r="B792" i="4" s="1"/>
  <c r="B793" i="4" s="1"/>
  <c r="B794" i="4" s="1"/>
  <c r="B795" i="4" s="1"/>
  <c r="B796" i="4" s="1"/>
  <c r="M787" i="4"/>
  <c r="M786" i="4"/>
  <c r="B786" i="4"/>
  <c r="B787" i="4" s="1"/>
  <c r="M785" i="4"/>
  <c r="O784" i="4"/>
  <c r="F783" i="4"/>
  <c r="E783" i="4"/>
  <c r="M782" i="4"/>
  <c r="G782" i="4"/>
  <c r="M781" i="4"/>
  <c r="G781" i="4"/>
  <c r="M780" i="4"/>
  <c r="G780" i="4"/>
  <c r="B780" i="4"/>
  <c r="B781" i="4" s="1"/>
  <c r="B782" i="4" s="1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M771" i="4"/>
  <c r="G771" i="4"/>
  <c r="F770" i="4"/>
  <c r="F784" i="4" s="1"/>
  <c r="E770" i="4"/>
  <c r="E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B760" i="4"/>
  <c r="B761" i="4" s="1"/>
  <c r="B762" i="4" s="1"/>
  <c r="B763" i="4" s="1"/>
  <c r="B764" i="4" s="1"/>
  <c r="B765" i="4" s="1"/>
  <c r="B766" i="4" s="1"/>
  <c r="B767" i="4" s="1"/>
  <c r="B768" i="4" s="1"/>
  <c r="B769" i="4" s="1"/>
  <c r="M759" i="4"/>
  <c r="G759" i="4"/>
  <c r="B759" i="4"/>
  <c r="M758" i="4"/>
  <c r="G758" i="4"/>
  <c r="O757" i="4"/>
  <c r="F756" i="4"/>
  <c r="E756" i="4"/>
  <c r="E757" i="4" s="1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B747" i="4"/>
  <c r="B748" i="4" s="1"/>
  <c r="B749" i="4" s="1"/>
  <c r="B750" i="4" s="1"/>
  <c r="B751" i="4" s="1"/>
  <c r="B752" i="4" s="1"/>
  <c r="B753" i="4" s="1"/>
  <c r="B754" i="4" s="1"/>
  <c r="B755" i="4" s="1"/>
  <c r="M746" i="4"/>
  <c r="G746" i="4"/>
  <c r="B746" i="4"/>
  <c r="M745" i="4"/>
  <c r="G745" i="4"/>
  <c r="B745" i="4"/>
  <c r="M744" i="4"/>
  <c r="G744" i="4"/>
  <c r="F743" i="4"/>
  <c r="F757" i="4" s="1"/>
  <c r="E743" i="4"/>
  <c r="M742" i="4"/>
  <c r="G742" i="4"/>
  <c r="M741" i="4"/>
  <c r="G741" i="4"/>
  <c r="M740" i="4"/>
  <c r="G740" i="4"/>
  <c r="M739" i="4"/>
  <c r="G739" i="4"/>
  <c r="B739" i="4"/>
  <c r="B740" i="4" s="1"/>
  <c r="B741" i="4" s="1"/>
  <c r="B742" i="4" s="1"/>
  <c r="M738" i="4"/>
  <c r="G738" i="4"/>
  <c r="M737" i="4"/>
  <c r="G737" i="4"/>
  <c r="M736" i="4"/>
  <c r="G736" i="4"/>
  <c r="M735" i="4"/>
  <c r="G735" i="4"/>
  <c r="B735" i="4"/>
  <c r="B736" i="4" s="1"/>
  <c r="B737" i="4" s="1"/>
  <c r="B738" i="4" s="1"/>
  <c r="M734" i="4"/>
  <c r="G734" i="4"/>
  <c r="M733" i="4"/>
  <c r="G733" i="4"/>
  <c r="M732" i="4"/>
  <c r="G732" i="4"/>
  <c r="B732" i="4"/>
  <c r="B733" i="4" s="1"/>
  <c r="B734" i="4" s="1"/>
  <c r="M731" i="4"/>
  <c r="G731" i="4"/>
  <c r="O730" i="4"/>
  <c r="D30" i="1" s="1"/>
  <c r="F729" i="4"/>
  <c r="E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G722" i="4"/>
  <c r="M721" i="4"/>
  <c r="G721" i="4"/>
  <c r="B721" i="4"/>
  <c r="B722" i="4" s="1"/>
  <c r="B723" i="4" s="1"/>
  <c r="B724" i="4" s="1"/>
  <c r="B725" i="4" s="1"/>
  <c r="B726" i="4" s="1"/>
  <c r="B727" i="4" s="1"/>
  <c r="B728" i="4" s="1"/>
  <c r="M720" i="4"/>
  <c r="G720" i="4"/>
  <c r="M719" i="4"/>
  <c r="G719" i="4"/>
  <c r="B719" i="4"/>
  <c r="B720" i="4" s="1"/>
  <c r="M718" i="4"/>
  <c r="G718" i="4"/>
  <c r="B718" i="4"/>
  <c r="M717" i="4"/>
  <c r="G717" i="4"/>
  <c r="F716" i="4"/>
  <c r="E716" i="4"/>
  <c r="M715" i="4"/>
  <c r="G715" i="4"/>
  <c r="M714" i="4"/>
  <c r="G714" i="4"/>
  <c r="M713" i="4"/>
  <c r="G713" i="4"/>
  <c r="M712" i="4"/>
  <c r="G712" i="4"/>
  <c r="B712" i="4"/>
  <c r="B713" i="4" s="1"/>
  <c r="B714" i="4" s="1"/>
  <c r="B715" i="4" s="1"/>
  <c r="M711" i="4"/>
  <c r="G711" i="4"/>
  <c r="M710" i="4"/>
  <c r="G710" i="4"/>
  <c r="M709" i="4"/>
  <c r="G709" i="4"/>
  <c r="M708" i="4"/>
  <c r="G708" i="4"/>
  <c r="M707" i="4"/>
  <c r="G707" i="4"/>
  <c r="M706" i="4"/>
  <c r="G706" i="4"/>
  <c r="B706" i="4"/>
  <c r="B707" i="4" s="1"/>
  <c r="B708" i="4" s="1"/>
  <c r="B709" i="4" s="1"/>
  <c r="B710" i="4" s="1"/>
  <c r="B711" i="4" s="1"/>
  <c r="M705" i="4"/>
  <c r="G705" i="4"/>
  <c r="G716" i="4" s="1"/>
  <c r="B705" i="4"/>
  <c r="M704" i="4"/>
  <c r="G704" i="4"/>
  <c r="O703" i="4"/>
  <c r="D29" i="1" s="1"/>
  <c r="F702" i="4"/>
  <c r="E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B696" i="4"/>
  <c r="B697" i="4" s="1"/>
  <c r="B698" i="4" s="1"/>
  <c r="B699" i="4" s="1"/>
  <c r="B700" i="4" s="1"/>
  <c r="B701" i="4" s="1"/>
  <c r="M695" i="4"/>
  <c r="G695" i="4"/>
  <c r="B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M690" i="4"/>
  <c r="G690" i="4"/>
  <c r="F689" i="4"/>
  <c r="F703" i="4" s="1"/>
  <c r="E689" i="4"/>
  <c r="E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B680" i="4"/>
  <c r="B681" i="4" s="1"/>
  <c r="B682" i="4" s="1"/>
  <c r="B683" i="4" s="1"/>
  <c r="B684" i="4" s="1"/>
  <c r="B685" i="4" s="1"/>
  <c r="B686" i="4" s="1"/>
  <c r="B687" i="4" s="1"/>
  <c r="B688" i="4" s="1"/>
  <c r="M679" i="4"/>
  <c r="G679" i="4"/>
  <c r="G689" i="4" s="1"/>
  <c r="M678" i="4"/>
  <c r="G678" i="4"/>
  <c r="B678" i="4"/>
  <c r="B679" i="4" s="1"/>
  <c r="M677" i="4"/>
  <c r="G677" i="4"/>
  <c r="O676" i="4"/>
  <c r="D28" i="1" s="1"/>
  <c r="F675" i="4"/>
  <c r="E675" i="4"/>
  <c r="M674" i="4"/>
  <c r="G674" i="4"/>
  <c r="M673" i="4"/>
  <c r="G673" i="4"/>
  <c r="M672" i="4"/>
  <c r="G672" i="4"/>
  <c r="M671" i="4"/>
  <c r="G671" i="4"/>
  <c r="M670" i="4"/>
  <c r="G670" i="4"/>
  <c r="B670" i="4"/>
  <c r="B671" i="4" s="1"/>
  <c r="B672" i="4" s="1"/>
  <c r="B673" i="4" s="1"/>
  <c r="B674" i="4" s="1"/>
  <c r="M669" i="4"/>
  <c r="G669" i="4"/>
  <c r="M668" i="4"/>
  <c r="G668" i="4"/>
  <c r="M667" i="4"/>
  <c r="G667" i="4"/>
  <c r="M666" i="4"/>
  <c r="G666" i="4"/>
  <c r="B666" i="4"/>
  <c r="B667" i="4" s="1"/>
  <c r="B668" i="4" s="1"/>
  <c r="B669" i="4" s="1"/>
  <c r="M665" i="4"/>
  <c r="G665" i="4"/>
  <c r="M664" i="4"/>
  <c r="G664" i="4"/>
  <c r="B664" i="4"/>
  <c r="B665" i="4" s="1"/>
  <c r="M663" i="4"/>
  <c r="G663" i="4"/>
  <c r="G662" i="4"/>
  <c r="F662" i="4"/>
  <c r="F676" i="4" s="1"/>
  <c r="E662" i="4"/>
  <c r="E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B655" i="4"/>
  <c r="B656" i="4" s="1"/>
  <c r="B657" i="4" s="1"/>
  <c r="B658" i="4" s="1"/>
  <c r="B659" i="4" s="1"/>
  <c r="B660" i="4" s="1"/>
  <c r="B661" i="4" s="1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M650" i="4"/>
  <c r="G650" i="4"/>
  <c r="O649" i="4"/>
  <c r="D27" i="1" s="1"/>
  <c r="F649" i="4"/>
  <c r="E649" i="4"/>
  <c r="F648" i="4"/>
  <c r="E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G641" i="4"/>
  <c r="B641" i="4"/>
  <c r="B642" i="4" s="1"/>
  <c r="B643" i="4" s="1"/>
  <c r="B644" i="4" s="1"/>
  <c r="B645" i="4" s="1"/>
  <c r="B646" i="4" s="1"/>
  <c r="B647" i="4" s="1"/>
  <c r="M640" i="4"/>
  <c r="G640" i="4"/>
  <c r="M639" i="4"/>
  <c r="G639" i="4"/>
  <c r="B639" i="4"/>
  <c r="B640" i="4" s="1"/>
  <c r="M638" i="4"/>
  <c r="G638" i="4"/>
  <c r="M637" i="4"/>
  <c r="G637" i="4"/>
  <c r="B637" i="4"/>
  <c r="B638" i="4" s="1"/>
  <c r="M636" i="4"/>
  <c r="G636" i="4"/>
  <c r="F635" i="4"/>
  <c r="E635" i="4"/>
  <c r="M634" i="4"/>
  <c r="G634" i="4"/>
  <c r="M633" i="4"/>
  <c r="G633" i="4"/>
  <c r="B633" i="4"/>
  <c r="B634" i="4" s="1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M623" i="4"/>
  <c r="G623" i="4"/>
  <c r="O622" i="4"/>
  <c r="D26" i="1" s="1"/>
  <c r="G26" i="1" s="1"/>
  <c r="F621" i="4"/>
  <c r="E621" i="4"/>
  <c r="M620" i="4"/>
  <c r="G620" i="4"/>
  <c r="M619" i="4"/>
  <c r="G619" i="4"/>
  <c r="M618" i="4"/>
  <c r="G618" i="4"/>
  <c r="M617" i="4"/>
  <c r="G617" i="4"/>
  <c r="M616" i="4"/>
  <c r="G616" i="4"/>
  <c r="M615" i="4"/>
  <c r="M614" i="4"/>
  <c r="G614" i="4"/>
  <c r="M613" i="4"/>
  <c r="G613" i="4"/>
  <c r="B613" i="4"/>
  <c r="B614" i="4" s="1"/>
  <c r="B615" i="4" s="1"/>
  <c r="B616" i="4" s="1"/>
  <c r="B617" i="4" s="1"/>
  <c r="B618" i="4" s="1"/>
  <c r="B619" i="4" s="1"/>
  <c r="B620" i="4" s="1"/>
  <c r="M612" i="4"/>
  <c r="G612" i="4"/>
  <c r="M611" i="4"/>
  <c r="G611" i="4"/>
  <c r="M610" i="4"/>
  <c r="G610" i="4"/>
  <c r="B610" i="4"/>
  <c r="B611" i="4" s="1"/>
  <c r="B612" i="4" s="1"/>
  <c r="M609" i="4"/>
  <c r="G609" i="4"/>
  <c r="F608" i="4"/>
  <c r="F622" i="4" s="1"/>
  <c r="E608" i="4"/>
  <c r="E622" i="4" s="1"/>
  <c r="M607" i="4"/>
  <c r="G607" i="4"/>
  <c r="M606" i="4"/>
  <c r="G606" i="4"/>
  <c r="M605" i="4"/>
  <c r="G605" i="4"/>
  <c r="M604" i="4"/>
  <c r="G604" i="4"/>
  <c r="B604" i="4"/>
  <c r="B605" i="4" s="1"/>
  <c r="B606" i="4" s="1"/>
  <c r="B607" i="4" s="1"/>
  <c r="M603" i="4"/>
  <c r="G603" i="4"/>
  <c r="M602" i="4"/>
  <c r="G602" i="4"/>
  <c r="M601" i="4"/>
  <c r="G601" i="4"/>
  <c r="M600" i="4"/>
  <c r="G600" i="4"/>
  <c r="M599" i="4"/>
  <c r="G599" i="4"/>
  <c r="B599" i="4"/>
  <c r="B600" i="4" s="1"/>
  <c r="B601" i="4" s="1"/>
  <c r="B602" i="4" s="1"/>
  <c r="B603" i="4" s="1"/>
  <c r="M598" i="4"/>
  <c r="G598" i="4"/>
  <c r="B598" i="4"/>
  <c r="M597" i="4"/>
  <c r="G597" i="4"/>
  <c r="B597" i="4"/>
  <c r="M596" i="4"/>
  <c r="G596" i="4"/>
  <c r="O595" i="4"/>
  <c r="D25" i="1" s="1"/>
  <c r="F594" i="4"/>
  <c r="F595" i="4" s="1"/>
  <c r="E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B584" i="4"/>
  <c r="B585" i="4" s="1"/>
  <c r="B586" i="4" s="1"/>
  <c r="B587" i="4" s="1"/>
  <c r="B588" i="4" s="1"/>
  <c r="B589" i="4" s="1"/>
  <c r="B590" i="4" s="1"/>
  <c r="B591" i="4" s="1"/>
  <c r="B592" i="4" s="1"/>
  <c r="B593" i="4" s="1"/>
  <c r="M583" i="4"/>
  <c r="G583" i="4"/>
  <c r="B583" i="4"/>
  <c r="M582" i="4"/>
  <c r="G582" i="4"/>
  <c r="F581" i="4"/>
  <c r="E581" i="4"/>
  <c r="E595" i="4" s="1"/>
  <c r="M580" i="4"/>
  <c r="G580" i="4"/>
  <c r="M579" i="4"/>
  <c r="G579" i="4"/>
  <c r="M578" i="4"/>
  <c r="G578" i="4"/>
  <c r="M577" i="4"/>
  <c r="G577" i="4"/>
  <c r="M576" i="4"/>
  <c r="G576" i="4"/>
  <c r="B576" i="4"/>
  <c r="B577" i="4" s="1"/>
  <c r="B578" i="4" s="1"/>
  <c r="B579" i="4" s="1"/>
  <c r="B580" i="4" s="1"/>
  <c r="M575" i="4"/>
  <c r="G575" i="4"/>
  <c r="M574" i="4"/>
  <c r="G574" i="4"/>
  <c r="M573" i="4"/>
  <c r="G573" i="4"/>
  <c r="M572" i="4"/>
  <c r="G572" i="4"/>
  <c r="M571" i="4"/>
  <c r="G571" i="4"/>
  <c r="B571" i="4"/>
  <c r="B572" i="4" s="1"/>
  <c r="B573" i="4" s="1"/>
  <c r="B574" i="4" s="1"/>
  <c r="B575" i="4" s="1"/>
  <c r="M570" i="4"/>
  <c r="G570" i="4"/>
  <c r="B570" i="4"/>
  <c r="M569" i="4"/>
  <c r="G569" i="4"/>
  <c r="O568" i="4"/>
  <c r="F568" i="4"/>
  <c r="E568" i="4"/>
  <c r="F567" i="4"/>
  <c r="E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E554" i="4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F540" i="4"/>
  <c r="E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B534" i="4"/>
  <c r="B535" i="4" s="1"/>
  <c r="B536" i="4" s="1"/>
  <c r="B537" i="4" s="1"/>
  <c r="B538" i="4" s="1"/>
  <c r="B539" i="4" s="1"/>
  <c r="M533" i="4"/>
  <c r="G533" i="4"/>
  <c r="B533" i="4"/>
  <c r="M532" i="4"/>
  <c r="G532" i="4"/>
  <c r="M531" i="4"/>
  <c r="G531" i="4"/>
  <c r="M530" i="4"/>
  <c r="G530" i="4"/>
  <c r="B530" i="4"/>
  <c r="B531" i="4" s="1"/>
  <c r="B532" i="4" s="1"/>
  <c r="M529" i="4"/>
  <c r="G529" i="4"/>
  <c r="B529" i="4"/>
  <c r="M528" i="4"/>
  <c r="G528" i="4"/>
  <c r="F527" i="4"/>
  <c r="F541" i="4" s="1"/>
  <c r="E527" i="4"/>
  <c r="E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G527" i="4" s="1"/>
  <c r="B517" i="4"/>
  <c r="B518" i="4" s="1"/>
  <c r="B519" i="4" s="1"/>
  <c r="B520" i="4" s="1"/>
  <c r="B521" i="4" s="1"/>
  <c r="B522" i="4" s="1"/>
  <c r="B523" i="4" s="1"/>
  <c r="B524" i="4" s="1"/>
  <c r="B525" i="4" s="1"/>
  <c r="B526" i="4" s="1"/>
  <c r="M516" i="4"/>
  <c r="G516" i="4"/>
  <c r="B516" i="4"/>
  <c r="M515" i="4"/>
  <c r="G515" i="4"/>
  <c r="O514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B504" i="4"/>
  <c r="B505" i="4" s="1"/>
  <c r="B506" i="4" s="1"/>
  <c r="B507" i="4" s="1"/>
  <c r="B508" i="4" s="1"/>
  <c r="B509" i="4" s="1"/>
  <c r="B510" i="4" s="1"/>
  <c r="B511" i="4" s="1"/>
  <c r="B512" i="4" s="1"/>
  <c r="M503" i="4"/>
  <c r="G503" i="4"/>
  <c r="M502" i="4"/>
  <c r="G502" i="4"/>
  <c r="B502" i="4"/>
  <c r="B503" i="4" s="1"/>
  <c r="M501" i="4"/>
  <c r="G501" i="4"/>
  <c r="F500" i="4"/>
  <c r="F514" i="4" s="1"/>
  <c r="E500" i="4"/>
  <c r="M499" i="4"/>
  <c r="G499" i="4"/>
  <c r="M498" i="4"/>
  <c r="G498" i="4"/>
  <c r="M497" i="4"/>
  <c r="G497" i="4"/>
  <c r="M496" i="4"/>
  <c r="G496" i="4"/>
  <c r="M495" i="4"/>
  <c r="G495" i="4"/>
  <c r="B495" i="4"/>
  <c r="B496" i="4" s="1"/>
  <c r="B497" i="4" s="1"/>
  <c r="B498" i="4" s="1"/>
  <c r="B499" i="4" s="1"/>
  <c r="M494" i="4"/>
  <c r="G494" i="4"/>
  <c r="M493" i="4"/>
  <c r="G493" i="4"/>
  <c r="B493" i="4"/>
  <c r="B494" i="4" s="1"/>
  <c r="M492" i="4"/>
  <c r="G492" i="4"/>
  <c r="M491" i="4"/>
  <c r="G491" i="4"/>
  <c r="M490" i="4"/>
  <c r="G490" i="4"/>
  <c r="B490" i="4"/>
  <c r="B491" i="4" s="1"/>
  <c r="B492" i="4" s="1"/>
  <c r="M489" i="4"/>
  <c r="G489" i="4"/>
  <c r="B489" i="4"/>
  <c r="M488" i="4"/>
  <c r="G488" i="4"/>
  <c r="O487" i="4"/>
  <c r="D21" i="1" s="1"/>
  <c r="G21" i="1" s="1"/>
  <c r="F487" i="4"/>
  <c r="F486" i="4"/>
  <c r="E486" i="4"/>
  <c r="E487" i="4" s="1"/>
  <c r="M485" i="4"/>
  <c r="G485" i="4"/>
  <c r="M484" i="4"/>
  <c r="G484" i="4"/>
  <c r="M483" i="4"/>
  <c r="G483" i="4"/>
  <c r="M482" i="4"/>
  <c r="G482" i="4"/>
  <c r="M481" i="4"/>
  <c r="G481" i="4"/>
  <c r="M480" i="4"/>
  <c r="G480" i="4"/>
  <c r="B480" i="4"/>
  <c r="B481" i="4" s="1"/>
  <c r="B482" i="4" s="1"/>
  <c r="B483" i="4" s="1"/>
  <c r="B484" i="4" s="1"/>
  <c r="B485" i="4" s="1"/>
  <c r="M479" i="4"/>
  <c r="G479" i="4"/>
  <c r="M478" i="4"/>
  <c r="G478" i="4"/>
  <c r="M477" i="4"/>
  <c r="G477" i="4"/>
  <c r="G486" i="4" s="1"/>
  <c r="M476" i="4"/>
  <c r="G476" i="4"/>
  <c r="M475" i="4"/>
  <c r="G475" i="4"/>
  <c r="B475" i="4"/>
  <c r="B476" i="4" s="1"/>
  <c r="B477" i="4" s="1"/>
  <c r="B478" i="4" s="1"/>
  <c r="B479" i="4" s="1"/>
  <c r="M474" i="4"/>
  <c r="G474" i="4"/>
  <c r="F473" i="4"/>
  <c r="E473" i="4"/>
  <c r="M472" i="4"/>
  <c r="G472" i="4"/>
  <c r="M471" i="4"/>
  <c r="G471" i="4"/>
  <c r="B471" i="4"/>
  <c r="B472" i="4" s="1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M461" i="4"/>
  <c r="G461" i="4"/>
  <c r="O460" i="4"/>
  <c r="F459" i="4"/>
  <c r="E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G446" i="4"/>
  <c r="F446" i="4"/>
  <c r="F460" i="4" s="1"/>
  <c r="E446" i="4"/>
  <c r="E460" i="4" s="1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B438" i="4"/>
  <c r="B439" i="4" s="1"/>
  <c r="B440" i="4" s="1"/>
  <c r="B441" i="4" s="1"/>
  <c r="B442" i="4" s="1"/>
  <c r="B443" i="4" s="1"/>
  <c r="B444" i="4" s="1"/>
  <c r="B445" i="4" s="1"/>
  <c r="M437" i="4"/>
  <c r="G437" i="4"/>
  <c r="B437" i="4"/>
  <c r="M436" i="4"/>
  <c r="G436" i="4"/>
  <c r="B436" i="4"/>
  <c r="M435" i="4"/>
  <c r="G435" i="4"/>
  <c r="B435" i="4"/>
  <c r="M434" i="4"/>
  <c r="G434" i="4"/>
  <c r="O433" i="4"/>
  <c r="D19" i="1" s="1"/>
  <c r="G19" i="1" s="1"/>
  <c r="F433" i="4"/>
  <c r="F432" i="4"/>
  <c r="M431" i="4"/>
  <c r="G431" i="4"/>
  <c r="M430" i="4"/>
  <c r="G430" i="4"/>
  <c r="B430" i="4"/>
  <c r="B431" i="4" s="1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B422" i="4"/>
  <c r="B423" i="4" s="1"/>
  <c r="B424" i="4" s="1"/>
  <c r="B425" i="4" s="1"/>
  <c r="B426" i="4" s="1"/>
  <c r="B427" i="4" s="1"/>
  <c r="B428" i="4" s="1"/>
  <c r="B429" i="4" s="1"/>
  <c r="M421" i="4"/>
  <c r="G421" i="4"/>
  <c r="B421" i="4"/>
  <c r="M420" i="4"/>
  <c r="G420" i="4"/>
  <c r="F419" i="4"/>
  <c r="E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D18" i="1" s="1"/>
  <c r="G18" i="1" s="1"/>
  <c r="F405" i="4"/>
  <c r="E405" i="4"/>
  <c r="M404" i="4"/>
  <c r="G404" i="4"/>
  <c r="M403" i="4"/>
  <c r="G403" i="4"/>
  <c r="M402" i="4"/>
  <c r="G402" i="4"/>
  <c r="M401" i="4"/>
  <c r="G401" i="4"/>
  <c r="M400" i="4"/>
  <c r="G400" i="4"/>
  <c r="B400" i="4"/>
  <c r="B401" i="4" s="1"/>
  <c r="B402" i="4" s="1"/>
  <c r="B403" i="4" s="1"/>
  <c r="B404" i="4" s="1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M393" i="4"/>
  <c r="G393" i="4"/>
  <c r="F392" i="4"/>
  <c r="F406" i="4" s="1"/>
  <c r="E392" i="4"/>
  <c r="E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G383" i="4"/>
  <c r="M382" i="4"/>
  <c r="G382" i="4"/>
  <c r="G392" i="4" s="1"/>
  <c r="B382" i="4"/>
  <c r="B383" i="4" s="1"/>
  <c r="B384" i="4" s="1"/>
  <c r="B385" i="4" s="1"/>
  <c r="B386" i="4" s="1"/>
  <c r="B387" i="4" s="1"/>
  <c r="B388" i="4" s="1"/>
  <c r="B389" i="4" s="1"/>
  <c r="B390" i="4" s="1"/>
  <c r="B391" i="4" s="1"/>
  <c r="M381" i="4"/>
  <c r="G381" i="4"/>
  <c r="B381" i="4"/>
  <c r="M380" i="4"/>
  <c r="G380" i="4"/>
  <c r="O379" i="4"/>
  <c r="F378" i="4"/>
  <c r="E378" i="4"/>
  <c r="E379" i="4" s="1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B368" i="4"/>
  <c r="B369" i="4" s="1"/>
  <c r="B370" i="4" s="1"/>
  <c r="B371" i="4" s="1"/>
  <c r="B372" i="4" s="1"/>
  <c r="B373" i="4" s="1"/>
  <c r="B374" i="4" s="1"/>
  <c r="B375" i="4" s="1"/>
  <c r="B376" i="4" s="1"/>
  <c r="B377" i="4" s="1"/>
  <c r="M367" i="4"/>
  <c r="G367" i="4"/>
  <c r="B367" i="4"/>
  <c r="M366" i="4"/>
  <c r="G366" i="4"/>
  <c r="F365" i="4"/>
  <c r="E365" i="4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B358" i="4"/>
  <c r="B359" i="4" s="1"/>
  <c r="B360" i="4" s="1"/>
  <c r="B361" i="4" s="1"/>
  <c r="B362" i="4" s="1"/>
  <c r="B363" i="4" s="1"/>
  <c r="B364" i="4" s="1"/>
  <c r="M357" i="4"/>
  <c r="G357" i="4"/>
  <c r="M356" i="4"/>
  <c r="G356" i="4"/>
  <c r="B356" i="4"/>
  <c r="B357" i="4" s="1"/>
  <c r="M355" i="4"/>
  <c r="G355" i="4"/>
  <c r="M354" i="4"/>
  <c r="G354" i="4"/>
  <c r="B354" i="4"/>
  <c r="B355" i="4" s="1"/>
  <c r="M353" i="4"/>
  <c r="G353" i="4"/>
  <c r="O352" i="4"/>
  <c r="D16" i="1" s="1"/>
  <c r="G16" i="1" s="1"/>
  <c r="E352" i="4"/>
  <c r="F351" i="4"/>
  <c r="F352" i="4" s="1"/>
  <c r="E351" i="4"/>
  <c r="M350" i="4"/>
  <c r="G350" i="4"/>
  <c r="M349" i="4"/>
  <c r="G349" i="4"/>
  <c r="G351" i="4" s="1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G341" i="4"/>
  <c r="B341" i="4"/>
  <c r="B342" i="4" s="1"/>
  <c r="B343" i="4" s="1"/>
  <c r="B344" i="4" s="1"/>
  <c r="B345" i="4" s="1"/>
  <c r="B346" i="4" s="1"/>
  <c r="B347" i="4" s="1"/>
  <c r="B348" i="4" s="1"/>
  <c r="B349" i="4" s="1"/>
  <c r="B350" i="4" s="1"/>
  <c r="M340" i="4"/>
  <c r="G340" i="4"/>
  <c r="B340" i="4"/>
  <c r="M339" i="4"/>
  <c r="G339" i="4"/>
  <c r="F338" i="4"/>
  <c r="E338" i="4"/>
  <c r="M337" i="4"/>
  <c r="G337" i="4"/>
  <c r="M336" i="4"/>
  <c r="G336" i="4"/>
  <c r="M335" i="4"/>
  <c r="G335" i="4"/>
  <c r="M334" i="4"/>
  <c r="G334" i="4"/>
  <c r="M333" i="4"/>
  <c r="G333" i="4"/>
  <c r="B333" i="4"/>
  <c r="B334" i="4" s="1"/>
  <c r="B335" i="4" s="1"/>
  <c r="B336" i="4" s="1"/>
  <c r="B337" i="4" s="1"/>
  <c r="M332" i="4"/>
  <c r="G332" i="4"/>
  <c r="M331" i="4"/>
  <c r="G331" i="4"/>
  <c r="M330" i="4"/>
  <c r="G330" i="4"/>
  <c r="M329" i="4"/>
  <c r="G329" i="4"/>
  <c r="M328" i="4"/>
  <c r="G328" i="4"/>
  <c r="B328" i="4"/>
  <c r="B329" i="4" s="1"/>
  <c r="B330" i="4" s="1"/>
  <c r="B331" i="4" s="1"/>
  <c r="B332" i="4" s="1"/>
  <c r="M327" i="4"/>
  <c r="G327" i="4"/>
  <c r="B327" i="4"/>
  <c r="M326" i="4"/>
  <c r="G326" i="4"/>
  <c r="O325" i="4"/>
  <c r="F324" i="4"/>
  <c r="E324" i="4"/>
  <c r="M323" i="4"/>
  <c r="G323" i="4"/>
  <c r="M322" i="4"/>
  <c r="G322" i="4"/>
  <c r="M321" i="4"/>
  <c r="G321" i="4"/>
  <c r="B321" i="4"/>
  <c r="B322" i="4" s="1"/>
  <c r="B323" i="4" s="1"/>
  <c r="M320" i="4"/>
  <c r="G320" i="4"/>
  <c r="M319" i="4"/>
  <c r="G319" i="4"/>
  <c r="M318" i="4"/>
  <c r="G318" i="4"/>
  <c r="M317" i="4"/>
  <c r="G317" i="4"/>
  <c r="B317" i="4"/>
  <c r="B318" i="4" s="1"/>
  <c r="B319" i="4" s="1"/>
  <c r="B320" i="4" s="1"/>
  <c r="M316" i="4"/>
  <c r="G316" i="4"/>
  <c r="M315" i="4"/>
  <c r="G315" i="4"/>
  <c r="M314" i="4"/>
  <c r="G314" i="4"/>
  <c r="M313" i="4"/>
  <c r="G313" i="4"/>
  <c r="G324" i="4" s="1"/>
  <c r="B313" i="4"/>
  <c r="B314" i="4" s="1"/>
  <c r="B315" i="4" s="1"/>
  <c r="B316" i="4" s="1"/>
  <c r="M312" i="4"/>
  <c r="G312" i="4"/>
  <c r="F311" i="4"/>
  <c r="F325" i="4" s="1"/>
  <c r="E311" i="4"/>
  <c r="M310" i="4"/>
  <c r="G310" i="4"/>
  <c r="M309" i="4"/>
  <c r="G309" i="4"/>
  <c r="M308" i="4"/>
  <c r="G308" i="4"/>
  <c r="M307" i="4"/>
  <c r="G307" i="4"/>
  <c r="M306" i="4"/>
  <c r="G306" i="4"/>
  <c r="M305" i="4"/>
  <c r="G305" i="4"/>
  <c r="M304" i="4"/>
  <c r="G304" i="4"/>
  <c r="M303" i="4"/>
  <c r="G303" i="4"/>
  <c r="M302" i="4"/>
  <c r="G302" i="4"/>
  <c r="B302" i="4"/>
  <c r="B303" i="4" s="1"/>
  <c r="B304" i="4" s="1"/>
  <c r="B305" i="4" s="1"/>
  <c r="B306" i="4" s="1"/>
  <c r="B307" i="4" s="1"/>
  <c r="B308" i="4" s="1"/>
  <c r="B309" i="4" s="1"/>
  <c r="B310" i="4" s="1"/>
  <c r="M301" i="4"/>
  <c r="G301" i="4"/>
  <c r="B301" i="4"/>
  <c r="M300" i="4"/>
  <c r="G300" i="4"/>
  <c r="B300" i="4"/>
  <c r="M299" i="4"/>
  <c r="G299" i="4"/>
  <c r="O298" i="4"/>
  <c r="E298" i="4"/>
  <c r="F297" i="4"/>
  <c r="E297" i="4"/>
  <c r="M296" i="4"/>
  <c r="G296" i="4"/>
  <c r="M295" i="4"/>
  <c r="G295" i="4"/>
  <c r="M294" i="4"/>
  <c r="G294" i="4"/>
  <c r="M293" i="4"/>
  <c r="G293" i="4"/>
  <c r="M292" i="4"/>
  <c r="G292" i="4"/>
  <c r="M291" i="4"/>
  <c r="G291" i="4"/>
  <c r="M290" i="4"/>
  <c r="G290" i="4"/>
  <c r="M289" i="4"/>
  <c r="G289" i="4"/>
  <c r="M288" i="4"/>
  <c r="G288" i="4"/>
  <c r="M287" i="4"/>
  <c r="G287" i="4"/>
  <c r="G297" i="4" s="1"/>
  <c r="M286" i="4"/>
  <c r="G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G285" i="4"/>
  <c r="F284" i="4"/>
  <c r="F298" i="4" s="1"/>
  <c r="E284" i="4"/>
  <c r="M283" i="4"/>
  <c r="G283" i="4"/>
  <c r="M282" i="4"/>
  <c r="G282" i="4"/>
  <c r="M281" i="4"/>
  <c r="G281" i="4"/>
  <c r="M280" i="4"/>
  <c r="G280" i="4"/>
  <c r="M279" i="4"/>
  <c r="G279" i="4"/>
  <c r="B279" i="4"/>
  <c r="B280" i="4" s="1"/>
  <c r="B281" i="4" s="1"/>
  <c r="B282" i="4" s="1"/>
  <c r="B283" i="4" s="1"/>
  <c r="M278" i="4"/>
  <c r="G278" i="4"/>
  <c r="B278" i="4"/>
  <c r="M277" i="4"/>
  <c r="G277" i="4"/>
  <c r="M276" i="4"/>
  <c r="G276" i="4"/>
  <c r="M275" i="4"/>
  <c r="G275" i="4"/>
  <c r="B275" i="4"/>
  <c r="B276" i="4" s="1"/>
  <c r="B277" i="4" s="1"/>
  <c r="M274" i="4"/>
  <c r="G274" i="4"/>
  <c r="M273" i="4"/>
  <c r="G273" i="4"/>
  <c r="B273" i="4"/>
  <c r="B274" i="4" s="1"/>
  <c r="M272" i="4"/>
  <c r="G272" i="4"/>
  <c r="O271" i="4"/>
  <c r="D13" i="1" s="1"/>
  <c r="F271" i="4"/>
  <c r="E271" i="4"/>
  <c r="G270" i="4"/>
  <c r="F270" i="4"/>
  <c r="E270" i="4"/>
  <c r="M269" i="4"/>
  <c r="G269" i="4"/>
  <c r="M268" i="4"/>
  <c r="G268" i="4"/>
  <c r="M267" i="4"/>
  <c r="G267" i="4"/>
  <c r="M266" i="4"/>
  <c r="G266" i="4"/>
  <c r="M265" i="4"/>
  <c r="G265" i="4"/>
  <c r="M264" i="4"/>
  <c r="G264" i="4"/>
  <c r="M263" i="4"/>
  <c r="G263" i="4"/>
  <c r="M262" i="4"/>
  <c r="G262" i="4"/>
  <c r="M261" i="4"/>
  <c r="G261" i="4"/>
  <c r="M260" i="4"/>
  <c r="G260" i="4"/>
  <c r="M259" i="4"/>
  <c r="G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G258" i="4"/>
  <c r="F257" i="4"/>
  <c r="E257" i="4"/>
  <c r="M256" i="4"/>
  <c r="G256" i="4"/>
  <c r="M255" i="4"/>
  <c r="G255" i="4"/>
  <c r="M254" i="4"/>
  <c r="G254" i="4"/>
  <c r="M253" i="4"/>
  <c r="G253" i="4"/>
  <c r="M252" i="4"/>
  <c r="G252" i="4"/>
  <c r="M251" i="4"/>
  <c r="G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F243" i="4"/>
  <c r="E243" i="4"/>
  <c r="M242" i="4"/>
  <c r="G242" i="4"/>
  <c r="M241" i="4"/>
  <c r="G241" i="4"/>
  <c r="B241" i="4"/>
  <c r="B242" i="4" s="1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M231" i="4"/>
  <c r="G231" i="4"/>
  <c r="F230" i="4"/>
  <c r="F244" i="4" s="1"/>
  <c r="E230" i="4"/>
  <c r="E244" i="4" s="1"/>
  <c r="M229" i="4"/>
  <c r="G229" i="4"/>
  <c r="M228" i="4"/>
  <c r="G228" i="4"/>
  <c r="M227" i="4"/>
  <c r="G227" i="4"/>
  <c r="M226" i="4"/>
  <c r="G226" i="4"/>
  <c r="M225" i="4"/>
  <c r="G225" i="4"/>
  <c r="B225" i="4"/>
  <c r="B226" i="4" s="1"/>
  <c r="B227" i="4" s="1"/>
  <c r="B228" i="4" s="1"/>
  <c r="B229" i="4" s="1"/>
  <c r="M224" i="4"/>
  <c r="G224" i="4"/>
  <c r="M223" i="4"/>
  <c r="G223" i="4"/>
  <c r="B223" i="4"/>
  <c r="B224" i="4" s="1"/>
  <c r="M222" i="4"/>
  <c r="G222" i="4"/>
  <c r="M221" i="4"/>
  <c r="G221" i="4"/>
  <c r="M220" i="4"/>
  <c r="G220" i="4"/>
  <c r="B220" i="4"/>
  <c r="B221" i="4" s="1"/>
  <c r="B222" i="4" s="1"/>
  <c r="M219" i="4"/>
  <c r="G219" i="4"/>
  <c r="B219" i="4"/>
  <c r="M218" i="4"/>
  <c r="G218" i="4"/>
  <c r="O217" i="4"/>
  <c r="D11" i="1" s="1"/>
  <c r="F217" i="4"/>
  <c r="F216" i="4"/>
  <c r="E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B208" i="4"/>
  <c r="B209" i="4" s="1"/>
  <c r="B210" i="4" s="1"/>
  <c r="B211" i="4" s="1"/>
  <c r="B212" i="4" s="1"/>
  <c r="B213" i="4" s="1"/>
  <c r="B214" i="4" s="1"/>
  <c r="B215" i="4" s="1"/>
  <c r="M207" i="4"/>
  <c r="G207" i="4"/>
  <c r="M206" i="4"/>
  <c r="G206" i="4"/>
  <c r="B206" i="4"/>
  <c r="B207" i="4" s="1"/>
  <c r="M205" i="4"/>
  <c r="G205" i="4"/>
  <c r="B205" i="4"/>
  <c r="M204" i="4"/>
  <c r="G204" i="4"/>
  <c r="F203" i="4"/>
  <c r="E203" i="4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D10" i="1" s="1"/>
  <c r="E190" i="4"/>
  <c r="F189" i="4"/>
  <c r="F190" i="4" s="1"/>
  <c r="E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B183" i="4"/>
  <c r="B184" i="4" s="1"/>
  <c r="B185" i="4" s="1"/>
  <c r="B186" i="4" s="1"/>
  <c r="B187" i="4" s="1"/>
  <c r="B188" i="4" s="1"/>
  <c r="M182" i="4"/>
  <c r="G182" i="4"/>
  <c r="B182" i="4"/>
  <c r="M181" i="4"/>
  <c r="G181" i="4"/>
  <c r="G189" i="4" s="1"/>
  <c r="M180" i="4"/>
  <c r="G180" i="4"/>
  <c r="M179" i="4"/>
  <c r="G179" i="4"/>
  <c r="M178" i="4"/>
  <c r="G178" i="4"/>
  <c r="B178" i="4"/>
  <c r="B179" i="4" s="1"/>
  <c r="B180" i="4" s="1"/>
  <c r="B181" i="4" s="1"/>
  <c r="M177" i="4"/>
  <c r="G177" i="4"/>
  <c r="F176" i="4"/>
  <c r="E176" i="4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B166" i="4"/>
  <c r="B167" i="4" s="1"/>
  <c r="B168" i="4" s="1"/>
  <c r="B169" i="4" s="1"/>
  <c r="B170" i="4" s="1"/>
  <c r="B171" i="4" s="1"/>
  <c r="B172" i="4" s="1"/>
  <c r="B173" i="4" s="1"/>
  <c r="B174" i="4" s="1"/>
  <c r="B175" i="4" s="1"/>
  <c r="M165" i="4"/>
  <c r="G165" i="4"/>
  <c r="B165" i="4"/>
  <c r="M164" i="4"/>
  <c r="G164" i="4"/>
  <c r="O163" i="4"/>
  <c r="F162" i="4"/>
  <c r="F163" i="4" s="1"/>
  <c r="E162" i="4"/>
  <c r="E163" i="4" s="1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B153" i="4"/>
  <c r="B154" i="4" s="1"/>
  <c r="B155" i="4" s="1"/>
  <c r="B156" i="4" s="1"/>
  <c r="B157" i="4" s="1"/>
  <c r="B158" i="4" s="1"/>
  <c r="B159" i="4" s="1"/>
  <c r="B160" i="4" s="1"/>
  <c r="B161" i="4" s="1"/>
  <c r="M152" i="4"/>
  <c r="G152" i="4"/>
  <c r="B152" i="4"/>
  <c r="M151" i="4"/>
  <c r="G151" i="4"/>
  <c r="B151" i="4"/>
  <c r="M150" i="4"/>
  <c r="G150" i="4"/>
  <c r="F149" i="4"/>
  <c r="E149" i="4"/>
  <c r="M148" i="4"/>
  <c r="G148" i="4"/>
  <c r="M147" i="4"/>
  <c r="G147" i="4"/>
  <c r="M146" i="4"/>
  <c r="G146" i="4"/>
  <c r="M145" i="4"/>
  <c r="G145" i="4"/>
  <c r="M144" i="4"/>
  <c r="G144" i="4"/>
  <c r="B144" i="4"/>
  <c r="B145" i="4" s="1"/>
  <c r="B146" i="4" s="1"/>
  <c r="B147" i="4" s="1"/>
  <c r="B148" i="4" s="1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M137" i="4"/>
  <c r="G137" i="4"/>
  <c r="O136" i="4"/>
  <c r="D8" i="1" s="1"/>
  <c r="E136" i="4"/>
  <c r="G135" i="4"/>
  <c r="F135" i="4"/>
  <c r="E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B127" i="4"/>
  <c r="B128" i="4" s="1"/>
  <c r="B129" i="4" s="1"/>
  <c r="B130" i="4" s="1"/>
  <c r="B131" i="4" s="1"/>
  <c r="B132" i="4" s="1"/>
  <c r="B133" i="4" s="1"/>
  <c r="B134" i="4" s="1"/>
  <c r="M126" i="4"/>
  <c r="G126" i="4"/>
  <c r="B126" i="4"/>
  <c r="M125" i="4"/>
  <c r="G125" i="4"/>
  <c r="M124" i="4"/>
  <c r="G124" i="4"/>
  <c r="B124" i="4"/>
  <c r="B125" i="4" s="1"/>
  <c r="M123" i="4"/>
  <c r="G123" i="4"/>
  <c r="F122" i="4"/>
  <c r="E122" i="4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B113" i="4"/>
  <c r="B114" i="4" s="1"/>
  <c r="B115" i="4" s="1"/>
  <c r="B116" i="4" s="1"/>
  <c r="B117" i="4" s="1"/>
  <c r="B118" i="4" s="1"/>
  <c r="B119" i="4" s="1"/>
  <c r="B120" i="4" s="1"/>
  <c r="B121" i="4" s="1"/>
  <c r="M112" i="4"/>
  <c r="G112" i="4"/>
  <c r="M111" i="4"/>
  <c r="G111" i="4"/>
  <c r="B111" i="4"/>
  <c r="B112" i="4" s="1"/>
  <c r="M110" i="4"/>
  <c r="G110" i="4"/>
  <c r="O109" i="4"/>
  <c r="F108" i="4"/>
  <c r="E108" i="4"/>
  <c r="M107" i="4"/>
  <c r="G107" i="4"/>
  <c r="M106" i="4"/>
  <c r="G106" i="4"/>
  <c r="M105" i="4"/>
  <c r="G105" i="4"/>
  <c r="M104" i="4"/>
  <c r="G104" i="4"/>
  <c r="M103" i="4"/>
  <c r="G103" i="4"/>
  <c r="B103" i="4"/>
  <c r="B104" i="4" s="1"/>
  <c r="B105" i="4" s="1"/>
  <c r="B106" i="4" s="1"/>
  <c r="B107" i="4" s="1"/>
  <c r="M102" i="4"/>
  <c r="G102" i="4"/>
  <c r="M101" i="4"/>
  <c r="G101" i="4"/>
  <c r="B101" i="4"/>
  <c r="B102" i="4" s="1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M96" i="4"/>
  <c r="G96" i="4"/>
  <c r="F95" i="4"/>
  <c r="F109" i="4" s="1"/>
  <c r="E95" i="4"/>
  <c r="E109" i="4" s="1"/>
  <c r="M94" i="4"/>
  <c r="G94" i="4"/>
  <c r="B94" i="4"/>
  <c r="M93" i="4"/>
  <c r="G93" i="4"/>
  <c r="M92" i="4"/>
  <c r="G92" i="4"/>
  <c r="M91" i="4"/>
  <c r="G91" i="4"/>
  <c r="M90" i="4"/>
  <c r="G90" i="4"/>
  <c r="M89" i="4"/>
  <c r="G89" i="4"/>
  <c r="M88" i="4"/>
  <c r="G88" i="4"/>
  <c r="B88" i="4"/>
  <c r="B89" i="4" s="1"/>
  <c r="B90" i="4" s="1"/>
  <c r="B91" i="4" s="1"/>
  <c r="B92" i="4" s="1"/>
  <c r="B93" i="4" s="1"/>
  <c r="M87" i="4"/>
  <c r="G87" i="4"/>
  <c r="M86" i="4"/>
  <c r="G86" i="4"/>
  <c r="M85" i="4"/>
  <c r="G85" i="4"/>
  <c r="G95" i="4" s="1"/>
  <c r="M84" i="4"/>
  <c r="G84" i="4"/>
  <c r="B84" i="4"/>
  <c r="B85" i="4" s="1"/>
  <c r="B86" i="4" s="1"/>
  <c r="B87" i="4" s="1"/>
  <c r="M83" i="4"/>
  <c r="G83" i="4"/>
  <c r="O82" i="4"/>
  <c r="D6" i="1" s="1"/>
  <c r="F81" i="4"/>
  <c r="F82" i="4" s="1"/>
  <c r="E81" i="4"/>
  <c r="E82" i="4" s="1"/>
  <c r="M80" i="4"/>
  <c r="G80" i="4"/>
  <c r="M79" i="4"/>
  <c r="G79" i="4"/>
  <c r="M78" i="4"/>
  <c r="G78" i="4"/>
  <c r="M77" i="4"/>
  <c r="G77" i="4"/>
  <c r="G81" i="4" s="1"/>
  <c r="B77" i="4"/>
  <c r="B78" i="4" s="1"/>
  <c r="B79" i="4" s="1"/>
  <c r="B80" i="4" s="1"/>
  <c r="M76" i="4"/>
  <c r="G76" i="4"/>
  <c r="M75" i="4"/>
  <c r="G75" i="4"/>
  <c r="M74" i="4"/>
  <c r="G74" i="4"/>
  <c r="M73" i="4"/>
  <c r="G73" i="4"/>
  <c r="B73" i="4"/>
  <c r="B74" i="4" s="1"/>
  <c r="B75" i="4" s="1"/>
  <c r="B76" i="4" s="1"/>
  <c r="M72" i="4"/>
  <c r="G72" i="4"/>
  <c r="M71" i="4"/>
  <c r="G71" i="4"/>
  <c r="M70" i="4"/>
  <c r="G70" i="4"/>
  <c r="B70" i="4"/>
  <c r="B71" i="4" s="1"/>
  <c r="B72" i="4" s="1"/>
  <c r="M69" i="4"/>
  <c r="G69" i="4"/>
  <c r="F68" i="4"/>
  <c r="E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G58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G68" i="4" s="1"/>
  <c r="O55" i="4"/>
  <c r="D5" i="1" s="1"/>
  <c r="G5" i="1" s="1"/>
  <c r="F54" i="4"/>
  <c r="E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B44" i="4"/>
  <c r="B45" i="4" s="1"/>
  <c r="B46" i="4" s="1"/>
  <c r="B47" i="4" s="1"/>
  <c r="B48" i="4" s="1"/>
  <c r="B49" i="4" s="1"/>
  <c r="B50" i="4" s="1"/>
  <c r="B51" i="4" s="1"/>
  <c r="B52" i="4" s="1"/>
  <c r="B53" i="4" s="1"/>
  <c r="M43" i="4"/>
  <c r="G43" i="4"/>
  <c r="B43" i="4"/>
  <c r="M42" i="4"/>
  <c r="G42" i="4"/>
  <c r="F41" i="4"/>
  <c r="F55" i="4" s="1"/>
  <c r="E41" i="4"/>
  <c r="E55" i="4" s="1"/>
  <c r="M40" i="4"/>
  <c r="G40" i="4"/>
  <c r="M39" i="4"/>
  <c r="G39" i="4"/>
  <c r="M38" i="4"/>
  <c r="G38" i="4"/>
  <c r="M37" i="4"/>
  <c r="G37" i="4"/>
  <c r="M36" i="4"/>
  <c r="G36" i="4"/>
  <c r="B36" i="4"/>
  <c r="B37" i="4" s="1"/>
  <c r="B38" i="4" s="1"/>
  <c r="B39" i="4" s="1"/>
  <c r="B40" i="4" s="1"/>
  <c r="M35" i="4"/>
  <c r="G35" i="4"/>
  <c r="M34" i="4"/>
  <c r="G34" i="4"/>
  <c r="M33" i="4"/>
  <c r="G33" i="4"/>
  <c r="M32" i="4"/>
  <c r="G32" i="4"/>
  <c r="M31" i="4"/>
  <c r="G31" i="4"/>
  <c r="M30" i="4"/>
  <c r="G30" i="4"/>
  <c r="B30" i="4"/>
  <c r="B31" i="4" s="1"/>
  <c r="B32" i="4" s="1"/>
  <c r="B33" i="4" s="1"/>
  <c r="B34" i="4" s="1"/>
  <c r="B35" i="4" s="1"/>
  <c r="M29" i="4"/>
  <c r="G29" i="4"/>
  <c r="O28" i="4"/>
  <c r="D4" i="1" s="1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B17" i="4"/>
  <c r="B18" i="4" s="1"/>
  <c r="B19" i="4" s="1"/>
  <c r="B20" i="4" s="1"/>
  <c r="B21" i="4" s="1"/>
  <c r="B22" i="4" s="1"/>
  <c r="B23" i="4" s="1"/>
  <c r="B24" i="4" s="1"/>
  <c r="B25" i="4" s="1"/>
  <c r="B26" i="4" s="1"/>
  <c r="M16" i="4"/>
  <c r="G16" i="4"/>
  <c r="B16" i="4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G14" i="6" l="1"/>
  <c r="G14" i="5"/>
  <c r="G14" i="3"/>
  <c r="M216" i="4"/>
  <c r="M756" i="5"/>
  <c r="M702" i="3"/>
  <c r="M351" i="3"/>
  <c r="M473" i="3"/>
  <c r="M716" i="3"/>
  <c r="M392" i="5"/>
  <c r="M270" i="4"/>
  <c r="M95" i="3"/>
  <c r="M284" i="3"/>
  <c r="M54" i="4"/>
  <c r="M230" i="3"/>
  <c r="M540" i="4"/>
  <c r="M635" i="6"/>
  <c r="M324" i="5"/>
  <c r="M378" i="6"/>
  <c r="M608" i="3"/>
  <c r="M743" i="3"/>
  <c r="M122" i="5"/>
  <c r="M824" i="5"/>
  <c r="M54" i="3"/>
  <c r="M189" i="5"/>
  <c r="M635" i="5"/>
  <c r="M446" i="3"/>
  <c r="M324" i="4"/>
  <c r="M365" i="3"/>
  <c r="M540" i="3"/>
  <c r="M824" i="3"/>
  <c r="M351" i="4"/>
  <c r="M743" i="4"/>
  <c r="G14" i="4"/>
  <c r="M14" i="3"/>
  <c r="M41" i="3"/>
  <c r="M419" i="3"/>
  <c r="M783" i="3"/>
  <c r="M41" i="5"/>
  <c r="M297" i="6"/>
  <c r="M500" i="5"/>
  <c r="M837" i="5"/>
  <c r="M486" i="6"/>
  <c r="M81" i="3"/>
  <c r="M162" i="3"/>
  <c r="M486" i="5"/>
  <c r="M216" i="6"/>
  <c r="M756" i="6"/>
  <c r="M189" i="4"/>
  <c r="M675" i="6"/>
  <c r="M68" i="5"/>
  <c r="M486" i="4"/>
  <c r="M567" i="5"/>
  <c r="M837" i="4"/>
  <c r="M648" i="5"/>
  <c r="M770" i="5"/>
  <c r="M783" i="5"/>
  <c r="M594" i="6"/>
  <c r="M162" i="4"/>
  <c r="M392" i="3"/>
  <c r="M513" i="3"/>
  <c r="M162" i="6"/>
  <c r="M176" i="3"/>
  <c r="M243" i="5"/>
  <c r="M135" i="6"/>
  <c r="M729" i="6"/>
  <c r="M257" i="3"/>
  <c r="M554" i="3"/>
  <c r="M297" i="4"/>
  <c r="M14" i="5"/>
  <c r="M95" i="4"/>
  <c r="M149" i="4"/>
  <c r="M797" i="4"/>
  <c r="M689" i="6"/>
  <c r="M27" i="4"/>
  <c r="M311" i="3"/>
  <c r="M230" i="5"/>
  <c r="G703" i="4"/>
  <c r="G82" i="5"/>
  <c r="G379" i="3"/>
  <c r="G487" i="3"/>
  <c r="G325" i="3"/>
  <c r="G109" i="3"/>
  <c r="M14" i="4"/>
  <c r="M270" i="3"/>
  <c r="M567" i="3"/>
  <c r="G284" i="5"/>
  <c r="M405" i="5"/>
  <c r="G149" i="6"/>
  <c r="G163" i="6" s="1"/>
  <c r="G11" i="1"/>
  <c r="G635" i="4"/>
  <c r="G649" i="4" s="1"/>
  <c r="G824" i="4"/>
  <c r="G838" i="4" s="1"/>
  <c r="M554" i="5"/>
  <c r="G230" i="4"/>
  <c r="G244" i="4" s="1"/>
  <c r="G432" i="4"/>
  <c r="M527" i="4"/>
  <c r="M203" i="4"/>
  <c r="M216" i="3"/>
  <c r="G30" i="1"/>
  <c r="G135" i="3"/>
  <c r="G352" i="5"/>
  <c r="G203" i="5"/>
  <c r="G217" i="5" s="1"/>
  <c r="M338" i="5"/>
  <c r="M527" i="5"/>
  <c r="D35" i="1"/>
  <c r="G4" i="1"/>
  <c r="G729" i="3"/>
  <c r="G730" i="3" s="1"/>
  <c r="M203" i="5"/>
  <c r="G41" i="4"/>
  <c r="G55" i="4" s="1"/>
  <c r="M567" i="4"/>
  <c r="G621" i="3"/>
  <c r="M689" i="3"/>
  <c r="M41" i="4"/>
  <c r="G8" i="1"/>
  <c r="M108" i="3"/>
  <c r="M621" i="3"/>
  <c r="M257" i="6"/>
  <c r="G783" i="5"/>
  <c r="G473" i="4"/>
  <c r="G487" i="4" s="1"/>
  <c r="G257" i="6"/>
  <c r="G271" i="6" s="1"/>
  <c r="M608" i="4"/>
  <c r="M243" i="4"/>
  <c r="G540" i="4"/>
  <c r="G541" i="4" s="1"/>
  <c r="M95" i="6"/>
  <c r="M567" i="6"/>
  <c r="G635" i="3"/>
  <c r="G649" i="3" s="1"/>
  <c r="M770" i="6"/>
  <c r="M378" i="4"/>
  <c r="G162" i="3"/>
  <c r="G163" i="3" s="1"/>
  <c r="M756" i="3"/>
  <c r="M621" i="6"/>
  <c r="G432" i="5"/>
  <c r="G621" i="5"/>
  <c r="M648" i="6"/>
  <c r="G27" i="6"/>
  <c r="G28" i="6" s="1"/>
  <c r="G68" i="6"/>
  <c r="G567" i="3"/>
  <c r="M459" i="4"/>
  <c r="M243" i="3"/>
  <c r="M459" i="3"/>
  <c r="M824" i="4"/>
  <c r="M838" i="4" s="1"/>
  <c r="G662" i="5"/>
  <c r="G676" i="5" s="1"/>
  <c r="F35" i="1"/>
  <c r="G459" i="4"/>
  <c r="G460" i="4" s="1"/>
  <c r="G743" i="5"/>
  <c r="G757" i="5" s="1"/>
  <c r="G41" i="3"/>
  <c r="G55" i="3" s="1"/>
  <c r="G568" i="3"/>
  <c r="M81" i="5"/>
  <c r="G82" i="4"/>
  <c r="M432" i="4"/>
  <c r="G432" i="3"/>
  <c r="M540" i="5"/>
  <c r="M68" i="4"/>
  <c r="M662" i="4"/>
  <c r="M432" i="3"/>
  <c r="M378" i="5"/>
  <c r="G527" i="5"/>
  <c r="G203" i="4"/>
  <c r="G351" i="3"/>
  <c r="G649" i="6"/>
  <c r="G406" i="4"/>
  <c r="G122" i="6"/>
  <c r="G136" i="6" s="1"/>
  <c r="G189" i="6"/>
  <c r="M176" i="4"/>
  <c r="G29" i="1"/>
  <c r="M297" i="3"/>
  <c r="M459" i="5"/>
  <c r="M500" i="6"/>
  <c r="M392" i="4"/>
  <c r="M500" i="4"/>
  <c r="M365" i="4"/>
  <c r="G298" i="3"/>
  <c r="G824" i="3"/>
  <c r="G838" i="3" s="1"/>
  <c r="G311" i="5"/>
  <c r="G325" i="5" s="1"/>
  <c r="G648" i="4"/>
  <c r="M230" i="4"/>
  <c r="G378" i="4"/>
  <c r="M648" i="4"/>
  <c r="M54" i="5"/>
  <c r="M54" i="6"/>
  <c r="G243" i="4"/>
  <c r="M486" i="3"/>
  <c r="M487" i="3" s="1"/>
  <c r="M635" i="3"/>
  <c r="G244" i="5"/>
  <c r="G13" i="1"/>
  <c r="G554" i="4"/>
  <c r="G446" i="3"/>
  <c r="M432" i="5"/>
  <c r="M608" i="6"/>
  <c r="G770" i="3"/>
  <c r="G784" i="3" s="1"/>
  <c r="G216" i="5"/>
  <c r="M662" i="5"/>
  <c r="G446" i="6"/>
  <c r="G460" i="6" s="1"/>
  <c r="M473" i="4"/>
  <c r="M635" i="4"/>
  <c r="G743" i="4"/>
  <c r="G757" i="4" s="1"/>
  <c r="G108" i="3"/>
  <c r="E460" i="3"/>
  <c r="M770" i="3"/>
  <c r="G365" i="5"/>
  <c r="G379" i="5" s="1"/>
  <c r="G635" i="5"/>
  <c r="G649" i="5" s="1"/>
  <c r="F784" i="5"/>
  <c r="M338" i="6"/>
  <c r="M446" i="6"/>
  <c r="G675" i="6"/>
  <c r="M716" i="6"/>
  <c r="G756" i="6"/>
  <c r="G783" i="6"/>
  <c r="G122" i="4"/>
  <c r="G136" i="4" s="1"/>
  <c r="G149" i="4"/>
  <c r="G25" i="1"/>
  <c r="M716" i="4"/>
  <c r="G810" i="4"/>
  <c r="G811" i="4" s="1"/>
  <c r="G27" i="3"/>
  <c r="G28" i="3" s="1"/>
  <c r="G324" i="3"/>
  <c r="G486" i="3"/>
  <c r="G662" i="3"/>
  <c r="G676" i="3" s="1"/>
  <c r="M365" i="5"/>
  <c r="M122" i="4"/>
  <c r="G405" i="4"/>
  <c r="G608" i="4"/>
  <c r="M27" i="3"/>
  <c r="G189" i="3"/>
  <c r="M324" i="3"/>
  <c r="M594" i="3"/>
  <c r="M662" i="3"/>
  <c r="G689" i="3"/>
  <c r="G703" i="3" s="1"/>
  <c r="G54" i="6"/>
  <c r="G55" i="6" s="1"/>
  <c r="M122" i="6"/>
  <c r="M243" i="6"/>
  <c r="G338" i="6"/>
  <c r="M581" i="6"/>
  <c r="G621" i="6"/>
  <c r="G622" i="6" s="1"/>
  <c r="G810" i="6"/>
  <c r="G811" i="6" s="1"/>
  <c r="G756" i="4"/>
  <c r="M581" i="5"/>
  <c r="M621" i="5"/>
  <c r="M68" i="6"/>
  <c r="G837" i="6"/>
  <c r="G108" i="4"/>
  <c r="G109" i="4" s="1"/>
  <c r="M257" i="4"/>
  <c r="M783" i="4"/>
  <c r="M108" i="5"/>
  <c r="G594" i="5"/>
  <c r="G595" i="5" s="1"/>
  <c r="M392" i="6"/>
  <c r="M837" i="6"/>
  <c r="M108" i="4"/>
  <c r="M554" i="4"/>
  <c r="M675" i="4"/>
  <c r="G12" i="1"/>
  <c r="G68" i="3"/>
  <c r="G82" i="3" s="1"/>
  <c r="G122" i="3"/>
  <c r="G338" i="3"/>
  <c r="G702" i="6"/>
  <c r="M81" i="4"/>
  <c r="M338" i="3"/>
  <c r="M176" i="5"/>
  <c r="M648" i="3"/>
  <c r="E487" i="5"/>
  <c r="G338" i="4"/>
  <c r="G352" i="4" s="1"/>
  <c r="G419" i="4"/>
  <c r="G594" i="4"/>
  <c r="G837" i="4"/>
  <c r="M122" i="3"/>
  <c r="G257" i="3"/>
  <c r="G271" i="3" s="1"/>
  <c r="G419" i="3"/>
  <c r="G433" i="3" s="1"/>
  <c r="M513" i="5"/>
  <c r="M149" i="6"/>
  <c r="G203" i="6"/>
  <c r="G217" i="6" s="1"/>
  <c r="M783" i="6"/>
  <c r="G284" i="4"/>
  <c r="G298" i="4" s="1"/>
  <c r="C35" i="1"/>
  <c r="M68" i="3"/>
  <c r="G378" i="3"/>
  <c r="G108" i="5"/>
  <c r="G392" i="6"/>
  <c r="G662" i="6"/>
  <c r="G513" i="4"/>
  <c r="G675" i="4"/>
  <c r="G676" i="4" s="1"/>
  <c r="G702" i="4"/>
  <c r="M756" i="4"/>
  <c r="M378" i="3"/>
  <c r="G527" i="3"/>
  <c r="G541" i="3" s="1"/>
  <c r="G419" i="6"/>
  <c r="G527" i="6"/>
  <c r="M513" i="4"/>
  <c r="E35" i="1"/>
  <c r="M527" i="3"/>
  <c r="M729" i="3"/>
  <c r="G176" i="5"/>
  <c r="G190" i="5" s="1"/>
  <c r="M716" i="5"/>
  <c r="M41" i="6"/>
  <c r="G27" i="4"/>
  <c r="G783" i="4"/>
  <c r="G500" i="3"/>
  <c r="G648" i="3"/>
  <c r="M797" i="5"/>
  <c r="G176" i="6"/>
  <c r="M284" i="4"/>
  <c r="M500" i="3"/>
  <c r="M689" i="5"/>
  <c r="M176" i="6"/>
  <c r="G324" i="6"/>
  <c r="G325" i="6" s="1"/>
  <c r="M297" i="5"/>
  <c r="G513" i="5"/>
  <c r="G514" i="5" s="1"/>
  <c r="M594" i="5"/>
  <c r="G810" i="5"/>
  <c r="G811" i="5" s="1"/>
  <c r="M743" i="6"/>
  <c r="M338" i="4"/>
  <c r="M419" i="4"/>
  <c r="M594" i="4"/>
  <c r="M702" i="4"/>
  <c r="M810" i="4"/>
  <c r="F55" i="3"/>
  <c r="G176" i="3"/>
  <c r="G190" i="3" s="1"/>
  <c r="M270" i="5"/>
  <c r="G324" i="5"/>
  <c r="G824" i="5"/>
  <c r="M108" i="6"/>
  <c r="M203" i="6"/>
  <c r="M351" i="6"/>
  <c r="G378" i="6"/>
  <c r="M473" i="6"/>
  <c r="F271" i="3"/>
  <c r="M675" i="5"/>
  <c r="G554" i="6"/>
  <c r="G568" i="6" s="1"/>
  <c r="F730" i="4"/>
  <c r="M405" i="3"/>
  <c r="G432" i="6"/>
  <c r="G621" i="4"/>
  <c r="M729" i="5"/>
  <c r="E217" i="4"/>
  <c r="G230" i="3"/>
  <c r="G244" i="3" s="1"/>
  <c r="G446" i="5"/>
  <c r="G460" i="5" s="1"/>
  <c r="G608" i="5"/>
  <c r="G622" i="5" s="1"/>
  <c r="M405" i="6"/>
  <c r="M162" i="5"/>
  <c r="M608" i="5"/>
  <c r="F28" i="6"/>
  <c r="G311" i="4"/>
  <c r="G325" i="4" s="1"/>
  <c r="M581" i="4"/>
  <c r="F433" i="3"/>
  <c r="M675" i="3"/>
  <c r="M230" i="6"/>
  <c r="G405" i="6"/>
  <c r="M311" i="4"/>
  <c r="M621" i="4"/>
  <c r="M689" i="4"/>
  <c r="G770" i="4"/>
  <c r="G784" i="4" s="1"/>
  <c r="M351" i="5"/>
  <c r="M81" i="6"/>
  <c r="F217" i="6"/>
  <c r="M797" i="6"/>
  <c r="E730" i="4"/>
  <c r="M797" i="3"/>
  <c r="G27" i="5"/>
  <c r="G28" i="5" s="1"/>
  <c r="M27" i="5"/>
  <c r="M135" i="5"/>
  <c r="E163" i="5"/>
  <c r="M135" i="3"/>
  <c r="G756" i="3"/>
  <c r="G757" i="3" s="1"/>
  <c r="M95" i="5"/>
  <c r="G473" i="5"/>
  <c r="G487" i="5" s="1"/>
  <c r="F568" i="5"/>
  <c r="G581" i="4"/>
  <c r="G729" i="4"/>
  <c r="G730" i="4" s="1"/>
  <c r="G513" i="3"/>
  <c r="G702" i="5"/>
  <c r="G703" i="5" s="1"/>
  <c r="M810" i="5"/>
  <c r="M419" i="5"/>
  <c r="M27" i="6"/>
  <c r="E244" i="6"/>
  <c r="G365" i="6"/>
  <c r="G379" i="6" s="1"/>
  <c r="G540" i="6"/>
  <c r="G594" i="6"/>
  <c r="G716" i="6"/>
  <c r="M189" i="3"/>
  <c r="G392" i="5"/>
  <c r="G406" i="5" s="1"/>
  <c r="F136" i="6"/>
  <c r="M405" i="4"/>
  <c r="G419" i="5"/>
  <c r="G433" i="5" s="1"/>
  <c r="E109" i="6"/>
  <c r="F136" i="4"/>
  <c r="G95" i="5"/>
  <c r="G109" i="5" s="1"/>
  <c r="E217" i="5"/>
  <c r="E568" i="5"/>
  <c r="M702" i="5"/>
  <c r="E82" i="6"/>
  <c r="G365" i="4"/>
  <c r="E703" i="3"/>
  <c r="M446" i="5"/>
  <c r="M473" i="5"/>
  <c r="G567" i="5"/>
  <c r="M810" i="6"/>
  <c r="G54" i="4"/>
  <c r="G216" i="4"/>
  <c r="G257" i="5"/>
  <c r="G81" i="6"/>
  <c r="M284" i="6"/>
  <c r="M432" i="6"/>
  <c r="G567" i="4"/>
  <c r="M770" i="4"/>
  <c r="G216" i="3"/>
  <c r="G217" i="3" s="1"/>
  <c r="G257" i="4"/>
  <c r="G271" i="4" s="1"/>
  <c r="M729" i="4"/>
  <c r="G81" i="5"/>
  <c r="F244" i="6"/>
  <c r="M365" i="6"/>
  <c r="M540" i="6"/>
  <c r="G500" i="4"/>
  <c r="G514" i="4" s="1"/>
  <c r="G459" i="3"/>
  <c r="G581" i="3"/>
  <c r="G595" i="3" s="1"/>
  <c r="F325" i="6"/>
  <c r="G176" i="4"/>
  <c r="G190" i="4" s="1"/>
  <c r="F379" i="4"/>
  <c r="G32" i="1"/>
  <c r="M203" i="3"/>
  <c r="F406" i="3"/>
  <c r="M581" i="3"/>
  <c r="G149" i="5"/>
  <c r="G163" i="5" s="1"/>
  <c r="M216" i="5"/>
  <c r="G540" i="5"/>
  <c r="M513" i="6"/>
  <c r="G581" i="6"/>
  <c r="G595" i="6" s="1"/>
  <c r="M702" i="6"/>
  <c r="M703" i="6" s="1"/>
  <c r="M446" i="4"/>
  <c r="E190" i="3"/>
  <c r="G810" i="3"/>
  <c r="G811" i="3" s="1"/>
  <c r="M257" i="5"/>
  <c r="E460" i="5"/>
  <c r="E811" i="5"/>
  <c r="E325" i="4"/>
  <c r="G22" i="1"/>
  <c r="F82" i="3"/>
  <c r="F136" i="3"/>
  <c r="M149" i="5"/>
  <c r="G95" i="6"/>
  <c r="M324" i="6"/>
  <c r="G351" i="6"/>
  <c r="M459" i="6"/>
  <c r="M662" i="6"/>
  <c r="G729" i="6"/>
  <c r="G554" i="5"/>
  <c r="G568" i="5" s="1"/>
  <c r="M743" i="5"/>
  <c r="M554" i="6"/>
  <c r="G108" i="6"/>
  <c r="E730" i="3"/>
  <c r="M284" i="5"/>
  <c r="M189" i="6"/>
  <c r="F460" i="6"/>
  <c r="M135" i="4"/>
  <c r="M149" i="3"/>
  <c r="F730" i="3"/>
  <c r="M810" i="3"/>
  <c r="G189" i="5"/>
  <c r="G243" i="5"/>
  <c r="M270" i="6"/>
  <c r="G500" i="6"/>
  <c r="G514" i="6" s="1"/>
  <c r="F568" i="6"/>
  <c r="G162" i="4"/>
  <c r="G608" i="3"/>
  <c r="M527" i="6"/>
  <c r="G824" i="6"/>
  <c r="G838" i="6" s="1"/>
  <c r="M837" i="3"/>
  <c r="G837" i="5"/>
  <c r="G689" i="6"/>
  <c r="G703" i="6" s="1"/>
  <c r="E433" i="3"/>
  <c r="G270" i="5"/>
  <c r="M14" i="6"/>
  <c r="E190" i="6"/>
  <c r="G770" i="6"/>
  <c r="G784" i="6" s="1"/>
  <c r="G743" i="6"/>
  <c r="M311" i="6"/>
  <c r="M419" i="6"/>
  <c r="E460" i="6"/>
  <c r="M824" i="6"/>
  <c r="E622" i="6"/>
  <c r="G770" i="5"/>
  <c r="G784" i="5" s="1"/>
  <c r="F190" i="6"/>
  <c r="G756" i="5"/>
  <c r="G297" i="5"/>
  <c r="M311" i="5"/>
  <c r="E649" i="5"/>
  <c r="M703" i="5" l="1"/>
  <c r="M217" i="4"/>
  <c r="M757" i="5"/>
  <c r="M352" i="3"/>
  <c r="M406" i="5"/>
  <c r="M379" i="3"/>
  <c r="M244" i="5"/>
  <c r="M622" i="3"/>
  <c r="M460" i="5"/>
  <c r="M325" i="4"/>
  <c r="M190" i="6"/>
  <c r="M271" i="5"/>
  <c r="M541" i="3"/>
  <c r="M244" i="6"/>
  <c r="M730" i="4"/>
  <c r="M568" i="3"/>
  <c r="M271" i="3"/>
  <c r="M406" i="3"/>
  <c r="M163" i="4"/>
  <c r="M514" i="5"/>
  <c r="G28" i="4"/>
  <c r="M784" i="4"/>
  <c r="M325" i="3"/>
  <c r="M568" i="5"/>
  <c r="M730" i="3"/>
  <c r="M757" i="3"/>
  <c r="M190" i="5"/>
  <c r="M379" i="6"/>
  <c r="M55" i="3"/>
  <c r="M298" i="3"/>
  <c r="M163" i="6"/>
  <c r="M55" i="5"/>
  <c r="M838" i="3"/>
  <c r="M244" i="3"/>
  <c r="M568" i="4"/>
  <c r="M460" i="6"/>
  <c r="M541" i="4"/>
  <c r="M676" i="6"/>
  <c r="M811" i="6"/>
  <c r="M352" i="4"/>
  <c r="M703" i="3"/>
  <c r="M109" i="6"/>
  <c r="M82" i="3"/>
  <c r="M190" i="4"/>
  <c r="M730" i="6"/>
  <c r="M649" i="3"/>
  <c r="M136" i="5"/>
  <c r="M55" i="6"/>
  <c r="M676" i="3"/>
  <c r="M568" i="6"/>
  <c r="M28" i="5"/>
  <c r="M730" i="5"/>
  <c r="M109" i="4"/>
  <c r="M352" i="6"/>
  <c r="M460" i="3"/>
  <c r="M298" i="4"/>
  <c r="M811" i="3"/>
  <c r="M433" i="4"/>
  <c r="M28" i="3"/>
  <c r="M109" i="3"/>
  <c r="M541" i="6"/>
  <c r="M757" i="6"/>
  <c r="M136" i="3"/>
  <c r="M271" i="4"/>
  <c r="M136" i="4"/>
  <c r="M649" i="6"/>
  <c r="M55" i="4"/>
  <c r="M325" i="5"/>
  <c r="M811" i="4"/>
  <c r="M487" i="5"/>
  <c r="M433" i="5"/>
  <c r="M487" i="4"/>
  <c r="M82" i="4"/>
  <c r="M190" i="3"/>
  <c r="M244" i="4"/>
  <c r="M433" i="3"/>
  <c r="M784" i="5"/>
  <c r="M514" i="3"/>
  <c r="M163" i="3"/>
  <c r="M217" i="6"/>
  <c r="M595" i="6"/>
  <c r="M82" i="5"/>
  <c r="M649" i="5"/>
  <c r="M784" i="3"/>
  <c r="M217" i="3"/>
  <c r="M379" i="5"/>
  <c r="M757" i="4"/>
  <c r="M487" i="6"/>
  <c r="M541" i="5"/>
  <c r="M298" i="6"/>
  <c r="M136" i="6"/>
  <c r="M28" i="4"/>
  <c r="M838" i="5"/>
  <c r="G622" i="3"/>
  <c r="G622" i="4"/>
  <c r="G109" i="6"/>
  <c r="G217" i="4"/>
  <c r="M82" i="6"/>
  <c r="M838" i="6"/>
  <c r="G379" i="4"/>
  <c r="M379" i="4"/>
  <c r="M622" i="4"/>
  <c r="G595" i="4"/>
  <c r="M676" i="4"/>
  <c r="M811" i="5"/>
  <c r="M109" i="5"/>
  <c r="G838" i="5"/>
  <c r="G406" i="6"/>
  <c r="G163" i="4"/>
  <c r="M514" i="6"/>
  <c r="M271" i="6"/>
  <c r="M595" i="3"/>
  <c r="M217" i="5"/>
  <c r="G541" i="6"/>
  <c r="G35" i="1"/>
  <c r="M352" i="5"/>
  <c r="G730" i="6"/>
  <c r="G271" i="5"/>
  <c r="M406" i="6"/>
  <c r="M784" i="6"/>
  <c r="G433" i="6"/>
  <c r="M163" i="5"/>
  <c r="M703" i="4"/>
  <c r="G298" i="5"/>
  <c r="G433" i="4"/>
  <c r="M649" i="4"/>
  <c r="G541" i="5"/>
  <c r="M595" i="5"/>
  <c r="M676" i="5"/>
  <c r="G82" i="6"/>
  <c r="M433" i="6"/>
  <c r="M514" i="4"/>
  <c r="M325" i="6"/>
  <c r="G190" i="6"/>
  <c r="M406" i="4"/>
  <c r="G757" i="6"/>
  <c r="M595" i="4"/>
  <c r="G676" i="6"/>
  <c r="M622" i="6"/>
  <c r="M298" i="5"/>
  <c r="G514" i="3"/>
  <c r="G352" i="3"/>
  <c r="G352" i="6"/>
  <c r="G460" i="3"/>
  <c r="M28" i="6"/>
  <c r="M460" i="4"/>
  <c r="M622" i="5"/>
  <c r="G136" i="3"/>
  <c r="G568" i="4"/>
</calcChain>
</file>

<file path=xl/sharedStrings.xml><?xml version="1.0" encoding="utf-8"?>
<sst xmlns="http://schemas.openxmlformats.org/spreadsheetml/2006/main" count="1367" uniqueCount="239">
  <si>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</si>
  <si>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</si>
  <si>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</si>
  <si>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</si>
  <si>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</si>
  <si>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</si>
  <si>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</si>
  <si>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</si>
  <si>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</si>
  <si>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</si>
  <si>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</si>
  <si>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</si>
  <si>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</si>
  <si>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</si>
  <si>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</si>
  <si>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</si>
  <si>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</si>
  <si>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</si>
  <si>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</si>
  <si>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</si>
  <si>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</si>
  <si>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</si>
  <si>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</si>
  <si>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</si>
  <si>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</si>
  <si>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</si>
  <si>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</si>
  <si>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</si>
  <si>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</si>
  <si>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</si>
  <si>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</si>
  <si>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</si>
  <si>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</si>
  <si>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</si>
  <si>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</si>
  <si>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</si>
  <si>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</si>
  <si>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</si>
  <si>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</si>
  <si>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</si>
  <si>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</si>
  <si>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</si>
  <si>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</si>
  <si>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</si>
  <si>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</si>
  <si>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</si>
  <si>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</si>
  <si>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</si>
  <si>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</si>
  <si>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</si>
  <si>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</si>
  <si>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</si>
  <si>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</si>
  <si>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</si>
  <si>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</si>
  <si>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</si>
  <si>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</si>
  <si>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</si>
  <si>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</si>
  <si>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</si>
  <si>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</si>
  <si>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</si>
  <si>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</si>
  <si>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</si>
  <si>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</si>
  <si>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</si>
  <si>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</si>
  <si>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</si>
  <si>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</si>
  <si>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</si>
  <si>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</si>
  <si>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</si>
  <si>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</si>
  <si>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</si>
  <si>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</si>
  <si>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</si>
  <si>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</si>
  <si>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</si>
  <si>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</si>
  <si>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</si>
  <si>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</si>
  <si>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</si>
  <si>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</si>
  <si>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</si>
  <si>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</si>
  <si>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</si>
  <si>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</si>
  <si>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</si>
  <si>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</si>
  <si>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</si>
  <si>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</si>
  <si>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</si>
  <si>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</si>
  <si>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</si>
  <si>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</si>
  <si>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</si>
  <si>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</si>
  <si>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</si>
  <si>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</si>
  <si>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</si>
  <si>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</si>
  <si>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</si>
  <si>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</si>
  <si>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</si>
  <si>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</si>
  <si>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</si>
  <si>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</si>
  <si>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</si>
  <si>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</si>
  <si>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</si>
  <si>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</si>
  <si>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</si>
  <si>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</si>
  <si>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</si>
  <si>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</si>
  <si>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</si>
  <si>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</si>
  <si>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</si>
  <si>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</si>
  <si>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</si>
  <si>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</si>
  <si>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</si>
  <si>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</si>
  <si>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</si>
  <si>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</si>
  <si>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</si>
  <si>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</si>
  <si>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</si>
  <si>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</si>
  <si>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</si>
  <si>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</si>
  <si>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</si>
  <si>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</si>
  <si>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</si>
  <si>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</si>
  <si>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</si>
  <si>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</si>
  <si>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</si>
  <si>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</si>
  <si>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</si>
  <si>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</si>
  <si>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</si>
  <si>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</si>
  <si>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</si>
  <si>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</si>
  <si>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</si>
  <si>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</si>
  <si>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</si>
  <si>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</si>
  <si>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</si>
  <si>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</si>
  <si>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</si>
  <si>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</si>
  <si>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</si>
  <si>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</si>
  <si>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</si>
  <si>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</si>
  <si>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</si>
  <si>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</si>
  <si>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</si>
  <si>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</si>
  <si>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</si>
  <si>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</si>
  <si>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</si>
  <si>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</si>
  <si>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</si>
  <si>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</si>
  <si>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</si>
  <si>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</si>
  <si>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</si>
  <si>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</si>
  <si>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</si>
  <si>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</si>
  <si>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</si>
  <si>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</si>
  <si>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</si>
  <si>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</si>
  <si>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</si>
  <si>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</si>
  <si>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</si>
  <si>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</si>
  <si>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</si>
  <si>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</si>
  <si>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</si>
  <si>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</si>
  <si>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</si>
  <si>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</si>
  <si>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</si>
  <si>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</si>
  <si>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</si>
  <si>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</si>
  <si>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</si>
  <si>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</si>
  <si>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</si>
  <si>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</si>
  <si>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</si>
  <si>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</si>
  <si>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</si>
  <si>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</si>
  <si>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</si>
  <si>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</si>
  <si>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</si>
  <si>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</si>
  <si>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</si>
  <si>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</si>
  <si>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</si>
  <si>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</si>
  <si>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</si>
  <si>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</si>
  <si>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</si>
  <si>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</si>
  <si>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</si>
  <si>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</si>
  <si>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</si>
  <si>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</si>
  <si>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</si>
  <si>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</si>
  <si>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</si>
  <si>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</si>
  <si>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</si>
  <si>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</si>
  <si>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</si>
  <si>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</si>
  <si>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</si>
  <si>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</si>
  <si>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</si>
  <si>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</si>
  <si>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PC 19</t>
  </si>
  <si>
    <t>☀  TURNO DIURNO</t>
  </si>
  <si>
    <t>Totalizador da balança  ➜</t>
  </si>
  <si>
    <t>🌙  TURNO NOTURNO</t>
  </si>
  <si>
    <t>TOTAL GLOBAL DO DIA</t>
  </si>
  <si>
    <t>Totalizador global  ➜</t>
  </si>
  <si>
    <t>PC 17</t>
  </si>
  <si>
    <t xml:space="preserve">e teve que troca balata </t>
  </si>
  <si>
    <t>o revestimento da bica ta soltando</t>
  </si>
  <si>
    <t>a borracha do revestimento da bica soltou de novo</t>
  </si>
  <si>
    <t>colocar chapa na bica</t>
  </si>
  <si>
    <t>martelo soltou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</si>
</sst>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5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  <font>
      <b/>
      <sz val="9"/>
      <color rgb="FFFFFFFF"/>
      <name val="Arial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17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  <xf numFmtId="0" fontId="24" fillId="2" borderId="1" xfId="0" applyFont="1" applyFill="1" applyBorder="1" applyAlignment="1">
      <alignment horizontal="center" vertical="center"/>
    </xf>
    <xf numFmtId="0" fontId="24" fillId="2" borderId="8" xfId="0" applyFont="1" applyFill="1" applyBorder="1" applyAlignment="1">
      <alignment horizontal="center" vertical="center"/>
    </xf>
    <xf numFmtId="0" fontId="24" fillId="2" borderId="4" xfId="0" applyFont="1" applyFill="1" applyBorder="1" applyAlignment="1">
      <alignment horizontal="center" vertical="center"/>
    </xf>
    <xf numFmtId="0" fontId="24" fillId="2" borderId="2" xfId="0" applyFont="1" applyFill="1" applyBorder="1" applyAlignment="1">
      <alignment horizontal="center" vertical="center"/>
    </xf>
    <xf numFmtId="0" fontId="24" fillId="3" borderId="1" xfId="0" applyFont="1" applyFill="1" applyBorder="1" applyAlignment="1">
      <alignment horizontal="center" vertical="center"/>
    </xf>
    <xf numFmtId="0" fontId="24" fillId="3" borderId="8" xfId="0" applyFont="1" applyFill="1" applyBorder="1" applyAlignment="1">
      <alignment horizontal="center" vertical="center"/>
    </xf>
    <xf numFmtId="0" fontId="24" fillId="3" borderId="4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26" sqref="G26"/>
    </sheetView>
  </sheetViews>
  <sheetFormatPr defaultColWidth="8.5703125" defaultRowHeight="14.4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4" t="s">
        <v>0</v>
      </c>
      <c r="B1" s="104"/>
      <c r="C1" s="104"/>
      <c r="D1" s="104"/>
      <c r="E1" s="104"/>
      <c r="F1" s="104"/>
      <c r="G1" s="104"/>
    </row>
    <row r="2" spans="1:7" ht="24.75" customHeight="1">
      <c r="A2" s="105"/>
      <c r="B2" s="105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46235</v>
      </c>
      <c r="C4" s="8">
        <f>IFERROR(Britador!O28,"")</f>
        <v>797765</v>
      </c>
      <c r="D4" s="8">
        <f>IFERROR('Linha 1'!O28,"")</f>
        <v>481280</v>
      </c>
      <c r="E4" s="8">
        <f>IFERROR('Linha 2'!O28,"")</f>
        <v>326520</v>
      </c>
      <c r="F4" s="8">
        <f>IFERROR('Linha 3'!O28,"")</f>
        <v>561420</v>
      </c>
      <c r="G4" s="9">
        <f t="shared" ref="G4:G34" si="0">IFERROR(D4+E4+F4,"")</f>
        <v>1369220</v>
      </c>
    </row>
    <row r="5" spans="1:7" ht="15.75" customHeight="1">
      <c r="A5" s="10">
        <v>2</v>
      </c>
      <c r="B5" s="73">
        <v>46236</v>
      </c>
      <c r="C5" s="11">
        <f>IFERROR(Britador!O55,"")</f>
        <v>0</v>
      </c>
      <c r="D5" s="11">
        <f>IFERROR('Linha 1'!O55,"")</f>
        <v>0</v>
      </c>
      <c r="E5" s="11">
        <f>IFERROR('Linha 2'!O55,"")</f>
        <v>0</v>
      </c>
      <c r="F5" s="11">
        <f>IFERROR('Linha 3'!O55,"")</f>
        <v>0</v>
      </c>
      <c r="G5" s="12">
        <f t="shared" si="0"/>
        <v>0</v>
      </c>
    </row>
    <row r="6" spans="1:7" ht="15.75" customHeight="1">
      <c r="A6" s="7">
        <v>3</v>
      </c>
      <c r="B6" s="72">
        <v>46237</v>
      </c>
      <c r="C6" s="8">
        <f>IFERROR(Britador!O82,"")</f>
        <v>0</v>
      </c>
      <c r="D6" s="8">
        <f>IFERROR('Linha 1'!O82,"")</f>
        <v>0</v>
      </c>
      <c r="E6" s="8">
        <f>IFERROR('Linha 2'!O82,"")</f>
        <v>0</v>
      </c>
      <c r="F6" s="8">
        <f>IFERROR('Linha 3'!O82,"")</f>
        <v>0</v>
      </c>
      <c r="G6" s="9">
        <f t="shared" si="0"/>
        <v>0</v>
      </c>
    </row>
    <row r="7" spans="1:7" ht="15.75" customHeight="1">
      <c r="A7" s="10">
        <v>4</v>
      </c>
      <c r="B7" s="73">
        <v>46238</v>
      </c>
      <c r="C7" s="11">
        <f>IFERROR(Britador!O109,"")</f>
        <v>0</v>
      </c>
      <c r="D7" s="11">
        <f>IFERROR('Linha 1'!O109,"")</f>
        <v>0</v>
      </c>
      <c r="E7" s="11">
        <f>IFERROR('Linha 2'!O109,"")</f>
        <v>0</v>
      </c>
      <c r="F7" s="11">
        <f>IFERROR('Linha 3'!O109,"")</f>
        <v>0</v>
      </c>
      <c r="G7" s="12">
        <f t="shared" si="0"/>
        <v>0</v>
      </c>
    </row>
    <row r="8" spans="1:7" ht="15.75" customHeight="1">
      <c r="A8" s="7">
        <v>5</v>
      </c>
      <c r="B8" s="72">
        <v>46239</v>
      </c>
      <c r="C8" s="8">
        <f>IFERROR(Britador!O136,"")</f>
        <v>0</v>
      </c>
      <c r="D8" s="8">
        <f>IFERROR('Linha 1'!O136,"")</f>
        <v>0</v>
      </c>
      <c r="E8" s="8">
        <f>IFERROR('Linha 2'!O136,"")</f>
        <v>0</v>
      </c>
      <c r="F8" s="8">
        <f>IFERROR('Linha 3'!O136,"")</f>
        <v>0</v>
      </c>
      <c r="G8" s="9">
        <f t="shared" si="0"/>
        <v>0</v>
      </c>
    </row>
    <row r="9" spans="1:7" ht="15.75" customHeight="1">
      <c r="A9" s="10">
        <v>6</v>
      </c>
      <c r="B9" s="73">
        <v>46240</v>
      </c>
      <c r="C9" s="11">
        <f>IFERROR(Britador!O163,"")</f>
        <v>0</v>
      </c>
      <c r="D9" s="11">
        <f>IFERROR('Linha 1'!O163,"")</f>
        <v>0</v>
      </c>
      <c r="E9" s="11">
        <f>IFERROR('Linha 2'!O163,"")</f>
        <v>0</v>
      </c>
      <c r="F9" s="11">
        <f>IFERROR('Linha 3'!O163,"")</f>
        <v>0</v>
      </c>
      <c r="G9" s="12">
        <f t="shared" si="0"/>
        <v>0</v>
      </c>
    </row>
    <row r="10" spans="1:7" ht="15.75" customHeight="1">
      <c r="A10" s="7">
        <v>7</v>
      </c>
      <c r="B10" s="72">
        <v>46241</v>
      </c>
      <c r="C10" s="8">
        <f>IFERROR(Britador!O190,"")</f>
        <v>0</v>
      </c>
      <c r="D10" s="8">
        <f>IFERROR('Linha 1'!O190,"")</f>
        <v>0</v>
      </c>
      <c r="E10" s="8">
        <f>IFERROR('Linha 2'!O190,"")</f>
        <v>0</v>
      </c>
      <c r="F10" s="8">
        <f>IFERROR('Linha 3'!O190,"")</f>
        <v>0</v>
      </c>
      <c r="G10" s="9">
        <f t="shared" si="0"/>
        <v>0</v>
      </c>
    </row>
    <row r="11" spans="1:7" ht="15.75" customHeight="1">
      <c r="A11" s="10">
        <v>8</v>
      </c>
      <c r="B11" s="73">
        <v>46242</v>
      </c>
      <c r="C11" s="11">
        <f>IFERROR(Britador!O217,"")</f>
        <v>0</v>
      </c>
      <c r="D11" s="11">
        <f>IFERROR('Linha 1'!O217,"")</f>
        <v>0</v>
      </c>
      <c r="E11" s="11">
        <f>IFERROR('Linha 2'!O217,"")</f>
        <v>0</v>
      </c>
      <c r="F11" s="11">
        <f>IFERROR('Linha 3'!O217,"")</f>
        <v>0</v>
      </c>
      <c r="G11" s="12">
        <f t="shared" si="0"/>
        <v>0</v>
      </c>
    </row>
    <row r="12" spans="1:7" ht="15.75" customHeight="1">
      <c r="A12" s="7">
        <v>9</v>
      </c>
      <c r="B12" s="72">
        <v>46243</v>
      </c>
      <c r="C12" s="8">
        <f>IFERROR(Britador!O244,"")</f>
        <v>0</v>
      </c>
      <c r="D12" s="8">
        <f>IFERROR('Linha 1'!O244,"")</f>
        <v>0</v>
      </c>
      <c r="E12" s="8">
        <f>IFERROR('Linha 2'!O244,"")</f>
        <v>0</v>
      </c>
      <c r="F12" s="8">
        <f>IFERROR('Linha 3'!O244,"")</f>
        <v>0</v>
      </c>
      <c r="G12" s="9">
        <f t="shared" si="0"/>
        <v>0</v>
      </c>
    </row>
    <row r="13" spans="1:7" ht="15.75" customHeight="1">
      <c r="A13" s="10">
        <v>10</v>
      </c>
      <c r="B13" s="73">
        <v>46244</v>
      </c>
      <c r="C13" s="11">
        <f>IFERROR(Britador!O271,"")</f>
        <v>0</v>
      </c>
      <c r="D13" s="11">
        <f>IFERROR('Linha 1'!O271,"")</f>
        <v>0</v>
      </c>
      <c r="E13" s="11">
        <f>IFERROR('Linha 2'!O271,"")</f>
        <v>0</v>
      </c>
      <c r="F13" s="11">
        <f>IFERROR('Linha 3'!O271,"")</f>
        <v>0</v>
      </c>
      <c r="G13" s="12">
        <f t="shared" si="0"/>
        <v>0</v>
      </c>
    </row>
    <row r="14" spans="1:7" ht="15.75" customHeight="1">
      <c r="A14" s="7">
        <v>11</v>
      </c>
      <c r="B14" s="72">
        <v>46245</v>
      </c>
      <c r="C14" s="8">
        <f>IFERROR(Britador!O298,"")</f>
        <v>0</v>
      </c>
      <c r="D14" s="8">
        <f>IFERROR('Linha 1'!O298,"")</f>
        <v>0</v>
      </c>
      <c r="E14" s="8">
        <f>IFERROR('Linha 2'!O298,"")</f>
        <v>0</v>
      </c>
      <c r="F14" s="8">
        <f>IFERROR('Linha 3'!O298,"")</f>
        <v>0</v>
      </c>
      <c r="G14" s="9">
        <f t="shared" si="0"/>
        <v>0</v>
      </c>
    </row>
    <row r="15" spans="1:7" ht="15.75" customHeight="1">
      <c r="A15" s="10">
        <v>12</v>
      </c>
      <c r="B15" s="73">
        <v>46246</v>
      </c>
      <c r="C15" s="11">
        <f>IFERROR(Britador!O325,"")</f>
        <v>0</v>
      </c>
      <c r="D15" s="11">
        <f>IFERROR('Linha 1'!O325,"")</f>
        <v>0</v>
      </c>
      <c r="E15" s="11">
        <f>IFERROR('Linha 2'!O325,"")</f>
        <v>0</v>
      </c>
      <c r="F15" s="11">
        <f>IFERROR('Linha 3'!O325,"")</f>
        <v>0</v>
      </c>
      <c r="G15" s="12">
        <f t="shared" si="0"/>
        <v>0</v>
      </c>
    </row>
    <row r="16" spans="1:7" ht="15.75" customHeight="1">
      <c r="A16" s="7">
        <v>13</v>
      </c>
      <c r="B16" s="72">
        <v>46247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3">
        <v>46248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2">
        <v>46249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>IFERROR(D18+E18+F18,"")</f>
        <v>0</v>
      </c>
    </row>
    <row r="19" spans="1:7" ht="15.75" customHeight="1">
      <c r="A19" s="10">
        <v>16</v>
      </c>
      <c r="B19" s="73">
        <v>46250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2">
        <v>46251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3">
        <v>46252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2">
        <v>46253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3">
        <v>46254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2">
        <v>46255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3">
        <v>46256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2">
        <v>46257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3">
        <v>46258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2">
        <v>46259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3">
        <v>46260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2">
        <v>46261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3">
        <v>46262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2">
        <v>46263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3">
        <v>46264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3">
        <v>46265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06" t="s">
        <v>9</v>
      </c>
      <c r="B35" s="106"/>
      <c r="C35" s="13">
        <f>IFERROR(SUM(C4:C34),"")</f>
        <v>797765</v>
      </c>
      <c r="D35" s="13">
        <f>IFERROR(SUM(D4:D34),"")</f>
        <v>481280</v>
      </c>
      <c r="E35" s="13">
        <f>IFERROR(SUM(E4:E34),"")</f>
        <v>326520</v>
      </c>
      <c r="F35" s="13">
        <f>IFERROR(SUM(F4:F34),"")</f>
        <v>561420</v>
      </c>
      <c r="G35" s="13">
        <f>IFERROR(SUM(G4:G34),"")</f>
        <v>1369220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16" zoomScale="85" zoomScaleNormal="85" workbookViewId="0">
      <selection activeCell="K73" sqref="K73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7" t="s">
        <v>10</v>
      </c>
      <c r="B1" s="107"/>
      <c r="C1" s="107"/>
      <c r="D1" s="107"/>
      <c r="E1" s="107"/>
      <c r="F1" s="107"/>
      <c r="G1" s="107"/>
      <c r="H1" s="108"/>
      <c r="I1" s="109" t="s">
        <v>11</v>
      </c>
      <c r="J1" s="109"/>
      <c r="K1" s="109"/>
      <c r="L1" s="109"/>
      <c r="M1" s="109"/>
    </row>
    <row r="2" spans="1:13" ht="4.5" customHeight="1">
      <c r="H2" s="108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08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08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08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08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08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08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08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08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08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08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08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08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08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08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08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08"/>
      <c r="I18" s="16"/>
      <c r="J18" s="16" t="s">
        <v>110</v>
      </c>
      <c r="K18" s="16" t="s">
        <v>111</v>
      </c>
      <c r="L18" s="16" t="s">
        <v>112</v>
      </c>
      <c r="M18" s="16" t="s">
        <v>113</v>
      </c>
    </row>
    <row r="19" spans="1:13" ht="15.75" customHeight="1">
      <c r="A19" s="17"/>
      <c r="C19" s="17"/>
      <c r="E19" s="17"/>
      <c r="G19" s="17" t="s">
        <v>114</v>
      </c>
      <c r="H19" s="108"/>
      <c r="I19" s="17"/>
      <c r="J19" s="17"/>
      <c r="K19" s="17" t="s">
        <v>115</v>
      </c>
      <c r="L19" s="17"/>
      <c r="M19" s="17" t="s">
        <v>116</v>
      </c>
    </row>
    <row r="20" spans="1:13" ht="15.75" customHeight="1">
      <c r="A20" s="16"/>
      <c r="C20" s="16"/>
      <c r="E20" s="16"/>
      <c r="G20" s="16" t="s">
        <v>117</v>
      </c>
      <c r="H20" s="108"/>
      <c r="I20" s="16"/>
      <c r="J20" s="16"/>
      <c r="K20" s="16" t="s">
        <v>118</v>
      </c>
      <c r="L20" s="16"/>
      <c r="M20" s="16" t="s">
        <v>119</v>
      </c>
    </row>
    <row r="21" spans="1:13" ht="15.75" customHeight="1">
      <c r="A21" s="17"/>
      <c r="C21" s="17"/>
      <c r="E21" s="17"/>
      <c r="G21" s="17" t="s">
        <v>120</v>
      </c>
      <c r="H21" s="108"/>
      <c r="I21" s="17"/>
      <c r="J21" s="17"/>
      <c r="K21" s="17" t="s">
        <v>121</v>
      </c>
      <c r="L21" s="17"/>
      <c r="M21" s="17" t="s">
        <v>122</v>
      </c>
    </row>
    <row r="22" spans="1:13" ht="15.75" customHeight="1">
      <c r="A22" s="16"/>
      <c r="C22" s="16"/>
      <c r="E22" s="16"/>
      <c r="G22" s="16" t="s">
        <v>123</v>
      </c>
      <c r="H22" s="108"/>
      <c r="I22" s="16"/>
      <c r="J22" s="16"/>
      <c r="K22" s="16" t="s">
        <v>124</v>
      </c>
      <c r="L22" s="16"/>
      <c r="M22" s="16" t="s">
        <v>125</v>
      </c>
    </row>
    <row r="23" spans="1:13" ht="15.75" customHeight="1">
      <c r="A23" s="17"/>
      <c r="C23" s="17"/>
      <c r="E23" s="17"/>
      <c r="G23" s="17" t="s">
        <v>126</v>
      </c>
      <c r="H23" s="108"/>
      <c r="I23" s="17"/>
      <c r="J23" s="17"/>
      <c r="K23" s="17" t="s">
        <v>127</v>
      </c>
      <c r="L23" s="17"/>
      <c r="M23" s="17" t="s">
        <v>128</v>
      </c>
    </row>
    <row r="24" spans="1:13" ht="15.75" customHeight="1">
      <c r="A24" s="16"/>
      <c r="C24" s="16"/>
      <c r="E24" s="16"/>
      <c r="G24" s="16" t="s">
        <v>129</v>
      </c>
      <c r="H24" s="108"/>
      <c r="I24" s="16"/>
      <c r="J24" s="16"/>
      <c r="K24" s="16" t="s">
        <v>130</v>
      </c>
      <c r="L24" s="16"/>
      <c r="M24" s="16" t="s">
        <v>131</v>
      </c>
    </row>
    <row r="25" spans="1:13" ht="15.75" customHeight="1">
      <c r="A25" s="17"/>
      <c r="C25" s="17"/>
      <c r="E25" s="17"/>
      <c r="G25" s="17" t="s">
        <v>132</v>
      </c>
      <c r="H25" s="108"/>
      <c r="I25" s="17"/>
      <c r="J25" s="17"/>
      <c r="K25" s="17" t="s">
        <v>133</v>
      </c>
      <c r="L25" s="17"/>
      <c r="M25" s="17" t="s">
        <v>134</v>
      </c>
    </row>
    <row r="26" spans="1:13" ht="15.75" customHeight="1">
      <c r="A26" s="16"/>
      <c r="C26" s="16"/>
      <c r="E26" s="16"/>
      <c r="G26" s="16" t="s">
        <v>135</v>
      </c>
      <c r="H26" s="108"/>
      <c r="I26" s="16"/>
      <c r="J26" s="16"/>
      <c r="K26" s="16" t="s">
        <v>136</v>
      </c>
      <c r="L26" s="16"/>
      <c r="M26" s="16"/>
    </row>
    <row r="27" spans="1:13" ht="15.75" customHeight="1">
      <c r="A27" s="17"/>
      <c r="C27" s="17"/>
      <c r="E27" s="17"/>
      <c r="G27" s="17" t="s">
        <v>137</v>
      </c>
      <c r="H27" s="108"/>
      <c r="I27" s="17"/>
      <c r="J27" s="17"/>
      <c r="K27" s="17" t="s">
        <v>128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138</v>
      </c>
      <c r="H28" s="108"/>
      <c r="I28" s="16"/>
      <c r="J28" s="16"/>
      <c r="K28" s="16" t="s">
        <v>131</v>
      </c>
      <c r="L28" s="16"/>
      <c r="M28" s="16" t="s">
        <v>139</v>
      </c>
    </row>
    <row r="29" spans="1:13" ht="15.75" customHeight="1">
      <c r="A29" s="17"/>
      <c r="C29" s="17"/>
      <c r="E29" s="17"/>
      <c r="G29" s="17" t="s">
        <v>140</v>
      </c>
      <c r="H29" s="108"/>
      <c r="I29" s="17"/>
      <c r="J29" s="17"/>
      <c r="K29" s="17" t="s">
        <v>141</v>
      </c>
      <c r="L29" s="17"/>
      <c r="M29" s="17" t="s">
        <v>142</v>
      </c>
    </row>
    <row r="30" spans="1:13" ht="15.75" customHeight="1">
      <c r="A30" s="16"/>
      <c r="C30" s="16"/>
      <c r="E30" s="16"/>
      <c r="G30" s="16" t="s">
        <v>143</v>
      </c>
      <c r="H30" s="108"/>
      <c r="I30" s="16"/>
      <c r="J30" s="16"/>
      <c r="K30" s="16" t="s">
        <v>144</v>
      </c>
      <c r="L30" s="16"/>
      <c r="M30" s="16" t="s">
        <v>145</v>
      </c>
    </row>
    <row r="31" spans="1:13" ht="15.75" customHeight="1">
      <c r="A31" s="17"/>
      <c r="C31" s="17"/>
      <c r="E31" s="17"/>
      <c r="G31" s="17" t="s">
        <v>146</v>
      </c>
      <c r="H31" s="108"/>
      <c r="I31" s="17"/>
      <c r="J31" s="17"/>
      <c r="K31" s="18" t="s">
        <v>147</v>
      </c>
      <c r="L31" s="17"/>
      <c r="M31" s="17" t="s">
        <v>148</v>
      </c>
    </row>
    <row r="32" spans="1:13" ht="15.75" customHeight="1">
      <c r="A32" s="16"/>
      <c r="C32" s="16"/>
      <c r="E32" s="16"/>
      <c r="G32" s="16" t="s">
        <v>149</v>
      </c>
      <c r="H32" s="108"/>
      <c r="I32" s="16"/>
      <c r="J32" s="16"/>
      <c r="K32" s="16" t="s">
        <v>150</v>
      </c>
      <c r="L32" s="16"/>
      <c r="M32" t="s">
        <v>151</v>
      </c>
    </row>
    <row r="33" spans="1:13" ht="15.75" customHeight="1">
      <c r="A33" s="17"/>
      <c r="C33" s="17"/>
      <c r="E33" s="17"/>
      <c r="G33" s="17" t="s">
        <v>152</v>
      </c>
      <c r="H33" s="108"/>
      <c r="I33" s="17"/>
      <c r="J33" s="17"/>
      <c r="K33" s="18" t="s">
        <v>153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154</v>
      </c>
      <c r="H34" s="108"/>
      <c r="I34" s="16"/>
      <c r="J34" s="16"/>
      <c r="K34" s="16" t="s">
        <v>79</v>
      </c>
      <c r="L34" s="16"/>
      <c r="M34" s="16" t="s">
        <v>155</v>
      </c>
    </row>
    <row r="35" spans="1:13" ht="15.75" customHeight="1">
      <c r="A35" s="17"/>
      <c r="C35" s="17"/>
      <c r="E35" s="17"/>
      <c r="G35" s="17" t="s">
        <v>156</v>
      </c>
      <c r="H35" s="108"/>
      <c r="I35" s="17"/>
      <c r="J35" s="17"/>
      <c r="K35" s="17" t="s">
        <v>157</v>
      </c>
      <c r="L35" s="17"/>
      <c r="M35" s="17" t="s">
        <v>158</v>
      </c>
    </row>
    <row r="36" spans="1:13" ht="15.75" customHeight="1">
      <c r="A36" s="16"/>
      <c r="C36" s="16"/>
      <c r="E36" s="16"/>
      <c r="G36" s="16" t="s">
        <v>159</v>
      </c>
      <c r="H36" s="108"/>
      <c r="I36" s="16"/>
      <c r="J36" s="16"/>
      <c r="K36" s="16" t="s">
        <v>160</v>
      </c>
      <c r="L36" s="16"/>
      <c r="M36" s="16" t="s">
        <v>161</v>
      </c>
    </row>
    <row r="37" spans="1:13" ht="15.75" customHeight="1">
      <c r="A37" s="17"/>
      <c r="C37" s="17"/>
      <c r="E37" s="17"/>
      <c r="G37" s="17" t="s">
        <v>162</v>
      </c>
      <c r="H37" s="108"/>
      <c r="I37" s="17"/>
      <c r="J37" s="17"/>
      <c r="K37" s="17" t="s">
        <v>163</v>
      </c>
      <c r="L37" s="17"/>
      <c r="M37" s="17" t="s">
        <v>164</v>
      </c>
    </row>
    <row r="38" spans="1:13" ht="15.75" customHeight="1">
      <c r="A38" s="16"/>
      <c r="C38" s="16"/>
      <c r="E38" s="16"/>
      <c r="G38" s="16" t="s">
        <v>165</v>
      </c>
      <c r="H38" s="108"/>
      <c r="I38" s="16"/>
      <c r="J38" s="16"/>
      <c r="K38" s="16" t="s">
        <v>166</v>
      </c>
      <c r="L38" s="16"/>
      <c r="M38" s="16" t="s">
        <v>167</v>
      </c>
    </row>
    <row r="39" spans="1:13" ht="15.75" customHeight="1">
      <c r="A39" s="17"/>
      <c r="C39" s="17"/>
      <c r="E39" s="17"/>
      <c r="G39" s="17"/>
      <c r="H39" s="108"/>
      <c r="I39" s="17"/>
      <c r="J39" s="17"/>
      <c r="K39" s="17" t="s">
        <v>168</v>
      </c>
      <c r="L39" s="17"/>
      <c r="M39" s="17" t="s">
        <v>169</v>
      </c>
    </row>
    <row r="40" spans="1:13" ht="15.75" customHeight="1">
      <c r="A40" s="16"/>
      <c r="C40" s="16"/>
      <c r="E40" s="16"/>
      <c r="G40" s="16"/>
      <c r="H40" s="108"/>
      <c r="I40" s="16"/>
      <c r="J40" s="16"/>
      <c r="K40" s="16" t="s">
        <v>170</v>
      </c>
      <c r="L40" s="16"/>
      <c r="M40" s="16" t="s">
        <v>171</v>
      </c>
    </row>
    <row r="41" spans="1:13" ht="15.75" customHeight="1">
      <c r="A41" s="17"/>
      <c r="C41" s="17"/>
      <c r="E41" s="17"/>
      <c r="G41" s="17"/>
      <c r="H41" s="108"/>
      <c r="I41" s="17"/>
      <c r="J41" s="17"/>
      <c r="K41" s="17" t="s">
        <v>172</v>
      </c>
      <c r="L41" s="17"/>
      <c r="M41" s="17" t="s">
        <v>173</v>
      </c>
    </row>
    <row r="42" spans="1:13" ht="15.75" customHeight="1">
      <c r="A42" s="16"/>
      <c r="C42" s="16"/>
      <c r="E42" s="16"/>
      <c r="G42" s="16"/>
      <c r="H42" s="108"/>
      <c r="I42" s="16"/>
      <c r="J42" s="16"/>
      <c r="K42" s="16" t="s">
        <v>174</v>
      </c>
      <c r="L42" s="16"/>
      <c r="M42" s="16" t="s">
        <v>175</v>
      </c>
    </row>
    <row r="43" spans="1:13" ht="15.75" customHeight="1">
      <c r="A43" s="17"/>
      <c r="C43" s="17"/>
      <c r="E43" s="17"/>
      <c r="G43" s="17"/>
      <c r="H43" s="108"/>
      <c r="I43" s="17"/>
      <c r="J43" s="17"/>
      <c r="K43" s="17" t="s">
        <v>176</v>
      </c>
      <c r="L43" s="17"/>
      <c r="M43" s="17" t="s">
        <v>177</v>
      </c>
    </row>
    <row r="44" spans="1:13" ht="15.75" customHeight="1">
      <c r="A44" s="16"/>
      <c r="C44" s="16"/>
      <c r="E44" s="16"/>
      <c r="G44" s="16"/>
      <c r="H44" s="108"/>
      <c r="I44" s="16"/>
      <c r="J44" s="16"/>
      <c r="K44" s="16" t="s">
        <v>178</v>
      </c>
      <c r="L44" s="16"/>
      <c r="M44" s="16" t="s">
        <v>179</v>
      </c>
    </row>
    <row r="45" spans="1:13" ht="15.75" customHeight="1">
      <c r="A45" s="17"/>
      <c r="C45" s="17"/>
      <c r="E45" s="17"/>
      <c r="G45" s="17"/>
      <c r="H45" s="108"/>
      <c r="I45" s="17"/>
      <c r="J45" s="17"/>
      <c r="K45" s="17"/>
      <c r="L45" s="17"/>
      <c r="M45" s="17" t="s">
        <v>180</v>
      </c>
    </row>
    <row r="46" spans="1:13" ht="15.75" customHeight="1">
      <c r="A46" s="16"/>
      <c r="C46" s="16"/>
      <c r="E46" s="16"/>
      <c r="G46" s="16"/>
      <c r="H46" s="108"/>
      <c r="I46" s="16"/>
      <c r="J46" s="16"/>
      <c r="K46" s="16" t="s">
        <v>181</v>
      </c>
      <c r="L46" s="16"/>
      <c r="M46" s="16" t="s">
        <v>182</v>
      </c>
    </row>
    <row r="47" spans="1:13" ht="15.75" customHeight="1">
      <c r="A47" s="17"/>
      <c r="C47" s="17"/>
      <c r="E47" s="17"/>
      <c r="G47" s="17"/>
      <c r="H47" s="108"/>
      <c r="I47" s="17"/>
      <c r="J47" s="17"/>
      <c r="K47" s="17" t="s">
        <v>183</v>
      </c>
      <c r="L47" s="17"/>
      <c r="M47" s="17" t="s">
        <v>184</v>
      </c>
    </row>
    <row r="48" spans="1:13" ht="15.75" customHeight="1">
      <c r="A48" s="16"/>
      <c r="C48" s="16"/>
      <c r="E48" s="16"/>
      <c r="G48" s="16"/>
      <c r="H48" s="108"/>
      <c r="I48" s="16"/>
      <c r="J48" s="16"/>
      <c r="K48" s="16" t="s">
        <v>185</v>
      </c>
      <c r="L48" s="16"/>
      <c r="M48" s="16" t="s">
        <v>186</v>
      </c>
    </row>
    <row r="49" spans="1:13" ht="18" customHeight="1">
      <c r="H49" s="108"/>
      <c r="I49" s="17"/>
      <c r="J49" s="17"/>
      <c r="K49" s="17" t="s">
        <v>187</v>
      </c>
      <c r="L49" s="17"/>
      <c r="M49" s="17" t="s">
        <v>188</v>
      </c>
    </row>
    <row r="50" spans="1:13" ht="21" customHeight="1">
      <c r="A50" s="19" t="s">
        <v>189</v>
      </c>
      <c r="B50" s="19"/>
      <c r="C50" s="19"/>
      <c r="D50" s="19"/>
      <c r="E50" s="19"/>
      <c r="F50" s="19"/>
      <c r="G50" s="19"/>
      <c r="H50" s="108"/>
      <c r="I50" s="16"/>
      <c r="J50" s="16"/>
      <c r="K50" s="16" t="s">
        <v>190</v>
      </c>
      <c r="L50" s="16"/>
      <c r="M50" s="16" t="s">
        <v>191</v>
      </c>
    </row>
    <row r="51" spans="1:13" ht="24" customHeight="1">
      <c r="H51" s="108"/>
      <c r="I51" s="17"/>
      <c r="J51" s="17"/>
      <c r="K51" s="17" t="s">
        <v>192</v>
      </c>
      <c r="L51" s="17"/>
      <c r="M51" s="17" t="s">
        <v>193</v>
      </c>
    </row>
    <row r="52" spans="1:13" ht="24" customHeight="1">
      <c r="H52" s="108"/>
      <c r="I52" s="16"/>
      <c r="J52" s="16"/>
      <c r="K52" s="16" t="s">
        <v>194</v>
      </c>
      <c r="L52" s="16"/>
      <c r="M52" s="16" t="s">
        <v>195</v>
      </c>
    </row>
    <row r="53" spans="1:13" ht="36" customHeight="1">
      <c r="H53" s="108"/>
      <c r="I53" s="17"/>
      <c r="J53" s="17"/>
      <c r="K53" s="17" t="s">
        <v>196</v>
      </c>
      <c r="L53" s="17"/>
      <c r="M53" s="17" t="s">
        <v>197</v>
      </c>
    </row>
    <row r="54" spans="1:13" ht="15" customHeight="1">
      <c r="H54" s="108"/>
      <c r="I54" s="16"/>
      <c r="J54" s="16"/>
      <c r="K54" s="16" t="s">
        <v>198</v>
      </c>
      <c r="L54" s="16"/>
      <c r="M54" s="16" t="s">
        <v>199</v>
      </c>
    </row>
    <row r="55" spans="1:13" ht="15" customHeight="1">
      <c r="H55" s="108"/>
      <c r="I55" s="17"/>
      <c r="J55" s="17"/>
      <c r="K55" s="17" t="s">
        <v>200</v>
      </c>
      <c r="L55" s="17"/>
      <c r="M55" s="17" t="s">
        <v>201</v>
      </c>
    </row>
    <row r="56" spans="1:13" ht="15" customHeight="1">
      <c r="H56" s="108"/>
      <c r="I56" s="16"/>
      <c r="J56" s="16"/>
      <c r="K56" s="16" t="s">
        <v>202</v>
      </c>
      <c r="L56" s="16"/>
      <c r="M56" s="16"/>
    </row>
    <row r="57" spans="1:13" ht="15" customHeight="1">
      <c r="H57" s="108"/>
      <c r="I57" s="17"/>
      <c r="J57" s="17"/>
      <c r="K57" s="17" t="s">
        <v>50</v>
      </c>
      <c r="L57" s="17"/>
      <c r="M57" s="17"/>
    </row>
    <row r="58" spans="1:13" ht="15" customHeight="1">
      <c r="H58" s="108"/>
      <c r="I58" s="16"/>
      <c r="J58" s="16"/>
      <c r="K58" s="16" t="s">
        <v>203</v>
      </c>
      <c r="L58" s="16"/>
      <c r="M58" s="16"/>
    </row>
    <row r="59" spans="1:13" ht="15" customHeight="1">
      <c r="H59" s="108"/>
      <c r="I59" s="17"/>
      <c r="J59" s="17"/>
      <c r="K59" s="17" t="s">
        <v>204</v>
      </c>
      <c r="L59" s="17"/>
      <c r="M59" s="17"/>
    </row>
    <row r="60" spans="1:13" ht="15" customHeight="1">
      <c r="H60" s="108"/>
      <c r="I60" s="16"/>
      <c r="J60" s="16"/>
      <c r="K60" s="86" t="s">
        <v>105</v>
      </c>
      <c r="L60" s="16"/>
      <c r="M60" s="16"/>
    </row>
    <row r="61" spans="1:13" ht="15" customHeight="1">
      <c r="H61" s="108"/>
      <c r="I61" s="17"/>
      <c r="J61" s="17"/>
      <c r="K61" s="17" t="s">
        <v>205</v>
      </c>
      <c r="L61" s="17"/>
      <c r="M61" s="17"/>
    </row>
    <row r="62" spans="1:13" ht="15" customHeight="1">
      <c r="H62" s="108"/>
      <c r="I62" s="16"/>
      <c r="J62" s="16"/>
      <c r="K62" s="16" t="s">
        <v>206</v>
      </c>
      <c r="L62" s="16"/>
      <c r="M62" s="16"/>
    </row>
    <row r="63" spans="1:13" ht="15" customHeight="1">
      <c r="H63" s="108"/>
      <c r="I63" s="17"/>
      <c r="J63" s="17"/>
      <c r="K63" s="17" t="s">
        <v>207</v>
      </c>
      <c r="L63" s="17"/>
      <c r="M63" s="17"/>
    </row>
    <row r="64" spans="1:13" ht="15" customHeight="1">
      <c r="H64" s="108"/>
      <c r="I64" s="16"/>
      <c r="J64" s="16"/>
      <c r="K64" s="16" t="s">
        <v>208</v>
      </c>
      <c r="L64" s="16"/>
      <c r="M64" s="16"/>
    </row>
    <row r="65" spans="8:13" ht="15" customHeight="1">
      <c r="H65" s="108"/>
      <c r="I65" s="17"/>
      <c r="J65" s="17"/>
      <c r="K65" s="17" t="s">
        <v>209</v>
      </c>
      <c r="L65" s="17"/>
      <c r="M65" s="17"/>
    </row>
    <row r="66" spans="8:13" ht="15" customHeight="1">
      <c r="H66" s="108"/>
      <c r="I66" s="16"/>
      <c r="J66" s="16"/>
      <c r="K66" s="16" t="s">
        <v>210</v>
      </c>
      <c r="L66" s="16"/>
      <c r="M66" s="16"/>
    </row>
    <row r="67" spans="8:13" ht="15" customHeight="1">
      <c r="H67" s="108"/>
      <c r="I67" s="17"/>
      <c r="J67" s="17"/>
      <c r="K67" s="17" t="s">
        <v>211</v>
      </c>
      <c r="L67" s="17"/>
      <c r="M67" s="17"/>
    </row>
    <row r="68" spans="8:13" ht="15" customHeight="1">
      <c r="H68" s="108"/>
      <c r="I68" s="16"/>
      <c r="J68" s="16"/>
      <c r="K68" s="16" t="s">
        <v>212</v>
      </c>
      <c r="L68" s="16"/>
      <c r="M68" s="16"/>
    </row>
    <row r="69" spans="8:13" ht="15" customHeight="1">
      <c r="H69" s="108"/>
      <c r="I69" s="17"/>
      <c r="J69" s="17"/>
      <c r="K69" s="17" t="s">
        <v>213</v>
      </c>
      <c r="L69" s="17"/>
      <c r="M69" s="17"/>
    </row>
    <row r="70" spans="8:13" ht="15" customHeight="1">
      <c r="H70" s="108"/>
      <c r="I70" s="16"/>
      <c r="J70" s="16"/>
      <c r="K70" s="16" t="s">
        <v>214</v>
      </c>
      <c r="L70" s="16"/>
      <c r="M70" s="16"/>
    </row>
    <row r="71" spans="8:13" ht="15" customHeight="1">
      <c r="H71" s="108"/>
      <c r="I71" s="17"/>
      <c r="J71" s="17"/>
      <c r="K71" s="17" t="s">
        <v>215</v>
      </c>
      <c r="L71" s="17"/>
      <c r="M71" s="17"/>
    </row>
    <row r="72" spans="8:13" ht="15" customHeight="1">
      <c r="H72" s="108"/>
      <c r="I72" s="16"/>
      <c r="J72" s="16"/>
      <c r="K72" s="16" t="s">
        <v>216</v>
      </c>
      <c r="L72" s="16"/>
      <c r="M72" s="16"/>
    </row>
    <row r="73" spans="8:13" ht="15" customHeight="1">
      <c r="H73" s="108"/>
      <c r="I73" s="17"/>
      <c r="J73" s="17"/>
      <c r="K73" s="17"/>
      <c r="L73" s="17"/>
      <c r="M73" s="17"/>
    </row>
    <row r="74" spans="8:13" ht="15" customHeight="1">
      <c r="H74" s="108"/>
      <c r="I74" s="16"/>
      <c r="J74" s="16"/>
      <c r="K74" s="16"/>
      <c r="L74" s="16"/>
      <c r="M74" s="16"/>
    </row>
    <row r="75" spans="8:13" ht="15" customHeight="1">
      <c r="H75" s="108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38"/>
  <sheetViews>
    <sheetView showGridLines="0" zoomScale="60" zoomScaleNormal="60" workbookViewId="0">
      <pane ySplit="1" topLeftCell="A2" activePane="bottomLeft" state="frozen"/>
      <selection pane="bottomLeft" activeCell="E23" sqref="E23"/>
    </sheetView>
  </sheetViews>
  <sheetFormatPr defaultColWidth="8.5703125" defaultRowHeight="14.4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78.5703125" style="20" customWidth="1"/>
    <col min="15" max="15" width="14" customWidth="1"/>
  </cols>
  <sheetData>
    <row r="1" spans="1:15" ht="37.5" customHeight="1">
      <c r="A1" s="67" t="s">
        <v>7</v>
      </c>
      <c r="B1" s="23" t="s">
        <v>217</v>
      </c>
      <c r="C1" s="23" t="s">
        <v>12</v>
      </c>
      <c r="D1" s="22" t="s">
        <v>13</v>
      </c>
      <c r="E1" s="22" t="s">
        <v>218</v>
      </c>
      <c r="F1" s="23" t="s">
        <v>219</v>
      </c>
      <c r="G1" s="23" t="s">
        <v>220</v>
      </c>
      <c r="H1" s="23" t="s">
        <v>14</v>
      </c>
      <c r="I1" s="23" t="s">
        <v>15</v>
      </c>
      <c r="J1" s="23" t="s">
        <v>221</v>
      </c>
      <c r="K1" s="23" t="s">
        <v>222</v>
      </c>
      <c r="L1" s="23" t="s">
        <v>223</v>
      </c>
      <c r="M1" s="24" t="s">
        <v>224</v>
      </c>
      <c r="N1" s="23" t="s">
        <v>225</v>
      </c>
      <c r="O1" s="23" t="s">
        <v>226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20" t="s">
        <v>30</v>
      </c>
      <c r="E2" s="59" t="s">
        <v>227</v>
      </c>
      <c r="F2" s="27">
        <v>0</v>
      </c>
      <c r="G2" s="28">
        <f t="shared" ref="G2:G13" si="0">IF(F2="","",IF(E2="PC 17",F2*4.2,IF(E2="PC 19",F2*5,IF(E2="CB",F2*35,""))))</f>
        <v>0</v>
      </c>
      <c r="H2" s="26" t="s">
        <v>19</v>
      </c>
      <c r="I2" s="26" t="s">
        <v>23</v>
      </c>
      <c r="J2" s="26" t="s">
        <v>67</v>
      </c>
      <c r="K2" s="29">
        <v>0.7104166666666667</v>
      </c>
      <c r="L2" s="29">
        <v>0.77638888888888891</v>
      </c>
      <c r="M2" s="30">
        <f ca="1">IFERROR(IF(K2="","",IF(L2="",MOD(NOW()-K2,1),IF(L2&gt;=K2,L2-K2,L2+1-K2))),"")</f>
        <v>6.597222222222221E-2</v>
      </c>
      <c r="N2" s="27"/>
      <c r="O2" s="31"/>
    </row>
    <row r="3" spans="1:15" ht="15" customHeight="1">
      <c r="A3" s="69">
        <v>46235</v>
      </c>
      <c r="B3" s="32">
        <f t="shared" ref="B3:B13" si="1">B2+TIME(0,60,0)</f>
        <v>0.37499999999999967</v>
      </c>
      <c r="C3" s="26" t="s">
        <v>45</v>
      </c>
      <c r="D3" s="59" t="s">
        <v>30</v>
      </c>
      <c r="E3" s="59" t="s">
        <v>227</v>
      </c>
      <c r="F3" s="27">
        <v>12</v>
      </c>
      <c r="G3" s="34">
        <f t="shared" si="0"/>
        <v>60</v>
      </c>
      <c r="H3" s="33"/>
      <c r="I3" s="33"/>
      <c r="J3" s="33"/>
      <c r="K3" s="29"/>
      <c r="L3" s="29"/>
      <c r="M3" s="35" t="str">
        <f t="shared" ref="M3:M13" ca="1" si="2">IFERROR(IF(K3="","",IF(L3="",MOD(NOW()-K3,1),IF(L3&gt;=K3,L3-K3,L3+1-K3))),"")</f>
        <v/>
      </c>
      <c r="N3" s="27"/>
      <c r="O3" s="31"/>
    </row>
    <row r="4" spans="1:15" ht="15" customHeight="1">
      <c r="A4" s="68">
        <v>46235</v>
      </c>
      <c r="B4" s="25">
        <f t="shared" si="1"/>
        <v>0.41666666666666635</v>
      </c>
      <c r="C4" s="26" t="s">
        <v>45</v>
      </c>
      <c r="D4" s="59" t="s">
        <v>30</v>
      </c>
      <c r="E4" s="59" t="s">
        <v>227</v>
      </c>
      <c r="F4" s="27">
        <v>6</v>
      </c>
      <c r="G4" s="28">
        <f t="shared" si="0"/>
        <v>30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46235</v>
      </c>
      <c r="B5" s="32">
        <f t="shared" si="1"/>
        <v>0.45833333333333304</v>
      </c>
      <c r="C5" s="26" t="s">
        <v>45</v>
      </c>
      <c r="D5" s="59" t="s">
        <v>30</v>
      </c>
      <c r="E5" s="59" t="s">
        <v>227</v>
      </c>
      <c r="F5" s="27">
        <v>7</v>
      </c>
      <c r="G5" s="34">
        <f t="shared" si="0"/>
        <v>35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46235</v>
      </c>
      <c r="B6" s="25">
        <f t="shared" si="1"/>
        <v>0.49999999999999972</v>
      </c>
      <c r="C6" s="26" t="s">
        <v>45</v>
      </c>
      <c r="D6" s="59" t="s">
        <v>30</v>
      </c>
      <c r="E6" s="59" t="s">
        <v>227</v>
      </c>
      <c r="F6" s="27">
        <v>14</v>
      </c>
      <c r="G6" s="28">
        <f t="shared" si="0"/>
        <v>70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46235</v>
      </c>
      <c r="B7" s="32">
        <f t="shared" si="1"/>
        <v>0.54166666666666641</v>
      </c>
      <c r="C7" s="26" t="s">
        <v>45</v>
      </c>
      <c r="D7" s="59" t="s">
        <v>30</v>
      </c>
      <c r="E7" s="59" t="s">
        <v>227</v>
      </c>
      <c r="F7" s="27">
        <v>10</v>
      </c>
      <c r="G7" s="34">
        <f t="shared" si="0"/>
        <v>50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46235</v>
      </c>
      <c r="B8" s="25">
        <f t="shared" si="1"/>
        <v>0.58333333333333304</v>
      </c>
      <c r="C8" s="26" t="s">
        <v>45</v>
      </c>
      <c r="D8" s="59" t="s">
        <v>30</v>
      </c>
      <c r="E8" s="59" t="s">
        <v>227</v>
      </c>
      <c r="F8" s="27">
        <v>42</v>
      </c>
      <c r="G8" s="28">
        <f t="shared" si="0"/>
        <v>210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46235</v>
      </c>
      <c r="B9" s="32">
        <f t="shared" si="1"/>
        <v>0.62499999999999967</v>
      </c>
      <c r="C9" s="26" t="s">
        <v>45</v>
      </c>
      <c r="D9" s="59" t="s">
        <v>30</v>
      </c>
      <c r="E9" s="59" t="s">
        <v>227</v>
      </c>
      <c r="F9" s="27">
        <v>25</v>
      </c>
      <c r="G9" s="34">
        <f t="shared" si="0"/>
        <v>125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46235</v>
      </c>
      <c r="B10" s="25">
        <f t="shared" si="1"/>
        <v>0.6666666666666663</v>
      </c>
      <c r="C10" s="26" t="s">
        <v>45</v>
      </c>
      <c r="D10" s="59" t="s">
        <v>30</v>
      </c>
      <c r="E10" s="59" t="s">
        <v>227</v>
      </c>
      <c r="F10" s="27">
        <v>30</v>
      </c>
      <c r="G10" s="28">
        <f t="shared" si="0"/>
        <v>150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46235</v>
      </c>
      <c r="B11" s="32">
        <f t="shared" si="1"/>
        <v>0.70833333333333293</v>
      </c>
      <c r="C11" s="26" t="s">
        <v>45</v>
      </c>
      <c r="D11" s="59" t="s">
        <v>30</v>
      </c>
      <c r="E11" s="59" t="s">
        <v>227</v>
      </c>
      <c r="F11" s="27">
        <v>23</v>
      </c>
      <c r="G11" s="34">
        <f t="shared" si="0"/>
        <v>115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46235</v>
      </c>
      <c r="B12" s="25">
        <f t="shared" si="1"/>
        <v>0.74999999999999956</v>
      </c>
      <c r="C12" s="26" t="s">
        <v>45</v>
      </c>
      <c r="D12" s="59" t="s">
        <v>30</v>
      </c>
      <c r="E12" s="59" t="s">
        <v>227</v>
      </c>
      <c r="F12" s="27">
        <v>23</v>
      </c>
      <c r="G12" s="28">
        <f t="shared" si="0"/>
        <v>115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46235</v>
      </c>
      <c r="B13" s="32">
        <f t="shared" si="1"/>
        <v>0.79166666666666619</v>
      </c>
      <c r="C13" s="26" t="s">
        <v>45</v>
      </c>
      <c r="D13" s="59" t="s">
        <v>30</v>
      </c>
      <c r="E13" s="59" t="s">
        <v>227</v>
      </c>
      <c r="F13" s="27">
        <v>4</v>
      </c>
      <c r="G13" s="34">
        <f t="shared" si="0"/>
        <v>20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98" t="s">
        <v>228</v>
      </c>
      <c r="B14" s="99"/>
      <c r="C14" s="99"/>
      <c r="D14" s="99"/>
      <c r="E14" s="100"/>
      <c r="F14" s="36">
        <f>SUM(F2:F13)</f>
        <v>196</v>
      </c>
      <c r="G14" s="36">
        <f>SUM(G2:G13)</f>
        <v>980</v>
      </c>
      <c r="H14" s="37"/>
      <c r="I14" s="37"/>
      <c r="J14" s="37"/>
      <c r="K14" s="37"/>
      <c r="L14" s="37"/>
      <c r="M14" s="38">
        <f ca="1">IFERROR(SUM(M2:M13),"")</f>
        <v>6.597222222222221E-2</v>
      </c>
      <c r="N14" s="36" t="s">
        <v>229</v>
      </c>
      <c r="O14" s="39">
        <v>797765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/>
      <c r="F15" s="27"/>
      <c r="G15" s="34" t="str">
        <f t="shared" ref="G15:G26" si="3">IF(F15="","",IF(E15="PC 17",F15*4.2,IF(E15="PC 19",F15*5,IF(E15="CB",F15*35,""))))</f>
        <v/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/>
      <c r="F16" s="27"/>
      <c r="G16" s="34" t="str">
        <f t="shared" si="3"/>
        <v/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/>
      <c r="F17" s="27"/>
      <c r="G17" s="34" t="str">
        <f t="shared" si="3"/>
        <v/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/>
      <c r="F18" s="27"/>
      <c r="G18" s="34" t="str">
        <f t="shared" si="3"/>
        <v/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/>
      <c r="F19" s="27"/>
      <c r="G19" s="34" t="str">
        <f t="shared" si="3"/>
        <v/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/>
      <c r="F20" s="27"/>
      <c r="G20" s="34" t="str">
        <f t="shared" si="3"/>
        <v/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/>
      <c r="F21" s="27"/>
      <c r="G21" s="34" t="str">
        <f t="shared" si="3"/>
        <v/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/>
      <c r="F22" s="27"/>
      <c r="G22" s="34" t="str">
        <f t="shared" si="3"/>
        <v/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/>
      <c r="F23" s="27"/>
      <c r="G23" s="34" t="str">
        <f t="shared" si="3"/>
        <v/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/>
      <c r="F24" s="27"/>
      <c r="G24" s="34" t="str">
        <f t="shared" si="3"/>
        <v/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/>
      <c r="F25" s="27"/>
      <c r="G25" s="34" t="str">
        <f t="shared" si="3"/>
        <v/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/>
      <c r="F26" s="27"/>
      <c r="G26" s="34" t="str">
        <f t="shared" si="3"/>
        <v/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98" t="s">
        <v>230</v>
      </c>
      <c r="B27" s="99"/>
      <c r="C27" s="99"/>
      <c r="D27" s="99"/>
      <c r="E27" s="100"/>
      <c r="F27" s="36">
        <f>SUM(F15:F26)</f>
        <v>0</v>
      </c>
      <c r="G27" s="36">
        <f>SUM(G15:G26)</f>
        <v>0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229</v>
      </c>
      <c r="O27" s="39"/>
    </row>
    <row r="28" spans="1:15" ht="18" customHeight="1">
      <c r="A28" s="101" t="s">
        <v>231</v>
      </c>
      <c r="B28" s="102"/>
      <c r="C28" s="102"/>
      <c r="D28" s="102"/>
      <c r="E28" s="103"/>
      <c r="F28" s="40">
        <f>F14+F27</f>
        <v>196</v>
      </c>
      <c r="G28" s="40">
        <f>G14+G27</f>
        <v>980</v>
      </c>
      <c r="H28" s="41"/>
      <c r="I28" s="41"/>
      <c r="J28" s="41"/>
      <c r="K28" s="41"/>
      <c r="L28" s="41"/>
      <c r="M28" s="42">
        <f ca="1">IFERROR(M14+M27,"")</f>
        <v>6.597222222222221E-2</v>
      </c>
      <c r="N28" s="40" t="s">
        <v>232</v>
      </c>
      <c r="O28" s="43">
        <f>IFERROR(O14+O27,"")</f>
        <v>797765</v>
      </c>
    </row>
    <row r="29" spans="1:15" ht="15" customHeight="1">
      <c r="A29" s="68">
        <v>46236</v>
      </c>
      <c r="B29" s="25">
        <v>0.33333333333333298</v>
      </c>
      <c r="C29" s="26"/>
      <c r="D29" s="59"/>
      <c r="E29" s="59"/>
      <c r="F29" s="27"/>
      <c r="G29" s="28" t="str">
        <f t="shared" ref="G29:G40" si="6">IF(F29="","",IF(E29="PC 17",F29*4.2,IF(E29="PC 19",F29*5,IF(E29="CB",F29*35,""))))</f>
        <v/>
      </c>
      <c r="H29" s="33"/>
      <c r="I29" s="33"/>
      <c r="J29" s="33"/>
      <c r="K29" s="29"/>
      <c r="L29" s="29"/>
      <c r="M29" s="35" t="str">
        <f t="shared" ref="M29:M40" ca="1" si="7">IFERROR(IF(K29="","",IF(L29="",MOD(NOW()-K29,1),IF(L29&gt;=K29,L29-K29,L29+1-K29))),"")</f>
        <v/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/>
      <c r="D30" s="59"/>
      <c r="E30" s="59"/>
      <c r="F30" s="27"/>
      <c r="G30" s="34" t="str">
        <f t="shared" si="6"/>
        <v/>
      </c>
      <c r="H30" s="26"/>
      <c r="I30" s="26"/>
      <c r="J30" s="26"/>
      <c r="K30" s="29"/>
      <c r="L30" s="29"/>
      <c r="M30" s="30" t="str">
        <f t="shared" ca="1" si="7"/>
        <v/>
      </c>
      <c r="N30" s="27"/>
      <c r="O30" s="31"/>
    </row>
    <row r="31" spans="1:15" ht="15" customHeight="1">
      <c r="A31" s="68">
        <v>46236</v>
      </c>
      <c r="B31" s="25">
        <f t="shared" si="8"/>
        <v>0.41666666666666635</v>
      </c>
      <c r="C31" s="26"/>
      <c r="D31" s="59"/>
      <c r="E31" s="59"/>
      <c r="F31" s="27"/>
      <c r="G31" s="28" t="str">
        <f t="shared" si="6"/>
        <v/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46236</v>
      </c>
      <c r="B32" s="32">
        <f t="shared" si="8"/>
        <v>0.45833333333333304</v>
      </c>
      <c r="C32" s="26"/>
      <c r="D32" s="59"/>
      <c r="E32" s="59"/>
      <c r="F32" s="27"/>
      <c r="G32" s="34" t="str">
        <f t="shared" si="6"/>
        <v/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/>
      <c r="D33" s="59"/>
      <c r="E33" s="59"/>
      <c r="F33" s="27"/>
      <c r="G33" s="28" t="str">
        <f t="shared" si="6"/>
        <v/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/>
      <c r="D34" s="59"/>
      <c r="E34" s="59"/>
      <c r="F34" s="27"/>
      <c r="G34" s="34" t="str">
        <f t="shared" si="6"/>
        <v/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/>
      <c r="D35" s="59"/>
      <c r="E35" s="59"/>
      <c r="F35" s="27"/>
      <c r="G35" s="28" t="str">
        <f t="shared" si="6"/>
        <v/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/>
      <c r="D36" s="59"/>
      <c r="E36" s="59"/>
      <c r="F36" s="27"/>
      <c r="G36" s="34" t="str">
        <f t="shared" si="6"/>
        <v/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/>
      <c r="D37" s="59"/>
      <c r="E37" s="59"/>
      <c r="F37" s="27"/>
      <c r="G37" s="28" t="str">
        <f t="shared" si="6"/>
        <v/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/>
      <c r="D38" s="59"/>
      <c r="E38" s="59"/>
      <c r="F38" s="27"/>
      <c r="G38" s="34" t="str">
        <f t="shared" si="6"/>
        <v/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/>
      <c r="D39" s="59"/>
      <c r="E39" s="59"/>
      <c r="F39" s="27"/>
      <c r="G39" s="28" t="str">
        <f t="shared" si="6"/>
        <v/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/>
      <c r="D40" s="59"/>
      <c r="E40" s="59"/>
      <c r="F40" s="27"/>
      <c r="G40" s="34" t="str">
        <f t="shared" si="6"/>
        <v/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8" t="s">
        <v>228</v>
      </c>
      <c r="B41" s="99"/>
      <c r="C41" s="99"/>
      <c r="D41" s="99"/>
      <c r="E41" s="100">
        <f>SUM(E29:E40)</f>
        <v>0</v>
      </c>
      <c r="F41" s="36">
        <f>SUM(F29:F40)</f>
        <v>0</v>
      </c>
      <c r="G41" s="36">
        <f>SUM(G29:G40)</f>
        <v>0</v>
      </c>
      <c r="H41" s="37"/>
      <c r="I41" s="37"/>
      <c r="J41" s="37"/>
      <c r="K41" s="37"/>
      <c r="L41" s="37"/>
      <c r="M41" s="38">
        <f ca="1">IFERROR(SUM(M29:M40),"")</f>
        <v>0</v>
      </c>
      <c r="N41" s="36" t="s">
        <v>229</v>
      </c>
      <c r="O41" s="39"/>
    </row>
    <row r="42" spans="1:15" ht="15" customHeight="1">
      <c r="A42" s="69">
        <v>46236</v>
      </c>
      <c r="B42" s="32">
        <v>0.83333333333333304</v>
      </c>
      <c r="C42" s="33"/>
      <c r="D42" s="62"/>
      <c r="E42" s="62"/>
      <c r="F42" s="27"/>
      <c r="G42" s="34" t="str">
        <f t="shared" ref="G42:G53" si="9">IF(F42="","",IF(E42="PC 17",F42*4.2,IF(E42="PC 19",F42*5,IF(E42="CB",F42*35,""))))</f>
        <v/>
      </c>
      <c r="H42" s="26"/>
      <c r="I42" s="26"/>
      <c r="J42" s="26"/>
      <c r="K42" s="29"/>
      <c r="L42" s="29"/>
      <c r="M42" s="30" t="str">
        <f t="shared" ref="M42:M53" ca="1" si="10">IFERROR(IF(K42="","",IF(L42="",MOD(NOW()-K42,1),IF(L42&gt;=K42,L42-K42,L42+1-K42))),"")</f>
        <v/>
      </c>
      <c r="N42" s="27"/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/>
      <c r="D43" s="62"/>
      <c r="E43" s="62"/>
      <c r="F43" s="27"/>
      <c r="G43" s="28" t="str">
        <f t="shared" si="9"/>
        <v/>
      </c>
      <c r="H43" s="33"/>
      <c r="I43" s="33"/>
      <c r="J43" s="33"/>
      <c r="K43" s="29"/>
      <c r="L43" s="29"/>
      <c r="M43" s="35" t="str">
        <f t="shared" ca="1" si="10"/>
        <v/>
      </c>
      <c r="N43" s="27"/>
      <c r="O43" s="31"/>
    </row>
    <row r="44" spans="1:15" ht="15" customHeight="1">
      <c r="A44" s="69">
        <v>46236</v>
      </c>
      <c r="B44" s="32">
        <f t="shared" si="11"/>
        <v>0.9166666666666663</v>
      </c>
      <c r="C44" s="33"/>
      <c r="D44" s="62"/>
      <c r="E44" s="62"/>
      <c r="F44" s="27"/>
      <c r="G44" s="34" t="str">
        <f t="shared" si="9"/>
        <v/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/>
      <c r="D45" s="62"/>
      <c r="E45" s="62"/>
      <c r="F45" s="27"/>
      <c r="G45" s="28" t="str">
        <f t="shared" si="9"/>
        <v/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/>
      <c r="D46" s="62"/>
      <c r="E46" s="62"/>
      <c r="F46" s="27"/>
      <c r="G46" s="34" t="str">
        <f t="shared" si="9"/>
        <v/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/>
      <c r="D47" s="62"/>
      <c r="E47" s="62"/>
      <c r="F47" s="27"/>
      <c r="G47" s="28" t="str">
        <f t="shared" si="9"/>
        <v/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/>
      <c r="D48" s="62"/>
      <c r="E48" s="62"/>
      <c r="F48" s="27"/>
      <c r="G48" s="34" t="str">
        <f t="shared" si="9"/>
        <v/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/>
      <c r="D49" s="62"/>
      <c r="E49" s="62"/>
      <c r="F49" s="27"/>
      <c r="G49" s="28" t="str">
        <f t="shared" si="9"/>
        <v/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/>
      <c r="D50" s="62"/>
      <c r="E50" s="62"/>
      <c r="F50" s="27"/>
      <c r="G50" s="34" t="str">
        <f t="shared" si="9"/>
        <v/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46236</v>
      </c>
      <c r="B51" s="25">
        <f t="shared" si="11"/>
        <v>1.2083333333333333</v>
      </c>
      <c r="C51" s="33"/>
      <c r="D51" s="62"/>
      <c r="E51" s="62"/>
      <c r="F51" s="27"/>
      <c r="G51" s="28" t="str">
        <f t="shared" si="9"/>
        <v/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/>
      <c r="D52" s="62"/>
      <c r="E52" s="62"/>
      <c r="F52" s="27"/>
      <c r="G52" s="34" t="str">
        <f t="shared" si="9"/>
        <v/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/>
      <c r="D53" s="62"/>
      <c r="E53" s="62"/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8" t="s">
        <v>230</v>
      </c>
      <c r="B54" s="99"/>
      <c r="C54" s="99"/>
      <c r="D54" s="99"/>
      <c r="E54" s="100">
        <f>SUM(E42:E53)</f>
        <v>0</v>
      </c>
      <c r="F54" s="36">
        <f>SUM(F42:F53)</f>
        <v>0</v>
      </c>
      <c r="G54" s="36">
        <f>SUM(G42:G53)</f>
        <v>0</v>
      </c>
      <c r="H54" s="37"/>
      <c r="I54" s="37"/>
      <c r="J54" s="37"/>
      <c r="K54" s="37"/>
      <c r="L54" s="37"/>
      <c r="M54" s="38">
        <f ca="1">IFERROR(SUM(M42:M53),"")</f>
        <v>0</v>
      </c>
      <c r="N54" s="36" t="s">
        <v>229</v>
      </c>
      <c r="O54" s="39"/>
    </row>
    <row r="55" spans="1:15" ht="18" customHeight="1">
      <c r="A55" s="101" t="s">
        <v>231</v>
      </c>
      <c r="B55" s="102"/>
      <c r="C55" s="102"/>
      <c r="D55" s="102"/>
      <c r="E55" s="103">
        <f>E41+E54</f>
        <v>0</v>
      </c>
      <c r="F55" s="40">
        <f>F41+F54</f>
        <v>0</v>
      </c>
      <c r="G55" s="40">
        <f>G41+G54</f>
        <v>0</v>
      </c>
      <c r="H55" s="41"/>
      <c r="I55" s="41"/>
      <c r="J55" s="41"/>
      <c r="K55" s="41"/>
      <c r="L55" s="41"/>
      <c r="M55" s="42">
        <f ca="1">IFERROR(M41+M54,"")</f>
        <v>0</v>
      </c>
      <c r="N55" s="40" t="s">
        <v>232</v>
      </c>
      <c r="O55" s="43">
        <f>IFERROR(O41+O54,"")</f>
        <v>0</v>
      </c>
    </row>
    <row r="56" spans="1:15" ht="15" customHeight="1">
      <c r="A56" s="68">
        <v>46237</v>
      </c>
      <c r="B56" s="25">
        <v>0.33333333333333298</v>
      </c>
      <c r="C56" s="26"/>
      <c r="D56" s="59"/>
      <c r="E56" s="59"/>
      <c r="F56" s="27"/>
      <c r="G56" s="28" t="str">
        <f t="shared" ref="G56:G67" si="12">IF(F56="","",IF(E56="PC 17",F56*4.2,IF(E56="PC 19",F56*5,IF(E56="CB",F56*35,""))))</f>
        <v/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/>
      <c r="D57" s="59"/>
      <c r="E57" s="59"/>
      <c r="F57" s="27"/>
      <c r="G57" s="34" t="str">
        <f t="shared" si="12"/>
        <v/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/>
      <c r="D58" s="59"/>
      <c r="E58" s="59"/>
      <c r="F58" s="27"/>
      <c r="G58" s="28" t="str">
        <f t="shared" si="12"/>
        <v/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/>
      <c r="D59" s="59"/>
      <c r="E59" s="59"/>
      <c r="F59" s="27"/>
      <c r="G59" s="34" t="str">
        <f t="shared" si="12"/>
        <v/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/>
      <c r="D60" s="59"/>
      <c r="E60" s="59"/>
      <c r="F60" s="27"/>
      <c r="G60" s="28" t="str">
        <f t="shared" si="12"/>
        <v/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/>
      <c r="D61" s="59"/>
      <c r="E61" s="59"/>
      <c r="F61" s="27"/>
      <c r="G61" s="34" t="str">
        <f t="shared" si="12"/>
        <v/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/>
      <c r="D62" s="59"/>
      <c r="E62" s="59"/>
      <c r="F62" s="27"/>
      <c r="G62" s="28" t="str">
        <f t="shared" si="12"/>
        <v/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46237</v>
      </c>
      <c r="B63" s="32">
        <f t="shared" si="14"/>
        <v>0.62499999999999967</v>
      </c>
      <c r="C63" s="26"/>
      <c r="D63" s="59"/>
      <c r="E63" s="59"/>
      <c r="F63" s="27"/>
      <c r="G63" s="34" t="str">
        <f t="shared" si="12"/>
        <v/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/>
      <c r="D64" s="59"/>
      <c r="E64" s="59"/>
      <c r="F64" s="27"/>
      <c r="G64" s="28" t="str">
        <f t="shared" si="12"/>
        <v/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/>
      <c r="D65" s="59"/>
      <c r="E65" s="59"/>
      <c r="F65" s="27"/>
      <c r="G65" s="34" t="str">
        <f t="shared" si="12"/>
        <v/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/>
      <c r="D66" s="59"/>
      <c r="E66" s="59"/>
      <c r="F66" s="27"/>
      <c r="G66" s="28" t="str">
        <f t="shared" si="12"/>
        <v/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/>
      <c r="D67" s="59"/>
      <c r="E67" s="59"/>
      <c r="F67" s="27"/>
      <c r="G67" s="34" t="str">
        <f t="shared" si="12"/>
        <v/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8" t="s">
        <v>228</v>
      </c>
      <c r="B68" s="99"/>
      <c r="C68" s="99"/>
      <c r="D68" s="99"/>
      <c r="E68" s="100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229</v>
      </c>
      <c r="O68" s="39"/>
    </row>
    <row r="69" spans="1:15" ht="15" customHeight="1">
      <c r="A69" s="69">
        <v>46237</v>
      </c>
      <c r="B69" s="32">
        <v>0.83333333333333304</v>
      </c>
      <c r="C69" s="33"/>
      <c r="D69" s="62"/>
      <c r="E69" s="62"/>
      <c r="F69" s="27"/>
      <c r="G69" s="34" t="str">
        <f t="shared" ref="G69:G80" si="15">IF(F69="","",IF(E69="PC 17",F69*4.2,IF(E69="PC 19",F69*5,IF(E69="CB",F69*35,""))))</f>
        <v/>
      </c>
      <c r="H69" s="33"/>
      <c r="I69" s="33"/>
      <c r="J69" s="33"/>
      <c r="K69" s="29"/>
      <c r="L69" s="29"/>
      <c r="M69" s="35" t="str">
        <f t="shared" ref="M69:M80" ca="1" si="16">IFERROR(IF(K69="","",IF(L69="",MOD(NOW()-K69,1),IF(L69&gt;=K69,L69-K69,L69+1-K69))),"")</f>
        <v/>
      </c>
      <c r="N69" s="27"/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/>
      <c r="D70" s="62"/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0" t="str">
        <f t="shared" ca="1" si="16"/>
        <v/>
      </c>
      <c r="N70" s="27"/>
      <c r="O70" s="31"/>
    </row>
    <row r="71" spans="1:15" ht="15" customHeight="1">
      <c r="A71" s="69">
        <v>46237</v>
      </c>
      <c r="B71" s="32">
        <f t="shared" si="17"/>
        <v>0.9166666666666663</v>
      </c>
      <c r="C71" s="33"/>
      <c r="D71" s="62"/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/>
      <c r="D72" s="62"/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/>
      <c r="D73" s="62"/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/>
      <c r="D74" s="62"/>
      <c r="E74" s="62"/>
      <c r="F74" s="27"/>
      <c r="G74" s="28" t="str">
        <f t="shared" si="15"/>
        <v/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/>
      <c r="D75" s="62"/>
      <c r="E75" s="62"/>
      <c r="F75" s="27"/>
      <c r="G75" s="34" t="str">
        <f t="shared" si="15"/>
        <v/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/>
      <c r="D76" s="62"/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/>
      <c r="D77" s="62"/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/>
      <c r="D78" s="62"/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/>
      <c r="D79" s="62"/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/>
      <c r="D80" s="62"/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8" t="s">
        <v>230</v>
      </c>
      <c r="B81" s="99"/>
      <c r="C81" s="99"/>
      <c r="D81" s="99"/>
      <c r="E81" s="100">
        <f>SUM(E69:E80)</f>
        <v>0</v>
      </c>
      <c r="F81" s="36">
        <f>SUM(F69:F80)</f>
        <v>0</v>
      </c>
      <c r="G81" s="36">
        <f>SUM(G69:G80)</f>
        <v>0</v>
      </c>
      <c r="H81" s="37"/>
      <c r="I81" s="37"/>
      <c r="J81" s="37"/>
      <c r="K81" s="37"/>
      <c r="L81" s="37"/>
      <c r="M81" s="38">
        <f ca="1">IFERROR(SUM(M69:M80),"")</f>
        <v>0</v>
      </c>
      <c r="N81" s="36" t="s">
        <v>229</v>
      </c>
      <c r="O81" s="39"/>
    </row>
    <row r="82" spans="1:15" ht="18" customHeight="1">
      <c r="A82" s="101" t="s">
        <v>231</v>
      </c>
      <c r="B82" s="102"/>
      <c r="C82" s="102"/>
      <c r="D82" s="102"/>
      <c r="E82" s="103">
        <f>E68+E81</f>
        <v>0</v>
      </c>
      <c r="F82" s="40">
        <f>F68+F81</f>
        <v>0</v>
      </c>
      <c r="G82" s="40">
        <f>G68+G81</f>
        <v>0</v>
      </c>
      <c r="H82" s="41"/>
      <c r="I82" s="41"/>
      <c r="J82" s="41"/>
      <c r="K82" s="41"/>
      <c r="L82" s="41"/>
      <c r="M82" s="42">
        <f ca="1">IFERROR(M68+M81,"")</f>
        <v>0</v>
      </c>
      <c r="N82" s="40" t="s">
        <v>232</v>
      </c>
      <c r="O82" s="43">
        <f>IFERROR(O68+O81,"")</f>
        <v>0</v>
      </c>
    </row>
    <row r="83" spans="1:15" ht="15" customHeight="1">
      <c r="A83" s="68">
        <v>46238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19",F83*5,IF(E83="CB",F83*35,""))))</f>
        <v/>
      </c>
      <c r="H83" s="33"/>
      <c r="I83" s="33"/>
      <c r="J83" s="33"/>
      <c r="K83" s="29"/>
      <c r="L83" s="29"/>
      <c r="M83" s="35" t="str">
        <f t="shared" ref="M83:M94" ca="1" si="19">IFERROR(IF(K83="","",IF(L83="",MOD(NOW()-K83,1),IF(L83&gt;=K83,L83-K83,L83+1-K83))),"")</f>
        <v/>
      </c>
      <c r="N83" s="27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8">
        <v>46238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46238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8" t="s">
        <v>228</v>
      </c>
      <c r="B95" s="99"/>
      <c r="C95" s="99"/>
      <c r="D95" s="99"/>
      <c r="E95" s="100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37"/>
      <c r="L95" s="37"/>
      <c r="M95" s="38">
        <f ca="1">IFERROR(SUM(M83:M94),"")</f>
        <v>0</v>
      </c>
      <c r="N95" s="36" t="s">
        <v>229</v>
      </c>
      <c r="O95" s="39"/>
    </row>
    <row r="96" spans="1:15" ht="15" customHeight="1">
      <c r="A96" s="69">
        <v>46238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19",F96*5,IF(E96="CB",F96*35,""))))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46238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8" t="s">
        <v>230</v>
      </c>
      <c r="B108" s="99"/>
      <c r="C108" s="99"/>
      <c r="D108" s="99"/>
      <c r="E108" s="100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229</v>
      </c>
      <c r="O108" s="39"/>
    </row>
    <row r="109" spans="1:15" ht="18" customHeight="1">
      <c r="A109" s="101" t="s">
        <v>231</v>
      </c>
      <c r="B109" s="102"/>
      <c r="C109" s="102"/>
      <c r="D109" s="102"/>
      <c r="E109" s="103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41"/>
      <c r="L109" s="41"/>
      <c r="M109" s="42">
        <f ca="1">IFERROR(M95+M108,"")</f>
        <v>0</v>
      </c>
      <c r="N109" s="40" t="s">
        <v>232</v>
      </c>
      <c r="O109" s="43">
        <f>IFERROR(O95+O108,"")</f>
        <v>0</v>
      </c>
    </row>
    <row r="110" spans="1:15" ht="15" customHeight="1">
      <c r="A110" s="68">
        <v>46239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19",F110*5,IF(E110="CB",F110*35,""))))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8" t="s">
        <v>228</v>
      </c>
      <c r="B122" s="99"/>
      <c r="C122" s="99"/>
      <c r="D122" s="99"/>
      <c r="E122" s="100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229</v>
      </c>
      <c r="O122" s="39"/>
    </row>
    <row r="123" spans="1:15" ht="15" customHeight="1">
      <c r="A123" s="69">
        <v>46239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19",F123*5,IF(E123="CB",F123*35,""))))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8" t="s">
        <v>230</v>
      </c>
      <c r="B135" s="99"/>
      <c r="C135" s="99"/>
      <c r="D135" s="99"/>
      <c r="E135" s="100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229</v>
      </c>
      <c r="O135" s="39"/>
    </row>
    <row r="136" spans="1:15" ht="18" customHeight="1">
      <c r="A136" s="101" t="s">
        <v>231</v>
      </c>
      <c r="B136" s="102"/>
      <c r="C136" s="102"/>
      <c r="D136" s="102"/>
      <c r="E136" s="103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232</v>
      </c>
      <c r="O136" s="43">
        <f>IFERROR(O122+O135,"")</f>
        <v>0</v>
      </c>
    </row>
    <row r="137" spans="1:15" ht="15" customHeight="1">
      <c r="A137" s="69">
        <v>46240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19",F137*5,IF(E137="CB",F137*35,""))))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8" t="s">
        <v>228</v>
      </c>
      <c r="B149" s="99"/>
      <c r="C149" s="99"/>
      <c r="D149" s="99"/>
      <c r="E149" s="100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229</v>
      </c>
      <c r="O149" s="44"/>
    </row>
    <row r="150" spans="1:15" ht="15" customHeight="1">
      <c r="A150" s="68">
        <v>46240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19",F150*5,IF(E150="CB",F150*35,""))))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8" t="s">
        <v>230</v>
      </c>
      <c r="B162" s="99"/>
      <c r="C162" s="99"/>
      <c r="D162" s="99"/>
      <c r="E162" s="100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229</v>
      </c>
      <c r="O162" s="44"/>
    </row>
    <row r="163" spans="1:15" ht="18" customHeight="1">
      <c r="A163" s="101" t="s">
        <v>231</v>
      </c>
      <c r="B163" s="102"/>
      <c r="C163" s="102"/>
      <c r="D163" s="102"/>
      <c r="E163" s="103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232</v>
      </c>
      <c r="O163" s="43">
        <f>IFERROR(O149+O162,"")</f>
        <v>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19",F164*5,IF(E164="CB",F164*35,""))))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59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59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59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59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59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59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8" t="s">
        <v>228</v>
      </c>
      <c r="B176" s="99"/>
      <c r="C176" s="99"/>
      <c r="D176" s="99"/>
      <c r="E176" s="100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229</v>
      </c>
      <c r="O176" s="39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19",F177*5,IF(E177="CB",F177*35,""))))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62"/>
      <c r="E178" s="62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62"/>
      <c r="E180" s="62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62"/>
      <c r="E182" s="62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62"/>
      <c r="E184" s="62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62"/>
      <c r="E186" s="62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62"/>
      <c r="E188" s="62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8" t="s">
        <v>230</v>
      </c>
      <c r="B189" s="99"/>
      <c r="C189" s="99"/>
      <c r="D189" s="99"/>
      <c r="E189" s="100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229</v>
      </c>
      <c r="O189" s="39"/>
    </row>
    <row r="190" spans="1:15" ht="18" customHeight="1">
      <c r="A190" s="101" t="s">
        <v>231</v>
      </c>
      <c r="B190" s="102"/>
      <c r="C190" s="102"/>
      <c r="D190" s="102"/>
      <c r="E190" s="103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232</v>
      </c>
      <c r="O190" s="43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19",F191*5,IF(E191="CB",F191*35,""))))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8" t="s">
        <v>228</v>
      </c>
      <c r="B203" s="99"/>
      <c r="C203" s="99"/>
      <c r="D203" s="99"/>
      <c r="E203" s="100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229</v>
      </c>
      <c r="O203" s="45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19",F204*5,IF(E204="CB",F204*35,""))))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8" t="s">
        <v>230</v>
      </c>
      <c r="B216" s="99"/>
      <c r="C216" s="99"/>
      <c r="D216" s="99"/>
      <c r="E216" s="100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229</v>
      </c>
      <c r="O216" s="45"/>
    </row>
    <row r="217" spans="1:15" ht="18" customHeight="1">
      <c r="A217" s="101" t="s">
        <v>231</v>
      </c>
      <c r="B217" s="102"/>
      <c r="C217" s="102"/>
      <c r="D217" s="102"/>
      <c r="E217" s="103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232</v>
      </c>
      <c r="O217" s="48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19",F218*5,IF(E218="CB",F218*35,""))))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98" t="s">
        <v>228</v>
      </c>
      <c r="B230" s="99"/>
      <c r="C230" s="99"/>
      <c r="D230" s="99"/>
      <c r="E230" s="100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229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19",F231*5,IF(E231="CB",F231*35,""))))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8" t="s">
        <v>230</v>
      </c>
      <c r="B243" s="99"/>
      <c r="C243" s="99"/>
      <c r="D243" s="99"/>
      <c r="E243" s="100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229</v>
      </c>
      <c r="O243" s="39"/>
    </row>
    <row r="244" spans="1:15" ht="18" customHeight="1">
      <c r="A244" s="101" t="s">
        <v>231</v>
      </c>
      <c r="B244" s="102"/>
      <c r="C244" s="102"/>
      <c r="D244" s="102"/>
      <c r="E244" s="103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232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19",F245*5,IF(E245="CB",F245*35,""))))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8" t="s">
        <v>228</v>
      </c>
      <c r="B257" s="99"/>
      <c r="C257" s="99"/>
      <c r="D257" s="99"/>
      <c r="E257" s="100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229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19",F258*5,IF(E258="CB",F258*35,""))))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8" t="s">
        <v>230</v>
      </c>
      <c r="B270" s="99"/>
      <c r="C270" s="99"/>
      <c r="D270" s="99"/>
      <c r="E270" s="100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229</v>
      </c>
      <c r="O270" s="39"/>
    </row>
    <row r="271" spans="1:15" ht="18" customHeight="1">
      <c r="A271" s="101" t="s">
        <v>231</v>
      </c>
      <c r="B271" s="102"/>
      <c r="C271" s="102"/>
      <c r="D271" s="102"/>
      <c r="E271" s="103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232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19",F272*5,IF(E272="CB",F272*35,""))))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8" t="s">
        <v>228</v>
      </c>
      <c r="B284" s="99"/>
      <c r="C284" s="99"/>
      <c r="D284" s="99"/>
      <c r="E284" s="100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229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19",F285*5,IF(E285="CB",F285*35,""))))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98" t="s">
        <v>230</v>
      </c>
      <c r="B297" s="99"/>
      <c r="C297" s="99"/>
      <c r="D297" s="99"/>
      <c r="E297" s="100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229</v>
      </c>
      <c r="O297" s="39"/>
    </row>
    <row r="298" spans="1:15" ht="18" customHeight="1">
      <c r="A298" s="101" t="s">
        <v>231</v>
      </c>
      <c r="B298" s="102"/>
      <c r="C298" s="102"/>
      <c r="D298" s="102"/>
      <c r="E298" s="103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232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19",F299*5,IF(E299="CB",F299*35,""))))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8" t="s">
        <v>228</v>
      </c>
      <c r="B311" s="99"/>
      <c r="C311" s="99"/>
      <c r="D311" s="99"/>
      <c r="E311" s="100">
        <f>SUM(E299:E310)</f>
        <v>0</v>
      </c>
      <c r="F311" s="36">
        <f>SUM(F299:F310)</f>
        <v>0</v>
      </c>
      <c r="G311" s="90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229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19",F312*5,IF(E312="CB",F312*35,""))))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28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28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8" t="s">
        <v>230</v>
      </c>
      <c r="B324" s="99"/>
      <c r="C324" s="99"/>
      <c r="D324" s="99"/>
      <c r="E324" s="100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229</v>
      </c>
      <c r="O324" s="39"/>
    </row>
    <row r="325" spans="1:15" ht="18" customHeight="1">
      <c r="A325" s="101" t="s">
        <v>231</v>
      </c>
      <c r="B325" s="102"/>
      <c r="C325" s="102"/>
      <c r="D325" s="102"/>
      <c r="E325" s="103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232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19",F326*5,IF(E326="CB",F326*35,""))))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8" t="s">
        <v>228</v>
      </c>
      <c r="B338" s="99"/>
      <c r="C338" s="99"/>
      <c r="D338" s="99"/>
      <c r="E338" s="100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229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19",F339*5,IF(E339="CB",F339*35,""))))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8" t="s">
        <v>230</v>
      </c>
      <c r="B351" s="99"/>
      <c r="C351" s="99"/>
      <c r="D351" s="99"/>
      <c r="E351" s="100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229</v>
      </c>
      <c r="O351" s="39"/>
    </row>
    <row r="352" spans="1:15" ht="18" customHeight="1">
      <c r="A352" s="101" t="s">
        <v>231</v>
      </c>
      <c r="B352" s="102"/>
      <c r="C352" s="102"/>
      <c r="D352" s="102"/>
      <c r="E352" s="103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232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19",F353*5,IF(E353="CB",F353*35,""))))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8" t="s">
        <v>228</v>
      </c>
      <c r="B365" s="99"/>
      <c r="C365" s="99"/>
      <c r="D365" s="99"/>
      <c r="E365" s="100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229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19",F366*5,IF(E366="CB",F366*35,""))))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8" t="s">
        <v>230</v>
      </c>
      <c r="B378" s="99"/>
      <c r="C378" s="99"/>
      <c r="D378" s="99"/>
      <c r="E378" s="100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229</v>
      </c>
      <c r="O378" s="39"/>
    </row>
    <row r="379" spans="1:15" ht="18" customHeight="1">
      <c r="A379" s="101" t="s">
        <v>231</v>
      </c>
      <c r="B379" s="102"/>
      <c r="C379" s="102"/>
      <c r="D379" s="102"/>
      <c r="E379" s="103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232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19",F380*5,IF(E380="CB",F380*35,""))))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8" t="s">
        <v>228</v>
      </c>
      <c r="B392" s="99"/>
      <c r="C392" s="99"/>
      <c r="D392" s="99"/>
      <c r="E392" s="100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229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19",F393*5,IF(E393="CB",F393*35,""))))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8" t="s">
        <v>230</v>
      </c>
      <c r="B405" s="99"/>
      <c r="C405" s="99"/>
      <c r="D405" s="99"/>
      <c r="E405" s="100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229</v>
      </c>
      <c r="O405" s="39"/>
    </row>
    <row r="406" spans="1:15" ht="18" customHeight="1">
      <c r="A406" s="101" t="s">
        <v>231</v>
      </c>
      <c r="B406" s="102"/>
      <c r="C406" s="102"/>
      <c r="D406" s="102"/>
      <c r="E406" s="103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232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19",F407*5,IF(E407="CB",F407*35,""))))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8" t="s">
        <v>228</v>
      </c>
      <c r="B419" s="99"/>
      <c r="C419" s="99"/>
      <c r="D419" s="99"/>
      <c r="E419" s="100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229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19",F420*5,IF(E420="CB",F420*35,""))))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8" t="s">
        <v>230</v>
      </c>
      <c r="B432" s="99"/>
      <c r="C432" s="99"/>
      <c r="D432" s="99"/>
      <c r="E432" s="100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229</v>
      </c>
      <c r="O432" s="39"/>
    </row>
    <row r="433" spans="1:15" ht="18" customHeight="1">
      <c r="A433" s="101" t="s">
        <v>231</v>
      </c>
      <c r="B433" s="102"/>
      <c r="C433" s="102"/>
      <c r="D433" s="102"/>
      <c r="E433" s="103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232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19",F434*5,IF(E434="CB",F434*35,""))))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8" t="s">
        <v>228</v>
      </c>
      <c r="B446" s="99"/>
      <c r="C446" s="99"/>
      <c r="D446" s="99"/>
      <c r="E446" s="100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229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19",F447*5,IF(E447="CB",F447*35,""))))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F453" s="27"/>
      <c r="G453" s="34" t="str">
        <f>IF(F453="","",IF(E454="PC 17",F453*4.2,IF(E454="PC 19",F453*5,"")))</f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/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8" t="s">
        <v>230</v>
      </c>
      <c r="B459" s="99"/>
      <c r="C459" s="99"/>
      <c r="D459" s="99"/>
      <c r="E459" s="100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229</v>
      </c>
      <c r="O459" s="39"/>
    </row>
    <row r="460" spans="1:15" ht="18" customHeight="1">
      <c r="A460" s="101" t="s">
        <v>231</v>
      </c>
      <c r="B460" s="102"/>
      <c r="C460" s="102"/>
      <c r="D460" s="102"/>
      <c r="E460" s="103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232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19",F461*5,IF(E461="CB",F461*35,""))))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>IF(F466="","",IF(E466="PC 17",F466*4.2,IF(E466="PC 19",F466*5,IF(E466="CB",F466*35,""))))</f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8" t="s">
        <v>228</v>
      </c>
      <c r="B473" s="99"/>
      <c r="C473" s="99"/>
      <c r="D473" s="99"/>
      <c r="E473" s="100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229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19",F474*5,IF(E474="CB",F474*35,""))))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8" t="s">
        <v>230</v>
      </c>
      <c r="B486" s="99"/>
      <c r="C486" s="99"/>
      <c r="D486" s="99"/>
      <c r="E486" s="100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229</v>
      </c>
      <c r="O486" s="39"/>
    </row>
    <row r="487" spans="1:15" ht="18" customHeight="1">
      <c r="A487" s="101" t="s">
        <v>231</v>
      </c>
      <c r="B487" s="102"/>
      <c r="C487" s="102"/>
      <c r="D487" s="102"/>
      <c r="E487" s="103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232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19",F488*5,IF(E488="CB",F488*35,""))))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8" t="s">
        <v>228</v>
      </c>
      <c r="B500" s="99"/>
      <c r="C500" s="99"/>
      <c r="D500" s="99"/>
      <c r="E500" s="100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229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19",F501*5,IF(E501="CB",F501*35,""))))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8" t="s">
        <v>230</v>
      </c>
      <c r="B513" s="99"/>
      <c r="C513" s="99"/>
      <c r="D513" s="99"/>
      <c r="E513" s="100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229</v>
      </c>
      <c r="O513" s="39"/>
    </row>
    <row r="514" spans="1:15" ht="18" customHeight="1">
      <c r="A514" s="101" t="s">
        <v>231</v>
      </c>
      <c r="B514" s="102"/>
      <c r="C514" s="102"/>
      <c r="D514" s="102"/>
      <c r="E514" s="103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232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19",F515*5,IF(E515="CB",F515*35,""))))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8" t="s">
        <v>228</v>
      </c>
      <c r="B527" s="99"/>
      <c r="C527" s="99"/>
      <c r="D527" s="99"/>
      <c r="E527" s="100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229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19",F528*5,IF(E528="CB",F528*35,""))))</f>
        <v/>
      </c>
      <c r="H528" s="26"/>
      <c r="I528" s="26"/>
      <c r="J528" s="26"/>
      <c r="K528" s="29"/>
      <c r="L528" s="29"/>
      <c r="M528" s="30"/>
      <c r="N528" s="46"/>
      <c r="O528" s="47"/>
    </row>
    <row r="529" spans="1:15" ht="15" customHeight="1">
      <c r="A529" s="69">
        <v>46254</v>
      </c>
      <c r="B529" s="32">
        <f t="shared" ref="B529:B539" si="118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ref="M529:M539" ca="1" si="119">IFERROR(IF(K529="","",IF(L529="",MOD(NOW()-K529,1),IF(L529&gt;=K529,L529-K529,L529+1-K529))),"")</f>
        <v/>
      </c>
      <c r="N529" s="46"/>
      <c r="O529" s="47"/>
    </row>
    <row r="530" spans="1:15" ht="15" customHeight="1">
      <c r="A530" s="68">
        <v>46254</v>
      </c>
      <c r="B530" s="25">
        <f t="shared" si="118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9"/>
        <v/>
      </c>
      <c r="N530" s="46"/>
      <c r="O530" s="47"/>
    </row>
    <row r="531" spans="1:15" ht="15" customHeight="1">
      <c r="A531" s="69">
        <v>46254</v>
      </c>
      <c r="B531" s="32">
        <f t="shared" si="118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9"/>
        <v/>
      </c>
      <c r="N531" s="46"/>
      <c r="O531" s="47"/>
    </row>
    <row r="532" spans="1:15" ht="15" customHeight="1">
      <c r="A532" s="68">
        <v>46254</v>
      </c>
      <c r="B532" s="25">
        <f t="shared" si="118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9"/>
        <v/>
      </c>
      <c r="N532" s="46"/>
      <c r="O532" s="47"/>
    </row>
    <row r="533" spans="1:15" ht="15" customHeight="1">
      <c r="A533" s="69">
        <v>46254</v>
      </c>
      <c r="B533" s="32">
        <f t="shared" si="118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9"/>
        <v/>
      </c>
      <c r="N533" s="46"/>
      <c r="O533" s="47"/>
    </row>
    <row r="534" spans="1:15" ht="15" customHeight="1">
      <c r="A534" s="68">
        <v>46254</v>
      </c>
      <c r="B534" s="25">
        <f t="shared" si="118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9"/>
        <v/>
      </c>
      <c r="N534" s="46"/>
      <c r="O534" s="47"/>
    </row>
    <row r="535" spans="1:15" ht="15" customHeight="1">
      <c r="A535" s="69">
        <v>46254</v>
      </c>
      <c r="B535" s="32">
        <f t="shared" si="118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9"/>
        <v/>
      </c>
      <c r="N535" s="46"/>
      <c r="O535" s="47"/>
    </row>
    <row r="536" spans="1:15" ht="15" customHeight="1">
      <c r="A536" s="68">
        <v>46254</v>
      </c>
      <c r="B536" s="25">
        <f t="shared" si="118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9"/>
        <v/>
      </c>
      <c r="N536" s="46"/>
      <c r="O536" s="47"/>
    </row>
    <row r="537" spans="1:15" ht="15" customHeight="1">
      <c r="A537" s="69">
        <v>46254</v>
      </c>
      <c r="B537" s="32">
        <f t="shared" si="118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9"/>
        <v/>
      </c>
      <c r="N537" s="46"/>
      <c r="O537" s="47"/>
    </row>
    <row r="538" spans="1:15" ht="15" customHeight="1">
      <c r="A538" s="68">
        <v>46254</v>
      </c>
      <c r="B538" s="25">
        <f t="shared" si="118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9"/>
        <v/>
      </c>
      <c r="N538" s="46"/>
      <c r="O538" s="47"/>
    </row>
    <row r="539" spans="1:15" ht="15" customHeight="1">
      <c r="A539" s="69">
        <v>46254</v>
      </c>
      <c r="B539" s="32">
        <f t="shared" si="118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9"/>
        <v/>
      </c>
      <c r="N539" s="46"/>
      <c r="O539" s="47"/>
    </row>
    <row r="540" spans="1:15" ht="15.75" customHeight="1">
      <c r="A540" s="98" t="s">
        <v>230</v>
      </c>
      <c r="B540" s="99"/>
      <c r="C540" s="99"/>
      <c r="D540" s="99"/>
      <c r="E540" s="100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229</v>
      </c>
      <c r="O540" s="39"/>
    </row>
    <row r="541" spans="1:15" ht="18" customHeight="1">
      <c r="A541" s="101" t="s">
        <v>231</v>
      </c>
      <c r="B541" s="102"/>
      <c r="C541" s="102"/>
      <c r="D541" s="102"/>
      <c r="E541" s="103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232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19",F542*5,IF(E542="CB",F542*35,""))))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8" t="s">
        <v>228</v>
      </c>
      <c r="B554" s="99"/>
      <c r="C554" s="99"/>
      <c r="D554" s="99"/>
      <c r="E554" s="100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229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19",F555*5,IF(E555="CB",F555*35,""))))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8" t="s">
        <v>230</v>
      </c>
      <c r="B567" s="99"/>
      <c r="C567" s="99"/>
      <c r="D567" s="99"/>
      <c r="E567" s="100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229</v>
      </c>
      <c r="O567" s="39"/>
    </row>
    <row r="568" spans="1:15" ht="18" customHeight="1">
      <c r="A568" s="101" t="s">
        <v>231</v>
      </c>
      <c r="B568" s="102"/>
      <c r="C568" s="102"/>
      <c r="D568" s="102"/>
      <c r="E568" s="103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232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19",F569*5,IF(E569="CB",F569*35,""))))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8" t="s">
        <v>228</v>
      </c>
      <c r="B581" s="99"/>
      <c r="C581" s="99"/>
      <c r="D581" s="99"/>
      <c r="E581" s="100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229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19",F582*5,IF(E582="CB",F582*35,""))))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8" t="s">
        <v>230</v>
      </c>
      <c r="B594" s="99"/>
      <c r="C594" s="99"/>
      <c r="D594" s="99"/>
      <c r="E594" s="100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229</v>
      </c>
      <c r="O594" s="39"/>
    </row>
    <row r="595" spans="1:15" ht="18" customHeight="1">
      <c r="A595" s="101" t="s">
        <v>231</v>
      </c>
      <c r="B595" s="102"/>
      <c r="C595" s="102"/>
      <c r="D595" s="102"/>
      <c r="E595" s="103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232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19",F596*5,IF(E596="CB",F596*35,""))))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8" t="s">
        <v>228</v>
      </c>
      <c r="B608" s="99"/>
      <c r="C608" s="99"/>
      <c r="D608" s="99"/>
      <c r="E608" s="100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229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19",F609*5,IF(E609="CB",F609*35,""))))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19",F616*5,IF(E616="CB",F616*35,""))))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19",F617*5,IF(E617="CB",F617*35,""))))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19",F618*5,IF(E618="CB",F618*35,""))))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19",F619*5,IF(E619="CB",F619*35,""))))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19",F620*5,IF(E620="CB",F620*35,""))))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8" t="s">
        <v>230</v>
      </c>
      <c r="B621" s="99"/>
      <c r="C621" s="99"/>
      <c r="D621" s="99"/>
      <c r="E621" s="100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229</v>
      </c>
      <c r="O621" s="39"/>
    </row>
    <row r="622" spans="1:15" ht="18" customHeight="1">
      <c r="A622" s="101" t="s">
        <v>231</v>
      </c>
      <c r="B622" s="102"/>
      <c r="C622" s="102"/>
      <c r="D622" s="102"/>
      <c r="E622" s="103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232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19",F623*5,IF(E623="CB",F623*35,""))))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8" t="s">
        <v>228</v>
      </c>
      <c r="B635" s="99"/>
      <c r="C635" s="99"/>
      <c r="D635" s="99"/>
      <c r="E635" s="100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229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19",F636*5,IF(E636="CB",F636*35,""))))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8" t="s">
        <v>230</v>
      </c>
      <c r="B648" s="99"/>
      <c r="C648" s="99"/>
      <c r="D648" s="99"/>
      <c r="E648" s="100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229</v>
      </c>
      <c r="O648" s="39"/>
    </row>
    <row r="649" spans="1:15" ht="18" customHeight="1">
      <c r="A649" s="101" t="s">
        <v>231</v>
      </c>
      <c r="B649" s="102"/>
      <c r="C649" s="102"/>
      <c r="D649" s="102"/>
      <c r="E649" s="103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232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19",F650*5,IF(E650="CB",F650*35,""))))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8" t="s">
        <v>228</v>
      </c>
      <c r="B662" s="99"/>
      <c r="C662" s="99"/>
      <c r="D662" s="99"/>
      <c r="E662" s="100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229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19",F663*5,IF(E663="CB",F663*35,""))))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8" t="s">
        <v>230</v>
      </c>
      <c r="B675" s="99"/>
      <c r="C675" s="99"/>
      <c r="D675" s="99"/>
      <c r="E675" s="100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229</v>
      </c>
      <c r="O675" s="39"/>
    </row>
    <row r="676" spans="1:15" ht="18" customHeight="1">
      <c r="A676" s="101" t="s">
        <v>231</v>
      </c>
      <c r="B676" s="102"/>
      <c r="C676" s="102"/>
      <c r="D676" s="102"/>
      <c r="E676" s="103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232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19",F677*5,IF(E677="CB",F677*35,""))))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8" t="s">
        <v>228</v>
      </c>
      <c r="B689" s="99"/>
      <c r="C689" s="99"/>
      <c r="D689" s="99"/>
      <c r="E689" s="100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229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19",F690*5,IF(E690="CB",F690*35,""))))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8" t="s">
        <v>230</v>
      </c>
      <c r="B702" s="99"/>
      <c r="C702" s="99"/>
      <c r="D702" s="99"/>
      <c r="E702" s="100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229</v>
      </c>
      <c r="O702" s="39"/>
    </row>
    <row r="703" spans="1:15" ht="18" customHeight="1">
      <c r="A703" s="101" t="s">
        <v>231</v>
      </c>
      <c r="B703" s="102"/>
      <c r="C703" s="102"/>
      <c r="D703" s="102"/>
      <c r="E703" s="103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232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19",F704*5,IF(E704="CB",F704*35,""))))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8" t="s">
        <v>228</v>
      </c>
      <c r="B716" s="99"/>
      <c r="C716" s="99"/>
      <c r="D716" s="99"/>
      <c r="E716" s="100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229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19",F717*5,IF(E717="CB",F717*35,""))))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8" t="s">
        <v>230</v>
      </c>
      <c r="B729" s="99"/>
      <c r="C729" s="99"/>
      <c r="D729" s="99"/>
      <c r="E729" s="100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229</v>
      </c>
      <c r="O729" s="39"/>
    </row>
    <row r="730" spans="1:15" ht="18" customHeight="1">
      <c r="A730" s="101" t="s">
        <v>231</v>
      </c>
      <c r="B730" s="102"/>
      <c r="C730" s="102"/>
      <c r="D730" s="102"/>
      <c r="E730" s="103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232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19",F731*5,IF(E731="CB",F731*35,""))))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8" t="s">
        <v>228</v>
      </c>
      <c r="B743" s="99"/>
      <c r="C743" s="99"/>
      <c r="D743" s="99"/>
      <c r="E743" s="100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229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19",F744*5,IF(E744="CB",F744*35,""))))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8" t="s">
        <v>230</v>
      </c>
      <c r="B756" s="99"/>
      <c r="C756" s="99"/>
      <c r="D756" s="99"/>
      <c r="E756" s="100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229</v>
      </c>
      <c r="O756" s="39"/>
    </row>
    <row r="757" spans="1:15" ht="18" customHeight="1">
      <c r="A757" s="101" t="s">
        <v>231</v>
      </c>
      <c r="B757" s="102"/>
      <c r="C757" s="102"/>
      <c r="D757" s="102"/>
      <c r="E757" s="103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232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19",F758*5,IF(E758="CB",F758*35,""))))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8" t="s">
        <v>228</v>
      </c>
      <c r="B770" s="99"/>
      <c r="C770" s="99"/>
      <c r="D770" s="99"/>
      <c r="E770" s="100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229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19",F771*5,IF(E771="CB",F771*35,""))))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8" t="s">
        <v>230</v>
      </c>
      <c r="B783" s="99"/>
      <c r="C783" s="99"/>
      <c r="D783" s="99"/>
      <c r="E783" s="100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229</v>
      </c>
      <c r="O783" s="39"/>
    </row>
    <row r="784" spans="1:15" ht="18" customHeight="1">
      <c r="A784" s="101" t="s">
        <v>231</v>
      </c>
      <c r="B784" s="102"/>
      <c r="C784" s="102"/>
      <c r="D784" s="102"/>
      <c r="E784" s="103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232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8" t="s">
        <v>228</v>
      </c>
      <c r="B797" s="99"/>
      <c r="C797" s="99"/>
      <c r="D797" s="99"/>
      <c r="E797" s="100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229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19",F801*5,IF(E801="CB",F801*35,""))))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8" t="s">
        <v>230</v>
      </c>
      <c r="B810" s="99"/>
      <c r="C810" s="99"/>
      <c r="D810" s="99"/>
      <c r="E810" s="100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229</v>
      </c>
      <c r="O810" s="39"/>
    </row>
    <row r="811" spans="1:15" ht="18" customHeight="1">
      <c r="A811" s="110" t="s">
        <v>231</v>
      </c>
      <c r="B811" s="111"/>
      <c r="C811" s="111"/>
      <c r="D811" s="111"/>
      <c r="E811" s="112">
        <f>E797+E810</f>
        <v>0</v>
      </c>
      <c r="F811" s="113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232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19",F812*5,IF(E812="CB",F812*35,""))))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98" t="s">
        <v>228</v>
      </c>
      <c r="B824" s="99"/>
      <c r="C824" s="99"/>
      <c r="D824" s="99"/>
      <c r="E824" s="100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229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19",F825*5,IF(E825="CB",F825*35,""))))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98" t="s">
        <v>230</v>
      </c>
      <c r="B837" s="99"/>
      <c r="C837" s="99"/>
      <c r="D837" s="99"/>
      <c r="E837" s="100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229</v>
      </c>
      <c r="O837" s="39"/>
    </row>
    <row r="838" spans="1:15" ht="18" customHeight="1">
      <c r="A838" s="101" t="s">
        <v>231</v>
      </c>
      <c r="B838" s="102"/>
      <c r="C838" s="102"/>
      <c r="D838" s="102"/>
      <c r="E838" s="103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232</v>
      </c>
      <c r="O838" s="43">
        <f>IFERROR(O824+O837,"")</f>
        <v>0</v>
      </c>
    </row>
  </sheetData>
  <mergeCells count="93">
    <mergeCell ref="A811:E811"/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29:E452 E454:E838" xr:uid="{7188C92F-485A-440E-AF29-C2FC80E6A9F8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C29:C900 C2:C13 C15:C26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D29:D900 D3:D13 D15:D26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38"/>
  <sheetViews>
    <sheetView showGridLines="0" zoomScale="50" zoomScaleNormal="50" workbookViewId="0">
      <pane ySplit="1" topLeftCell="A2" activePane="bottomLeft" state="frozen"/>
      <selection pane="bottomLeft" activeCell="F23" sqref="F23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59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217</v>
      </c>
      <c r="C1" s="23" t="s">
        <v>12</v>
      </c>
      <c r="D1" s="22" t="s">
        <v>13</v>
      </c>
      <c r="E1" s="22" t="s">
        <v>218</v>
      </c>
      <c r="F1" s="23" t="s">
        <v>219</v>
      </c>
      <c r="G1" s="23" t="s">
        <v>220</v>
      </c>
      <c r="H1" s="23" t="s">
        <v>14</v>
      </c>
      <c r="I1" s="23" t="s">
        <v>15</v>
      </c>
      <c r="J1" s="23" t="s">
        <v>221</v>
      </c>
      <c r="K1" s="23" t="s">
        <v>222</v>
      </c>
      <c r="L1" s="23" t="s">
        <v>223</v>
      </c>
      <c r="M1" s="24" t="s">
        <v>224</v>
      </c>
      <c r="N1" s="23" t="s">
        <v>225</v>
      </c>
      <c r="O1" s="23" t="s">
        <v>226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233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156</v>
      </c>
      <c r="J2" s="26" t="s">
        <v>27</v>
      </c>
      <c r="K2" s="29">
        <v>0.33333333333333331</v>
      </c>
      <c r="L2" s="29">
        <v>0.40277777777777779</v>
      </c>
      <c r="M2" s="35">
        <f t="shared" ref="M2:M13" ca="1" si="1">IFERROR(IF(K2="","",IF(L2="",MOD(NOW()-K2,1),IF(L2&gt;=K2,L2-K2,L2+1-K2))),"")</f>
        <v>6.9444444444444475E-2</v>
      </c>
      <c r="N2" s="46" t="s">
        <v>234</v>
      </c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233</v>
      </c>
      <c r="F3" s="27">
        <v>11</v>
      </c>
      <c r="G3" s="34">
        <f t="shared" si="0"/>
        <v>46.2</v>
      </c>
      <c r="H3" s="33" t="s">
        <v>20</v>
      </c>
      <c r="I3" s="33"/>
      <c r="J3" s="33" t="s">
        <v>74</v>
      </c>
      <c r="K3" s="29">
        <v>0.4548611111111111</v>
      </c>
      <c r="L3" s="29">
        <v>0.45833333333333331</v>
      </c>
      <c r="M3" s="30">
        <f t="shared" ca="1" si="1"/>
        <v>3.4722222222222099E-3</v>
      </c>
      <c r="N3" s="46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233</v>
      </c>
      <c r="F4" s="27">
        <v>8</v>
      </c>
      <c r="G4" s="28">
        <f t="shared" si="0"/>
        <v>33.6</v>
      </c>
      <c r="H4" s="26" t="s">
        <v>20</v>
      </c>
      <c r="I4" s="26" t="s">
        <v>31</v>
      </c>
      <c r="J4" s="26" t="s">
        <v>28</v>
      </c>
      <c r="K4" s="29">
        <v>0.49444444444444446</v>
      </c>
      <c r="L4" s="29">
        <v>0.49930555555555556</v>
      </c>
      <c r="M4" s="35">
        <f t="shared" ca="1" si="1"/>
        <v>4.8611111111110938E-3</v>
      </c>
      <c r="N4" s="46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233</v>
      </c>
      <c r="F5" s="27">
        <v>9</v>
      </c>
      <c r="G5" s="34">
        <f t="shared" si="0"/>
        <v>37.800000000000004</v>
      </c>
      <c r="H5" s="33" t="s">
        <v>18</v>
      </c>
      <c r="I5" s="33" t="s">
        <v>39</v>
      </c>
      <c r="J5" s="33" t="s">
        <v>127</v>
      </c>
      <c r="K5" s="29">
        <v>0.56458333333333333</v>
      </c>
      <c r="L5" s="29">
        <v>0.63611111111111107</v>
      </c>
      <c r="M5" s="30">
        <f t="shared" ca="1" si="1"/>
        <v>7.1527777777777746E-2</v>
      </c>
      <c r="N5" s="46" t="s">
        <v>235</v>
      </c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233</v>
      </c>
      <c r="F6" s="27">
        <v>18</v>
      </c>
      <c r="G6" s="28">
        <f t="shared" si="0"/>
        <v>75.600000000000009</v>
      </c>
      <c r="H6" s="26" t="s">
        <v>16</v>
      </c>
      <c r="I6" s="26"/>
      <c r="J6" s="26" t="s">
        <v>58</v>
      </c>
      <c r="K6" s="29">
        <v>0.64166666666666672</v>
      </c>
      <c r="L6" s="29">
        <v>0.65138888888888891</v>
      </c>
      <c r="M6" s="35">
        <f t="shared" ca="1" si="1"/>
        <v>9.7222222222221877E-3</v>
      </c>
      <c r="N6" s="46" t="s">
        <v>236</v>
      </c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233</v>
      </c>
      <c r="F7" s="27">
        <v>16</v>
      </c>
      <c r="G7" s="34">
        <f t="shared" si="0"/>
        <v>67.2</v>
      </c>
      <c r="H7" s="33" t="s">
        <v>20</v>
      </c>
      <c r="I7" s="33"/>
      <c r="J7" s="33" t="s">
        <v>128</v>
      </c>
      <c r="K7" s="29">
        <v>0.70833333333333337</v>
      </c>
      <c r="L7" s="29">
        <v>0.72569444444444442</v>
      </c>
      <c r="M7" s="30">
        <f t="shared" ca="1" si="1"/>
        <v>1.7361111111111049E-2</v>
      </c>
      <c r="N7" s="46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233</v>
      </c>
      <c r="F8" s="27">
        <v>10</v>
      </c>
      <c r="G8" s="28">
        <f t="shared" si="0"/>
        <v>42</v>
      </c>
      <c r="H8" s="26" t="s">
        <v>20</v>
      </c>
      <c r="I8" s="26"/>
      <c r="J8" s="26" t="s">
        <v>128</v>
      </c>
      <c r="K8" s="29">
        <v>0.74722222222222223</v>
      </c>
      <c r="L8" s="29">
        <v>0.77152777777777781</v>
      </c>
      <c r="M8" s="35">
        <f t="shared" ca="1" si="1"/>
        <v>2.430555555555558E-2</v>
      </c>
      <c r="N8" s="46"/>
      <c r="O8" s="31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233</v>
      </c>
      <c r="F9" s="27">
        <v>7</v>
      </c>
      <c r="G9" s="28">
        <f t="shared" si="0"/>
        <v>29.400000000000002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233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233</v>
      </c>
      <c r="F11" s="27">
        <v>16</v>
      </c>
      <c r="G11" s="28">
        <f t="shared" si="0"/>
        <v>67.2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233</v>
      </c>
      <c r="F12" s="27">
        <v>9</v>
      </c>
      <c r="G12" s="28">
        <f t="shared" si="0"/>
        <v>37.800000000000004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233</v>
      </c>
      <c r="F13" s="27">
        <v>0</v>
      </c>
      <c r="G13" s="28">
        <f t="shared" si="0"/>
        <v>0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98" t="s">
        <v>228</v>
      </c>
      <c r="B14" s="99"/>
      <c r="C14" s="99"/>
      <c r="D14" s="99"/>
      <c r="E14" s="100"/>
      <c r="F14" s="36">
        <f>SUM(F2:F13)</f>
        <v>112</v>
      </c>
      <c r="G14" s="36">
        <f>SUM(G2:G13)</f>
        <v>470.40000000000003</v>
      </c>
      <c r="H14" s="37"/>
      <c r="I14" s="37"/>
      <c r="J14" s="37"/>
      <c r="K14" s="37"/>
      <c r="L14" s="37"/>
      <c r="M14" s="38">
        <f ca="1">IFERROR(SUM(M2:M13),"")</f>
        <v>0.20069444444444434</v>
      </c>
      <c r="N14" s="36" t="s">
        <v>229</v>
      </c>
      <c r="O14" s="77">
        <v>481280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233</v>
      </c>
      <c r="F15" s="27"/>
      <c r="G15" s="34" t="str">
        <f t="shared" ref="G15:G26" si="3">IF(F15="","",IF(E15="PC 17",F15*4.2,IF(E15="PC 19",F15*5,IF(E15="CB",F15*24,""))))</f>
        <v/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46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233</v>
      </c>
      <c r="F16" s="27"/>
      <c r="G16" s="34" t="str">
        <f t="shared" si="3"/>
        <v/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233</v>
      </c>
      <c r="F17" s="27"/>
      <c r="G17" s="34" t="str">
        <f t="shared" si="3"/>
        <v/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233</v>
      </c>
      <c r="F18" s="27"/>
      <c r="G18" s="34" t="str">
        <f t="shared" si="3"/>
        <v/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233</v>
      </c>
      <c r="F19" s="27"/>
      <c r="G19" s="34" t="str">
        <f t="shared" si="3"/>
        <v/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 t="s">
        <v>233</v>
      </c>
      <c r="F20" s="27"/>
      <c r="G20" s="34" t="str">
        <f t="shared" si="3"/>
        <v/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 t="s">
        <v>233</v>
      </c>
      <c r="F21" s="27"/>
      <c r="G21" s="34" t="str">
        <f t="shared" si="3"/>
        <v/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 t="s">
        <v>233</v>
      </c>
      <c r="F22" s="27"/>
      <c r="G22" s="34" t="str">
        <f t="shared" si="3"/>
        <v/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 t="s">
        <v>233</v>
      </c>
      <c r="F23" s="76"/>
      <c r="G23" s="34" t="str">
        <f t="shared" si="3"/>
        <v/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 t="s">
        <v>233</v>
      </c>
      <c r="F24" s="27"/>
      <c r="G24" s="34" t="str">
        <f t="shared" si="3"/>
        <v/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 t="s">
        <v>233</v>
      </c>
      <c r="F25" s="27"/>
      <c r="G25" s="34" t="str">
        <f t="shared" si="3"/>
        <v/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 t="s">
        <v>233</v>
      </c>
      <c r="F26" s="27"/>
      <c r="G26" s="34" t="str">
        <f t="shared" si="3"/>
        <v/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98" t="s">
        <v>230</v>
      </c>
      <c r="B27" s="99"/>
      <c r="C27" s="99"/>
      <c r="D27" s="99"/>
      <c r="E27" s="100"/>
      <c r="F27" s="36">
        <f>SUM(F15:F26)</f>
        <v>0</v>
      </c>
      <c r="G27" s="36">
        <f>SUM(G15:G26)</f>
        <v>0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229</v>
      </c>
      <c r="O27" s="77"/>
    </row>
    <row r="28" spans="1:15" ht="18" customHeight="1">
      <c r="A28" s="101" t="s">
        <v>231</v>
      </c>
      <c r="B28" s="102"/>
      <c r="C28" s="102"/>
      <c r="D28" s="102"/>
      <c r="E28" s="103"/>
      <c r="F28" s="40">
        <f>F14+F27</f>
        <v>112</v>
      </c>
      <c r="G28" s="40">
        <f>G14+G27</f>
        <v>470.40000000000003</v>
      </c>
      <c r="H28" s="41"/>
      <c r="I28" s="41"/>
      <c r="J28" s="41"/>
      <c r="K28" s="41"/>
      <c r="L28" s="41"/>
      <c r="M28" s="42">
        <f ca="1">IFERROR(M14+M27,"")</f>
        <v>0.20069444444444434</v>
      </c>
      <c r="N28" s="40" t="s">
        <v>232</v>
      </c>
      <c r="O28" s="82">
        <f>O14+O27</f>
        <v>481280</v>
      </c>
    </row>
    <row r="29" spans="1:15" ht="15" customHeight="1">
      <c r="A29" s="68">
        <v>46236</v>
      </c>
      <c r="B29" s="25">
        <v>0.33333333333333298</v>
      </c>
      <c r="C29" s="26"/>
      <c r="D29" s="59"/>
      <c r="E29" s="59"/>
      <c r="F29" s="27"/>
      <c r="G29" s="28" t="str">
        <f t="shared" ref="G29:G40" si="6">IF(F29="","",IF(E29="PC 17",F29*4.2,IF(E29="PC 19",F29*5,IF(E29="CB",F29*24,""))))</f>
        <v/>
      </c>
      <c r="H29" s="33"/>
      <c r="I29" s="33"/>
      <c r="J29" s="33"/>
      <c r="K29" s="29"/>
      <c r="L29" s="29"/>
      <c r="M29" s="79" t="str">
        <f t="shared" ref="M29:M40" ca="1" si="7">IFERROR(IF(K29="","",IF(L29="",MOD(NOW()-K29,1),IF(L29&gt;=K29,L29-K29,L29+1-K29))),"")</f>
        <v/>
      </c>
      <c r="N29" s="46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/>
      <c r="D30" s="59"/>
      <c r="E30" s="59"/>
      <c r="F30" s="27"/>
      <c r="G30" s="34" t="str">
        <f t="shared" si="6"/>
        <v/>
      </c>
      <c r="H30" s="26"/>
      <c r="I30" s="26"/>
      <c r="J30" s="26"/>
      <c r="K30" s="29"/>
      <c r="L30" s="29"/>
      <c r="M30" s="30" t="str">
        <f t="shared" ca="1" si="7"/>
        <v/>
      </c>
      <c r="N30" s="46"/>
      <c r="O30" s="31"/>
    </row>
    <row r="31" spans="1:15" ht="15" customHeight="1">
      <c r="A31" s="68">
        <v>46236</v>
      </c>
      <c r="B31" s="25">
        <f t="shared" si="8"/>
        <v>0.41666666666666635</v>
      </c>
      <c r="C31" s="26"/>
      <c r="D31" s="59"/>
      <c r="E31" s="59"/>
      <c r="F31" s="27"/>
      <c r="G31" s="28" t="str">
        <f t="shared" si="6"/>
        <v/>
      </c>
      <c r="H31" s="33"/>
      <c r="I31" s="33"/>
      <c r="J31" s="33"/>
      <c r="K31" s="29"/>
      <c r="L31" s="29"/>
      <c r="M31" s="35" t="str">
        <f t="shared" ca="1" si="7"/>
        <v/>
      </c>
      <c r="N31" s="46"/>
      <c r="O31" s="31"/>
    </row>
    <row r="32" spans="1:15" ht="15" customHeight="1">
      <c r="A32" s="69">
        <v>46236</v>
      </c>
      <c r="B32" s="32">
        <f t="shared" si="8"/>
        <v>0.45833333333333304</v>
      </c>
      <c r="C32" s="26"/>
      <c r="D32" s="59"/>
      <c r="E32" s="59"/>
      <c r="F32" s="27"/>
      <c r="G32" s="34" t="str">
        <f t="shared" si="6"/>
        <v/>
      </c>
      <c r="H32" s="26"/>
      <c r="I32" s="26"/>
      <c r="J32" s="26"/>
      <c r="K32" s="29"/>
      <c r="L32" s="29"/>
      <c r="M32" s="30" t="str">
        <f t="shared" ca="1" si="7"/>
        <v/>
      </c>
      <c r="N32" s="46"/>
      <c r="O32" s="31"/>
    </row>
    <row r="33" spans="1:15" ht="15" customHeight="1">
      <c r="A33" s="68">
        <v>46236</v>
      </c>
      <c r="B33" s="25">
        <f t="shared" si="8"/>
        <v>0.49999999999999972</v>
      </c>
      <c r="C33" s="26"/>
      <c r="D33" s="59"/>
      <c r="E33" s="59"/>
      <c r="F33" s="27"/>
      <c r="G33" s="28" t="str">
        <f t="shared" si="6"/>
        <v/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46236</v>
      </c>
      <c r="B34" s="32">
        <f t="shared" si="8"/>
        <v>0.54166666666666641</v>
      </c>
      <c r="C34" s="26"/>
      <c r="D34" s="59"/>
      <c r="E34" s="59"/>
      <c r="F34" s="27"/>
      <c r="G34" s="34" t="str">
        <f t="shared" si="6"/>
        <v/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46236</v>
      </c>
      <c r="B35" s="25">
        <f t="shared" si="8"/>
        <v>0.58333333333333304</v>
      </c>
      <c r="C35" s="26"/>
      <c r="D35" s="59"/>
      <c r="E35" s="59"/>
      <c r="F35" s="27"/>
      <c r="G35" s="28" t="str">
        <f t="shared" si="6"/>
        <v/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46236</v>
      </c>
      <c r="B36" s="32">
        <f t="shared" si="8"/>
        <v>0.62499999999999967</v>
      </c>
      <c r="C36" s="26"/>
      <c r="D36" s="59"/>
      <c r="E36" s="59"/>
      <c r="F36" s="27"/>
      <c r="G36" s="34" t="str">
        <f t="shared" si="6"/>
        <v/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46236</v>
      </c>
      <c r="B37" s="25">
        <f t="shared" si="8"/>
        <v>0.6666666666666663</v>
      </c>
      <c r="C37" s="26"/>
      <c r="D37" s="59"/>
      <c r="E37" s="59"/>
      <c r="F37" s="27"/>
      <c r="G37" s="28" t="str">
        <f t="shared" si="6"/>
        <v/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46236</v>
      </c>
      <c r="B38" s="32">
        <f t="shared" si="8"/>
        <v>0.70833333333333293</v>
      </c>
      <c r="C38" s="26"/>
      <c r="D38" s="59"/>
      <c r="E38" s="59"/>
      <c r="F38" s="27"/>
      <c r="G38" s="34" t="str">
        <f t="shared" si="6"/>
        <v/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46236</v>
      </c>
      <c r="B39" s="25">
        <f t="shared" si="8"/>
        <v>0.74999999999999956</v>
      </c>
      <c r="C39" s="26"/>
      <c r="D39" s="59"/>
      <c r="E39" s="59"/>
      <c r="F39" s="27"/>
      <c r="G39" s="28" t="str">
        <f t="shared" si="6"/>
        <v/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46236</v>
      </c>
      <c r="B40" s="32">
        <f t="shared" si="8"/>
        <v>0.79166666666666619</v>
      </c>
      <c r="C40" s="26"/>
      <c r="D40" s="59"/>
      <c r="E40" s="59"/>
      <c r="F40" s="27"/>
      <c r="G40" s="34" t="str">
        <f t="shared" si="6"/>
        <v/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98" t="s">
        <v>228</v>
      </c>
      <c r="B41" s="99"/>
      <c r="C41" s="99"/>
      <c r="D41" s="99"/>
      <c r="E41" s="100">
        <f>SUM(E29:E40)</f>
        <v>0</v>
      </c>
      <c r="F41" s="36">
        <f>SUM(F29:F40)</f>
        <v>0</v>
      </c>
      <c r="G41" s="36">
        <f>SUM(G29:G40)</f>
        <v>0</v>
      </c>
      <c r="H41" s="37"/>
      <c r="I41" s="37"/>
      <c r="J41" s="37"/>
      <c r="K41" s="37"/>
      <c r="L41" s="37"/>
      <c r="M41" s="38">
        <f ca="1">IFERROR(SUM(M29:M40),"")</f>
        <v>0</v>
      </c>
      <c r="N41" s="36" t="s">
        <v>229</v>
      </c>
      <c r="O41" s="84"/>
    </row>
    <row r="42" spans="1:15" ht="15" customHeight="1">
      <c r="A42" s="69">
        <v>46236</v>
      </c>
      <c r="B42" s="32">
        <v>0.83333333333333304</v>
      </c>
      <c r="C42" s="33"/>
      <c r="D42" s="62"/>
      <c r="E42" s="62"/>
      <c r="F42" s="27"/>
      <c r="G42" s="34" t="str">
        <f t="shared" ref="G42:G53" si="9">IF(F42="","",IF(E42="PC 17",F42*4.2,IF(E42="PC 19",F42*5,IF(E42="CB",F42*24,""))))</f>
        <v/>
      </c>
      <c r="H42" s="26"/>
      <c r="I42" s="26"/>
      <c r="J42" s="26"/>
      <c r="K42" s="29"/>
      <c r="L42" s="29"/>
      <c r="M42" s="30" t="str">
        <f ca="1">IFERROR(IF(K42="","",IF(L42="",MOD(NOW()-K42,1),IF(L42&gt;=K42,L42-K42,L42+1-K42))),"")</f>
        <v/>
      </c>
      <c r="N42" s="46"/>
      <c r="O42" s="31"/>
    </row>
    <row r="43" spans="1:15" ht="15" customHeight="1">
      <c r="A43" s="68">
        <v>46236</v>
      </c>
      <c r="B43" s="25">
        <f t="shared" ref="B43:B53" si="10">B42+TIME(0,60,0)</f>
        <v>0.87499999999999967</v>
      </c>
      <c r="C43" s="33"/>
      <c r="D43" s="62"/>
      <c r="E43" s="62"/>
      <c r="F43" s="27"/>
      <c r="G43" s="28" t="str">
        <f t="shared" si="9"/>
        <v/>
      </c>
      <c r="H43" s="33"/>
      <c r="I43" s="33"/>
      <c r="J43" s="33"/>
      <c r="K43" s="29"/>
      <c r="L43" s="29"/>
      <c r="M43" s="30" t="str">
        <f t="shared" ref="M43:M53" ca="1" si="11">IFERROR(IF(K43="","",IF(L43="",MOD(NOW()-K43,1),IF(L43&gt;=K43,L43-K43,L43+1-K43))),"")</f>
        <v/>
      </c>
      <c r="N43" s="46"/>
      <c r="O43" s="31"/>
    </row>
    <row r="44" spans="1:15" ht="15" customHeight="1">
      <c r="A44" s="69">
        <v>46236</v>
      </c>
      <c r="B44" s="32">
        <f t="shared" si="10"/>
        <v>0.9166666666666663</v>
      </c>
      <c r="C44" s="33"/>
      <c r="D44" s="62"/>
      <c r="E44" s="62"/>
      <c r="F44" s="27"/>
      <c r="G44" s="34" t="str">
        <f t="shared" si="9"/>
        <v/>
      </c>
      <c r="H44" s="26"/>
      <c r="I44" s="26"/>
      <c r="J44" s="26"/>
      <c r="K44" s="29"/>
      <c r="L44" s="29"/>
      <c r="M44" s="30" t="str">
        <f ca="1">IFERROR(IF(K44="","",IF(L44="",MOD(NOW()-K44,1),IF(L44&gt;=K44,L44-K44,L44+1-K44))),"")</f>
        <v/>
      </c>
      <c r="N44" s="46"/>
      <c r="O44" s="31"/>
    </row>
    <row r="45" spans="1:15" ht="15" customHeight="1">
      <c r="A45" s="68">
        <v>46236</v>
      </c>
      <c r="B45" s="25">
        <f t="shared" si="10"/>
        <v>0.95833333333333293</v>
      </c>
      <c r="C45" s="33"/>
      <c r="D45" s="62"/>
      <c r="E45" s="62"/>
      <c r="F45" s="27"/>
      <c r="G45" s="28" t="str">
        <f t="shared" si="9"/>
        <v/>
      </c>
      <c r="H45" s="33"/>
      <c r="I45" s="33"/>
      <c r="J45" s="33"/>
      <c r="K45" s="29"/>
      <c r="L45" s="29"/>
      <c r="M45" s="30" t="str">
        <f t="shared" ca="1" si="11"/>
        <v/>
      </c>
      <c r="N45" s="46"/>
      <c r="O45" s="31"/>
    </row>
    <row r="46" spans="1:15" ht="15" customHeight="1">
      <c r="A46" s="69">
        <v>46236</v>
      </c>
      <c r="B46" s="32">
        <f t="shared" si="10"/>
        <v>0.99999999999999956</v>
      </c>
      <c r="C46" s="33"/>
      <c r="D46" s="62"/>
      <c r="E46" s="62"/>
      <c r="F46" s="27"/>
      <c r="G46" s="34" t="str">
        <f t="shared" si="9"/>
        <v/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8">
        <v>46236</v>
      </c>
      <c r="B47" s="25">
        <f t="shared" si="10"/>
        <v>1.0416666666666663</v>
      </c>
      <c r="C47" s="33"/>
      <c r="D47" s="62"/>
      <c r="E47" s="62"/>
      <c r="F47" s="27"/>
      <c r="G47" s="28" t="str">
        <f t="shared" si="9"/>
        <v/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69">
        <v>46236</v>
      </c>
      <c r="B48" s="32">
        <f t="shared" si="10"/>
        <v>1.083333333333333</v>
      </c>
      <c r="C48" s="33"/>
      <c r="D48" s="62"/>
      <c r="E48" s="62"/>
      <c r="F48" s="27"/>
      <c r="G48" s="34" t="str">
        <f t="shared" si="9"/>
        <v/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8">
        <v>46236</v>
      </c>
      <c r="B49" s="25">
        <f t="shared" si="10"/>
        <v>1.1249999999999998</v>
      </c>
      <c r="C49" s="33"/>
      <c r="D49" s="62"/>
      <c r="E49" s="62"/>
      <c r="F49" s="27"/>
      <c r="G49" s="28" t="str">
        <f t="shared" si="9"/>
        <v/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69">
        <v>46236</v>
      </c>
      <c r="B50" s="32">
        <f t="shared" si="10"/>
        <v>1.1666666666666665</v>
      </c>
      <c r="C50" s="33"/>
      <c r="D50" s="62"/>
      <c r="E50" s="62"/>
      <c r="F50" s="27"/>
      <c r="G50" s="34" t="str">
        <f t="shared" si="9"/>
        <v/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8">
        <v>46236</v>
      </c>
      <c r="B51" s="25">
        <f t="shared" si="10"/>
        <v>1.2083333333333333</v>
      </c>
      <c r="C51" s="33"/>
      <c r="D51" s="62"/>
      <c r="E51" s="62"/>
      <c r="F51" s="27"/>
      <c r="G51" s="28" t="str">
        <f t="shared" si="9"/>
        <v/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69">
        <v>46236</v>
      </c>
      <c r="B52" s="32">
        <f t="shared" si="10"/>
        <v>1.25</v>
      </c>
      <c r="C52" s="33"/>
      <c r="D52" s="62"/>
      <c r="E52" s="62"/>
      <c r="F52" s="27"/>
      <c r="G52" s="34" t="str">
        <f t="shared" si="9"/>
        <v/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8">
        <v>46236</v>
      </c>
      <c r="B53" s="25">
        <f t="shared" si="10"/>
        <v>1.2916666666666667</v>
      </c>
      <c r="C53" s="33"/>
      <c r="D53" s="62"/>
      <c r="E53" s="62"/>
      <c r="F53" s="27"/>
      <c r="G53" s="28" t="str">
        <f t="shared" si="9"/>
        <v/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98" t="s">
        <v>230</v>
      </c>
      <c r="B54" s="99"/>
      <c r="C54" s="99"/>
      <c r="D54" s="99"/>
      <c r="E54" s="100">
        <f>SUM(E42:E53)</f>
        <v>0</v>
      </c>
      <c r="F54" s="36">
        <f>SUM(F42:F53)</f>
        <v>0</v>
      </c>
      <c r="G54" s="36">
        <f>SUM(G42:G53)</f>
        <v>0</v>
      </c>
      <c r="H54" s="37"/>
      <c r="I54" s="37"/>
      <c r="J54" s="37"/>
      <c r="K54" s="37"/>
      <c r="L54" s="37"/>
      <c r="M54" s="38">
        <f ca="1">IFERROR(SUM(M42:M53),"")</f>
        <v>0</v>
      </c>
      <c r="N54" s="36" t="s">
        <v>229</v>
      </c>
      <c r="O54" s="84"/>
    </row>
    <row r="55" spans="1:15" ht="18" customHeight="1">
      <c r="A55" s="101" t="s">
        <v>231</v>
      </c>
      <c r="B55" s="102"/>
      <c r="C55" s="102"/>
      <c r="D55" s="102"/>
      <c r="E55" s="103">
        <f>E41+E54</f>
        <v>0</v>
      </c>
      <c r="F55" s="40">
        <f>F41+F54</f>
        <v>0</v>
      </c>
      <c r="G55" s="40">
        <f>G41+G54</f>
        <v>0</v>
      </c>
      <c r="H55" s="41"/>
      <c r="I55" s="41"/>
      <c r="J55" s="41"/>
      <c r="K55" s="41"/>
      <c r="L55" s="41"/>
      <c r="M55" s="42">
        <f ca="1">IFERROR(M41+M54,"")</f>
        <v>0</v>
      </c>
      <c r="N55" s="40" t="s">
        <v>232</v>
      </c>
      <c r="O55" s="82">
        <f>IFERROR(O41+O54,"")</f>
        <v>0</v>
      </c>
    </row>
    <row r="56" spans="1:15" ht="15" customHeight="1">
      <c r="A56" s="68">
        <v>46237</v>
      </c>
      <c r="B56" s="25">
        <v>0.33333333333333298</v>
      </c>
      <c r="C56" s="26"/>
      <c r="D56" s="59"/>
      <c r="E56" s="59"/>
      <c r="F56" s="27"/>
      <c r="G56" s="28" t="str">
        <f t="shared" ref="G56:G67" si="12">IF(F56="","",IF(E56="PC 17",F56*4.2,IF(E56="PC 19",F56*5,IF(E56="CB",F56*24,""))))</f>
        <v/>
      </c>
      <c r="H56" s="26"/>
      <c r="I56" s="26"/>
      <c r="J56" s="26"/>
      <c r="K56" s="29"/>
      <c r="L56" s="29"/>
      <c r="M56" s="35" t="str">
        <f t="shared" ref="M56:M67" ca="1" si="13">IFERROR(IF(K56="","",IF(L56="",MOD(NOW()-K56,1),IF(L56&gt;=K56,L56-K56,L56+1-K56))),"")</f>
        <v/>
      </c>
      <c r="N56" s="46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/>
      <c r="D57" s="59"/>
      <c r="E57" s="59"/>
      <c r="F57" s="27"/>
      <c r="G57" s="34" t="str">
        <f t="shared" si="12"/>
        <v/>
      </c>
      <c r="H57" s="33"/>
      <c r="I57" s="33"/>
      <c r="J57" s="81"/>
      <c r="K57" s="29"/>
      <c r="L57" s="29"/>
      <c r="M57" s="30"/>
      <c r="N57" s="46"/>
      <c r="O57" s="31"/>
    </row>
    <row r="58" spans="1:15" ht="15" customHeight="1">
      <c r="A58" s="68">
        <v>46237</v>
      </c>
      <c r="B58" s="25">
        <f t="shared" si="14"/>
        <v>0.41666666666666635</v>
      </c>
      <c r="C58" s="26"/>
      <c r="D58" s="59"/>
      <c r="E58" s="59"/>
      <c r="F58" s="27"/>
      <c r="G58" s="28" t="str">
        <f t="shared" si="12"/>
        <v/>
      </c>
      <c r="H58" s="26"/>
      <c r="I58" s="80"/>
      <c r="J58" s="26"/>
      <c r="K58" s="29"/>
      <c r="L58" s="29"/>
      <c r="M58" s="35"/>
      <c r="N58" s="46"/>
      <c r="O58" s="31"/>
    </row>
    <row r="59" spans="1:15" ht="15" customHeight="1">
      <c r="A59" s="69">
        <v>46237</v>
      </c>
      <c r="B59" s="32">
        <f t="shared" si="14"/>
        <v>0.45833333333333304</v>
      </c>
      <c r="C59" s="26"/>
      <c r="D59" s="59"/>
      <c r="E59" s="59"/>
      <c r="F59" s="27"/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8">
        <v>46237</v>
      </c>
      <c r="B60" s="25">
        <f t="shared" si="14"/>
        <v>0.49999999999999972</v>
      </c>
      <c r="C60" s="26"/>
      <c r="D60" s="59"/>
      <c r="E60" s="59"/>
      <c r="F60" s="27"/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69">
        <v>46237</v>
      </c>
      <c r="B61" s="32">
        <f t="shared" si="14"/>
        <v>0.54166666666666641</v>
      </c>
      <c r="C61" s="26"/>
      <c r="D61" s="59"/>
      <c r="E61" s="59"/>
      <c r="F61" s="27"/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8">
        <v>46237</v>
      </c>
      <c r="B62" s="25">
        <f t="shared" si="14"/>
        <v>0.58333333333333304</v>
      </c>
      <c r="C62" s="26"/>
      <c r="D62" s="59"/>
      <c r="E62" s="59"/>
      <c r="F62" s="27"/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69">
        <v>46237</v>
      </c>
      <c r="B63" s="32">
        <f t="shared" si="14"/>
        <v>0.62499999999999967</v>
      </c>
      <c r="C63" s="26"/>
      <c r="D63" s="59"/>
      <c r="E63" s="59"/>
      <c r="F63" s="27"/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8">
        <v>46237</v>
      </c>
      <c r="B64" s="25">
        <f t="shared" si="14"/>
        <v>0.6666666666666663</v>
      </c>
      <c r="C64" s="26"/>
      <c r="D64" s="59"/>
      <c r="E64" s="59"/>
      <c r="F64" s="27"/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46237</v>
      </c>
      <c r="B65" s="32">
        <f t="shared" si="14"/>
        <v>0.70833333333333293</v>
      </c>
      <c r="C65" s="26"/>
      <c r="D65" s="59"/>
      <c r="E65" s="59"/>
      <c r="F65" s="27"/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46237</v>
      </c>
      <c r="B66" s="25">
        <f t="shared" si="14"/>
        <v>0.74999999999999956</v>
      </c>
      <c r="C66" s="26"/>
      <c r="D66" s="59"/>
      <c r="E66" s="59"/>
      <c r="F66" s="27"/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46237</v>
      </c>
      <c r="B67" s="32">
        <f t="shared" si="14"/>
        <v>0.79166666666666619</v>
      </c>
      <c r="C67" s="26"/>
      <c r="D67" s="59"/>
      <c r="E67" s="59"/>
      <c r="F67" s="27"/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98" t="s">
        <v>228</v>
      </c>
      <c r="B68" s="99"/>
      <c r="C68" s="99"/>
      <c r="D68" s="99"/>
      <c r="E68" s="100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229</v>
      </c>
      <c r="O68" s="54"/>
    </row>
    <row r="69" spans="1:15" ht="15" customHeight="1">
      <c r="A69" s="69">
        <v>46237</v>
      </c>
      <c r="B69" s="32">
        <v>0.83333333333333304</v>
      </c>
      <c r="C69" s="33"/>
      <c r="D69" s="62"/>
      <c r="E69" s="62"/>
      <c r="F69" s="27"/>
      <c r="G69" s="34" t="str">
        <f t="shared" ref="G69:G80" si="15">IF(F69="","",IF(E69="PC 17",F69*4.2,IF(E69="PC 19",F69*5,IF(E69="CB",F69*24,""))))</f>
        <v/>
      </c>
      <c r="H69" s="33"/>
      <c r="I69" s="33"/>
      <c r="J69" s="33"/>
      <c r="K69" s="29"/>
      <c r="L69" s="29"/>
      <c r="M69" s="30" t="str">
        <f t="shared" ref="M69:M80" ca="1" si="16">IFERROR(IF(K69="","",IF(L69="",MOD(NOW()-K69,1),IF(L69&gt;=K69,L69-K69,L69+1-K69))),"")</f>
        <v/>
      </c>
      <c r="N69" s="46"/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/>
      <c r="D70" s="62"/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5" t="str">
        <f t="shared" ca="1" si="16"/>
        <v/>
      </c>
      <c r="N70" s="46"/>
      <c r="O70" s="31"/>
    </row>
    <row r="71" spans="1:15" ht="15" customHeight="1">
      <c r="A71" s="69">
        <v>46237</v>
      </c>
      <c r="B71" s="32">
        <f t="shared" si="17"/>
        <v>0.9166666666666663</v>
      </c>
      <c r="C71" s="33"/>
      <c r="D71" s="62"/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8">
        <v>46237</v>
      </c>
      <c r="B72" s="25">
        <f t="shared" si="17"/>
        <v>0.95833333333333293</v>
      </c>
      <c r="C72" s="33"/>
      <c r="D72" s="62"/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69">
        <v>46237</v>
      </c>
      <c r="B73" s="32">
        <f t="shared" si="17"/>
        <v>0.99999999999999956</v>
      </c>
      <c r="C73" s="33"/>
      <c r="D73" s="62"/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8">
        <v>46237</v>
      </c>
      <c r="B74" s="25">
        <f t="shared" si="17"/>
        <v>1.0416666666666663</v>
      </c>
      <c r="C74" s="33"/>
      <c r="D74" s="62"/>
      <c r="E74" s="62"/>
      <c r="F74" s="27"/>
      <c r="G74" s="28" t="str">
        <f t="shared" si="15"/>
        <v/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69">
        <v>46237</v>
      </c>
      <c r="B75" s="32">
        <f t="shared" si="17"/>
        <v>1.083333333333333</v>
      </c>
      <c r="C75" s="33"/>
      <c r="D75" s="62"/>
      <c r="E75" s="62"/>
      <c r="F75" s="27"/>
      <c r="G75" s="34" t="str">
        <f t="shared" si="15"/>
        <v/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8">
        <v>46237</v>
      </c>
      <c r="B76" s="25">
        <f t="shared" si="17"/>
        <v>1.1249999999999998</v>
      </c>
      <c r="C76" s="33"/>
      <c r="D76" s="62"/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69">
        <v>46237</v>
      </c>
      <c r="B77" s="32">
        <f t="shared" si="17"/>
        <v>1.1666666666666665</v>
      </c>
      <c r="C77" s="33"/>
      <c r="D77" s="62"/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8">
        <v>46237</v>
      </c>
      <c r="B78" s="25">
        <f t="shared" si="17"/>
        <v>1.2083333333333333</v>
      </c>
      <c r="C78" s="33"/>
      <c r="D78" s="62"/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69">
        <v>46237</v>
      </c>
      <c r="B79" s="32">
        <f t="shared" si="17"/>
        <v>1.25</v>
      </c>
      <c r="C79" s="33"/>
      <c r="D79" s="62"/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8">
        <v>46237</v>
      </c>
      <c r="B80" s="25">
        <f t="shared" si="17"/>
        <v>1.2916666666666667</v>
      </c>
      <c r="C80" s="33"/>
      <c r="D80" s="62"/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98" t="s">
        <v>230</v>
      </c>
      <c r="B81" s="99"/>
      <c r="C81" s="99"/>
      <c r="D81" s="99"/>
      <c r="E81" s="100">
        <f>SUM(E69:E80)</f>
        <v>0</v>
      </c>
      <c r="F81" s="36">
        <f>SUM(F69:F80)</f>
        <v>0</v>
      </c>
      <c r="G81" s="36">
        <f>SUM(G69:G80)</f>
        <v>0</v>
      </c>
      <c r="H81" s="37"/>
      <c r="I81" s="37"/>
      <c r="J81" s="37"/>
      <c r="K81" s="37"/>
      <c r="L81" s="37"/>
      <c r="M81" s="38">
        <f ca="1">IFERROR(SUM(M69:M80),"")</f>
        <v>0</v>
      </c>
      <c r="N81" s="36" t="s">
        <v>229</v>
      </c>
      <c r="O81" s="54"/>
    </row>
    <row r="82" spans="1:15" ht="18" customHeight="1">
      <c r="A82" s="101" t="s">
        <v>231</v>
      </c>
      <c r="B82" s="102"/>
      <c r="C82" s="102"/>
      <c r="D82" s="102"/>
      <c r="E82" s="103">
        <f>E68+E81</f>
        <v>0</v>
      </c>
      <c r="F82" s="40">
        <f>F68+F81</f>
        <v>0</v>
      </c>
      <c r="G82" s="40">
        <f>G68+G81</f>
        <v>0</v>
      </c>
      <c r="H82" s="41"/>
      <c r="I82" s="41"/>
      <c r="J82" s="41"/>
      <c r="K82" s="41"/>
      <c r="L82" s="41"/>
      <c r="M82" s="42">
        <f ca="1">IFERROR(M68+M81,"")</f>
        <v>0</v>
      </c>
      <c r="N82" s="40" t="s">
        <v>232</v>
      </c>
      <c r="O82" s="82">
        <f>IFERROR(O68+O81,"")</f>
        <v>0</v>
      </c>
    </row>
    <row r="83" spans="1:15" ht="15" customHeight="1">
      <c r="A83" s="68">
        <v>46238</v>
      </c>
      <c r="B83" s="25">
        <v>0.33333333333333298</v>
      </c>
      <c r="C83" s="26"/>
      <c r="E83" s="59"/>
      <c r="F83" s="27"/>
      <c r="G83" s="28" t="str">
        <f t="shared" ref="G83:G94" si="18">IF(F83="","",IF(E83="PC 17",F83*4.2,IF(E83="PC 19",F83*5,IF(E83="CB",F83*24,""))))</f>
        <v/>
      </c>
      <c r="H83" s="33"/>
      <c r="I83" s="33"/>
      <c r="J83" s="33"/>
      <c r="K83" s="29"/>
      <c r="L83" s="29"/>
      <c r="M83" s="35" t="str">
        <f t="shared" ref="M83:M94" ca="1" si="19">IFERROR(IF(K83="","",IF(L83="",MOD(NOW()-K83,1),IF(L83&gt;=K83,L83-K83,L83+1-K83))),"")</f>
        <v/>
      </c>
      <c r="N83" s="46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0" t="str">
        <f t="shared" ca="1" si="19"/>
        <v/>
      </c>
      <c r="N84" s="46"/>
      <c r="O84" s="31"/>
    </row>
    <row r="85" spans="1:15" ht="15" customHeight="1">
      <c r="A85" s="68">
        <v>46238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5" t="str">
        <f t="shared" ca="1" si="19"/>
        <v/>
      </c>
      <c r="N85" s="46"/>
      <c r="O85" s="31"/>
    </row>
    <row r="86" spans="1:15" ht="15" customHeight="1">
      <c r="A86" s="69">
        <v>46238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8">
        <v>46238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69">
        <v>46238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46238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46238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46238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46238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46238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46238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98" t="s">
        <v>228</v>
      </c>
      <c r="B95" s="99"/>
      <c r="C95" s="99"/>
      <c r="D95" s="99"/>
      <c r="E95" s="100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37"/>
      <c r="L95" s="37"/>
      <c r="M95" s="38">
        <f ca="1">IFERROR(SUM(M83:M94),"")</f>
        <v>0</v>
      </c>
      <c r="N95" s="36" t="s">
        <v>229</v>
      </c>
      <c r="O95" s="54"/>
    </row>
    <row r="96" spans="1:15" ht="15" customHeight="1">
      <c r="A96" s="69">
        <v>46238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19",F96*5,IF(E96="CB",F96*24,""))))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46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46"/>
      <c r="O97" s="31"/>
    </row>
    <row r="98" spans="1:15" ht="15" customHeight="1">
      <c r="A98" s="69">
        <v>46238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46"/>
      <c r="O98" s="31"/>
    </row>
    <row r="99" spans="1:15" ht="15" customHeight="1">
      <c r="A99" s="68">
        <v>46238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46238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98" t="s">
        <v>230</v>
      </c>
      <c r="B108" s="99"/>
      <c r="C108" s="99"/>
      <c r="D108" s="99"/>
      <c r="E108" s="100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229</v>
      </c>
      <c r="O108" s="54"/>
    </row>
    <row r="109" spans="1:15" ht="18" customHeight="1">
      <c r="A109" s="101" t="s">
        <v>231</v>
      </c>
      <c r="B109" s="102"/>
      <c r="C109" s="102"/>
      <c r="D109" s="102"/>
      <c r="E109" s="103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41"/>
      <c r="L109" s="41"/>
      <c r="M109" s="42">
        <f ca="1">IFERROR(M95+M108,"")</f>
        <v>0</v>
      </c>
      <c r="N109" s="40" t="s">
        <v>232</v>
      </c>
      <c r="O109" s="82">
        <f>IFERROR(O95+O108,"")</f>
        <v>0</v>
      </c>
    </row>
    <row r="110" spans="1:15" ht="15" customHeight="1">
      <c r="A110" s="68">
        <v>46239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19",F110*5,IF(E110="CB",F110*24,""))))</f>
        <v/>
      </c>
      <c r="H110" s="26"/>
      <c r="I110" s="26"/>
      <c r="J110" s="26"/>
      <c r="K110" s="29"/>
      <c r="L110" s="29"/>
      <c r="M110" s="35" t="str">
        <f t="shared" ref="M110:M121" ca="1" si="25">IFERROR(IF(K110="","",IF(L110="",MOD(NOW()-K110,1),IF(L110&gt;=K110,L110-K110,L110+1-K110))),"")</f>
        <v/>
      </c>
      <c r="N110" s="46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0" t="str">
        <f t="shared" ca="1" si="25"/>
        <v/>
      </c>
      <c r="N111" s="46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98" t="s">
        <v>228</v>
      </c>
      <c r="B122" s="99"/>
      <c r="C122" s="99"/>
      <c r="D122" s="99"/>
      <c r="E122" s="100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229</v>
      </c>
      <c r="O122" s="54"/>
    </row>
    <row r="123" spans="1:15" ht="15" customHeight="1">
      <c r="A123" s="69">
        <v>46239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19",F123*5,IF(E123="CB",F123*24,""))))</f>
        <v/>
      </c>
      <c r="H123" s="33"/>
      <c r="I123" s="33"/>
      <c r="J123" s="33"/>
      <c r="K123" s="29"/>
      <c r="L123" s="29"/>
      <c r="M123" s="30" t="str">
        <f t="shared" ref="M123:M134" ca="1" si="28">IFERROR(IF(K123="","",IF(L123="",MOD(NOW()-K123,1),IF(L123&gt;=K123,L123-K123,L123+1-K123))),"")</f>
        <v/>
      </c>
      <c r="N123" s="46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5" t="str">
        <f t="shared" ca="1" si="28"/>
        <v/>
      </c>
      <c r="N124" s="46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0" t="str">
        <f t="shared" ca="1" si="28"/>
        <v/>
      </c>
      <c r="N125" s="46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5" t="str">
        <f t="shared" ca="1" si="28"/>
        <v/>
      </c>
      <c r="N126" s="46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0" t="str">
        <f t="shared" ca="1" si="28"/>
        <v/>
      </c>
      <c r="N127" s="46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5" t="str">
        <f t="shared" ca="1" si="28"/>
        <v/>
      </c>
      <c r="N128" s="85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0" t="str">
        <f t="shared" ca="1" si="28"/>
        <v/>
      </c>
      <c r="N129" s="46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5" t="str">
        <f t="shared" ca="1" si="28"/>
        <v/>
      </c>
      <c r="N130" s="46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46239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98" t="s">
        <v>230</v>
      </c>
      <c r="B135" s="99"/>
      <c r="C135" s="99"/>
      <c r="D135" s="99"/>
      <c r="E135" s="100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229</v>
      </c>
      <c r="O135" s="54"/>
    </row>
    <row r="136" spans="1:15" ht="18" customHeight="1">
      <c r="A136" s="101" t="s">
        <v>231</v>
      </c>
      <c r="B136" s="102"/>
      <c r="C136" s="102"/>
      <c r="D136" s="102"/>
      <c r="E136" s="103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232</v>
      </c>
      <c r="O136" s="82">
        <f>IFERROR(O122+O135,"")</f>
        <v>0</v>
      </c>
    </row>
    <row r="137" spans="1:15" ht="15" customHeight="1">
      <c r="A137" s="69">
        <v>46240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19",F137*5,IF(E137="CB",F137*24,""))))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46"/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46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46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46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98" t="s">
        <v>228</v>
      </c>
      <c r="B149" s="99"/>
      <c r="C149" s="99"/>
      <c r="D149" s="99"/>
      <c r="E149" s="100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229</v>
      </c>
      <c r="O149" s="54"/>
    </row>
    <row r="150" spans="1:15" ht="15" customHeight="1">
      <c r="A150" s="68">
        <v>46240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19",F150*5,IF(E150="CB",F150*24,""))))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46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46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46240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98" t="s">
        <v>230</v>
      </c>
      <c r="B162" s="99"/>
      <c r="C162" s="99"/>
      <c r="D162" s="99"/>
      <c r="E162" s="100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229</v>
      </c>
      <c r="O162" s="54"/>
    </row>
    <row r="163" spans="1:15" ht="18" customHeight="1">
      <c r="A163" s="101" t="s">
        <v>231</v>
      </c>
      <c r="B163" s="102"/>
      <c r="C163" s="102"/>
      <c r="D163" s="102"/>
      <c r="E163" s="103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232</v>
      </c>
      <c r="O163" s="82">
        <f>IFERROR(O149+O162,"")</f>
        <v>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19",F164*5,IF(E164="CB",F164*24,""))))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46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98" t="s">
        <v>228</v>
      </c>
      <c r="B176" s="99"/>
      <c r="C176" s="99"/>
      <c r="D176" s="99"/>
      <c r="E176" s="100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229</v>
      </c>
      <c r="O176" s="77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19",F177*5,IF(E177="CB",F177*24,""))))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46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98" t="s">
        <v>230</v>
      </c>
      <c r="B189" s="99"/>
      <c r="C189" s="99"/>
      <c r="D189" s="99"/>
      <c r="E189" s="100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229</v>
      </c>
      <c r="O189" s="77"/>
    </row>
    <row r="190" spans="1:15" ht="18" customHeight="1">
      <c r="A190" s="101" t="s">
        <v>231</v>
      </c>
      <c r="B190" s="102"/>
      <c r="C190" s="102"/>
      <c r="D190" s="102"/>
      <c r="E190" s="103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232</v>
      </c>
      <c r="O190" s="82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19",F191*5,IF(E191="CB",F191*24,""))))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46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98" t="s">
        <v>228</v>
      </c>
      <c r="B203" s="99"/>
      <c r="C203" s="99"/>
      <c r="D203" s="99"/>
      <c r="E203" s="100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229</v>
      </c>
      <c r="O203" s="77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19",F204*5,IF(E204="CB",F204*24,""))))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8" t="s">
        <v>230</v>
      </c>
      <c r="B216" s="99"/>
      <c r="C216" s="99"/>
      <c r="D216" s="99"/>
      <c r="E216" s="100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229</v>
      </c>
      <c r="O216" s="77"/>
    </row>
    <row r="217" spans="1:15" ht="18" customHeight="1">
      <c r="A217" s="101" t="s">
        <v>231</v>
      </c>
      <c r="B217" s="102"/>
      <c r="C217" s="102"/>
      <c r="D217" s="102"/>
      <c r="E217" s="103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232</v>
      </c>
      <c r="O217" s="83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33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14" t="s">
        <v>228</v>
      </c>
      <c r="B230" s="115"/>
      <c r="C230" s="115"/>
      <c r="D230" s="115"/>
      <c r="E230" s="116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229</v>
      </c>
      <c r="O230" s="77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8" t="s">
        <v>230</v>
      </c>
      <c r="B243" s="99"/>
      <c r="C243" s="99"/>
      <c r="D243" s="99"/>
      <c r="E243" s="100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229</v>
      </c>
      <c r="O243" s="77"/>
    </row>
    <row r="244" spans="1:15" ht="18" customHeight="1">
      <c r="A244" s="101" t="s">
        <v>231</v>
      </c>
      <c r="B244" s="102"/>
      <c r="C244" s="102"/>
      <c r="D244" s="102"/>
      <c r="E244" s="103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232</v>
      </c>
      <c r="O244" s="83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8" t="s">
        <v>228</v>
      </c>
      <c r="B257" s="99"/>
      <c r="C257" s="99"/>
      <c r="D257" s="99"/>
      <c r="E257" s="100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229</v>
      </c>
      <c r="O257" s="77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8" t="s">
        <v>230</v>
      </c>
      <c r="B270" s="99"/>
      <c r="C270" s="99"/>
      <c r="D270" s="99"/>
      <c r="E270" s="100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229</v>
      </c>
      <c r="O270" s="77"/>
    </row>
    <row r="271" spans="1:15" ht="18" customHeight="1">
      <c r="A271" s="101" t="s">
        <v>231</v>
      </c>
      <c r="B271" s="102"/>
      <c r="C271" s="102"/>
      <c r="D271" s="102"/>
      <c r="E271" s="103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232</v>
      </c>
      <c r="O271" s="83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8" t="s">
        <v>228</v>
      </c>
      <c r="B284" s="99"/>
      <c r="C284" s="99"/>
      <c r="D284" s="99"/>
      <c r="E284" s="100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229</v>
      </c>
      <c r="O284" s="77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98" t="s">
        <v>230</v>
      </c>
      <c r="B297" s="99"/>
      <c r="C297" s="99"/>
      <c r="D297" s="99"/>
      <c r="E297" s="100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229</v>
      </c>
      <c r="O297" s="77"/>
    </row>
    <row r="298" spans="1:15" ht="18" customHeight="1">
      <c r="A298" s="101" t="s">
        <v>231</v>
      </c>
      <c r="B298" s="102"/>
      <c r="C298" s="102"/>
      <c r="D298" s="102"/>
      <c r="E298" s="103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232</v>
      </c>
      <c r="O298" s="83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8" t="s">
        <v>228</v>
      </c>
      <c r="B311" s="99"/>
      <c r="C311" s="99"/>
      <c r="D311" s="99"/>
      <c r="E311" s="100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229</v>
      </c>
      <c r="O311" s="77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8" t="s">
        <v>230</v>
      </c>
      <c r="B324" s="99"/>
      <c r="C324" s="99"/>
      <c r="D324" s="99"/>
      <c r="E324" s="100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229</v>
      </c>
      <c r="O324" s="77"/>
    </row>
    <row r="325" spans="1:15" ht="18" customHeight="1">
      <c r="A325" s="101" t="s">
        <v>231</v>
      </c>
      <c r="B325" s="102"/>
      <c r="C325" s="102"/>
      <c r="D325" s="102"/>
      <c r="E325" s="103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232</v>
      </c>
      <c r="O325" s="83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8" t="s">
        <v>228</v>
      </c>
      <c r="B338" s="99"/>
      <c r="C338" s="99"/>
      <c r="D338" s="99"/>
      <c r="E338" s="100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229</v>
      </c>
      <c r="O338" s="77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8" t="s">
        <v>230</v>
      </c>
      <c r="B351" s="99"/>
      <c r="C351" s="99"/>
      <c r="D351" s="99"/>
      <c r="E351" s="100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229</v>
      </c>
      <c r="O351" s="77"/>
    </row>
    <row r="352" spans="1:15" ht="18" customHeight="1">
      <c r="A352" s="101" t="s">
        <v>231</v>
      </c>
      <c r="B352" s="102"/>
      <c r="C352" s="102"/>
      <c r="D352" s="102"/>
      <c r="E352" s="103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232</v>
      </c>
      <c r="O352" s="83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8" t="s">
        <v>228</v>
      </c>
      <c r="B365" s="99"/>
      <c r="C365" s="99"/>
      <c r="D365" s="99"/>
      <c r="E365" s="100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229</v>
      </c>
      <c r="O365" s="77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8" t="s">
        <v>230</v>
      </c>
      <c r="B378" s="99"/>
      <c r="C378" s="99"/>
      <c r="D378" s="99"/>
      <c r="E378" s="100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229</v>
      </c>
      <c r="O378" s="77"/>
    </row>
    <row r="379" spans="1:15" ht="18" customHeight="1">
      <c r="A379" s="101" t="s">
        <v>231</v>
      </c>
      <c r="B379" s="102"/>
      <c r="C379" s="102"/>
      <c r="D379" s="102"/>
      <c r="E379" s="103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232</v>
      </c>
      <c r="O379" s="83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8" t="s">
        <v>228</v>
      </c>
      <c r="B392" s="99"/>
      <c r="C392" s="99"/>
      <c r="D392" s="99"/>
      <c r="E392" s="100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229</v>
      </c>
      <c r="O392" s="77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8" t="s">
        <v>230</v>
      </c>
      <c r="B405" s="99"/>
      <c r="C405" s="99"/>
      <c r="D405" s="99"/>
      <c r="E405" s="100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229</v>
      </c>
      <c r="O405" s="77"/>
    </row>
    <row r="406" spans="1:15" ht="18" customHeight="1">
      <c r="A406" s="101" t="s">
        <v>231</v>
      </c>
      <c r="B406" s="102"/>
      <c r="C406" s="102"/>
      <c r="D406" s="102"/>
      <c r="E406" s="103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232</v>
      </c>
      <c r="O406" s="83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26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34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34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8" t="s">
        <v>228</v>
      </c>
      <c r="B419" s="99"/>
      <c r="C419" s="99"/>
      <c r="D419" s="99"/>
      <c r="E419" s="100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229</v>
      </c>
      <c r="O419" s="77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230</v>
      </c>
      <c r="B432" s="88"/>
      <c r="C432" s="88"/>
      <c r="D432" s="88"/>
      <c r="E432" s="88"/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229</v>
      </c>
      <c r="O432" s="77"/>
    </row>
    <row r="433" spans="1:15" ht="18" customHeight="1">
      <c r="A433" s="92" t="s">
        <v>231</v>
      </c>
      <c r="B433" s="91"/>
      <c r="C433" s="91"/>
      <c r="D433" s="91"/>
      <c r="E433" s="91"/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232</v>
      </c>
      <c r="O433" s="83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8" t="s">
        <v>228</v>
      </c>
      <c r="B446" s="99"/>
      <c r="C446" s="99"/>
      <c r="D446" s="99"/>
      <c r="E446" s="100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229</v>
      </c>
      <c r="O446" s="77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8" t="s">
        <v>230</v>
      </c>
      <c r="B459" s="99"/>
      <c r="C459" s="99"/>
      <c r="D459" s="99"/>
      <c r="E459" s="100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229</v>
      </c>
      <c r="O459" s="77"/>
    </row>
    <row r="460" spans="1:15" ht="18" customHeight="1">
      <c r="A460" s="101" t="s">
        <v>231</v>
      </c>
      <c r="B460" s="102"/>
      <c r="C460" s="102"/>
      <c r="D460" s="102"/>
      <c r="E460" s="103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232</v>
      </c>
      <c r="O460" s="83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8" t="s">
        <v>228</v>
      </c>
      <c r="B473" s="99"/>
      <c r="C473" s="99"/>
      <c r="D473" s="99"/>
      <c r="E473" s="100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229</v>
      </c>
      <c r="O473" s="77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8" t="s">
        <v>230</v>
      </c>
      <c r="B486" s="99"/>
      <c r="C486" s="99"/>
      <c r="D486" s="99"/>
      <c r="E486" s="100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229</v>
      </c>
      <c r="O486" s="77"/>
    </row>
    <row r="487" spans="1:15" ht="18" customHeight="1">
      <c r="A487" s="101" t="s">
        <v>231</v>
      </c>
      <c r="B487" s="102"/>
      <c r="C487" s="102"/>
      <c r="D487" s="102"/>
      <c r="E487" s="103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232</v>
      </c>
      <c r="O487" s="83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8" t="s">
        <v>228</v>
      </c>
      <c r="B500" s="99"/>
      <c r="C500" s="99"/>
      <c r="D500" s="99"/>
      <c r="E500" s="100">
        <f>SUM(E488:E499)</f>
        <v>0</v>
      </c>
      <c r="F500" s="36">
        <f>SUM(F488:F499)</f>
        <v>0</v>
      </c>
      <c r="G500" s="90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229</v>
      </c>
      <c r="O500" s="77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230</v>
      </c>
      <c r="B513" s="88"/>
      <c r="C513" s="88"/>
      <c r="D513" s="88"/>
      <c r="E513" s="88"/>
      <c r="F513" s="36">
        <f>SUM(F501:F512)</f>
        <v>0</v>
      </c>
      <c r="G513" s="90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229</v>
      </c>
      <c r="O513" s="77"/>
    </row>
    <row r="514" spans="1:15" ht="18" customHeight="1">
      <c r="A514" s="92" t="s">
        <v>231</v>
      </c>
      <c r="B514" s="91"/>
      <c r="C514" s="91"/>
      <c r="D514" s="91"/>
      <c r="E514" s="91"/>
      <c r="F514" s="40">
        <f>F500+F513</f>
        <v>0</v>
      </c>
      <c r="G514" s="97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232</v>
      </c>
      <c r="O514" s="83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8" t="s">
        <v>228</v>
      </c>
      <c r="B527" s="99"/>
      <c r="C527" s="99"/>
      <c r="D527" s="99"/>
      <c r="E527" s="100">
        <f>SUM(E515:E526)</f>
        <v>0</v>
      </c>
      <c r="F527" s="36">
        <f>SUM(F515:F526)</f>
        <v>0</v>
      </c>
      <c r="G527" s="90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229</v>
      </c>
      <c r="O527" s="77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8" t="s">
        <v>230</v>
      </c>
      <c r="B540" s="99"/>
      <c r="C540" s="99"/>
      <c r="D540" s="99"/>
      <c r="E540" s="100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229</v>
      </c>
      <c r="O540" s="77"/>
    </row>
    <row r="541" spans="1:15" ht="18" customHeight="1">
      <c r="A541" s="101" t="s">
        <v>231</v>
      </c>
      <c r="B541" s="102"/>
      <c r="C541" s="102"/>
      <c r="D541" s="102"/>
      <c r="E541" s="103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232</v>
      </c>
      <c r="O541" s="83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8" t="s">
        <v>228</v>
      </c>
      <c r="B554" s="99"/>
      <c r="C554" s="99"/>
      <c r="D554" s="99"/>
      <c r="E554" s="100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229</v>
      </c>
      <c r="O554" s="77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8" t="s">
        <v>230</v>
      </c>
      <c r="B567" s="99"/>
      <c r="C567" s="99"/>
      <c r="D567" s="99"/>
      <c r="E567" s="100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229</v>
      </c>
      <c r="O567" s="77"/>
    </row>
    <row r="568" spans="1:15" ht="18" customHeight="1">
      <c r="A568" s="101" t="s">
        <v>231</v>
      </c>
      <c r="B568" s="102"/>
      <c r="C568" s="102"/>
      <c r="D568" s="102"/>
      <c r="E568" s="103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232</v>
      </c>
      <c r="O568" s="83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8" t="s">
        <v>228</v>
      </c>
      <c r="B581" s="99"/>
      <c r="C581" s="99"/>
      <c r="D581" s="99"/>
      <c r="E581" s="100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229</v>
      </c>
      <c r="O581" s="77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8" t="s">
        <v>230</v>
      </c>
      <c r="B594" s="99"/>
      <c r="C594" s="99"/>
      <c r="D594" s="99"/>
      <c r="E594" s="100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229</v>
      </c>
      <c r="O594" s="77"/>
    </row>
    <row r="595" spans="1:15" ht="18" customHeight="1">
      <c r="A595" s="101" t="s">
        <v>231</v>
      </c>
      <c r="B595" s="102"/>
      <c r="C595" s="102"/>
      <c r="D595" s="102"/>
      <c r="E595" s="103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232</v>
      </c>
      <c r="O595" s="83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8" t="s">
        <v>228</v>
      </c>
      <c r="B608" s="99"/>
      <c r="C608" s="99"/>
      <c r="D608" s="99"/>
      <c r="E608" s="100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229</v>
      </c>
      <c r="O608" s="77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8" t="s">
        <v>230</v>
      </c>
      <c r="B621" s="99"/>
      <c r="C621" s="99"/>
      <c r="D621" s="99"/>
      <c r="E621" s="100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229</v>
      </c>
      <c r="O621" s="77"/>
    </row>
    <row r="622" spans="1:15" ht="18" customHeight="1">
      <c r="A622" s="101" t="s">
        <v>231</v>
      </c>
      <c r="B622" s="102"/>
      <c r="C622" s="102"/>
      <c r="D622" s="102"/>
      <c r="E622" s="103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232</v>
      </c>
      <c r="O622" s="83">
        <f>O608+O621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8" t="s">
        <v>228</v>
      </c>
      <c r="B635" s="99"/>
      <c r="C635" s="99"/>
      <c r="D635" s="99"/>
      <c r="E635" s="100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229</v>
      </c>
      <c r="O635" s="77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8" t="s">
        <v>230</v>
      </c>
      <c r="B648" s="99"/>
      <c r="C648" s="99"/>
      <c r="D648" s="99"/>
      <c r="E648" s="100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229</v>
      </c>
      <c r="O648" s="77"/>
    </row>
    <row r="649" spans="1:15" ht="18" customHeight="1">
      <c r="A649" s="101" t="s">
        <v>231</v>
      </c>
      <c r="B649" s="102"/>
      <c r="C649" s="102"/>
      <c r="D649" s="102"/>
      <c r="E649" s="103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232</v>
      </c>
      <c r="O649" s="83">
        <f>O635+O648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8" t="s">
        <v>228</v>
      </c>
      <c r="B662" s="99"/>
      <c r="C662" s="99"/>
      <c r="D662" s="99"/>
      <c r="E662" s="100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229</v>
      </c>
      <c r="O662" s="77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8" t="s">
        <v>230</v>
      </c>
      <c r="B675" s="99"/>
      <c r="C675" s="99"/>
      <c r="D675" s="99"/>
      <c r="E675" s="100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229</v>
      </c>
      <c r="O675" s="77"/>
    </row>
    <row r="676" spans="1:15" ht="18" customHeight="1">
      <c r="A676" s="101" t="s">
        <v>231</v>
      </c>
      <c r="B676" s="102"/>
      <c r="C676" s="102"/>
      <c r="D676" s="102"/>
      <c r="E676" s="103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232</v>
      </c>
      <c r="O676" s="83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8" t="s">
        <v>228</v>
      </c>
      <c r="B689" s="99"/>
      <c r="C689" s="99"/>
      <c r="D689" s="99"/>
      <c r="E689" s="100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229</v>
      </c>
      <c r="O689" s="77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8" t="s">
        <v>230</v>
      </c>
      <c r="B702" s="99"/>
      <c r="C702" s="99"/>
      <c r="D702" s="99"/>
      <c r="E702" s="100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229</v>
      </c>
      <c r="O702" s="77"/>
    </row>
    <row r="703" spans="1:15" ht="18" customHeight="1">
      <c r="A703" s="101" t="s">
        <v>231</v>
      </c>
      <c r="B703" s="102"/>
      <c r="C703" s="102"/>
      <c r="D703" s="102"/>
      <c r="E703" s="103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232</v>
      </c>
      <c r="O703" s="83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8" t="s">
        <v>228</v>
      </c>
      <c r="B716" s="99"/>
      <c r="C716" s="99"/>
      <c r="D716" s="99"/>
      <c r="E716" s="100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229</v>
      </c>
      <c r="O716" s="77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8" t="s">
        <v>230</v>
      </c>
      <c r="B729" s="99"/>
      <c r="C729" s="99"/>
      <c r="D729" s="99"/>
      <c r="E729" s="100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229</v>
      </c>
      <c r="O729" s="77"/>
    </row>
    <row r="730" spans="1:15" ht="18" customHeight="1">
      <c r="A730" s="101" t="s">
        <v>231</v>
      </c>
      <c r="B730" s="102"/>
      <c r="C730" s="102"/>
      <c r="D730" s="102"/>
      <c r="E730" s="103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232</v>
      </c>
      <c r="O730" s="83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8" t="s">
        <v>228</v>
      </c>
      <c r="B743" s="99"/>
      <c r="C743" s="99"/>
      <c r="D743" s="99"/>
      <c r="E743" s="100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229</v>
      </c>
      <c r="O743" s="77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8" t="s">
        <v>230</v>
      </c>
      <c r="B756" s="99"/>
      <c r="C756" s="99"/>
      <c r="D756" s="99"/>
      <c r="E756" s="100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229</v>
      </c>
      <c r="O756" s="39"/>
    </row>
    <row r="757" spans="1:15" ht="18" customHeight="1">
      <c r="A757" s="101" t="s">
        <v>231</v>
      </c>
      <c r="B757" s="102"/>
      <c r="C757" s="102"/>
      <c r="D757" s="102"/>
      <c r="E757" s="103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232</v>
      </c>
      <c r="O757" s="83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8" t="s">
        <v>228</v>
      </c>
      <c r="B770" s="99"/>
      <c r="C770" s="99"/>
      <c r="D770" s="99"/>
      <c r="E770" s="100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229</v>
      </c>
      <c r="O770" s="77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8" t="s">
        <v>230</v>
      </c>
      <c r="B783" s="99"/>
      <c r="C783" s="99"/>
      <c r="D783" s="99"/>
      <c r="E783" s="100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229</v>
      </c>
      <c r="O783" s="39"/>
    </row>
    <row r="784" spans="1:15" ht="18" customHeight="1">
      <c r="A784" s="101" t="s">
        <v>231</v>
      </c>
      <c r="B784" s="102"/>
      <c r="C784" s="102"/>
      <c r="D784" s="102"/>
      <c r="E784" s="103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232</v>
      </c>
      <c r="O784" s="83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8" t="s">
        <v>228</v>
      </c>
      <c r="B797" s="99"/>
      <c r="C797" s="99"/>
      <c r="D797" s="99"/>
      <c r="E797" s="100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229</v>
      </c>
      <c r="O797" s="77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8" t="s">
        <v>230</v>
      </c>
      <c r="B810" s="99"/>
      <c r="C810" s="99"/>
      <c r="D810" s="99"/>
      <c r="E810" s="100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229</v>
      </c>
      <c r="O810" s="39"/>
    </row>
    <row r="811" spans="1:15" ht="18" customHeight="1">
      <c r="A811" s="101" t="s">
        <v>231</v>
      </c>
      <c r="B811" s="102"/>
      <c r="C811" s="102"/>
      <c r="D811" s="102"/>
      <c r="E811" s="103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232</v>
      </c>
      <c r="O811" s="82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79" t="str">
        <f t="shared" ref="M812:M823" ca="1" si="180">IFERROR(IF(K812="","",IF(L812="",MOD(NOW()-K812,1),IF(L812&gt;=K812,L812-K812,L812+1-K812))),"")</f>
        <v/>
      </c>
      <c r="N812" s="46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46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46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46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46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46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46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46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46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46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46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46"/>
      <c r="O823" s="31"/>
    </row>
    <row r="824" spans="1:15" ht="15.75" customHeight="1">
      <c r="A824" s="98" t="s">
        <v>228</v>
      </c>
      <c r="B824" s="99"/>
      <c r="C824" s="99"/>
      <c r="D824" s="99"/>
      <c r="E824" s="100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229</v>
      </c>
      <c r="O824" s="84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46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0" t="str">
        <f t="shared" ca="1" si="183"/>
        <v/>
      </c>
      <c r="N826" s="46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46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0" t="str">
        <f t="shared" ca="1" si="183"/>
        <v/>
      </c>
      <c r="N828" s="46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46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0" t="str">
        <f t="shared" ca="1" si="183"/>
        <v/>
      </c>
      <c r="N830" s="46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46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0" t="str">
        <f t="shared" ca="1" si="183"/>
        <v/>
      </c>
      <c r="N832" s="46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46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0" t="str">
        <f t="shared" ca="1" si="183"/>
        <v/>
      </c>
      <c r="N834" s="46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46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0" t="str">
        <f t="shared" ca="1" si="183"/>
        <v/>
      </c>
      <c r="N836" s="46"/>
      <c r="O836" s="31"/>
    </row>
    <row r="837" spans="1:15" ht="15.75" customHeight="1">
      <c r="A837" s="98" t="s">
        <v>230</v>
      </c>
      <c r="B837" s="99"/>
      <c r="C837" s="99"/>
      <c r="D837" s="99"/>
      <c r="E837" s="100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229</v>
      </c>
      <c r="O837" s="84"/>
    </row>
    <row r="838" spans="1:15" ht="18" customHeight="1">
      <c r="A838" s="101" t="s">
        <v>231</v>
      </c>
      <c r="B838" s="102"/>
      <c r="C838" s="102"/>
      <c r="D838" s="102"/>
      <c r="E838" s="103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232</v>
      </c>
      <c r="O838" s="82">
        <f>IFERROR(O824+O837,"")</f>
        <v>0</v>
      </c>
    </row>
  </sheetData>
  <mergeCells count="89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22:E622"/>
    <mergeCell ref="A635:E635"/>
    <mergeCell ref="A554:E554"/>
    <mergeCell ref="A567:E567"/>
    <mergeCell ref="A568:E568"/>
    <mergeCell ref="A581:E581"/>
    <mergeCell ref="A594:E594"/>
    <mergeCell ref="A527:E527"/>
    <mergeCell ref="A540:E540"/>
    <mergeCell ref="A541:E541"/>
    <mergeCell ref="A608:E608"/>
    <mergeCell ref="A621:E621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352:E352"/>
    <mergeCell ref="A365:E365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6:E216"/>
    <mergeCell ref="A217:E217"/>
    <mergeCell ref="A243:E243"/>
    <mergeCell ref="A244:E244"/>
    <mergeCell ref="A257:E257"/>
    <mergeCell ref="A230:E230"/>
    <mergeCell ref="A163:E163"/>
    <mergeCell ref="A176:E176"/>
    <mergeCell ref="A189:E189"/>
    <mergeCell ref="A190:E190"/>
    <mergeCell ref="A203:E203"/>
    <mergeCell ref="A824:E824"/>
    <mergeCell ref="A837:E837"/>
    <mergeCell ref="A838:E83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</mergeCells>
  <dataValidations count="2">
    <dataValidation type="list" allowBlank="1" showErrorMessage="1" errorTitle="Valor inválido" error="Selecione PC 17 ou PC 19 da lista." sqref="E2:E13 E15:E26 E515:E838 E434:E512 E29:E431" xr:uid="{52C68A24-78CA-4DE2-A34C-BA733F92037A}">
      <formula1>"PC 17,PC 19,CB"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C29:C900 C2:C13 C15:C26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D84:D900 D2:D13 D29:D82 E432:E433 E513:E514 D15:D26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 H406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H2:H405 H407:H900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38"/>
  <sheetViews>
    <sheetView showGridLines="0" zoomScale="50" zoomScaleNormal="50" workbookViewId="0">
      <selection activeCell="E26" sqref="E26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67.7109375" style="20" customWidth="1"/>
    <col min="15" max="15" width="14" customWidth="1"/>
  </cols>
  <sheetData>
    <row r="1" spans="1:15" ht="37.5" customHeight="1">
      <c r="A1" s="67" t="s">
        <v>7</v>
      </c>
      <c r="B1" s="23" t="s">
        <v>217</v>
      </c>
      <c r="C1" s="23" t="s">
        <v>12</v>
      </c>
      <c r="D1" s="22" t="s">
        <v>13</v>
      </c>
      <c r="E1" s="22" t="s">
        <v>218</v>
      </c>
      <c r="F1" s="23" t="s">
        <v>219</v>
      </c>
      <c r="G1" s="23" t="s">
        <v>220</v>
      </c>
      <c r="H1" s="23" t="s">
        <v>14</v>
      </c>
      <c r="I1" s="23" t="s">
        <v>15</v>
      </c>
      <c r="J1" s="23" t="s">
        <v>221</v>
      </c>
      <c r="K1" s="23" t="s">
        <v>222</v>
      </c>
      <c r="L1" s="23" t="s">
        <v>223</v>
      </c>
      <c r="M1" s="24" t="s">
        <v>224</v>
      </c>
      <c r="N1" s="23" t="s">
        <v>225</v>
      </c>
      <c r="O1" s="23" t="s">
        <v>226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233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20</v>
      </c>
      <c r="I2" s="26"/>
      <c r="J2" s="26" t="s">
        <v>74</v>
      </c>
      <c r="K2" s="29">
        <v>0.4548611111111111</v>
      </c>
      <c r="L2" s="29">
        <v>0.45833333333333331</v>
      </c>
      <c r="M2" s="30">
        <f t="shared" ref="M2:M13" ca="1" si="1">IFERROR(IF(K2="","",IF(L2="",MOD(NOW()-K2,1),IF(L2&gt;=K2,L2-K2,L2+1-K2))),"")</f>
        <v>3.4722222222222099E-3</v>
      </c>
      <c r="N2" s="27"/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233</v>
      </c>
      <c r="F3" s="27">
        <v>8</v>
      </c>
      <c r="G3" s="34">
        <f t="shared" si="0"/>
        <v>33.6</v>
      </c>
      <c r="H3" s="33" t="s">
        <v>19</v>
      </c>
      <c r="I3" s="33" t="s">
        <v>47</v>
      </c>
      <c r="J3" s="33" t="s">
        <v>27</v>
      </c>
      <c r="K3" s="29">
        <v>0.73333333333333328</v>
      </c>
      <c r="L3" s="29">
        <v>0.74305555555555558</v>
      </c>
      <c r="M3" s="35">
        <f t="shared" ca="1" si="1"/>
        <v>9.7222222222222987E-3</v>
      </c>
      <c r="N3" s="27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233</v>
      </c>
      <c r="F4" s="27">
        <v>10</v>
      </c>
      <c r="G4" s="28">
        <f t="shared" si="0"/>
        <v>42</v>
      </c>
      <c r="H4" s="26"/>
      <c r="I4" s="26"/>
      <c r="J4" s="26"/>
      <c r="K4" s="29"/>
      <c r="L4" s="29"/>
      <c r="M4" s="30" t="str">
        <f t="shared" ca="1" si="1"/>
        <v/>
      </c>
      <c r="N4" s="27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233</v>
      </c>
      <c r="F5" s="27">
        <v>9</v>
      </c>
      <c r="G5" s="34">
        <f t="shared" si="0"/>
        <v>37.800000000000004</v>
      </c>
      <c r="H5" s="33"/>
      <c r="I5" s="33"/>
      <c r="J5" s="33"/>
      <c r="K5" s="29"/>
      <c r="L5" s="29"/>
      <c r="M5" s="35" t="str">
        <f t="shared" ca="1" si="1"/>
        <v/>
      </c>
      <c r="N5" s="27"/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233</v>
      </c>
      <c r="F6" s="27">
        <v>3</v>
      </c>
      <c r="G6" s="28">
        <f t="shared" si="0"/>
        <v>12.600000000000001</v>
      </c>
      <c r="H6" s="26"/>
      <c r="I6" s="26"/>
      <c r="J6" s="26"/>
      <c r="K6" s="29"/>
      <c r="L6" s="29"/>
      <c r="M6" s="30" t="str">
        <f t="shared" ca="1" si="1"/>
        <v/>
      </c>
      <c r="N6" s="27"/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233</v>
      </c>
      <c r="F7" s="27">
        <v>6</v>
      </c>
      <c r="G7" s="34">
        <f t="shared" si="0"/>
        <v>25.200000000000003</v>
      </c>
      <c r="H7" s="33"/>
      <c r="I7" s="33"/>
      <c r="J7" s="33"/>
      <c r="K7" s="29"/>
      <c r="L7" s="29"/>
      <c r="M7" s="35" t="str">
        <f t="shared" ca="1" si="1"/>
        <v/>
      </c>
      <c r="N7" s="27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233</v>
      </c>
      <c r="F8" s="27">
        <v>12</v>
      </c>
      <c r="G8" s="28">
        <f t="shared" si="0"/>
        <v>50.400000000000006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8</v>
      </c>
      <c r="B9" s="32">
        <f t="shared" si="2"/>
        <v>0.62499999999999967</v>
      </c>
      <c r="C9" s="26" t="s">
        <v>45</v>
      </c>
      <c r="D9" s="59" t="s">
        <v>30</v>
      </c>
      <c r="E9" s="59" t="s">
        <v>233</v>
      </c>
      <c r="F9" s="27">
        <v>8</v>
      </c>
      <c r="G9" s="34">
        <f t="shared" si="0"/>
        <v>33.6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233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233</v>
      </c>
      <c r="F11" s="27">
        <v>9</v>
      </c>
      <c r="G11" s="34">
        <f t="shared" si="0"/>
        <v>37.800000000000004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233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233</v>
      </c>
      <c r="F13" s="27">
        <v>3</v>
      </c>
      <c r="G13" s="34">
        <f t="shared" si="0"/>
        <v>12.600000000000001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98" t="s">
        <v>228</v>
      </c>
      <c r="B14" s="99"/>
      <c r="C14" s="99"/>
      <c r="D14" s="99"/>
      <c r="E14" s="100"/>
      <c r="F14" s="36">
        <f>SUM(F2:F13)</f>
        <v>81</v>
      </c>
      <c r="G14" s="36">
        <f>SUM(G2:G13)</f>
        <v>340.20000000000005</v>
      </c>
      <c r="H14" s="37"/>
      <c r="I14" s="37"/>
      <c r="J14" s="37"/>
      <c r="K14" s="37"/>
      <c r="L14" s="37"/>
      <c r="M14" s="38">
        <f ca="1">IFERROR(SUM(M2:M13),"")</f>
        <v>1.3194444444444509E-2</v>
      </c>
      <c r="N14" s="36" t="s">
        <v>229</v>
      </c>
      <c r="O14" s="39">
        <v>326520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233</v>
      </c>
      <c r="F15" s="27"/>
      <c r="G15" s="34" t="str">
        <f t="shared" ref="G15:G26" si="3">IF(F15="","",IF(E15="PC 17",F15*4.2,IF(E15="PC 19",F15*5,IF(E15="CB",F15*24,""))))</f>
        <v/>
      </c>
      <c r="H15" s="33"/>
      <c r="I15" s="33"/>
      <c r="J15" s="33"/>
      <c r="K15" s="29"/>
      <c r="L15" s="29"/>
      <c r="M15" s="35" t="str">
        <f ca="1">IFERROR(IF(K15="","",IF(L15="",MOD(NOW()-K15,1),IF(L15&gt;=K15,L15-K15,L15+1-K15))),"")</f>
        <v/>
      </c>
      <c r="N15" s="27"/>
      <c r="O15" s="31"/>
    </row>
    <row r="16" spans="1:15" ht="15" customHeight="1">
      <c r="A16" s="68">
        <v>46235</v>
      </c>
      <c r="B16" s="25">
        <f t="shared" ref="B16:B26" si="4">B15+TIME(0,60,0)</f>
        <v>0.87499999999999967</v>
      </c>
      <c r="C16" s="33" t="s">
        <v>29</v>
      </c>
      <c r="D16" s="62" t="s">
        <v>22</v>
      </c>
      <c r="E16" s="62" t="s">
        <v>233</v>
      </c>
      <c r="F16" s="27"/>
      <c r="G16" s="28" t="str">
        <f t="shared" si="3"/>
        <v/>
      </c>
      <c r="H16" s="26"/>
      <c r="I16" s="26"/>
      <c r="J16" s="26"/>
      <c r="K16" s="29"/>
      <c r="L16" s="29"/>
      <c r="M16" s="35" t="str">
        <f t="shared" ref="M16:M26" ca="1" si="5">IFERROR(IF(K16="","",IF(L16="",MOD(NOW()-K16,1),IF(L16&gt;=K16,L16-K16,L16+1-K16))),"")</f>
        <v/>
      </c>
      <c r="N16" s="27"/>
      <c r="O16" s="31"/>
    </row>
    <row r="17" spans="1:15" ht="15" customHeight="1">
      <c r="A17" s="69">
        <v>46235</v>
      </c>
      <c r="B17" s="32">
        <f t="shared" si="4"/>
        <v>0.9166666666666663</v>
      </c>
      <c r="C17" s="33" t="s">
        <v>29</v>
      </c>
      <c r="D17" s="62" t="s">
        <v>22</v>
      </c>
      <c r="E17" s="62" t="s">
        <v>233</v>
      </c>
      <c r="F17" s="27"/>
      <c r="G17" s="34" t="str">
        <f t="shared" si="3"/>
        <v/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8">
        <v>46235</v>
      </c>
      <c r="B18" s="25">
        <f t="shared" si="4"/>
        <v>0.95833333333333293</v>
      </c>
      <c r="C18" s="33" t="s">
        <v>29</v>
      </c>
      <c r="D18" s="62" t="s">
        <v>22</v>
      </c>
      <c r="E18" s="62" t="s">
        <v>233</v>
      </c>
      <c r="F18" s="27"/>
      <c r="G18" s="28" t="str">
        <f t="shared" si="3"/>
        <v/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69">
        <v>46235</v>
      </c>
      <c r="B19" s="32">
        <f t="shared" si="4"/>
        <v>0.99999999999999956</v>
      </c>
      <c r="C19" s="33" t="s">
        <v>29</v>
      </c>
      <c r="D19" s="62" t="s">
        <v>22</v>
      </c>
      <c r="E19" s="62" t="s">
        <v>233</v>
      </c>
      <c r="F19" s="27"/>
      <c r="G19" s="34" t="str">
        <f t="shared" si="3"/>
        <v/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8">
        <v>46235</v>
      </c>
      <c r="B20" s="25">
        <f t="shared" si="4"/>
        <v>1.0416666666666663</v>
      </c>
      <c r="C20" s="33" t="s">
        <v>29</v>
      </c>
      <c r="D20" s="62" t="s">
        <v>22</v>
      </c>
      <c r="E20" s="62" t="s">
        <v>233</v>
      </c>
      <c r="F20" s="27"/>
      <c r="G20" s="28" t="str">
        <f t="shared" si="3"/>
        <v/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46235</v>
      </c>
      <c r="B21" s="32">
        <f t="shared" si="4"/>
        <v>1.083333333333333</v>
      </c>
      <c r="C21" s="33" t="s">
        <v>29</v>
      </c>
      <c r="D21" s="62" t="s">
        <v>22</v>
      </c>
      <c r="E21" s="62" t="s">
        <v>233</v>
      </c>
      <c r="F21" s="27"/>
      <c r="G21" s="34" t="str">
        <f t="shared" si="3"/>
        <v/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46235</v>
      </c>
      <c r="B22" s="25">
        <f t="shared" si="4"/>
        <v>1.1249999999999998</v>
      </c>
      <c r="C22" s="33" t="s">
        <v>29</v>
      </c>
      <c r="D22" s="62" t="s">
        <v>22</v>
      </c>
      <c r="E22" s="62" t="s">
        <v>233</v>
      </c>
      <c r="F22" s="27"/>
      <c r="G22" s="28" t="str">
        <f t="shared" si="3"/>
        <v/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46235</v>
      </c>
      <c r="B23" s="32">
        <f t="shared" si="4"/>
        <v>1.1666666666666665</v>
      </c>
      <c r="C23" s="33" t="s">
        <v>29</v>
      </c>
      <c r="D23" s="62" t="s">
        <v>22</v>
      </c>
      <c r="E23" s="62" t="s">
        <v>233</v>
      </c>
      <c r="F23" s="27"/>
      <c r="G23" s="34" t="str">
        <f t="shared" si="3"/>
        <v/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46235</v>
      </c>
      <c r="B24" s="25">
        <f t="shared" si="4"/>
        <v>1.2083333333333333</v>
      </c>
      <c r="C24" s="33" t="s">
        <v>29</v>
      </c>
      <c r="D24" s="62" t="s">
        <v>22</v>
      </c>
      <c r="E24" s="62" t="s">
        <v>233</v>
      </c>
      <c r="F24" s="27"/>
      <c r="G24" s="28" t="str">
        <f t="shared" si="3"/>
        <v/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46235</v>
      </c>
      <c r="B25" s="32">
        <f t="shared" si="4"/>
        <v>1.25</v>
      </c>
      <c r="C25" s="33" t="s">
        <v>29</v>
      </c>
      <c r="D25" s="62" t="s">
        <v>22</v>
      </c>
      <c r="E25" s="62" t="s">
        <v>233</v>
      </c>
      <c r="F25" s="27"/>
      <c r="G25" s="34" t="str">
        <f t="shared" si="3"/>
        <v/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46235</v>
      </c>
      <c r="B26" s="25">
        <f t="shared" si="4"/>
        <v>1.2916666666666667</v>
      </c>
      <c r="C26" s="33" t="s">
        <v>29</v>
      </c>
      <c r="D26" s="62" t="s">
        <v>22</v>
      </c>
      <c r="E26" s="62" t="s">
        <v>233</v>
      </c>
      <c r="F26" s="27"/>
      <c r="G26" s="28" t="str">
        <f t="shared" si="3"/>
        <v/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98" t="s">
        <v>230</v>
      </c>
      <c r="B27" s="99"/>
      <c r="C27" s="99"/>
      <c r="D27" s="99"/>
      <c r="E27" s="100"/>
      <c r="F27" s="36">
        <f>SUM(F15:F26)</f>
        <v>0</v>
      </c>
      <c r="G27" s="36">
        <f>SUM(G15:G26)</f>
        <v>0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229</v>
      </c>
      <c r="O27" s="39"/>
    </row>
    <row r="28" spans="1:15" ht="18" customHeight="1">
      <c r="A28" s="101" t="s">
        <v>231</v>
      </c>
      <c r="B28" s="102"/>
      <c r="C28" s="102"/>
      <c r="D28" s="102"/>
      <c r="E28" s="103"/>
      <c r="F28" s="40">
        <f>F14+F27</f>
        <v>81</v>
      </c>
      <c r="G28" s="40">
        <f>G14+G27</f>
        <v>340.20000000000005</v>
      </c>
      <c r="H28" s="41"/>
      <c r="I28" s="41"/>
      <c r="J28" s="41"/>
      <c r="K28" s="41"/>
      <c r="L28" s="41"/>
      <c r="M28" s="42">
        <f ca="1">IFERROR(M14+M27,"")</f>
        <v>1.3194444444444509E-2</v>
      </c>
      <c r="N28" s="40" t="s">
        <v>232</v>
      </c>
      <c r="O28" s="43">
        <f>IFERROR(O14+O27,"")</f>
        <v>326520</v>
      </c>
    </row>
    <row r="29" spans="1:15" ht="15" customHeight="1">
      <c r="A29" s="68">
        <v>46236</v>
      </c>
      <c r="B29" s="25">
        <v>0.33333333333333298</v>
      </c>
      <c r="C29" s="26"/>
      <c r="D29" s="59"/>
      <c r="E29" s="59"/>
      <c r="F29" s="27"/>
      <c r="G29" s="28" t="str">
        <f t="shared" ref="G29:G40" si="6">IF(F29="","",IF(E29="PC 17",F29*4.2,IF(E29="PC 19",F29*5,IF(E29="CB",F29*24,""))))</f>
        <v/>
      </c>
      <c r="H29" s="33"/>
      <c r="I29" s="33"/>
      <c r="J29" s="33"/>
      <c r="K29" s="29"/>
      <c r="L29" s="29"/>
      <c r="M29" s="35" t="str">
        <f t="shared" ref="M29:M40" ca="1" si="7">IFERROR(IF(K29="","",IF(L29="",MOD(NOW()-K29,1),IF(L29&gt;=K29,L29-K29,L29+1-K29))),"")</f>
        <v/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/>
      <c r="D30" s="59"/>
      <c r="E30" s="59"/>
      <c r="F30" s="27"/>
      <c r="G30" s="34" t="str">
        <f t="shared" si="6"/>
        <v/>
      </c>
      <c r="H30" s="33"/>
      <c r="I30" s="26"/>
      <c r="J30" s="26"/>
      <c r="K30" s="29"/>
      <c r="L30" s="29"/>
      <c r="M30" s="30" t="str">
        <f t="shared" ca="1" si="7"/>
        <v/>
      </c>
      <c r="N30" s="27"/>
      <c r="O30" s="31"/>
    </row>
    <row r="31" spans="1:15" ht="15" customHeight="1">
      <c r="A31" s="68">
        <v>46236</v>
      </c>
      <c r="B31" s="25">
        <f t="shared" si="8"/>
        <v>0.41666666666666635</v>
      </c>
      <c r="C31" s="26"/>
      <c r="D31" s="59"/>
      <c r="E31" s="59"/>
      <c r="F31" s="27"/>
      <c r="G31" s="28" t="str">
        <f t="shared" si="6"/>
        <v/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46236</v>
      </c>
      <c r="B32" s="32">
        <f t="shared" si="8"/>
        <v>0.45833333333333304</v>
      </c>
      <c r="C32" s="26"/>
      <c r="D32" s="59"/>
      <c r="E32" s="59"/>
      <c r="F32" s="27"/>
      <c r="G32" s="34" t="str">
        <f t="shared" si="6"/>
        <v/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/>
      <c r="D33" s="59"/>
      <c r="E33" s="59"/>
      <c r="F33" s="27"/>
      <c r="G33" s="28" t="str">
        <f t="shared" si="6"/>
        <v/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/>
      <c r="D34" s="59"/>
      <c r="E34" s="59"/>
      <c r="F34" s="27"/>
      <c r="G34" s="34" t="str">
        <f t="shared" si="6"/>
        <v/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/>
      <c r="D35" s="59"/>
      <c r="E35" s="59"/>
      <c r="F35" s="27"/>
      <c r="G35" s="28" t="str">
        <f t="shared" si="6"/>
        <v/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/>
      <c r="D36" s="59"/>
      <c r="E36" s="59"/>
      <c r="F36" s="27"/>
      <c r="G36" s="34" t="str">
        <f t="shared" si="6"/>
        <v/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/>
      <c r="D37" s="59"/>
      <c r="E37" s="59"/>
      <c r="F37" s="27"/>
      <c r="G37" s="28" t="str">
        <f t="shared" si="6"/>
        <v/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/>
      <c r="D38" s="59"/>
      <c r="E38" s="59"/>
      <c r="F38" s="27"/>
      <c r="G38" s="34" t="str">
        <f t="shared" si="6"/>
        <v/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/>
      <c r="D39" s="59"/>
      <c r="E39" s="59"/>
      <c r="F39" s="27"/>
      <c r="G39" s="28" t="str">
        <f t="shared" si="6"/>
        <v/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/>
      <c r="D40" s="59"/>
      <c r="E40" s="59"/>
      <c r="F40" s="27"/>
      <c r="G40" s="34" t="str">
        <f t="shared" si="6"/>
        <v/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8" t="s">
        <v>228</v>
      </c>
      <c r="B41" s="99"/>
      <c r="C41" s="99"/>
      <c r="D41" s="99"/>
      <c r="E41" s="100">
        <f>SUM(E29:E40)</f>
        <v>0</v>
      </c>
      <c r="F41" s="36">
        <f>SUM(F29:F40)</f>
        <v>0</v>
      </c>
      <c r="G41" s="36">
        <f>SUM(G29:G40)</f>
        <v>0</v>
      </c>
      <c r="H41" s="37"/>
      <c r="I41" s="37"/>
      <c r="J41" s="37"/>
      <c r="K41" s="37"/>
      <c r="L41" s="37"/>
      <c r="M41" s="38">
        <f ca="1">IFERROR(SUM(M29:M40),"")</f>
        <v>0</v>
      </c>
      <c r="N41" s="36" t="s">
        <v>229</v>
      </c>
      <c r="O41" s="39"/>
    </row>
    <row r="42" spans="1:15" ht="15" customHeight="1">
      <c r="A42" s="69">
        <v>46236</v>
      </c>
      <c r="B42" s="32">
        <v>0.83333333333333304</v>
      </c>
      <c r="C42" s="33"/>
      <c r="D42" s="62"/>
      <c r="E42" s="62"/>
      <c r="F42" s="27"/>
      <c r="G42" s="34" t="str">
        <f t="shared" ref="G42:G53" si="9">IF(F42="","",IF(E42="PC 17",F42*4.2,IF(E42="PC 19",F42*5,IF(E42="CB",F42*24,""))))</f>
        <v/>
      </c>
      <c r="H42" s="26"/>
      <c r="I42" s="26"/>
      <c r="J42" s="26"/>
      <c r="K42" s="29"/>
      <c r="L42" s="29"/>
      <c r="M42" s="30" t="str">
        <f t="shared" ref="M42:M53" ca="1" si="10">IFERROR(IF(K42="","",IF(L42="",MOD(NOW()-K42,1),IF(L42&gt;=K42,L42-K42,L42+1-K42))),"")</f>
        <v/>
      </c>
      <c r="N42" s="27"/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/>
      <c r="D43" s="62"/>
      <c r="E43" s="62"/>
      <c r="F43" s="27"/>
      <c r="G43" s="28" t="str">
        <f t="shared" si="9"/>
        <v/>
      </c>
      <c r="H43" s="33"/>
      <c r="I43" s="33"/>
      <c r="J43" s="33"/>
      <c r="K43" s="29"/>
      <c r="L43" s="29"/>
      <c r="M43" s="35" t="str">
        <f t="shared" ca="1" si="10"/>
        <v/>
      </c>
      <c r="N43" s="27"/>
      <c r="O43" s="31"/>
    </row>
    <row r="44" spans="1:15" ht="15" customHeight="1">
      <c r="A44" s="69">
        <v>46236</v>
      </c>
      <c r="B44" s="32">
        <f t="shared" si="11"/>
        <v>0.9166666666666663</v>
      </c>
      <c r="C44" s="33"/>
      <c r="D44" s="62"/>
      <c r="E44" s="62"/>
      <c r="F44" s="27"/>
      <c r="G44" s="34" t="str">
        <f t="shared" si="9"/>
        <v/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/>
      <c r="D45" s="62"/>
      <c r="E45" s="62"/>
      <c r="F45" s="27"/>
      <c r="G45" s="28" t="str">
        <f t="shared" si="9"/>
        <v/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/>
      <c r="D46" s="62"/>
      <c r="E46" s="62"/>
      <c r="F46" s="27"/>
      <c r="G46" s="34" t="str">
        <f t="shared" si="9"/>
        <v/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/>
      <c r="D47" s="62"/>
      <c r="E47" s="62"/>
      <c r="F47" s="27"/>
      <c r="G47" s="28" t="str">
        <f t="shared" si="9"/>
        <v/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/>
      <c r="D48" s="62"/>
      <c r="E48" s="62"/>
      <c r="F48" s="27"/>
      <c r="G48" s="34" t="str">
        <f t="shared" si="9"/>
        <v/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/>
      <c r="D49" s="62"/>
      <c r="E49" s="62"/>
      <c r="F49" s="27"/>
      <c r="G49" s="28" t="str">
        <f t="shared" si="9"/>
        <v/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/>
      <c r="D50" s="62"/>
      <c r="E50" s="62"/>
      <c r="F50" s="27"/>
      <c r="G50" s="34" t="str">
        <f t="shared" si="9"/>
        <v/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46236</v>
      </c>
      <c r="B51" s="25">
        <f t="shared" si="11"/>
        <v>1.2083333333333333</v>
      </c>
      <c r="C51" s="33"/>
      <c r="D51" s="62"/>
      <c r="E51" s="62"/>
      <c r="F51" s="27"/>
      <c r="G51" s="28" t="str">
        <f t="shared" si="9"/>
        <v/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/>
      <c r="D52" s="62"/>
      <c r="E52" s="62"/>
      <c r="F52" s="27"/>
      <c r="G52" s="34" t="str">
        <f t="shared" si="9"/>
        <v/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/>
      <c r="D53" s="62"/>
      <c r="E53" s="62"/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8" t="s">
        <v>230</v>
      </c>
      <c r="B54" s="99"/>
      <c r="C54" s="99"/>
      <c r="D54" s="99"/>
      <c r="E54" s="100">
        <f>SUM(E42:E53)</f>
        <v>0</v>
      </c>
      <c r="F54" s="36">
        <f>SUM(F42:F53)</f>
        <v>0</v>
      </c>
      <c r="G54" s="36">
        <f>SUM(G42:G53)</f>
        <v>0</v>
      </c>
      <c r="H54" s="37"/>
      <c r="I54" s="37"/>
      <c r="J54" s="37"/>
      <c r="K54" s="37"/>
      <c r="L54" s="37"/>
      <c r="M54" s="38">
        <f ca="1">IFERROR(SUM(M42:M53),"")</f>
        <v>0</v>
      </c>
      <c r="N54" s="36" t="s">
        <v>229</v>
      </c>
      <c r="O54" s="39"/>
    </row>
    <row r="55" spans="1:15" ht="18" customHeight="1">
      <c r="A55" s="101" t="s">
        <v>231</v>
      </c>
      <c r="B55" s="102"/>
      <c r="C55" s="102"/>
      <c r="D55" s="102"/>
      <c r="E55" s="103">
        <f>E41+E54</f>
        <v>0</v>
      </c>
      <c r="F55" s="40">
        <f>F41+F54</f>
        <v>0</v>
      </c>
      <c r="G55" s="40">
        <f>G41+G54</f>
        <v>0</v>
      </c>
      <c r="H55" s="41"/>
      <c r="I55" s="41"/>
      <c r="J55" s="41"/>
      <c r="K55" s="41"/>
      <c r="L55" s="41"/>
      <c r="M55" s="42">
        <f ca="1">IFERROR(M41+M54,"")</f>
        <v>0</v>
      </c>
      <c r="N55" s="40" t="s">
        <v>232</v>
      </c>
      <c r="O55" s="43">
        <f>IFERROR(O41+O54,"")</f>
        <v>0</v>
      </c>
    </row>
    <row r="56" spans="1:15" ht="15" customHeight="1">
      <c r="A56" s="68">
        <v>46237</v>
      </c>
      <c r="B56" s="25">
        <v>0.33333333333333298</v>
      </c>
      <c r="C56" s="26"/>
      <c r="D56" s="59"/>
      <c r="E56" s="59"/>
      <c r="F56" s="27"/>
      <c r="G56" s="28" t="str">
        <f t="shared" ref="G56:G67" si="12">IF(F56="","",IF(E56="PC 17",F56*4.2,IF(E56="PC 19",F56*5,IF(E56="CB",F56*24,""))))</f>
        <v/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/>
      <c r="D57" s="59"/>
      <c r="E57" s="59"/>
      <c r="F57" s="27"/>
      <c r="G57" s="34" t="str">
        <f t="shared" si="12"/>
        <v/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/>
      <c r="D58" s="59"/>
      <c r="E58" s="59"/>
      <c r="F58" s="27"/>
      <c r="G58" s="28" t="str">
        <f t="shared" si="12"/>
        <v/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/>
      <c r="D59" s="59"/>
      <c r="E59" s="59"/>
      <c r="F59" s="27"/>
      <c r="G59" s="34" t="str">
        <f t="shared" si="12"/>
        <v/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/>
      <c r="D60" s="59"/>
      <c r="E60" s="59"/>
      <c r="F60" s="27"/>
      <c r="G60" s="28" t="str">
        <f t="shared" si="12"/>
        <v/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/>
      <c r="D61" s="59"/>
      <c r="E61" s="59"/>
      <c r="F61" s="27"/>
      <c r="G61" s="34" t="str">
        <f t="shared" si="12"/>
        <v/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/>
      <c r="D62" s="59"/>
      <c r="E62" s="59"/>
      <c r="F62" s="27"/>
      <c r="G62" s="28" t="str">
        <f t="shared" si="12"/>
        <v/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46237</v>
      </c>
      <c r="B63" s="32">
        <f t="shared" si="14"/>
        <v>0.62499999999999967</v>
      </c>
      <c r="C63" s="26"/>
      <c r="D63" s="59"/>
      <c r="E63" s="59"/>
      <c r="F63" s="27"/>
      <c r="G63" s="34" t="str">
        <f t="shared" si="12"/>
        <v/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/>
      <c r="D64" s="59"/>
      <c r="E64" s="59"/>
      <c r="F64" s="27"/>
      <c r="G64" s="28" t="str">
        <f t="shared" si="12"/>
        <v/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/>
      <c r="D65" s="59"/>
      <c r="E65" s="59"/>
      <c r="F65" s="27"/>
      <c r="G65" s="34" t="str">
        <f t="shared" si="12"/>
        <v/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/>
      <c r="D66" s="59"/>
      <c r="E66" s="59"/>
      <c r="F66" s="27"/>
      <c r="G66" s="28" t="str">
        <f t="shared" si="12"/>
        <v/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/>
      <c r="D67" s="59"/>
      <c r="E67" s="59"/>
      <c r="F67" s="27"/>
      <c r="G67" s="34" t="str">
        <f t="shared" si="12"/>
        <v/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8" t="s">
        <v>228</v>
      </c>
      <c r="B68" s="99"/>
      <c r="C68" s="99"/>
      <c r="D68" s="99"/>
      <c r="E68" s="100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229</v>
      </c>
      <c r="O68" s="39"/>
    </row>
    <row r="69" spans="1:15" ht="15" customHeight="1">
      <c r="A69" s="69">
        <v>46237</v>
      </c>
      <c r="B69" s="32">
        <v>0.83333333333333304</v>
      </c>
      <c r="C69" s="33"/>
      <c r="D69" s="62"/>
      <c r="E69" s="62"/>
      <c r="F69" s="27"/>
      <c r="G69" s="34" t="str">
        <f t="shared" ref="G69:G80" si="15">IF(F69="","",IF(E69="PC 17",F69*4.2,IF(E69="PC 19",F69*5,IF(E69="CB",F69*24,""))))</f>
        <v/>
      </c>
      <c r="H69" s="33"/>
      <c r="I69" s="33"/>
      <c r="J69" s="33"/>
      <c r="K69" s="29"/>
      <c r="L69" s="29"/>
      <c r="M69" s="35" t="str">
        <f t="shared" ref="M69:M80" ca="1" si="16">IFERROR(IF(K69="","",IF(L69="",MOD(NOW()-K69,1),IF(L69&gt;=K69,L69-K69,L69+1-K69))),"")</f>
        <v/>
      </c>
      <c r="N69" s="27"/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/>
      <c r="D70" s="62"/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0" t="str">
        <f t="shared" ca="1" si="16"/>
        <v/>
      </c>
      <c r="N70" s="27"/>
      <c r="O70" s="31"/>
    </row>
    <row r="71" spans="1:15" ht="15" customHeight="1">
      <c r="A71" s="69">
        <v>46237</v>
      </c>
      <c r="B71" s="32">
        <f t="shared" si="17"/>
        <v>0.9166666666666663</v>
      </c>
      <c r="C71" s="33"/>
      <c r="D71" s="62"/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/>
      <c r="D72" s="62"/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/>
      <c r="D73" s="62"/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/>
      <c r="D74" s="62"/>
      <c r="E74" s="62"/>
      <c r="F74" s="27"/>
      <c r="G74" s="28" t="str">
        <f t="shared" si="15"/>
        <v/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/>
      <c r="D75" s="62"/>
      <c r="E75" s="62"/>
      <c r="F75" s="27"/>
      <c r="G75" s="34" t="str">
        <f t="shared" si="15"/>
        <v/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/>
      <c r="D76" s="62"/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/>
      <c r="D77" s="62"/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/>
      <c r="D78" s="62"/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/>
      <c r="D79" s="62"/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/>
      <c r="D80" s="62"/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8" t="s">
        <v>230</v>
      </c>
      <c r="B81" s="99"/>
      <c r="C81" s="99"/>
      <c r="D81" s="99"/>
      <c r="E81" s="100">
        <f>SUM(E69:E80)</f>
        <v>0</v>
      </c>
      <c r="F81" s="36">
        <f>SUM(F69:F80)</f>
        <v>0</v>
      </c>
      <c r="G81" s="36">
        <f>SUM(G69:G80)</f>
        <v>0</v>
      </c>
      <c r="H81" s="37"/>
      <c r="I81" s="37"/>
      <c r="J81" s="37"/>
      <c r="K81" s="37"/>
      <c r="L81" s="37"/>
      <c r="M81" s="38">
        <f ca="1">IFERROR(SUM(M69:M80),"")</f>
        <v>0</v>
      </c>
      <c r="N81" s="36" t="s">
        <v>229</v>
      </c>
      <c r="O81" s="39"/>
    </row>
    <row r="82" spans="1:15" ht="18" customHeight="1">
      <c r="A82" s="101" t="s">
        <v>231</v>
      </c>
      <c r="B82" s="102"/>
      <c r="C82" s="102"/>
      <c r="D82" s="102"/>
      <c r="E82" s="103">
        <f>E68+E81</f>
        <v>0</v>
      </c>
      <c r="F82" s="40">
        <f>F68+F81</f>
        <v>0</v>
      </c>
      <c r="G82" s="40">
        <f>G68+G81</f>
        <v>0</v>
      </c>
      <c r="H82" s="41"/>
      <c r="I82" s="41"/>
      <c r="J82" s="41"/>
      <c r="K82" s="41"/>
      <c r="L82" s="41"/>
      <c r="M82" s="42">
        <f ca="1">IFERROR(M68+M81,"")</f>
        <v>0</v>
      </c>
      <c r="N82" s="40" t="s">
        <v>232</v>
      </c>
      <c r="O82" s="43">
        <f>IFERROR(O68+O81,"")</f>
        <v>0</v>
      </c>
    </row>
    <row r="83" spans="1:15" ht="15" customHeight="1">
      <c r="A83" s="68">
        <v>46238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19",F83*5,IF(E83="CB",F83*24,""))))</f>
        <v/>
      </c>
      <c r="H83" s="33"/>
      <c r="I83" s="33"/>
      <c r="J83" s="33"/>
      <c r="K83" s="29"/>
      <c r="L83" s="29"/>
      <c r="M83" s="35" t="str">
        <f t="shared" ref="M83:M94" ca="1" si="19">IFERROR(IF(K83="","",IF(L83="",MOD(NOW()-K83,1),IF(L83&gt;=K83,L83-K83,L83+1-K83))),"")</f>
        <v/>
      </c>
      <c r="N83" s="27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8">
        <v>46238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46238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8" t="s">
        <v>228</v>
      </c>
      <c r="B95" s="99"/>
      <c r="C95" s="99"/>
      <c r="D95" s="99"/>
      <c r="E95" s="100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37"/>
      <c r="L95" s="37"/>
      <c r="M95" s="38">
        <f ca="1">IFERROR(SUM(M83:M94),"")</f>
        <v>0</v>
      </c>
      <c r="N95" s="36" t="s">
        <v>229</v>
      </c>
      <c r="O95" s="39"/>
    </row>
    <row r="96" spans="1:15" ht="15" customHeight="1">
      <c r="A96" s="69">
        <v>46238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19",F96*5,IF(E96="CB",F96*24,""))))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46238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8" t="s">
        <v>230</v>
      </c>
      <c r="B108" s="99"/>
      <c r="C108" s="99"/>
      <c r="D108" s="99"/>
      <c r="E108" s="100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229</v>
      </c>
      <c r="O108" s="39"/>
    </row>
    <row r="109" spans="1:15" ht="18" customHeight="1">
      <c r="A109" s="101" t="s">
        <v>231</v>
      </c>
      <c r="B109" s="102"/>
      <c r="C109" s="102"/>
      <c r="D109" s="102"/>
      <c r="E109" s="103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41"/>
      <c r="L109" s="41"/>
      <c r="M109" s="42">
        <f ca="1">IFERROR(M95+M108,"")</f>
        <v>0</v>
      </c>
      <c r="N109" s="40" t="s">
        <v>232</v>
      </c>
      <c r="O109" s="43">
        <f>IFERROR(O95+O108,"")</f>
        <v>0</v>
      </c>
    </row>
    <row r="110" spans="1:15" ht="15" customHeight="1">
      <c r="A110" s="68">
        <v>46239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19",F110*5,IF(E110="CB",F110*24,""))))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8" t="s">
        <v>228</v>
      </c>
      <c r="B122" s="99"/>
      <c r="C122" s="99"/>
      <c r="D122" s="99"/>
      <c r="E122" s="100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229</v>
      </c>
      <c r="O122" s="39"/>
    </row>
    <row r="123" spans="1:15" ht="15" customHeight="1">
      <c r="A123" s="69">
        <v>46239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19",F123*5,IF(E123="CB",F123*24,""))))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8" t="s">
        <v>230</v>
      </c>
      <c r="B135" s="99"/>
      <c r="C135" s="99"/>
      <c r="D135" s="99"/>
      <c r="E135" s="100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229</v>
      </c>
      <c r="O135" s="39"/>
    </row>
    <row r="136" spans="1:15" ht="18" customHeight="1">
      <c r="A136" s="101" t="s">
        <v>231</v>
      </c>
      <c r="B136" s="102"/>
      <c r="C136" s="102"/>
      <c r="D136" s="102"/>
      <c r="E136" s="103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232</v>
      </c>
      <c r="O136" s="43">
        <f>IFERROR(O122+O135,"")</f>
        <v>0</v>
      </c>
    </row>
    <row r="137" spans="1:15" ht="15" customHeight="1">
      <c r="A137" s="69">
        <v>46240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19",F137*5,IF(E137="CB",F137*24,""))))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8" t="s">
        <v>228</v>
      </c>
      <c r="B149" s="99"/>
      <c r="C149" s="99"/>
      <c r="D149" s="99"/>
      <c r="E149" s="100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229</v>
      </c>
      <c r="O149" s="39"/>
    </row>
    <row r="150" spans="1:15" ht="15" customHeight="1">
      <c r="A150" s="68">
        <v>46240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19",F150*5,IF(E150="CB",F150*24,""))))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8" t="s">
        <v>230</v>
      </c>
      <c r="B162" s="99"/>
      <c r="C162" s="99"/>
      <c r="D162" s="99"/>
      <c r="E162" s="100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229</v>
      </c>
      <c r="O162" s="39"/>
    </row>
    <row r="163" spans="1:15" ht="18" customHeight="1">
      <c r="A163" s="101" t="s">
        <v>231</v>
      </c>
      <c r="B163" s="102"/>
      <c r="C163" s="102"/>
      <c r="D163" s="102"/>
      <c r="E163" s="103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232</v>
      </c>
      <c r="O163" s="43">
        <f>IFERROR(O149+O162,"")</f>
        <v>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19",F164*5,IF(E164="CB",F164*24,""))))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59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78" t="str">
        <f ca="1">IFERROR(IF(K166="","",IF(L166="",MOD(NOW()-K166,1),IF(L166&gt;=K166,L166-K166,L166+1-K166))),"")</f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59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59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59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59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59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8" t="s">
        <v>228</v>
      </c>
      <c r="B176" s="99"/>
      <c r="C176" s="99"/>
      <c r="D176" s="99"/>
      <c r="E176" s="100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229</v>
      </c>
      <c r="O176" s="39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19",F177*5,IF(E177="CB",F177*24,""))))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62"/>
      <c r="E178" s="62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62"/>
      <c r="E180" s="62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>IF(F181="","",IF(E181="PC 17",F181*4.2,IF(E181="PC 19",F181*5,IF(E181="CB",F181*24,""))))</f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62"/>
      <c r="E182" s="62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62"/>
      <c r="E184" s="62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62"/>
      <c r="E186" s="62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62"/>
      <c r="E188" s="62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8" t="s">
        <v>230</v>
      </c>
      <c r="B189" s="99"/>
      <c r="C189" s="99"/>
      <c r="D189" s="99"/>
      <c r="E189" s="100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229</v>
      </c>
      <c r="O189" s="39"/>
    </row>
    <row r="190" spans="1:15" ht="18" customHeight="1">
      <c r="A190" s="101" t="s">
        <v>231</v>
      </c>
      <c r="B190" s="102"/>
      <c r="C190" s="102"/>
      <c r="D190" s="102"/>
      <c r="E190" s="103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232</v>
      </c>
      <c r="O190" s="43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19",F191*5,IF(E191="CB",F191*24,""))))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8" t="s">
        <v>228</v>
      </c>
      <c r="B203" s="99"/>
      <c r="C203" s="99"/>
      <c r="D203" s="99"/>
      <c r="E203" s="100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229</v>
      </c>
      <c r="O203" s="39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19",F204*5,IF(E204="CB",F204*24,""))))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98" t="s">
        <v>230</v>
      </c>
      <c r="B216" s="99"/>
      <c r="C216" s="99"/>
      <c r="D216" s="99"/>
      <c r="E216" s="100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229</v>
      </c>
      <c r="O216" s="39"/>
    </row>
    <row r="217" spans="1:15" ht="18" customHeight="1">
      <c r="A217" s="101" t="s">
        <v>231</v>
      </c>
      <c r="B217" s="102"/>
      <c r="C217" s="102"/>
      <c r="D217" s="102"/>
      <c r="E217" s="103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232</v>
      </c>
      <c r="O217" s="48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98" t="s">
        <v>228</v>
      </c>
      <c r="B230" s="99"/>
      <c r="C230" s="99"/>
      <c r="D230" s="99"/>
      <c r="E230" s="100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229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98" t="s">
        <v>230</v>
      </c>
      <c r="B243" s="99"/>
      <c r="C243" s="99"/>
      <c r="D243" s="99"/>
      <c r="E243" s="100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229</v>
      </c>
      <c r="O243" s="39"/>
    </row>
    <row r="244" spans="1:15" ht="18" customHeight="1">
      <c r="A244" s="101" t="s">
        <v>231</v>
      </c>
      <c r="B244" s="102"/>
      <c r="C244" s="102"/>
      <c r="D244" s="102"/>
      <c r="E244" s="103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232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27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27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27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27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98" t="s">
        <v>228</v>
      </c>
      <c r="B257" s="99"/>
      <c r="C257" s="99"/>
      <c r="D257" s="99"/>
      <c r="E257" s="100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229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27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27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27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27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98" t="s">
        <v>230</v>
      </c>
      <c r="B270" s="99"/>
      <c r="C270" s="99"/>
      <c r="D270" s="99"/>
      <c r="E270" s="100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229</v>
      </c>
      <c r="O270" s="39"/>
    </row>
    <row r="271" spans="1:15" ht="18" customHeight="1">
      <c r="A271" s="101" t="s">
        <v>231</v>
      </c>
      <c r="B271" s="102"/>
      <c r="C271" s="102"/>
      <c r="D271" s="102"/>
      <c r="E271" s="103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232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27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27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98" t="s">
        <v>228</v>
      </c>
      <c r="B284" s="99"/>
      <c r="C284" s="99"/>
      <c r="D284" s="99"/>
      <c r="E284" s="100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229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27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27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27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27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98" t="s">
        <v>230</v>
      </c>
      <c r="B297" s="99"/>
      <c r="C297" s="99"/>
      <c r="D297" s="99"/>
      <c r="E297" s="100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229</v>
      </c>
      <c r="O297" s="39"/>
    </row>
    <row r="298" spans="1:15" ht="18" customHeight="1">
      <c r="A298" s="101" t="s">
        <v>231</v>
      </c>
      <c r="B298" s="102"/>
      <c r="C298" s="102"/>
      <c r="D298" s="102"/>
      <c r="E298" s="103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232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27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79" t="str">
        <f ca="1">IFERROR(IF(K303="","",IF(L303="",MOD(NOW()-K303,1),IF(L303&gt;=K303,L303-K303,L303+1-K303))),"")</f>
        <v/>
      </c>
      <c r="N303" s="27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98" t="s">
        <v>228</v>
      </c>
      <c r="B311" s="99"/>
      <c r="C311" s="99"/>
      <c r="D311" s="99"/>
      <c r="E311" s="100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229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98" t="s">
        <v>230</v>
      </c>
      <c r="B324" s="99"/>
      <c r="C324" s="99"/>
      <c r="D324" s="99"/>
      <c r="E324" s="100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229</v>
      </c>
      <c r="O324" s="39"/>
    </row>
    <row r="325" spans="1:15" ht="18" customHeight="1">
      <c r="A325" s="101" t="s">
        <v>231</v>
      </c>
      <c r="B325" s="102"/>
      <c r="C325" s="102"/>
      <c r="D325" s="102"/>
      <c r="E325" s="103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232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26"/>
      <c r="I327" s="26"/>
      <c r="J327" s="26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98" t="s">
        <v>228</v>
      </c>
      <c r="B338" s="99"/>
      <c r="C338" s="99"/>
      <c r="D338" s="99"/>
      <c r="E338" s="100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229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98" t="s">
        <v>230</v>
      </c>
      <c r="B351" s="99"/>
      <c r="C351" s="99"/>
      <c r="D351" s="99"/>
      <c r="E351" s="100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229</v>
      </c>
      <c r="O351" s="39"/>
    </row>
    <row r="352" spans="1:15" ht="18" customHeight="1">
      <c r="A352" s="101" t="s">
        <v>231</v>
      </c>
      <c r="B352" s="102"/>
      <c r="C352" s="102"/>
      <c r="D352" s="102"/>
      <c r="E352" s="103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232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98" t="s">
        <v>228</v>
      </c>
      <c r="B365" s="99"/>
      <c r="C365" s="99"/>
      <c r="D365" s="99"/>
      <c r="E365" s="100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229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98" t="s">
        <v>230</v>
      </c>
      <c r="B378" s="99"/>
      <c r="C378" s="99"/>
      <c r="D378" s="99"/>
      <c r="E378" s="100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229</v>
      </c>
      <c r="O378" s="39"/>
    </row>
    <row r="379" spans="1:15" ht="18" customHeight="1">
      <c r="A379" s="101" t="s">
        <v>231</v>
      </c>
      <c r="B379" s="102"/>
      <c r="C379" s="102"/>
      <c r="D379" s="102"/>
      <c r="E379" s="103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232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F381" s="27"/>
      <c r="G381" s="34" t="str">
        <f>IF(F381="","",IF(E382="PC 17",F381*4.2,IF(E382="PC 19",F381*5,"")))</f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/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98" t="s">
        <v>228</v>
      </c>
      <c r="B392" s="99"/>
      <c r="C392" s="99"/>
      <c r="D392" s="99"/>
      <c r="E392" s="100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229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98" t="s">
        <v>230</v>
      </c>
      <c r="B405" s="99"/>
      <c r="C405" s="99"/>
      <c r="D405" s="99"/>
      <c r="E405" s="100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229</v>
      </c>
      <c r="O405" s="39"/>
    </row>
    <row r="406" spans="1:15" ht="18" customHeight="1">
      <c r="A406" s="101" t="s">
        <v>231</v>
      </c>
      <c r="B406" s="102"/>
      <c r="C406" s="102"/>
      <c r="D406" s="102"/>
      <c r="E406" s="103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232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98" t="s">
        <v>228</v>
      </c>
      <c r="B419" s="99"/>
      <c r="C419" s="99"/>
      <c r="D419" s="99"/>
      <c r="E419" s="100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229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95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94" t="str">
        <f t="shared" ca="1" si="94"/>
        <v/>
      </c>
      <c r="N421" s="9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93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98" t="s">
        <v>230</v>
      </c>
      <c r="B432" s="99"/>
      <c r="C432" s="99"/>
      <c r="D432" s="99"/>
      <c r="E432" s="100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229</v>
      </c>
      <c r="O432" s="39"/>
    </row>
    <row r="433" spans="1:15" ht="18" customHeight="1">
      <c r="A433" s="101" t="s">
        <v>231</v>
      </c>
      <c r="B433" s="102"/>
      <c r="C433" s="102"/>
      <c r="D433" s="102"/>
      <c r="E433" s="103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232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98" t="s">
        <v>228</v>
      </c>
      <c r="B446" s="99"/>
      <c r="C446" s="99"/>
      <c r="D446" s="99"/>
      <c r="E446" s="100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229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98" t="s">
        <v>230</v>
      </c>
      <c r="B459" s="99"/>
      <c r="C459" s="99"/>
      <c r="D459" s="99"/>
      <c r="E459" s="100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229</v>
      </c>
      <c r="O459" s="39"/>
    </row>
    <row r="460" spans="1:15" ht="18" customHeight="1">
      <c r="A460" s="101" t="s">
        <v>231</v>
      </c>
      <c r="B460" s="102"/>
      <c r="C460" s="102"/>
      <c r="D460" s="102"/>
      <c r="E460" s="103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232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98" t="s">
        <v>228</v>
      </c>
      <c r="B473" s="99"/>
      <c r="C473" s="99"/>
      <c r="D473" s="99"/>
      <c r="E473" s="100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229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98" t="s">
        <v>230</v>
      </c>
      <c r="B486" s="99"/>
      <c r="C486" s="99"/>
      <c r="D486" s="99"/>
      <c r="E486" s="100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229</v>
      </c>
      <c r="O486" s="39"/>
    </row>
    <row r="487" spans="1:15" ht="18" customHeight="1">
      <c r="A487" s="101" t="s">
        <v>231</v>
      </c>
      <c r="B487" s="102"/>
      <c r="C487" s="102"/>
      <c r="D487" s="102"/>
      <c r="E487" s="103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232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98" t="s">
        <v>228</v>
      </c>
      <c r="B500" s="99"/>
      <c r="C500" s="99"/>
      <c r="D500" s="99"/>
      <c r="E500" s="100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229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98" t="s">
        <v>230</v>
      </c>
      <c r="B513" s="99"/>
      <c r="C513" s="99"/>
      <c r="D513" s="99"/>
      <c r="E513" s="100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229</v>
      </c>
      <c r="O513" s="39"/>
    </row>
    <row r="514" spans="1:15" ht="18" customHeight="1">
      <c r="A514" s="101" t="s">
        <v>231</v>
      </c>
      <c r="B514" s="102"/>
      <c r="C514" s="102"/>
      <c r="D514" s="102"/>
      <c r="E514" s="103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232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98" t="s">
        <v>228</v>
      </c>
      <c r="B527" s="99"/>
      <c r="C527" s="99"/>
      <c r="D527" s="99"/>
      <c r="E527" s="100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229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98" t="s">
        <v>230</v>
      </c>
      <c r="B540" s="99"/>
      <c r="C540" s="99"/>
      <c r="D540" s="99"/>
      <c r="E540" s="100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229</v>
      </c>
      <c r="O540" s="39"/>
    </row>
    <row r="541" spans="1:15" ht="18" customHeight="1">
      <c r="A541" s="101" t="s">
        <v>231</v>
      </c>
      <c r="B541" s="102"/>
      <c r="C541" s="102"/>
      <c r="D541" s="102"/>
      <c r="E541" s="103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232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98" t="s">
        <v>228</v>
      </c>
      <c r="B554" s="99"/>
      <c r="C554" s="99"/>
      <c r="D554" s="99"/>
      <c r="E554" s="100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229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98" t="s">
        <v>230</v>
      </c>
      <c r="B567" s="99"/>
      <c r="C567" s="99"/>
      <c r="D567" s="99"/>
      <c r="E567" s="100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229</v>
      </c>
      <c r="O567" s="39"/>
    </row>
    <row r="568" spans="1:15" ht="18" customHeight="1">
      <c r="A568" s="101" t="s">
        <v>231</v>
      </c>
      <c r="B568" s="102"/>
      <c r="C568" s="102"/>
      <c r="D568" s="102"/>
      <c r="E568" s="103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232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98" t="s">
        <v>228</v>
      </c>
      <c r="B581" s="99"/>
      <c r="C581" s="99"/>
      <c r="D581" s="99"/>
      <c r="E581" s="100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229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98" t="s">
        <v>230</v>
      </c>
      <c r="B594" s="99"/>
      <c r="C594" s="99"/>
      <c r="D594" s="99"/>
      <c r="E594" s="100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229</v>
      </c>
      <c r="O594" s="39"/>
    </row>
    <row r="595" spans="1:15" ht="18" customHeight="1">
      <c r="A595" s="101" t="s">
        <v>231</v>
      </c>
      <c r="B595" s="102"/>
      <c r="C595" s="102"/>
      <c r="D595" s="102"/>
      <c r="E595" s="103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232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98" t="s">
        <v>228</v>
      </c>
      <c r="B608" s="99"/>
      <c r="C608" s="99"/>
      <c r="D608" s="99"/>
      <c r="E608" s="100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229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98" t="s">
        <v>230</v>
      </c>
      <c r="B621" s="99"/>
      <c r="C621" s="99"/>
      <c r="D621" s="99"/>
      <c r="E621" s="100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229</v>
      </c>
      <c r="O621" s="39"/>
    </row>
    <row r="622" spans="1:15" ht="18" customHeight="1">
      <c r="A622" s="101" t="s">
        <v>231</v>
      </c>
      <c r="B622" s="102"/>
      <c r="C622" s="102"/>
      <c r="D622" s="102"/>
      <c r="E622" s="103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232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98" t="s">
        <v>228</v>
      </c>
      <c r="B635" s="99"/>
      <c r="C635" s="99"/>
      <c r="D635" s="99"/>
      <c r="E635" s="100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229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98" t="s">
        <v>230</v>
      </c>
      <c r="B648" s="99"/>
      <c r="C648" s="99"/>
      <c r="D648" s="99"/>
      <c r="E648" s="100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229</v>
      </c>
      <c r="O648" s="39"/>
    </row>
    <row r="649" spans="1:15" ht="18" customHeight="1">
      <c r="A649" s="101" t="s">
        <v>231</v>
      </c>
      <c r="B649" s="102"/>
      <c r="C649" s="102"/>
      <c r="D649" s="102"/>
      <c r="E649" s="103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232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98" t="s">
        <v>228</v>
      </c>
      <c r="B662" s="99"/>
      <c r="C662" s="99"/>
      <c r="D662" s="99"/>
      <c r="E662" s="100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229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98" t="s">
        <v>230</v>
      </c>
      <c r="B675" s="99"/>
      <c r="C675" s="99"/>
      <c r="D675" s="99"/>
      <c r="E675" s="100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229</v>
      </c>
      <c r="O675" s="39"/>
    </row>
    <row r="676" spans="1:15" ht="18" customHeight="1">
      <c r="A676" s="101" t="s">
        <v>231</v>
      </c>
      <c r="B676" s="102"/>
      <c r="C676" s="102"/>
      <c r="D676" s="102"/>
      <c r="E676" s="103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232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98" t="s">
        <v>228</v>
      </c>
      <c r="B689" s="99"/>
      <c r="C689" s="99"/>
      <c r="D689" s="99"/>
      <c r="E689" s="100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229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98" t="s">
        <v>230</v>
      </c>
      <c r="B702" s="99"/>
      <c r="C702" s="99"/>
      <c r="D702" s="99"/>
      <c r="E702" s="100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229</v>
      </c>
      <c r="O702" s="39"/>
    </row>
    <row r="703" spans="1:15" ht="18" customHeight="1">
      <c r="A703" s="101" t="s">
        <v>231</v>
      </c>
      <c r="B703" s="102"/>
      <c r="C703" s="102"/>
      <c r="D703" s="102"/>
      <c r="E703" s="103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232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98" t="s">
        <v>228</v>
      </c>
      <c r="B716" s="99"/>
      <c r="C716" s="99"/>
      <c r="D716" s="99"/>
      <c r="E716" s="100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229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98" t="s">
        <v>230</v>
      </c>
      <c r="B729" s="99"/>
      <c r="C729" s="99"/>
      <c r="D729" s="99"/>
      <c r="E729" s="100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229</v>
      </c>
      <c r="O729" s="39"/>
    </row>
    <row r="730" spans="1:15" ht="18" customHeight="1">
      <c r="A730" s="101" t="s">
        <v>231</v>
      </c>
      <c r="B730" s="102"/>
      <c r="C730" s="102"/>
      <c r="D730" s="102"/>
      <c r="E730" s="103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232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98" t="s">
        <v>228</v>
      </c>
      <c r="B743" s="99"/>
      <c r="C743" s="99"/>
      <c r="D743" s="99"/>
      <c r="E743" s="100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229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98" t="s">
        <v>230</v>
      </c>
      <c r="B756" s="99"/>
      <c r="C756" s="99"/>
      <c r="D756" s="99"/>
      <c r="E756" s="100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229</v>
      </c>
      <c r="O756" s="39"/>
    </row>
    <row r="757" spans="1:15" ht="18" customHeight="1">
      <c r="A757" s="101" t="s">
        <v>231</v>
      </c>
      <c r="B757" s="102"/>
      <c r="C757" s="102"/>
      <c r="D757" s="102"/>
      <c r="E757" s="103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232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98" t="s">
        <v>228</v>
      </c>
      <c r="B770" s="99"/>
      <c r="C770" s="99"/>
      <c r="D770" s="99"/>
      <c r="E770" s="100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229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98" t="s">
        <v>230</v>
      </c>
      <c r="B783" s="99"/>
      <c r="C783" s="99"/>
      <c r="D783" s="99"/>
      <c r="E783" s="100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229</v>
      </c>
      <c r="O783" s="39"/>
    </row>
    <row r="784" spans="1:15" ht="18" customHeight="1">
      <c r="A784" s="101" t="s">
        <v>231</v>
      </c>
      <c r="B784" s="102"/>
      <c r="C784" s="102"/>
      <c r="D784" s="102"/>
      <c r="E784" s="103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232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98" t="s">
        <v>228</v>
      </c>
      <c r="B797" s="99"/>
      <c r="C797" s="99"/>
      <c r="D797" s="99"/>
      <c r="E797" s="100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229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98" t="s">
        <v>230</v>
      </c>
      <c r="B810" s="99"/>
      <c r="C810" s="99"/>
      <c r="D810" s="99"/>
      <c r="E810" s="100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229</v>
      </c>
      <c r="O810" s="39"/>
    </row>
    <row r="811" spans="1:15" ht="18" customHeight="1">
      <c r="A811" s="101" t="s">
        <v>231</v>
      </c>
      <c r="B811" s="102"/>
      <c r="C811" s="102"/>
      <c r="D811" s="102"/>
      <c r="E811" s="103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232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33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98" t="s">
        <v>228</v>
      </c>
      <c r="B824" s="99"/>
      <c r="C824" s="99"/>
      <c r="D824" s="99"/>
      <c r="E824" s="100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229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98" t="s">
        <v>230</v>
      </c>
      <c r="B837" s="99"/>
      <c r="C837" s="99"/>
      <c r="D837" s="99"/>
      <c r="E837" s="100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229</v>
      </c>
      <c r="O837" s="39"/>
    </row>
    <row r="838" spans="1:15" ht="18" customHeight="1">
      <c r="A838" s="101" t="s">
        <v>231</v>
      </c>
      <c r="B838" s="102"/>
      <c r="C838" s="102"/>
      <c r="D838" s="102"/>
      <c r="E838" s="103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232</v>
      </c>
      <c r="O838" s="43">
        <f>IFERROR(O824+O837,"")</f>
        <v>0</v>
      </c>
    </row>
  </sheetData>
  <mergeCells count="93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</mergeCells>
  <dataValidations count="3">
    <dataValidation type="list" allowBlank="1" showErrorMessage="1" errorTitle="Valor inválido" error="Selecione PC 17 ou PC 19 da lista." sqref="E15:E26 E2:E13 E29:E380 E382:E514 E516:E838" xr:uid="{618DBFC7-9EE5-4350-9682-B167270E51D8}">
      <formula1>"PC 17,PC 19,CB"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C2:C13 C29:C900 C15:C26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D2:D13 D296:D900 D29:D294 D15:D26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38"/>
  <sheetViews>
    <sheetView showGridLines="0" tabSelected="1" zoomScale="50" zoomScaleNormal="50" workbookViewId="0">
      <pane ySplit="1" topLeftCell="A2" activePane="bottomLeft" state="frozen"/>
      <selection pane="bottomLeft" activeCell="J18" sqref="J18"/>
    </sheetView>
  </sheetViews>
  <sheetFormatPr defaultColWidth="8.5703125" defaultRowHeight="14.4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65.140625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217</v>
      </c>
      <c r="C1" s="23" t="s">
        <v>12</v>
      </c>
      <c r="D1" s="22" t="s">
        <v>13</v>
      </c>
      <c r="E1" s="22" t="s">
        <v>218</v>
      </c>
      <c r="F1" s="23" t="s">
        <v>219</v>
      </c>
      <c r="G1" s="23" t="s">
        <v>220</v>
      </c>
      <c r="H1" s="23" t="s">
        <v>14</v>
      </c>
      <c r="I1" s="23" t="s">
        <v>15</v>
      </c>
      <c r="J1" s="23" t="s">
        <v>221</v>
      </c>
      <c r="K1" s="23" t="s">
        <v>222</v>
      </c>
      <c r="L1" s="23" t="s">
        <v>223</v>
      </c>
      <c r="M1" s="24" t="s">
        <v>224</v>
      </c>
      <c r="N1" s="23" t="s">
        <v>225</v>
      </c>
      <c r="O1" s="23" t="s">
        <v>226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233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52</v>
      </c>
      <c r="J2" s="26" t="s">
        <v>27</v>
      </c>
      <c r="K2" s="29">
        <v>0.33333333333333331</v>
      </c>
      <c r="L2" s="29">
        <v>0.3611111111111111</v>
      </c>
      <c r="M2" s="30">
        <f t="shared" ref="M2:M13" ca="1" si="1">IFERROR(IF(K2="","",IF(L2="",MOD(NOW()-K2,1),IF(L2&gt;=K2,L2-K2,L2+1-K2))),"")</f>
        <v>2.777777777777779E-2</v>
      </c>
      <c r="N2" s="27"/>
      <c r="O2" s="60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233</v>
      </c>
      <c r="F3" s="27">
        <v>4</v>
      </c>
      <c r="G3" s="34">
        <f t="shared" si="0"/>
        <v>16.8</v>
      </c>
      <c r="H3" s="33" t="s">
        <v>20</v>
      </c>
      <c r="I3" s="33" t="s">
        <v>57</v>
      </c>
      <c r="J3" s="33" t="s">
        <v>28</v>
      </c>
      <c r="K3" s="29">
        <v>0.47361111111111109</v>
      </c>
      <c r="L3" s="29">
        <v>0.4777777777777778</v>
      </c>
      <c r="M3" s="35">
        <f t="shared" ca="1" si="1"/>
        <v>4.1666666666667074E-3</v>
      </c>
      <c r="N3" s="27"/>
      <c r="O3" s="60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233</v>
      </c>
      <c r="F4" s="27">
        <v>18</v>
      </c>
      <c r="G4" s="28">
        <f t="shared" si="0"/>
        <v>75.600000000000009</v>
      </c>
      <c r="H4" s="26" t="s">
        <v>20</v>
      </c>
      <c r="I4" s="26" t="s">
        <v>57</v>
      </c>
      <c r="J4" s="26" t="s">
        <v>28</v>
      </c>
      <c r="K4" s="29">
        <v>0.59791666666666665</v>
      </c>
      <c r="L4" s="29">
        <v>0.60486111111111107</v>
      </c>
      <c r="M4" s="30">
        <f t="shared" ca="1" si="1"/>
        <v>6.9444444444444198E-3</v>
      </c>
      <c r="N4" s="27"/>
      <c r="O4" s="60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233</v>
      </c>
      <c r="F5" s="27">
        <v>16</v>
      </c>
      <c r="G5" s="34">
        <f t="shared" si="0"/>
        <v>67.2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233</v>
      </c>
      <c r="F6" s="27">
        <v>16</v>
      </c>
      <c r="G6" s="28">
        <f t="shared" si="0"/>
        <v>67.2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233</v>
      </c>
      <c r="F7" s="27">
        <v>7</v>
      </c>
      <c r="G7" s="34">
        <f t="shared" si="0"/>
        <v>29.400000000000002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233</v>
      </c>
      <c r="F8" s="27">
        <v>10</v>
      </c>
      <c r="G8" s="28">
        <f t="shared" si="0"/>
        <v>42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233</v>
      </c>
      <c r="F9" s="27">
        <v>15</v>
      </c>
      <c r="G9" s="34">
        <f t="shared" si="0"/>
        <v>63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233</v>
      </c>
      <c r="F10" s="27">
        <v>12</v>
      </c>
      <c r="G10" s="28">
        <f t="shared" si="0"/>
        <v>50.400000000000006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233</v>
      </c>
      <c r="F11" s="27">
        <v>10</v>
      </c>
      <c r="G11" s="34">
        <f t="shared" si="0"/>
        <v>42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233</v>
      </c>
      <c r="F12" s="27">
        <v>16</v>
      </c>
      <c r="G12" s="28">
        <f t="shared" si="0"/>
        <v>67.2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233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98" t="s">
        <v>228</v>
      </c>
      <c r="B14" s="99"/>
      <c r="C14" s="99"/>
      <c r="D14" s="99"/>
      <c r="E14" s="100"/>
      <c r="F14" s="36">
        <f>SUM(F2:F13)</f>
        <v>130</v>
      </c>
      <c r="G14" s="36">
        <f>SUM(G2:G13)</f>
        <v>546.00000000000011</v>
      </c>
      <c r="H14" s="37"/>
      <c r="I14" s="37"/>
      <c r="J14" s="37"/>
      <c r="K14" s="61"/>
      <c r="L14" s="61"/>
      <c r="M14" s="38">
        <f ca="1">IFERROR(SUM(M2:M13),"")</f>
        <v>3.8888888888888917E-2</v>
      </c>
      <c r="N14" s="36" t="s">
        <v>229</v>
      </c>
      <c r="O14" s="39">
        <v>561420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30</v>
      </c>
      <c r="E15" s="62" t="s">
        <v>233</v>
      </c>
      <c r="F15" s="27"/>
      <c r="G15" s="34" t="str">
        <f t="shared" ref="G15:G26" si="3">IF(F15="","",IF(E15="PC 17",F15*4.2,IF(E15="PC 19",F15*5,IF(E15="CB",F15*24,""))))</f>
        <v/>
      </c>
      <c r="H15" s="33" t="s">
        <v>20</v>
      </c>
      <c r="I15" s="33" t="s">
        <v>52</v>
      </c>
      <c r="J15" s="33" t="s">
        <v>62</v>
      </c>
      <c r="K15" s="29">
        <v>0.79374999999999996</v>
      </c>
      <c r="L15" s="29">
        <v>0.79861111111111116</v>
      </c>
      <c r="M15" s="35">
        <f t="shared" ref="M15:M26" ca="1" si="4">IFERROR(IF(K15="","",IF(L15="",MOD(NOW()-K15,1),IF(L15&gt;=K15,L15-K15,L15+1-K15))),"")</f>
        <v>4.8611111111112049E-3</v>
      </c>
      <c r="N15" s="27"/>
      <c r="O15" s="60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30</v>
      </c>
      <c r="E16" s="62" t="s">
        <v>233</v>
      </c>
      <c r="F16" s="27"/>
      <c r="G16" s="28" t="str">
        <f t="shared" si="3"/>
        <v/>
      </c>
      <c r="H16" s="26" t="s">
        <v>19</v>
      </c>
      <c r="I16" s="26" t="s">
        <v>57</v>
      </c>
      <c r="J16" s="26" t="s">
        <v>27</v>
      </c>
      <c r="K16" s="29">
        <v>0.80694444444444446</v>
      </c>
      <c r="L16" s="29">
        <v>0.8208333333333333</v>
      </c>
      <c r="M16" s="78">
        <f ca="1">IFERROR(IF(K16="","",IF(L16="",MOD(NOW()-K16,1),IF(L16&gt;=K16,L16-K16,L16+1-K16))),"")</f>
        <v>1.388888888888884E-2</v>
      </c>
      <c r="N16" s="27" t="s">
        <v>237</v>
      </c>
      <c r="O16" s="60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30</v>
      </c>
      <c r="E17" s="62" t="s">
        <v>233</v>
      </c>
      <c r="F17" s="27"/>
      <c r="G17" s="34" t="str">
        <f t="shared" si="3"/>
        <v/>
      </c>
      <c r="H17" s="33" t="s">
        <v>19</v>
      </c>
      <c r="I17" s="33" t="s">
        <v>52</v>
      </c>
      <c r="J17" s="33" t="s">
        <v>27</v>
      </c>
      <c r="K17" s="29">
        <v>0.8208333333333333</v>
      </c>
      <c r="L17" s="29">
        <v>0.82916666666666672</v>
      </c>
      <c r="M17" s="35">
        <f t="shared" ca="1" si="4"/>
        <v>8.3333333333334147E-3</v>
      </c>
      <c r="N17" s="27" t="s">
        <v>238</v>
      </c>
      <c r="O17" s="60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30</v>
      </c>
      <c r="E18" s="62" t="s">
        <v>233</v>
      </c>
      <c r="F18" s="27"/>
      <c r="G18" s="28" t="str">
        <f t="shared" si="3"/>
        <v/>
      </c>
      <c r="H18" s="26" t="s">
        <v>18</v>
      </c>
      <c r="I18" s="26" t="s">
        <v>52</v>
      </c>
      <c r="J18" s="26" t="s">
        <v>127</v>
      </c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30</v>
      </c>
      <c r="E19" s="62" t="s">
        <v>233</v>
      </c>
      <c r="F19" s="27"/>
      <c r="G19" s="34" t="str">
        <f t="shared" si="3"/>
        <v/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30</v>
      </c>
      <c r="E20" s="62" t="s">
        <v>233</v>
      </c>
      <c r="F20" s="27"/>
      <c r="G20" s="28" t="str">
        <f t="shared" si="3"/>
        <v/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30</v>
      </c>
      <c r="E21" s="62" t="s">
        <v>233</v>
      </c>
      <c r="F21" s="27"/>
      <c r="G21" s="34" t="str">
        <f t="shared" si="3"/>
        <v/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30</v>
      </c>
      <c r="E22" s="62" t="s">
        <v>233</v>
      </c>
      <c r="F22" s="27"/>
      <c r="G22" s="28" t="str">
        <f t="shared" si="3"/>
        <v/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30</v>
      </c>
      <c r="E23" s="62" t="s">
        <v>233</v>
      </c>
      <c r="F23" s="27"/>
      <c r="G23" s="34" t="str">
        <f t="shared" si="3"/>
        <v/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30</v>
      </c>
      <c r="E24" s="62" t="s">
        <v>233</v>
      </c>
      <c r="F24" s="27"/>
      <c r="G24" s="28" t="str">
        <f t="shared" si="3"/>
        <v/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30</v>
      </c>
      <c r="E25" s="62" t="s">
        <v>233</v>
      </c>
      <c r="F25" s="27"/>
      <c r="G25" s="34" t="str">
        <f t="shared" si="3"/>
        <v/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30</v>
      </c>
      <c r="E26" s="62" t="s">
        <v>233</v>
      </c>
      <c r="F26" s="27"/>
      <c r="G26" s="28" t="str">
        <f t="shared" si="3"/>
        <v/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98" t="s">
        <v>230</v>
      </c>
      <c r="B27" s="99"/>
      <c r="C27" s="99"/>
      <c r="D27" s="99"/>
      <c r="E27" s="100"/>
      <c r="F27" s="36">
        <f>SUM(F15:F26)</f>
        <v>0</v>
      </c>
      <c r="G27" s="36">
        <f>SUM(G15:G26)</f>
        <v>0</v>
      </c>
      <c r="H27" s="37"/>
      <c r="I27" s="37"/>
      <c r="J27" s="37"/>
      <c r="K27" s="61"/>
      <c r="L27" s="61"/>
      <c r="M27" s="38">
        <f ca="1">IFERROR(SUM(M15:M26),"")</f>
        <v>2.7083333333333459E-2</v>
      </c>
      <c r="N27" s="36" t="s">
        <v>229</v>
      </c>
      <c r="O27" s="39"/>
    </row>
    <row r="28" spans="1:15" ht="18" customHeight="1">
      <c r="A28" s="101" t="s">
        <v>231</v>
      </c>
      <c r="B28" s="102"/>
      <c r="C28" s="102"/>
      <c r="D28" s="102"/>
      <c r="E28" s="103"/>
      <c r="F28" s="40">
        <f>F14+F27</f>
        <v>130</v>
      </c>
      <c r="G28" s="40">
        <f>G14+G27</f>
        <v>546.00000000000011</v>
      </c>
      <c r="H28" s="41"/>
      <c r="I28" s="41"/>
      <c r="J28" s="41"/>
      <c r="K28" s="63"/>
      <c r="L28" s="63"/>
      <c r="M28" s="42">
        <f ca="1">IFERROR(M14+M27,"")</f>
        <v>6.5972222222222376E-2</v>
      </c>
      <c r="N28" s="40" t="s">
        <v>232</v>
      </c>
      <c r="O28" s="48">
        <f>IFERROR(O14+O27,"")</f>
        <v>561420</v>
      </c>
    </row>
    <row r="29" spans="1:15" ht="15" customHeight="1">
      <c r="A29" s="68">
        <v>46236</v>
      </c>
      <c r="B29" s="25">
        <v>0.33333333333333298</v>
      </c>
      <c r="C29" s="26"/>
      <c r="D29" s="59"/>
      <c r="E29" s="59"/>
      <c r="F29" s="27"/>
      <c r="G29" s="28" t="str">
        <f t="shared" ref="G29:G40" si="6">IF(F29="","",IF(E29="PC 17",F29*4.2,IF(E29="PC 19",F29*5,IF(E29="CB",F29*24,""))))</f>
        <v/>
      </c>
      <c r="H29" s="33"/>
      <c r="I29" s="33"/>
      <c r="J29" s="33"/>
      <c r="K29" s="29"/>
      <c r="L29" s="29"/>
      <c r="M29" s="30" t="str">
        <f t="shared" ref="M29:M40" ca="1" si="7">IFERROR(IF(K29="","",IF(L29="",MOD(NOW()-K29,1),IF(L29&gt;=K29,L29-K29,L29+1-K29))),"")</f>
        <v/>
      </c>
      <c r="N29" s="27"/>
      <c r="O29" s="60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/>
      <c r="D30" s="59"/>
      <c r="E30" s="59"/>
      <c r="F30" s="27"/>
      <c r="G30" s="34" t="str">
        <f t="shared" si="6"/>
        <v/>
      </c>
      <c r="H30" s="26"/>
      <c r="I30" s="26"/>
      <c r="J30" s="26"/>
      <c r="K30" s="29"/>
      <c r="L30" s="29"/>
      <c r="M30" s="35" t="str">
        <f t="shared" ca="1" si="7"/>
        <v/>
      </c>
      <c r="N30" s="27"/>
      <c r="O30" s="60"/>
    </row>
    <row r="31" spans="1:15" ht="15" customHeight="1">
      <c r="A31" s="68">
        <v>46236</v>
      </c>
      <c r="B31" s="25">
        <f t="shared" si="8"/>
        <v>0.41666666666666635</v>
      </c>
      <c r="C31" s="26"/>
      <c r="D31" s="59"/>
      <c r="E31" s="59"/>
      <c r="F31" s="27"/>
      <c r="G31" s="28" t="str">
        <f t="shared" si="6"/>
        <v/>
      </c>
      <c r="H31" s="33"/>
      <c r="I31" s="33"/>
      <c r="J31" s="33"/>
      <c r="K31" s="29"/>
      <c r="L31" s="29"/>
      <c r="M31" s="30" t="str">
        <f t="shared" ca="1" si="7"/>
        <v/>
      </c>
      <c r="N31" s="27"/>
      <c r="O31" s="60"/>
    </row>
    <row r="32" spans="1:15" ht="15" customHeight="1">
      <c r="A32" s="69">
        <v>46236</v>
      </c>
      <c r="B32" s="32">
        <f t="shared" si="8"/>
        <v>0.45833333333333304</v>
      </c>
      <c r="C32" s="26"/>
      <c r="D32" s="59"/>
      <c r="E32" s="59"/>
      <c r="F32" s="27"/>
      <c r="G32" s="34" t="str">
        <f t="shared" si="6"/>
        <v/>
      </c>
      <c r="H32" s="26"/>
      <c r="I32" s="26"/>
      <c r="J32" s="26"/>
      <c r="K32" s="29"/>
      <c r="L32" s="29"/>
      <c r="M32" s="35" t="str">
        <f t="shared" ca="1" si="7"/>
        <v/>
      </c>
      <c r="N32" s="27"/>
      <c r="O32" s="60"/>
    </row>
    <row r="33" spans="1:15" ht="15" customHeight="1">
      <c r="A33" s="68">
        <v>46236</v>
      </c>
      <c r="B33" s="25">
        <f t="shared" si="8"/>
        <v>0.49999999999999972</v>
      </c>
      <c r="C33" s="26"/>
      <c r="D33" s="59"/>
      <c r="E33" s="59"/>
      <c r="F33" s="27"/>
      <c r="G33" s="28" t="str">
        <f t="shared" si="6"/>
        <v/>
      </c>
      <c r="H33" s="33"/>
      <c r="I33" s="33"/>
      <c r="J33" s="33"/>
      <c r="K33" s="29"/>
      <c r="L33" s="29"/>
      <c r="M33" s="30" t="str">
        <f t="shared" ca="1" si="7"/>
        <v/>
      </c>
      <c r="N33" s="27"/>
      <c r="O33" s="60"/>
    </row>
    <row r="34" spans="1:15" ht="15" customHeight="1">
      <c r="A34" s="69">
        <v>46236</v>
      </c>
      <c r="B34" s="32">
        <f t="shared" si="8"/>
        <v>0.54166666666666641</v>
      </c>
      <c r="C34" s="26"/>
      <c r="D34" s="59"/>
      <c r="E34" s="59"/>
      <c r="F34" s="27"/>
      <c r="G34" s="34" t="str">
        <f t="shared" si="6"/>
        <v/>
      </c>
      <c r="H34" s="26"/>
      <c r="I34" s="26"/>
      <c r="J34" s="26"/>
      <c r="K34" s="29"/>
      <c r="L34" s="29"/>
      <c r="M34" s="35" t="str">
        <f t="shared" ca="1" si="7"/>
        <v/>
      </c>
      <c r="N34" s="27"/>
      <c r="O34" s="60"/>
    </row>
    <row r="35" spans="1:15" ht="15" customHeight="1">
      <c r="A35" s="68">
        <v>46236</v>
      </c>
      <c r="B35" s="25">
        <f t="shared" si="8"/>
        <v>0.58333333333333304</v>
      </c>
      <c r="C35" s="26"/>
      <c r="D35" s="59"/>
      <c r="E35" s="59"/>
      <c r="F35" s="27"/>
      <c r="G35" s="28" t="str">
        <f t="shared" si="6"/>
        <v/>
      </c>
      <c r="H35" s="33"/>
      <c r="I35" s="33"/>
      <c r="J35" s="33"/>
      <c r="K35" s="29"/>
      <c r="L35" s="29"/>
      <c r="M35" s="30" t="str">
        <f t="shared" ca="1" si="7"/>
        <v/>
      </c>
      <c r="N35" s="27"/>
      <c r="O35" s="60"/>
    </row>
    <row r="36" spans="1:15" ht="15" customHeight="1">
      <c r="A36" s="69">
        <v>46236</v>
      </c>
      <c r="B36" s="32">
        <f t="shared" si="8"/>
        <v>0.62499999999999967</v>
      </c>
      <c r="C36" s="26"/>
      <c r="D36" s="59"/>
      <c r="E36" s="59"/>
      <c r="F36" s="27"/>
      <c r="G36" s="34" t="str">
        <f t="shared" si="6"/>
        <v/>
      </c>
      <c r="H36" s="26"/>
      <c r="I36" s="26"/>
      <c r="J36" s="26"/>
      <c r="K36" s="29"/>
      <c r="L36" s="29"/>
      <c r="M36" s="35" t="str">
        <f t="shared" ca="1" si="7"/>
        <v/>
      </c>
      <c r="N36" s="27"/>
      <c r="O36" s="60"/>
    </row>
    <row r="37" spans="1:15" ht="15" customHeight="1">
      <c r="A37" s="68">
        <v>46236</v>
      </c>
      <c r="B37" s="25">
        <f t="shared" si="8"/>
        <v>0.6666666666666663</v>
      </c>
      <c r="C37" s="26"/>
      <c r="D37" s="59"/>
      <c r="E37" s="59"/>
      <c r="F37" s="27"/>
      <c r="G37" s="28" t="str">
        <f t="shared" si="6"/>
        <v/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46236</v>
      </c>
      <c r="B38" s="32">
        <f t="shared" si="8"/>
        <v>0.70833333333333293</v>
      </c>
      <c r="C38" s="26"/>
      <c r="D38" s="59"/>
      <c r="E38" s="59"/>
      <c r="F38" s="27"/>
      <c r="G38" s="34" t="str">
        <f t="shared" si="6"/>
        <v/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46236</v>
      </c>
      <c r="B39" s="25">
        <f t="shared" si="8"/>
        <v>0.74999999999999956</v>
      </c>
      <c r="C39" s="26"/>
      <c r="D39" s="59"/>
      <c r="E39" s="59"/>
      <c r="F39" s="27"/>
      <c r="G39" s="28" t="str">
        <f t="shared" si="6"/>
        <v/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46236</v>
      </c>
      <c r="B40" s="32">
        <f t="shared" si="8"/>
        <v>0.79166666666666619</v>
      </c>
      <c r="C40" s="26"/>
      <c r="D40" s="59"/>
      <c r="E40" s="59"/>
      <c r="F40" s="27"/>
      <c r="G40" s="34" t="str">
        <f t="shared" si="6"/>
        <v/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98" t="s">
        <v>228</v>
      </c>
      <c r="B41" s="99"/>
      <c r="C41" s="99"/>
      <c r="D41" s="99"/>
      <c r="E41" s="100">
        <f>SUM(E29:E40)</f>
        <v>0</v>
      </c>
      <c r="F41" s="36">
        <f>SUM(F29:F40)</f>
        <v>0</v>
      </c>
      <c r="G41" s="36">
        <f>SUM(G29:G40)</f>
        <v>0</v>
      </c>
      <c r="H41" s="37"/>
      <c r="I41" s="37"/>
      <c r="J41" s="37"/>
      <c r="K41" s="61"/>
      <c r="L41" s="61"/>
      <c r="M41" s="38">
        <f ca="1">IFERROR(SUM(M29:M40),"")</f>
        <v>0</v>
      </c>
      <c r="N41" s="36" t="s">
        <v>229</v>
      </c>
      <c r="O41" s="39"/>
    </row>
    <row r="42" spans="1:15" ht="15" customHeight="1">
      <c r="A42" s="69">
        <v>46236</v>
      </c>
      <c r="B42" s="32">
        <v>0.83333333333333304</v>
      </c>
      <c r="C42" s="33"/>
      <c r="D42" s="62"/>
      <c r="E42" s="62"/>
      <c r="F42" s="27"/>
      <c r="G42" s="34" t="str">
        <f t="shared" ref="G42:G53" si="9">IF(F42="","",IF(E42="PC 17",F42*4.2,IF(E42="PC 19",F42*5,IF(E42="CB",F42*24,""))))</f>
        <v/>
      </c>
      <c r="H42" s="26"/>
      <c r="I42" s="26"/>
      <c r="J42" s="26"/>
      <c r="K42" s="29"/>
      <c r="L42" s="29"/>
      <c r="M42" s="35" t="str">
        <f t="shared" ref="M42:M53" ca="1" si="10">IFERROR(IF(K42="","",IF(L42="",MOD(NOW()-K42,1),IF(L42&gt;=K42,L42-K42,L42+1-K42))),"")</f>
        <v/>
      </c>
      <c r="N42" s="27"/>
      <c r="O42" s="60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/>
      <c r="D43" s="62"/>
      <c r="E43" s="62"/>
      <c r="F43" s="27"/>
      <c r="G43" s="28" t="str">
        <f t="shared" si="9"/>
        <v/>
      </c>
      <c r="H43" s="33"/>
      <c r="I43" s="33"/>
      <c r="J43" s="33"/>
      <c r="K43" s="29"/>
      <c r="L43" s="29"/>
      <c r="M43" s="35" t="str">
        <f t="shared" ca="1" si="10"/>
        <v/>
      </c>
      <c r="N43" s="27"/>
      <c r="O43" s="60"/>
    </row>
    <row r="44" spans="1:15" ht="15" customHeight="1">
      <c r="A44" s="69">
        <v>46236</v>
      </c>
      <c r="B44" s="32">
        <f t="shared" si="11"/>
        <v>0.9166666666666663</v>
      </c>
      <c r="C44" s="33"/>
      <c r="D44" s="62"/>
      <c r="E44" s="62"/>
      <c r="F44" s="27"/>
      <c r="G44" s="34" t="str">
        <f t="shared" si="9"/>
        <v/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8">
        <v>46236</v>
      </c>
      <c r="B45" s="25">
        <f t="shared" si="11"/>
        <v>0.95833333333333293</v>
      </c>
      <c r="C45" s="33"/>
      <c r="D45" s="62"/>
      <c r="E45" s="62"/>
      <c r="F45" s="27"/>
      <c r="G45" s="28" t="str">
        <f t="shared" si="9"/>
        <v/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69">
        <v>46236</v>
      </c>
      <c r="B46" s="32">
        <f t="shared" si="11"/>
        <v>0.99999999999999956</v>
      </c>
      <c r="C46" s="33"/>
      <c r="D46" s="62"/>
      <c r="E46" s="62"/>
      <c r="F46" s="27"/>
      <c r="G46" s="34" t="str">
        <f t="shared" si="9"/>
        <v/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8">
        <v>46236</v>
      </c>
      <c r="B47" s="25">
        <f t="shared" si="11"/>
        <v>1.0416666666666663</v>
      </c>
      <c r="C47" s="33"/>
      <c r="D47" s="62"/>
      <c r="E47" s="62"/>
      <c r="F47" s="27"/>
      <c r="G47" s="28" t="str">
        <f t="shared" si="9"/>
        <v/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69">
        <v>46236</v>
      </c>
      <c r="B48" s="32">
        <f t="shared" si="11"/>
        <v>1.083333333333333</v>
      </c>
      <c r="C48" s="33"/>
      <c r="D48" s="62"/>
      <c r="E48" s="62"/>
      <c r="F48" s="27"/>
      <c r="G48" s="34" t="str">
        <f t="shared" si="9"/>
        <v/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8">
        <v>46236</v>
      </c>
      <c r="B49" s="25">
        <f t="shared" si="11"/>
        <v>1.1249999999999998</v>
      </c>
      <c r="C49" s="33"/>
      <c r="D49" s="62"/>
      <c r="E49" s="62"/>
      <c r="F49" s="27"/>
      <c r="G49" s="28" t="str">
        <f t="shared" si="9"/>
        <v/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46236</v>
      </c>
      <c r="B50" s="32">
        <f t="shared" si="11"/>
        <v>1.1666666666666665</v>
      </c>
      <c r="C50" s="33"/>
      <c r="D50" s="62"/>
      <c r="E50" s="62"/>
      <c r="F50" s="27"/>
      <c r="G50" s="34" t="str">
        <f t="shared" si="9"/>
        <v/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46236</v>
      </c>
      <c r="B51" s="25">
        <f t="shared" si="11"/>
        <v>1.2083333333333333</v>
      </c>
      <c r="C51" s="33"/>
      <c r="D51" s="62"/>
      <c r="E51" s="62"/>
      <c r="F51" s="27"/>
      <c r="G51" s="28" t="str">
        <f t="shared" si="9"/>
        <v/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46236</v>
      </c>
      <c r="B52" s="32">
        <f t="shared" si="11"/>
        <v>1.25</v>
      </c>
      <c r="C52" s="33"/>
      <c r="D52" s="62"/>
      <c r="E52" s="62"/>
      <c r="F52" s="27"/>
      <c r="G52" s="34" t="str">
        <f t="shared" si="9"/>
        <v/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46236</v>
      </c>
      <c r="B53" s="25">
        <f t="shared" si="11"/>
        <v>1.2916666666666667</v>
      </c>
      <c r="C53" s="33"/>
      <c r="D53" s="62"/>
      <c r="E53" s="62"/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98" t="s">
        <v>230</v>
      </c>
      <c r="B54" s="99"/>
      <c r="C54" s="99"/>
      <c r="D54" s="99"/>
      <c r="E54" s="100">
        <f>SUM(E42:E53)</f>
        <v>0</v>
      </c>
      <c r="F54" s="36">
        <f>SUM(F42:F53)</f>
        <v>0</v>
      </c>
      <c r="G54" s="36">
        <f>SUM(G42:G53)</f>
        <v>0</v>
      </c>
      <c r="H54" s="37"/>
      <c r="I54" s="37"/>
      <c r="J54" s="37"/>
      <c r="K54" s="61"/>
      <c r="L54" s="61"/>
      <c r="M54" s="38">
        <f ca="1">IFERROR(SUM(M42:M53),"")</f>
        <v>0</v>
      </c>
      <c r="N54" s="36" t="s">
        <v>229</v>
      </c>
      <c r="O54" s="39"/>
    </row>
    <row r="55" spans="1:15" ht="18" customHeight="1">
      <c r="A55" s="101" t="s">
        <v>231</v>
      </c>
      <c r="B55" s="102"/>
      <c r="C55" s="102"/>
      <c r="D55" s="102"/>
      <c r="E55" s="103">
        <f>E41+E54</f>
        <v>0</v>
      </c>
      <c r="F55" s="40">
        <f>F41+F54</f>
        <v>0</v>
      </c>
      <c r="G55" s="40">
        <f>G41+G54</f>
        <v>0</v>
      </c>
      <c r="H55" s="41"/>
      <c r="I55" s="41"/>
      <c r="J55" s="41"/>
      <c r="K55" s="63"/>
      <c r="L55" s="63"/>
      <c r="M55" s="42">
        <f ca="1">IFERROR(M41+M54,"")</f>
        <v>0</v>
      </c>
      <c r="N55" s="40" t="s">
        <v>232</v>
      </c>
      <c r="O55" s="48">
        <f>IFERROR(O41+O54,"")</f>
        <v>0</v>
      </c>
    </row>
    <row r="56" spans="1:15" ht="15" customHeight="1">
      <c r="A56" s="68">
        <v>46237</v>
      </c>
      <c r="B56" s="25">
        <v>0.33333333333333298</v>
      </c>
      <c r="C56" s="26"/>
      <c r="D56" s="59"/>
      <c r="E56" s="59"/>
      <c r="F56" s="27"/>
      <c r="G56" s="28" t="str">
        <f t="shared" ref="G56:G67" si="12">IF(F56="","",IF(E56="PC 17",F56*4.2,IF(E56="PC 19",F56*5,IF(E56="CB",F56*24,""))))</f>
        <v/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60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/>
      <c r="D57" s="59"/>
      <c r="E57" s="59"/>
      <c r="F57" s="27"/>
      <c r="G57" s="34" t="str">
        <f t="shared" si="12"/>
        <v/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60"/>
    </row>
    <row r="58" spans="1:15" ht="15" customHeight="1">
      <c r="A58" s="68">
        <v>46237</v>
      </c>
      <c r="B58" s="25">
        <f t="shared" si="14"/>
        <v>0.41666666666666635</v>
      </c>
      <c r="C58" s="26"/>
      <c r="D58" s="59"/>
      <c r="E58" s="59"/>
      <c r="F58" s="27"/>
      <c r="G58" s="28" t="str">
        <f t="shared" si="12"/>
        <v/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60"/>
    </row>
    <row r="59" spans="1:15" ht="15" customHeight="1">
      <c r="A59" s="69">
        <v>46237</v>
      </c>
      <c r="B59" s="32">
        <f t="shared" si="14"/>
        <v>0.45833333333333304</v>
      </c>
      <c r="C59" s="26"/>
      <c r="D59" s="59"/>
      <c r="E59" s="59"/>
      <c r="F59" s="27"/>
      <c r="G59" s="34" t="str">
        <f t="shared" si="12"/>
        <v/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60"/>
    </row>
    <row r="60" spans="1:15" ht="15" customHeight="1">
      <c r="A60" s="68">
        <v>46237</v>
      </c>
      <c r="B60" s="25">
        <f t="shared" si="14"/>
        <v>0.49999999999999972</v>
      </c>
      <c r="C60" s="26"/>
      <c r="D60" s="59"/>
      <c r="E60" s="59"/>
      <c r="F60" s="27"/>
      <c r="G60" s="28" t="str">
        <f t="shared" si="12"/>
        <v/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69">
        <v>46237</v>
      </c>
      <c r="B61" s="32">
        <f t="shared" si="14"/>
        <v>0.54166666666666641</v>
      </c>
      <c r="C61" s="26"/>
      <c r="D61" s="59"/>
      <c r="E61" s="59"/>
      <c r="F61" s="27"/>
      <c r="G61" s="34" t="str">
        <f t="shared" si="12"/>
        <v/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46237</v>
      </c>
      <c r="B62" s="25">
        <f t="shared" si="14"/>
        <v>0.58333333333333304</v>
      </c>
      <c r="C62" s="26"/>
      <c r="D62" s="59"/>
      <c r="E62" s="59"/>
      <c r="F62" s="27"/>
      <c r="G62" s="28" t="str">
        <f t="shared" si="12"/>
        <v/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46237</v>
      </c>
      <c r="B63" s="32">
        <f t="shared" si="14"/>
        <v>0.62499999999999967</v>
      </c>
      <c r="C63" s="26"/>
      <c r="D63" s="59"/>
      <c r="E63" s="59"/>
      <c r="F63" s="27"/>
      <c r="G63" s="34" t="str">
        <f t="shared" si="12"/>
        <v/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46237</v>
      </c>
      <c r="B64" s="25">
        <f t="shared" si="14"/>
        <v>0.6666666666666663</v>
      </c>
      <c r="C64" s="26"/>
      <c r="D64" s="59"/>
      <c r="E64" s="59"/>
      <c r="F64" s="27"/>
      <c r="G64" s="28" t="str">
        <f t="shared" si="12"/>
        <v/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46237</v>
      </c>
      <c r="B65" s="32">
        <f t="shared" si="14"/>
        <v>0.70833333333333293</v>
      </c>
      <c r="C65" s="26"/>
      <c r="D65" s="59"/>
      <c r="E65" s="59"/>
      <c r="F65" s="27"/>
      <c r="G65" s="34" t="str">
        <f t="shared" si="12"/>
        <v/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46237</v>
      </c>
      <c r="B66" s="25">
        <f t="shared" si="14"/>
        <v>0.74999999999999956</v>
      </c>
      <c r="C66" s="26"/>
      <c r="D66" s="59"/>
      <c r="E66" s="59"/>
      <c r="F66" s="27"/>
      <c r="G66" s="28" t="str">
        <f t="shared" si="12"/>
        <v/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46237</v>
      </c>
      <c r="B67" s="32">
        <f t="shared" si="14"/>
        <v>0.79166666666666619</v>
      </c>
      <c r="C67" s="26"/>
      <c r="D67" s="59"/>
      <c r="E67" s="59"/>
      <c r="F67" s="27"/>
      <c r="G67" s="34" t="str">
        <f t="shared" si="12"/>
        <v/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98" t="s">
        <v>228</v>
      </c>
      <c r="B68" s="99"/>
      <c r="C68" s="99"/>
      <c r="D68" s="99"/>
      <c r="E68" s="100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61"/>
      <c r="L68" s="61"/>
      <c r="M68" s="38">
        <f ca="1">IFERROR(SUM(M56:M67),"")</f>
        <v>0</v>
      </c>
      <c r="N68" s="36" t="s">
        <v>229</v>
      </c>
      <c r="O68" s="39"/>
    </row>
    <row r="69" spans="1:15" ht="15" customHeight="1">
      <c r="A69" s="69">
        <v>46237</v>
      </c>
      <c r="B69" s="32">
        <v>0.83333333333333304</v>
      </c>
      <c r="C69" s="33"/>
      <c r="D69" s="62"/>
      <c r="E69" s="62"/>
      <c r="F69" s="27"/>
      <c r="G69" s="34" t="str">
        <f t="shared" ref="G69:G80" si="15">IF(F69="","",IF(E69="PC 17",F69*4.2,IF(E69="PC 19",F69*5,IF(E69="CB",F69*24,""))))</f>
        <v/>
      </c>
      <c r="H69" s="33"/>
      <c r="I69" s="33"/>
      <c r="J69" s="33"/>
      <c r="K69" s="29"/>
      <c r="L69" s="29"/>
      <c r="M69" s="35" t="str">
        <f t="shared" ref="M69:M80" ca="1" si="16">IFERROR(IF(K69="","",IF(L69="",MOD(NOW()-K69,1),IF(L69&gt;=K69,L69-K69,L69+1-K69))),"")</f>
        <v/>
      </c>
      <c r="N69" s="27"/>
      <c r="O69" s="60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/>
      <c r="D70" s="62"/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0" t="str">
        <f t="shared" ca="1" si="16"/>
        <v/>
      </c>
      <c r="N70" s="27"/>
      <c r="O70" s="60"/>
    </row>
    <row r="71" spans="1:15" ht="15" customHeight="1">
      <c r="A71" s="69">
        <v>46237</v>
      </c>
      <c r="B71" s="32">
        <f t="shared" si="17"/>
        <v>0.9166666666666663</v>
      </c>
      <c r="C71" s="33"/>
      <c r="D71" s="62"/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60"/>
    </row>
    <row r="72" spans="1:15" ht="15" customHeight="1">
      <c r="A72" s="68">
        <v>46237</v>
      </c>
      <c r="B72" s="25">
        <f t="shared" si="17"/>
        <v>0.95833333333333293</v>
      </c>
      <c r="C72" s="33"/>
      <c r="D72" s="62"/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60"/>
    </row>
    <row r="73" spans="1:15" ht="15" customHeight="1">
      <c r="A73" s="69">
        <v>46237</v>
      </c>
      <c r="B73" s="32">
        <f t="shared" si="17"/>
        <v>0.99999999999999956</v>
      </c>
      <c r="C73" s="33"/>
      <c r="D73" s="62"/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60"/>
    </row>
    <row r="74" spans="1:15" ht="15" customHeight="1">
      <c r="A74" s="68">
        <v>46237</v>
      </c>
      <c r="B74" s="25">
        <f t="shared" si="17"/>
        <v>1.0416666666666663</v>
      </c>
      <c r="C74" s="33"/>
      <c r="D74" s="62"/>
      <c r="E74" s="62"/>
      <c r="F74" s="27"/>
      <c r="G74" s="28" t="str">
        <f t="shared" si="15"/>
        <v/>
      </c>
      <c r="H74" s="26"/>
      <c r="I74" s="26"/>
      <c r="J74" s="33"/>
      <c r="K74" s="29"/>
      <c r="L74" s="29"/>
      <c r="M74" s="30" t="str">
        <f t="shared" ca="1" si="16"/>
        <v/>
      </c>
      <c r="N74" s="27"/>
      <c r="O74" s="60"/>
    </row>
    <row r="75" spans="1:15" ht="15" customHeight="1">
      <c r="A75" s="69">
        <v>46237</v>
      </c>
      <c r="B75" s="32">
        <f t="shared" si="17"/>
        <v>1.083333333333333</v>
      </c>
      <c r="C75" s="33"/>
      <c r="D75" s="62"/>
      <c r="E75" s="62"/>
      <c r="F75" s="27"/>
      <c r="G75" s="34" t="str">
        <f>IF(F75="","",IF(E75="PC 17",F75*4.2,IF(E75="PC 19",F75*5,IF(E75="CB",F75*24,""))))</f>
        <v/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60"/>
    </row>
    <row r="76" spans="1:15" ht="15" customHeight="1">
      <c r="A76" s="68">
        <v>46237</v>
      </c>
      <c r="B76" s="25">
        <f t="shared" si="17"/>
        <v>1.1249999999999998</v>
      </c>
      <c r="C76" s="33"/>
      <c r="D76" s="62"/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60"/>
    </row>
    <row r="77" spans="1:15" ht="15" customHeight="1">
      <c r="A77" s="69">
        <v>46237</v>
      </c>
      <c r="B77" s="32">
        <f t="shared" si="17"/>
        <v>1.1666666666666665</v>
      </c>
      <c r="C77" s="33"/>
      <c r="D77" s="62"/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60"/>
    </row>
    <row r="78" spans="1:15" ht="15" customHeight="1">
      <c r="A78" s="68">
        <v>46237</v>
      </c>
      <c r="B78" s="25">
        <f t="shared" si="17"/>
        <v>1.2083333333333333</v>
      </c>
      <c r="C78" s="33"/>
      <c r="D78" s="62"/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46237</v>
      </c>
      <c r="B79" s="32">
        <f t="shared" si="17"/>
        <v>1.25</v>
      </c>
      <c r="C79" s="33"/>
      <c r="D79" s="62"/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46237</v>
      </c>
      <c r="B80" s="25">
        <f t="shared" si="17"/>
        <v>1.2916666666666667</v>
      </c>
      <c r="C80" s="33"/>
      <c r="D80" s="62"/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98" t="s">
        <v>230</v>
      </c>
      <c r="B81" s="99"/>
      <c r="C81" s="99"/>
      <c r="D81" s="99"/>
      <c r="E81" s="100">
        <f>SUM(E69:E80)</f>
        <v>0</v>
      </c>
      <c r="F81" s="36">
        <f>SUM(F69:F80)</f>
        <v>0</v>
      </c>
      <c r="G81" s="36">
        <f>SUM(G69:G80)</f>
        <v>0</v>
      </c>
      <c r="H81" s="37"/>
      <c r="I81" s="37"/>
      <c r="J81" s="37"/>
      <c r="K81" s="61"/>
      <c r="L81" s="61"/>
      <c r="M81" s="38">
        <f ca="1">IFERROR(SUM(M69:M80),"")</f>
        <v>0</v>
      </c>
      <c r="N81" s="36" t="s">
        <v>229</v>
      </c>
      <c r="O81" s="39"/>
    </row>
    <row r="82" spans="1:15" ht="18" customHeight="1">
      <c r="A82" s="101" t="s">
        <v>231</v>
      </c>
      <c r="B82" s="102"/>
      <c r="C82" s="102"/>
      <c r="D82" s="102"/>
      <c r="E82" s="103">
        <f>E68+E81</f>
        <v>0</v>
      </c>
      <c r="F82" s="40">
        <f>F68+F81</f>
        <v>0</v>
      </c>
      <c r="G82" s="40">
        <f>G68+G81</f>
        <v>0</v>
      </c>
      <c r="H82" s="41"/>
      <c r="I82" s="41"/>
      <c r="J82" s="41"/>
      <c r="K82" s="63"/>
      <c r="L82" s="63"/>
      <c r="M82" s="42">
        <f ca="1">IFERROR(M68+M81,"")</f>
        <v>0</v>
      </c>
      <c r="N82" s="40" t="s">
        <v>232</v>
      </c>
      <c r="O82" s="48">
        <f>IFERROR(O68+O81,"")</f>
        <v>0</v>
      </c>
    </row>
    <row r="83" spans="1:15" ht="15" customHeight="1">
      <c r="A83" s="68">
        <v>46238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19",F83*5,IF(E83="CB",F83*24,""))))</f>
        <v/>
      </c>
      <c r="H83" s="33"/>
      <c r="I83" s="33"/>
      <c r="J83" s="33"/>
      <c r="K83" s="29"/>
      <c r="L83" s="29"/>
      <c r="M83" s="30" t="str">
        <f t="shared" ref="M83:M94" ca="1" si="19">IFERROR(IF(K83="","",IF(L83="",MOD(NOW()-K83,1),IF(L83&gt;=K83,L83-K83,L83+1-K83))),"")</f>
        <v/>
      </c>
      <c r="N83" s="27"/>
      <c r="O83" s="60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5" t="str">
        <f t="shared" ca="1" si="19"/>
        <v/>
      </c>
      <c r="N84" s="27"/>
      <c r="O84" s="60"/>
    </row>
    <row r="85" spans="1:15" ht="15" customHeight="1">
      <c r="A85" s="68">
        <v>46238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46238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46238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46238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46238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46238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46238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46238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46238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46238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98" t="s">
        <v>228</v>
      </c>
      <c r="B95" s="99"/>
      <c r="C95" s="99"/>
      <c r="D95" s="99"/>
      <c r="E95" s="100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61"/>
      <c r="L95" s="61"/>
      <c r="M95" s="38">
        <f ca="1">IFERROR(SUM(M83:M94),"")</f>
        <v>0</v>
      </c>
      <c r="N95" s="36" t="s">
        <v>229</v>
      </c>
      <c r="O95" s="39"/>
    </row>
    <row r="96" spans="1:15" ht="15" customHeight="1">
      <c r="A96" s="69">
        <v>46238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19",F96*5,IF(E96="CB",F96*24,""))))</f>
        <v/>
      </c>
      <c r="H96" s="26"/>
      <c r="I96" s="26"/>
      <c r="J96" s="26"/>
      <c r="K96" s="29"/>
      <c r="L96" s="29"/>
      <c r="M96" s="35" t="str">
        <f t="shared" ref="M96:M107" ca="1" si="22">IFERROR(IF(K96="","",IF(L96="",MOD(NOW()-K96,1),IF(L96&gt;=K96,L96-K96,L96+1-K96))),"")</f>
        <v/>
      </c>
      <c r="N96" s="27"/>
      <c r="O96" s="60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0" t="str">
        <f t="shared" ca="1" si="22"/>
        <v/>
      </c>
      <c r="N97" s="27"/>
      <c r="O97" s="60"/>
    </row>
    <row r="98" spans="1:15" ht="15" customHeight="1">
      <c r="A98" s="69">
        <v>46238</v>
      </c>
      <c r="B98" s="32">
        <f t="shared" si="23"/>
        <v>0.9166666666666663</v>
      </c>
      <c r="C98" s="33"/>
      <c r="D98" s="62"/>
      <c r="E98" s="62"/>
      <c r="F98" s="27"/>
      <c r="G98" s="34" t="str">
        <f>IF(F98="","",IF(E98="PC 17",F98*4.2,IF(E98="PC 19",F98*5,IF(E98="CB",F98*24,""))))</f>
        <v/>
      </c>
      <c r="H98" s="26"/>
      <c r="I98" s="26"/>
      <c r="J98" s="26"/>
      <c r="K98" s="29"/>
      <c r="L98" s="29"/>
      <c r="M98" s="35" t="str">
        <f t="shared" ca="1" si="22"/>
        <v/>
      </c>
      <c r="N98" s="27"/>
      <c r="O98" s="60"/>
    </row>
    <row r="99" spans="1:15" ht="15" customHeight="1">
      <c r="A99" s="68">
        <v>46238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46238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46238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46238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46238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46238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46238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46238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46238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98" t="s">
        <v>230</v>
      </c>
      <c r="B108" s="99"/>
      <c r="C108" s="99"/>
      <c r="D108" s="99"/>
      <c r="E108" s="100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61"/>
      <c r="L108" s="61"/>
      <c r="M108" s="38">
        <f ca="1">IFERROR(SUM(M96:M107),"")</f>
        <v>0</v>
      </c>
      <c r="N108" s="36" t="s">
        <v>229</v>
      </c>
      <c r="O108" s="39"/>
    </row>
    <row r="109" spans="1:15" ht="18" customHeight="1">
      <c r="A109" s="101" t="s">
        <v>231</v>
      </c>
      <c r="B109" s="102"/>
      <c r="C109" s="102"/>
      <c r="D109" s="102"/>
      <c r="E109" s="103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63"/>
      <c r="L109" s="63"/>
      <c r="M109" s="42">
        <f ca="1">IFERROR(M95+M108,"")</f>
        <v>0</v>
      </c>
      <c r="N109" s="40" t="s">
        <v>232</v>
      </c>
      <c r="O109" s="48">
        <f>IFERROR(O95+O108,"")</f>
        <v>0</v>
      </c>
    </row>
    <row r="110" spans="1:15" ht="15" customHeight="1">
      <c r="A110" s="68">
        <v>46239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19",F110*5,IF(E110="CB",F110*24,""))))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60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60"/>
    </row>
    <row r="112" spans="1:15" ht="15" customHeight="1">
      <c r="A112" s="68">
        <v>46239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69">
        <v>46239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8">
        <v>46239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69">
        <v>46239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46239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46239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46239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46239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46239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46239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98" t="s">
        <v>228</v>
      </c>
      <c r="B122" s="99"/>
      <c r="C122" s="99"/>
      <c r="D122" s="99"/>
      <c r="E122" s="100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61"/>
      <c r="L122" s="61"/>
      <c r="M122" s="38">
        <f ca="1">IFERROR(SUM(M110:M121),"")</f>
        <v>0</v>
      </c>
      <c r="N122" s="36" t="s">
        <v>229</v>
      </c>
      <c r="O122" s="39"/>
    </row>
    <row r="123" spans="1:15" ht="15" customHeight="1">
      <c r="A123" s="69">
        <v>46239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19",F123*5,IF(E123="CB",F123*24,""))))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60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60"/>
    </row>
    <row r="125" spans="1:15" ht="15" customHeight="1">
      <c r="A125" s="69">
        <v>46239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60"/>
    </row>
    <row r="126" spans="1:15" ht="15" customHeight="1">
      <c r="A126" s="68">
        <v>46239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60"/>
    </row>
    <row r="127" spans="1:15" ht="15" customHeight="1">
      <c r="A127" s="69">
        <v>46239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60"/>
    </row>
    <row r="128" spans="1:15" ht="15" customHeight="1">
      <c r="A128" s="68">
        <v>46239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60"/>
    </row>
    <row r="129" spans="1:18" ht="15" customHeight="1">
      <c r="A129" s="69">
        <v>46239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60"/>
    </row>
    <row r="130" spans="1:18" ht="15" customHeight="1">
      <c r="A130" s="68">
        <v>46239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69">
        <v>46239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46239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46239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46239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98" t="s">
        <v>230</v>
      </c>
      <c r="B135" s="99"/>
      <c r="C135" s="99"/>
      <c r="D135" s="99"/>
      <c r="E135" s="100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61"/>
      <c r="L135" s="61"/>
      <c r="M135" s="38">
        <f ca="1">IFERROR(SUM(M123:M134),"")</f>
        <v>0</v>
      </c>
      <c r="N135" s="36" t="s">
        <v>229</v>
      </c>
      <c r="O135" s="39"/>
    </row>
    <row r="136" spans="1:18" ht="18" customHeight="1">
      <c r="A136" s="101" t="s">
        <v>231</v>
      </c>
      <c r="B136" s="102"/>
      <c r="C136" s="102"/>
      <c r="D136" s="102"/>
      <c r="E136" s="103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63"/>
      <c r="L136" s="63"/>
      <c r="M136" s="42">
        <f ca="1">IFERROR(M122+M135,"")</f>
        <v>0</v>
      </c>
      <c r="N136" s="40" t="s">
        <v>232</v>
      </c>
      <c r="O136" s="48">
        <f>IFERROR(O122+O135,"")</f>
        <v>0</v>
      </c>
    </row>
    <row r="137" spans="1:18" ht="15" customHeight="1">
      <c r="A137" s="69">
        <v>46240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19",F137*5,IF(E137="CB",F137*24,""))))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8" ht="15" customHeight="1">
      <c r="A138" s="68">
        <v>46240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8" ht="15" customHeight="1">
      <c r="A139" s="69">
        <v>46240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8" ht="15" customHeight="1">
      <c r="A140" s="68">
        <v>46240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8" ht="15" customHeight="1">
      <c r="A141" s="69">
        <v>46240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8">
        <v>46240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69">
        <v>46240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8">
        <v>46240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8" t="s">
        <v>228</v>
      </c>
      <c r="B149" s="99"/>
      <c r="C149" s="99"/>
      <c r="D149" s="99"/>
      <c r="E149" s="100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61"/>
      <c r="L149" s="61"/>
      <c r="M149" s="38">
        <f ca="1">IFERROR(SUM(M137:M148),"")</f>
        <v>0</v>
      </c>
      <c r="N149" s="36" t="s">
        <v>229</v>
      </c>
      <c r="O149" s="39"/>
    </row>
    <row r="150" spans="1:15" ht="15" customHeight="1">
      <c r="A150" s="68">
        <v>46240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19",F150*5,IF(E150="CB",F150*24,""))))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8" t="s">
        <v>230</v>
      </c>
      <c r="B162" s="99"/>
      <c r="C162" s="99"/>
      <c r="D162" s="99"/>
      <c r="E162" s="100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61"/>
      <c r="L162" s="61"/>
      <c r="M162" s="38">
        <f ca="1">IFERROR(SUM(M150:M161),"")</f>
        <v>0</v>
      </c>
      <c r="N162" s="36" t="s">
        <v>229</v>
      </c>
      <c r="O162" s="39"/>
    </row>
    <row r="163" spans="1:15" ht="18" customHeight="1">
      <c r="A163" s="101" t="s">
        <v>231</v>
      </c>
      <c r="B163" s="102"/>
      <c r="C163" s="102"/>
      <c r="D163" s="102"/>
      <c r="E163" s="103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63"/>
      <c r="L163" s="63"/>
      <c r="M163" s="42">
        <f ca="1">IFERROR(M149+M162,"")</f>
        <v>0</v>
      </c>
      <c r="N163" s="40" t="s">
        <v>232</v>
      </c>
      <c r="O163" s="43">
        <f>IFERROR(O149+O162,"")</f>
        <v>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19",F164*5,IF(E164="CB",F164*24,""))))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8" t="s">
        <v>228</v>
      </c>
      <c r="B176" s="99"/>
      <c r="C176" s="99"/>
      <c r="D176" s="99"/>
      <c r="E176" s="100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61"/>
      <c r="L176" s="61"/>
      <c r="M176" s="38">
        <f ca="1">IFERROR(SUM(M164:M175),"")</f>
        <v>0</v>
      </c>
      <c r="N176" s="36" t="s">
        <v>229</v>
      </c>
      <c r="O176" s="39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19",F177*5,IF(E177="CB",F177*24,""))))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62"/>
      <c r="E178" s="62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26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62"/>
      <c r="E180" s="62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62"/>
      <c r="E182" s="62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62"/>
      <c r="E184" s="62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62"/>
      <c r="E186" s="62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62"/>
      <c r="E188" s="62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8" t="s">
        <v>230</v>
      </c>
      <c r="B189" s="99"/>
      <c r="C189" s="99"/>
      <c r="D189" s="99"/>
      <c r="E189" s="100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61"/>
      <c r="L189" s="61"/>
      <c r="M189" s="38">
        <f ca="1">IFERROR(SUM(M177:M188),"")</f>
        <v>0</v>
      </c>
      <c r="N189" s="36" t="s">
        <v>229</v>
      </c>
      <c r="O189" s="39"/>
    </row>
    <row r="190" spans="1:15" ht="18" customHeight="1">
      <c r="A190" s="101" t="s">
        <v>231</v>
      </c>
      <c r="B190" s="102"/>
      <c r="C190" s="102"/>
      <c r="D190" s="102"/>
      <c r="E190" s="103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63"/>
      <c r="L190" s="63"/>
      <c r="M190" s="42">
        <f ca="1">IFERROR(M176+M189,"")</f>
        <v>0</v>
      </c>
      <c r="N190" s="40" t="s">
        <v>232</v>
      </c>
      <c r="O190" s="43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19",F191*5,IF(E191="CB",F191*24,""))))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8" t="s">
        <v>228</v>
      </c>
      <c r="B203" s="99"/>
      <c r="C203" s="99"/>
      <c r="D203" s="99"/>
      <c r="E203" s="100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61"/>
      <c r="L203" s="61"/>
      <c r="M203" s="38">
        <f ca="1">IFERROR(SUM(M191:M202),"")</f>
        <v>0</v>
      </c>
      <c r="N203" s="36" t="s">
        <v>229</v>
      </c>
      <c r="O203" s="45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19",F204*5,IF(E204="CB",F204*24,""))))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60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60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60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60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60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60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98" t="s">
        <v>230</v>
      </c>
      <c r="B216" s="99"/>
      <c r="C216" s="99"/>
      <c r="D216" s="99"/>
      <c r="E216" s="100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61"/>
      <c r="L216" s="61"/>
      <c r="M216" s="38">
        <f ca="1">IFERROR(SUM(M204:M215),"")</f>
        <v>0</v>
      </c>
      <c r="N216" s="36" t="s">
        <v>229</v>
      </c>
      <c r="O216" s="45"/>
    </row>
    <row r="217" spans="1:15" ht="18" customHeight="1">
      <c r="A217" s="101" t="s">
        <v>231</v>
      </c>
      <c r="B217" s="102"/>
      <c r="C217" s="102"/>
      <c r="D217" s="102"/>
      <c r="E217" s="103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63"/>
      <c r="L217" s="63"/>
      <c r="M217" s="42">
        <f ca="1">IFERROR(M203+M216,"")</f>
        <v>0</v>
      </c>
      <c r="N217" s="40" t="s">
        <v>232</v>
      </c>
      <c r="O217" s="48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60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60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60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60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60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60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60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79" t="str">
        <f ca="1">IFERROR(IF(K225="","",IF(L225="",MOD(NOW()-K225,1),IF(L225&gt;=K225,L225-K225,L225+1-K225))),"")</f>
        <v/>
      </c>
      <c r="N225" s="27"/>
      <c r="O225" s="60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98" t="s">
        <v>228</v>
      </c>
      <c r="B230" s="99"/>
      <c r="C230" s="99"/>
      <c r="D230" s="99"/>
      <c r="E230" s="100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61"/>
      <c r="L230" s="61"/>
      <c r="M230" s="38">
        <f ca="1">IFERROR(SUM(M218:M229),"")</f>
        <v>0</v>
      </c>
      <c r="N230" s="36" t="s">
        <v>229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60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60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60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60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60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60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98" t="s">
        <v>230</v>
      </c>
      <c r="B243" s="99"/>
      <c r="C243" s="99"/>
      <c r="D243" s="99"/>
      <c r="E243" s="100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61"/>
      <c r="L243" s="61"/>
      <c r="M243" s="38">
        <f ca="1">IFERROR(SUM(M231:M242),"")</f>
        <v>0</v>
      </c>
      <c r="N243" s="36" t="s">
        <v>229</v>
      </c>
      <c r="O243" s="39"/>
    </row>
    <row r="244" spans="1:15" ht="18" customHeight="1">
      <c r="A244" s="101" t="s">
        <v>231</v>
      </c>
      <c r="B244" s="102"/>
      <c r="C244" s="102"/>
      <c r="D244" s="102"/>
      <c r="E244" s="103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63"/>
      <c r="L244" s="63"/>
      <c r="M244" s="42">
        <f ca="1">IFERROR(M230+M243,"")</f>
        <v>0</v>
      </c>
      <c r="N244" s="40" t="s">
        <v>232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0" t="str">
        <f t="shared" ref="M245:M256" ca="1" si="55">IFERROR(IF(K245="","",IF(L245="",MOD(NOW()-K245,1),IF(L245&gt;=K245,L245-K245,L245+1-K245))),"")</f>
        <v/>
      </c>
      <c r="N245" s="27"/>
      <c r="O245" s="60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5" t="str">
        <f t="shared" ca="1" si="55"/>
        <v/>
      </c>
      <c r="N246" s="27"/>
      <c r="O246" s="60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0" t="str">
        <f t="shared" ca="1" si="55"/>
        <v/>
      </c>
      <c r="N247" s="27"/>
      <c r="O247" s="60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5" t="str">
        <f t="shared" ca="1" si="55"/>
        <v/>
      </c>
      <c r="N248" s="27"/>
      <c r="O248" s="60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98" t="s">
        <v>228</v>
      </c>
      <c r="B257" s="99"/>
      <c r="C257" s="99"/>
      <c r="D257" s="99"/>
      <c r="E257" s="100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61"/>
      <c r="L257" s="61"/>
      <c r="M257" s="38">
        <f ca="1">IFERROR(SUM(M245:M256),"")</f>
        <v>0</v>
      </c>
      <c r="N257" s="36" t="s">
        <v>229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5" t="str">
        <f t="shared" ref="M258:M269" ca="1" si="58">IFERROR(IF(K258="","",IF(L258="",MOD(NOW()-K258,1),IF(L258&gt;=K258,L258-K258,L258+1-K258))),"")</f>
        <v/>
      </c>
      <c r="N258" s="27"/>
      <c r="O258" s="60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0" t="str">
        <f t="shared" ca="1" si="58"/>
        <v/>
      </c>
      <c r="N259" s="27"/>
      <c r="O259" s="60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98" t="s">
        <v>230</v>
      </c>
      <c r="B270" s="99"/>
      <c r="C270" s="99"/>
      <c r="D270" s="99"/>
      <c r="E270" s="100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61"/>
      <c r="L270" s="61"/>
      <c r="M270" s="38">
        <f ca="1">IFERROR(SUM(M258:M269),"")</f>
        <v>0</v>
      </c>
      <c r="N270" s="36" t="s">
        <v>229</v>
      </c>
      <c r="O270" s="39"/>
    </row>
    <row r="271" spans="1:15" ht="18" customHeight="1">
      <c r="A271" s="101" t="s">
        <v>231</v>
      </c>
      <c r="B271" s="102"/>
      <c r="C271" s="102"/>
      <c r="D271" s="102"/>
      <c r="E271" s="103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63"/>
      <c r="L271" s="63"/>
      <c r="M271" s="42">
        <f ca="1">IFERROR(M257+M270,"")</f>
        <v>0</v>
      </c>
      <c r="N271" s="40" t="s">
        <v>232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77" ca="1" si="61">IFERROR(IF(K272="","",IF(L272="",MOD(NOW()-K272,1),IF(L272&gt;=K272,L272-K272,L272+1-K272))),"")</f>
        <v/>
      </c>
      <c r="N272" s="27"/>
      <c r="O272" s="60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60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60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98" t="s">
        <v>228</v>
      </c>
      <c r="B284" s="99"/>
      <c r="C284" s="99"/>
      <c r="D284" s="99"/>
      <c r="E284" s="100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61"/>
      <c r="L284" s="61"/>
      <c r="M284" s="38">
        <f ca="1">IFERROR(SUM(M272:M283),"")</f>
        <v>0</v>
      </c>
      <c r="N284" s="36" t="s">
        <v>229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60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64" t="str">
        <f t="shared" ca="1" si="64"/>
        <v/>
      </c>
      <c r="N286" s="27"/>
      <c r="O286" s="60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64" t="str">
        <f t="shared" ca="1" si="64"/>
        <v/>
      </c>
      <c r="N287" s="27"/>
      <c r="O287" s="60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64" t="str">
        <f t="shared" ca="1" si="64"/>
        <v/>
      </c>
      <c r="N288" s="27"/>
      <c r="O288" s="60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60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64" t="str">
        <f t="shared" ca="1" si="64"/>
        <v/>
      </c>
      <c r="N290" s="27"/>
      <c r="O290" s="60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60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98" t="s">
        <v>230</v>
      </c>
      <c r="B297" s="99"/>
      <c r="C297" s="99"/>
      <c r="D297" s="99"/>
      <c r="E297" s="100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61"/>
      <c r="L297" s="61"/>
      <c r="M297" s="38">
        <f ca="1">IFERROR(SUM(M285:M296),"")</f>
        <v>0</v>
      </c>
      <c r="N297" s="36" t="s">
        <v>229</v>
      </c>
      <c r="O297" s="39"/>
    </row>
    <row r="298" spans="1:15" ht="18" customHeight="1">
      <c r="A298" s="101" t="s">
        <v>231</v>
      </c>
      <c r="B298" s="102"/>
      <c r="C298" s="102"/>
      <c r="D298" s="102"/>
      <c r="E298" s="103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63"/>
      <c r="L298" s="63"/>
      <c r="M298" s="42">
        <f ca="1">IFERROR(M284+M297,"")</f>
        <v>0</v>
      </c>
      <c r="N298" s="40" t="s">
        <v>232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60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60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65"/>
      <c r="L301" s="29"/>
      <c r="M301" s="35" t="str">
        <f t="shared" ca="1" si="67"/>
        <v/>
      </c>
      <c r="N301" s="27"/>
      <c r="O301" s="60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60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98" t="s">
        <v>228</v>
      </c>
      <c r="B311" s="99"/>
      <c r="C311" s="99"/>
      <c r="D311" s="99"/>
      <c r="E311" s="100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61"/>
      <c r="L311" s="61"/>
      <c r="M311" s="38">
        <f ca="1">IFERROR(SUM(M299:M310),"")</f>
        <v>0</v>
      </c>
      <c r="N311" s="36" t="s">
        <v>229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60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98" t="s">
        <v>230</v>
      </c>
      <c r="B324" s="99"/>
      <c r="C324" s="99"/>
      <c r="D324" s="99"/>
      <c r="E324" s="100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61"/>
      <c r="L324" s="61"/>
      <c r="M324" s="38">
        <f ca="1">IFERROR(SUM(M312:M323),"")</f>
        <v>0</v>
      </c>
      <c r="N324" s="36" t="s">
        <v>229</v>
      </c>
      <c r="O324" s="39"/>
    </row>
    <row r="325" spans="1:15" ht="18" customHeight="1">
      <c r="A325" s="101" t="s">
        <v>231</v>
      </c>
      <c r="B325" s="102"/>
      <c r="C325" s="102"/>
      <c r="D325" s="102"/>
      <c r="E325" s="103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63"/>
      <c r="L325" s="63"/>
      <c r="M325" s="42">
        <f ca="1">IFERROR(M311+M324,"")</f>
        <v>0</v>
      </c>
      <c r="N325" s="40" t="s">
        <v>232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F326" s="27"/>
      <c r="G326" s="28" t="str">
        <f>IF(F326="","",IF(E327="PC 17",F326*4.2,IF(E327="PC 19",F326*5,"")))</f>
        <v/>
      </c>
      <c r="H326" s="26"/>
      <c r="I326" s="26"/>
      <c r="J326" s="26"/>
      <c r="K326" s="29"/>
      <c r="L326" s="29"/>
      <c r="M326" s="30" t="str">
        <f t="shared" ref="M326:M337" ca="1" si="72">IFERROR(IF(K326="","",IF(L326="",MOD(NOW()-K326,1),IF(L326&gt;=K326,L326-K326,L326+1-K326))),"")</f>
        <v/>
      </c>
      <c r="N326" s="27"/>
      <c r="O326" s="60"/>
    </row>
    <row r="327" spans="1:15" ht="15" customHeight="1">
      <c r="A327" s="69">
        <v>46247</v>
      </c>
      <c r="B327" s="32">
        <f t="shared" ref="B327:B337" si="73">B326+TIME(0,60,0)</f>
        <v>0.37499999999999967</v>
      </c>
      <c r="C327" s="26"/>
      <c r="D327" s="59"/>
      <c r="E327" s="59"/>
      <c r="F327" s="27"/>
      <c r="G327" s="34"/>
      <c r="H327" s="33"/>
      <c r="I327" s="33"/>
      <c r="J327" s="33"/>
      <c r="K327" s="29"/>
      <c r="L327" s="29"/>
      <c r="M327" s="35" t="str">
        <f t="shared" ca="1" si="72"/>
        <v/>
      </c>
      <c r="N327" s="27"/>
      <c r="O327" s="60"/>
    </row>
    <row r="328" spans="1:15" ht="15" customHeight="1">
      <c r="A328" s="68">
        <v>46247</v>
      </c>
      <c r="B328" s="25">
        <f t="shared" si="73"/>
        <v>0.41666666666666635</v>
      </c>
      <c r="C328" s="26"/>
      <c r="D328" s="59"/>
      <c r="E328" s="59"/>
      <c r="F328" s="27"/>
      <c r="G328" s="28" t="str">
        <f t="shared" ref="G328:G337" si="74">IF(F328="","",IF(E328="PC 17",F328*4.2,IF(E328="PC 19",F328*5,IF(E328="CB",F328*24,""))))</f>
        <v/>
      </c>
      <c r="H328" s="26"/>
      <c r="I328" s="26"/>
      <c r="J328" s="26"/>
      <c r="K328" s="29"/>
      <c r="L328" s="29"/>
      <c r="M328" s="30" t="str">
        <f t="shared" ca="1" si="72"/>
        <v/>
      </c>
      <c r="N328" s="27"/>
      <c r="O328" s="60"/>
    </row>
    <row r="329" spans="1:15" ht="15" customHeight="1">
      <c r="A329" s="69">
        <v>46247</v>
      </c>
      <c r="B329" s="32">
        <f t="shared" si="73"/>
        <v>0.45833333333333304</v>
      </c>
      <c r="C329" s="26"/>
      <c r="D329" s="59"/>
      <c r="E329" s="59"/>
      <c r="F329" s="27"/>
      <c r="G329" s="34" t="str">
        <f t="shared" si="74"/>
        <v/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46247</v>
      </c>
      <c r="B330" s="25">
        <f t="shared" si="73"/>
        <v>0.49999999999999972</v>
      </c>
      <c r="C330" s="26"/>
      <c r="D330" s="59"/>
      <c r="E330" s="59"/>
      <c r="F330" s="27"/>
      <c r="G330" s="28" t="str">
        <f t="shared" si="74"/>
        <v/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46247</v>
      </c>
      <c r="B331" s="32">
        <f t="shared" si="73"/>
        <v>0.54166666666666641</v>
      </c>
      <c r="C331" s="26"/>
      <c r="D331" s="59"/>
      <c r="E331" s="59"/>
      <c r="F331" s="27"/>
      <c r="G331" s="34" t="str">
        <f t="shared" si="74"/>
        <v/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46247</v>
      </c>
      <c r="B332" s="25">
        <f t="shared" si="73"/>
        <v>0.58333333333333304</v>
      </c>
      <c r="C332" s="26"/>
      <c r="D332" s="59"/>
      <c r="E332" s="59"/>
      <c r="F332" s="27"/>
      <c r="G332" s="28" t="str">
        <f t="shared" si="74"/>
        <v/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46247</v>
      </c>
      <c r="B333" s="32">
        <f t="shared" si="73"/>
        <v>0.62499999999999967</v>
      </c>
      <c r="C333" s="26"/>
      <c r="D333" s="59"/>
      <c r="E333" s="59"/>
      <c r="F333" s="27"/>
      <c r="G333" s="34" t="str">
        <f t="shared" si="74"/>
        <v/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46247</v>
      </c>
      <c r="B334" s="25">
        <f t="shared" si="73"/>
        <v>0.6666666666666663</v>
      </c>
      <c r="C334" s="26"/>
      <c r="D334" s="59"/>
      <c r="E334" s="59"/>
      <c r="F334" s="27"/>
      <c r="G334" s="28" t="str">
        <f t="shared" si="74"/>
        <v/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46247</v>
      </c>
      <c r="B335" s="32">
        <f t="shared" si="73"/>
        <v>0.70833333333333293</v>
      </c>
      <c r="C335" s="26"/>
      <c r="D335" s="59"/>
      <c r="E335" s="59"/>
      <c r="F335" s="27"/>
      <c r="G335" s="34" t="str">
        <f t="shared" si="74"/>
        <v/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46247</v>
      </c>
      <c r="B336" s="25">
        <f t="shared" si="73"/>
        <v>0.74999999999999956</v>
      </c>
      <c r="C336" s="26"/>
      <c r="D336" s="59"/>
      <c r="E336" s="59"/>
      <c r="F336" s="27"/>
      <c r="G336" s="28" t="str">
        <f t="shared" si="74"/>
        <v/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46247</v>
      </c>
      <c r="B337" s="32">
        <f t="shared" si="73"/>
        <v>0.79166666666666619</v>
      </c>
      <c r="C337" s="26"/>
      <c r="D337" s="59"/>
      <c r="E337" s="59"/>
      <c r="F337" s="27"/>
      <c r="G337" s="34" t="str">
        <f t="shared" si="74"/>
        <v/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98" t="s">
        <v>228</v>
      </c>
      <c r="B338" s="99"/>
      <c r="C338" s="99"/>
      <c r="D338" s="99"/>
      <c r="E338" s="100">
        <f>SUM(E327:E337)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229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98" t="s">
        <v>230</v>
      </c>
      <c r="B351" s="99"/>
      <c r="C351" s="99"/>
      <c r="D351" s="99"/>
      <c r="E351" s="100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229</v>
      </c>
      <c r="O351" s="39"/>
    </row>
    <row r="352" spans="1:15" ht="18" customHeight="1">
      <c r="A352" s="101" t="s">
        <v>231</v>
      </c>
      <c r="B352" s="102"/>
      <c r="C352" s="102"/>
      <c r="D352" s="102"/>
      <c r="E352" s="103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232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33"/>
      <c r="I354" s="26"/>
      <c r="J354" s="33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228</v>
      </c>
      <c r="B365" s="88"/>
      <c r="C365" s="88"/>
      <c r="D365" s="88"/>
      <c r="E365" s="8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229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98" t="s">
        <v>230</v>
      </c>
      <c r="B378" s="99"/>
      <c r="C378" s="99"/>
      <c r="D378" s="99"/>
      <c r="E378" s="100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229</v>
      </c>
      <c r="O378" s="39"/>
    </row>
    <row r="379" spans="1:15" ht="18" customHeight="1">
      <c r="A379" s="101" t="s">
        <v>231</v>
      </c>
      <c r="B379" s="102"/>
      <c r="C379" s="102"/>
      <c r="D379" s="102"/>
      <c r="E379" s="103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232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98" t="s">
        <v>228</v>
      </c>
      <c r="B392" s="99"/>
      <c r="C392" s="99"/>
      <c r="D392" s="99"/>
      <c r="E392" s="100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229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98" t="s">
        <v>230</v>
      </c>
      <c r="B405" s="99"/>
      <c r="C405" s="99"/>
      <c r="D405" s="99"/>
      <c r="E405" s="100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229</v>
      </c>
      <c r="O405" s="39"/>
    </row>
    <row r="406" spans="1:15" ht="18" customHeight="1">
      <c r="A406" s="101" t="s">
        <v>231</v>
      </c>
      <c r="B406" s="102"/>
      <c r="C406" s="102"/>
      <c r="D406" s="102"/>
      <c r="E406" s="103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232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98" t="s">
        <v>228</v>
      </c>
      <c r="B419" s="99"/>
      <c r="C419" s="99"/>
      <c r="D419" s="99"/>
      <c r="E419" s="100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229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98" t="s">
        <v>230</v>
      </c>
      <c r="B432" s="99"/>
      <c r="C432" s="99"/>
      <c r="D432" s="99"/>
      <c r="E432" s="100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229</v>
      </c>
      <c r="O432" s="39"/>
    </row>
    <row r="433" spans="1:17" ht="18" customHeight="1">
      <c r="A433" s="101" t="s">
        <v>231</v>
      </c>
      <c r="B433" s="102"/>
      <c r="C433" s="102"/>
      <c r="D433" s="102"/>
      <c r="E433" s="103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232</v>
      </c>
      <c r="O433" s="48">
        <f>IFERROR(O419+O432,"")</f>
        <v>0</v>
      </c>
    </row>
    <row r="434" spans="1:17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98" t="s">
        <v>228</v>
      </c>
      <c r="B446" s="99"/>
      <c r="C446" s="99"/>
      <c r="D446" s="99"/>
      <c r="E446" s="100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229</v>
      </c>
      <c r="O446" s="39"/>
    </row>
    <row r="447" spans="1:17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F450" s="27"/>
      <c r="G450" s="28" t="str">
        <f>IF(F450="","",IF(E451="PC 17",F450*4.2,IF(E451="PC 19",F450*5,"")))</f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/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98" t="s">
        <v>230</v>
      </c>
      <c r="B459" s="99"/>
      <c r="C459" s="99"/>
      <c r="D459" s="99"/>
      <c r="E459" s="100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229</v>
      </c>
      <c r="O459" s="39"/>
    </row>
    <row r="460" spans="1:15" ht="18" customHeight="1">
      <c r="A460" s="101" t="s">
        <v>231</v>
      </c>
      <c r="B460" s="102"/>
      <c r="C460" s="102"/>
      <c r="D460" s="102"/>
      <c r="E460" s="103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232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98" t="s">
        <v>228</v>
      </c>
      <c r="B473" s="99"/>
      <c r="C473" s="99"/>
      <c r="D473" s="99"/>
      <c r="E473" s="100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229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98" t="s">
        <v>230</v>
      </c>
      <c r="B486" s="99"/>
      <c r="C486" s="99"/>
      <c r="D486" s="99"/>
      <c r="E486" s="100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229</v>
      </c>
      <c r="O486" s="39"/>
    </row>
    <row r="487" spans="1:15" ht="18" customHeight="1">
      <c r="A487" s="101" t="s">
        <v>231</v>
      </c>
      <c r="B487" s="102"/>
      <c r="C487" s="102"/>
      <c r="D487" s="102"/>
      <c r="E487" s="103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232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69">
        <v>46253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8">
        <v>46253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69">
        <v>46253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8">
        <v>46253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46253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46253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46253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46253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46253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46253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46253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98" t="s">
        <v>228</v>
      </c>
      <c r="B500" s="99"/>
      <c r="C500" s="99"/>
      <c r="D500" s="99"/>
      <c r="E500" s="100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229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98" t="s">
        <v>230</v>
      </c>
      <c r="B513" s="99"/>
      <c r="C513" s="99"/>
      <c r="D513" s="99"/>
      <c r="E513" s="100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229</v>
      </c>
      <c r="O513" s="39"/>
    </row>
    <row r="514" spans="1:15" ht="18" customHeight="1">
      <c r="A514" s="101" t="s">
        <v>231</v>
      </c>
      <c r="B514" s="102"/>
      <c r="C514" s="102"/>
      <c r="D514" s="102"/>
      <c r="E514" s="103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232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98" t="s">
        <v>228</v>
      </c>
      <c r="B527" s="99"/>
      <c r="C527" s="99"/>
      <c r="D527" s="99"/>
      <c r="E527" s="100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229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98" t="s">
        <v>230</v>
      </c>
      <c r="B540" s="99"/>
      <c r="C540" s="99"/>
      <c r="D540" s="99"/>
      <c r="E540" s="100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229</v>
      </c>
      <c r="O540" s="39"/>
    </row>
    <row r="541" spans="1:15" ht="18" customHeight="1">
      <c r="A541" s="101" t="s">
        <v>231</v>
      </c>
      <c r="B541" s="102"/>
      <c r="C541" s="102"/>
      <c r="D541" s="102"/>
      <c r="E541" s="103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232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98" t="s">
        <v>228</v>
      </c>
      <c r="B554" s="99"/>
      <c r="C554" s="99"/>
      <c r="D554" s="99"/>
      <c r="E554" s="100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229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/>
      <c r="N555" s="27"/>
      <c r="O555" s="60"/>
    </row>
    <row r="556" spans="1:15" ht="15" customHeight="1">
      <c r="A556" s="68">
        <v>46255</v>
      </c>
      <c r="B556" s="25">
        <f t="shared" ref="B556:B566" si="124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ref="M556:M566" ca="1" si="125">IFERROR(IF(K556="","",IF(L556="",MOD(NOW()-K556,1),IF(L556&gt;=K556,L556-K556,L556+1-K556))),"")</f>
        <v/>
      </c>
      <c r="N556" s="27"/>
      <c r="O556" s="60"/>
    </row>
    <row r="557" spans="1:15" ht="15" customHeight="1">
      <c r="A557" s="69">
        <v>46255</v>
      </c>
      <c r="B557" s="32">
        <f t="shared" si="124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5"/>
        <v/>
      </c>
      <c r="N557" s="27"/>
      <c r="O557" s="60"/>
    </row>
    <row r="558" spans="1:15" ht="15" customHeight="1">
      <c r="A558" s="68">
        <v>46255</v>
      </c>
      <c r="B558" s="25">
        <f t="shared" si="124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5"/>
        <v/>
      </c>
      <c r="N558" s="27"/>
      <c r="O558" s="60"/>
    </row>
    <row r="559" spans="1:15" ht="15" customHeight="1">
      <c r="A559" s="69">
        <v>46255</v>
      </c>
      <c r="B559" s="32">
        <f t="shared" si="124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5"/>
        <v/>
      </c>
      <c r="N559" s="27"/>
      <c r="O559" s="60"/>
    </row>
    <row r="560" spans="1:15" ht="15" customHeight="1">
      <c r="A560" s="68">
        <v>46255</v>
      </c>
      <c r="B560" s="25">
        <f t="shared" si="124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5"/>
        <v/>
      </c>
      <c r="N560" s="27"/>
      <c r="O560" s="60"/>
    </row>
    <row r="561" spans="1:15" ht="15" customHeight="1">
      <c r="A561" s="69">
        <v>46255</v>
      </c>
      <c r="B561" s="32">
        <f t="shared" si="124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5"/>
        <v/>
      </c>
      <c r="N561" s="27"/>
      <c r="O561" s="60"/>
    </row>
    <row r="562" spans="1:15" ht="15" customHeight="1">
      <c r="A562" s="68">
        <v>46255</v>
      </c>
      <c r="B562" s="25">
        <f t="shared" si="124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5"/>
        <v/>
      </c>
      <c r="N562" s="27"/>
      <c r="O562" s="60"/>
    </row>
    <row r="563" spans="1:15" ht="15" customHeight="1">
      <c r="A563" s="69">
        <v>46255</v>
      </c>
      <c r="B563" s="32">
        <f t="shared" si="124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5"/>
        <v/>
      </c>
      <c r="N563" s="27"/>
      <c r="O563" s="60"/>
    </row>
    <row r="564" spans="1:15" ht="15" customHeight="1">
      <c r="A564" s="68">
        <v>46255</v>
      </c>
      <c r="B564" s="25">
        <f t="shared" si="124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5"/>
        <v/>
      </c>
      <c r="N564" s="27"/>
      <c r="O564" s="60"/>
    </row>
    <row r="565" spans="1:15" ht="15" customHeight="1">
      <c r="A565" s="69">
        <v>46255</v>
      </c>
      <c r="B565" s="32">
        <f t="shared" si="124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5"/>
        <v/>
      </c>
      <c r="N565" s="27"/>
      <c r="O565" s="60"/>
    </row>
    <row r="566" spans="1:15" ht="15" customHeight="1">
      <c r="A566" s="68">
        <v>46255</v>
      </c>
      <c r="B566" s="25">
        <f t="shared" si="124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5"/>
        <v/>
      </c>
      <c r="N566" s="27"/>
      <c r="O566" s="60"/>
    </row>
    <row r="567" spans="1:15" ht="15.75" customHeight="1">
      <c r="A567" s="98" t="s">
        <v>230</v>
      </c>
      <c r="B567" s="99"/>
      <c r="C567" s="99"/>
      <c r="D567" s="99"/>
      <c r="E567" s="100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229</v>
      </c>
      <c r="O567" s="39"/>
    </row>
    <row r="568" spans="1:15" ht="18" customHeight="1">
      <c r="A568" s="101" t="s">
        <v>231</v>
      </c>
      <c r="B568" s="102"/>
      <c r="C568" s="102"/>
      <c r="D568" s="102"/>
      <c r="E568" s="103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232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98" t="s">
        <v>228</v>
      </c>
      <c r="B581" s="99"/>
      <c r="C581" s="99"/>
      <c r="D581" s="99"/>
      <c r="E581" s="100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229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98" t="s">
        <v>230</v>
      </c>
      <c r="B594" s="99"/>
      <c r="C594" s="99"/>
      <c r="D594" s="99"/>
      <c r="E594" s="100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229</v>
      </c>
      <c r="O594" s="39"/>
    </row>
    <row r="595" spans="1:15" ht="18" customHeight="1">
      <c r="A595" s="101" t="s">
        <v>231</v>
      </c>
      <c r="B595" s="102"/>
      <c r="C595" s="102"/>
      <c r="D595" s="102"/>
      <c r="E595" s="103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232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98" t="s">
        <v>228</v>
      </c>
      <c r="B608" s="99"/>
      <c r="C608" s="99"/>
      <c r="D608" s="99"/>
      <c r="E608" s="100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229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98" t="s">
        <v>230</v>
      </c>
      <c r="B621" s="99"/>
      <c r="C621" s="99"/>
      <c r="D621" s="99"/>
      <c r="E621" s="100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229</v>
      </c>
      <c r="O621" s="39"/>
    </row>
    <row r="622" spans="1:15" ht="18" customHeight="1">
      <c r="A622" s="101" t="s">
        <v>231</v>
      </c>
      <c r="B622" s="102"/>
      <c r="C622" s="102"/>
      <c r="D622" s="102"/>
      <c r="E622" s="103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232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98" t="s">
        <v>228</v>
      </c>
      <c r="B635" s="99"/>
      <c r="C635" s="99"/>
      <c r="D635" s="99"/>
      <c r="E635" s="100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229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98" t="s">
        <v>230</v>
      </c>
      <c r="B648" s="99"/>
      <c r="C648" s="99"/>
      <c r="D648" s="99"/>
      <c r="E648" s="100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229</v>
      </c>
      <c r="O648" s="39"/>
    </row>
    <row r="649" spans="1:15" ht="18" customHeight="1">
      <c r="A649" s="101" t="s">
        <v>231</v>
      </c>
      <c r="B649" s="102"/>
      <c r="C649" s="102"/>
      <c r="D649" s="102"/>
      <c r="E649" s="103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232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98" t="s">
        <v>228</v>
      </c>
      <c r="B662" s="99"/>
      <c r="C662" s="99"/>
      <c r="D662" s="99"/>
      <c r="E662" s="100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229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98" t="s">
        <v>230</v>
      </c>
      <c r="B675" s="99"/>
      <c r="C675" s="99"/>
      <c r="D675" s="99"/>
      <c r="E675" s="100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229</v>
      </c>
      <c r="O675" s="39"/>
    </row>
    <row r="676" spans="1:15" ht="18" customHeight="1">
      <c r="A676" s="101" t="s">
        <v>231</v>
      </c>
      <c r="B676" s="102"/>
      <c r="C676" s="102"/>
      <c r="D676" s="102"/>
      <c r="E676" s="103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232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98" t="s">
        <v>228</v>
      </c>
      <c r="B689" s="99"/>
      <c r="C689" s="99"/>
      <c r="D689" s="99"/>
      <c r="E689" s="100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229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98" t="s">
        <v>230</v>
      </c>
      <c r="B702" s="99"/>
      <c r="C702" s="99"/>
      <c r="D702" s="99"/>
      <c r="E702" s="100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229</v>
      </c>
      <c r="O702" s="39"/>
    </row>
    <row r="703" spans="1:15" ht="18" customHeight="1">
      <c r="A703" s="101" t="s">
        <v>231</v>
      </c>
      <c r="B703" s="102"/>
      <c r="C703" s="102"/>
      <c r="D703" s="102"/>
      <c r="E703" s="103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232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98" t="s">
        <v>228</v>
      </c>
      <c r="B716" s="99"/>
      <c r="C716" s="99"/>
      <c r="D716" s="99"/>
      <c r="E716" s="100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229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98" t="s">
        <v>230</v>
      </c>
      <c r="B729" s="99"/>
      <c r="C729" s="99"/>
      <c r="D729" s="99"/>
      <c r="E729" s="100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229</v>
      </c>
      <c r="O729" s="39"/>
    </row>
    <row r="730" spans="1:15" ht="18" customHeight="1">
      <c r="A730" s="101" t="s">
        <v>231</v>
      </c>
      <c r="B730" s="102"/>
      <c r="C730" s="102"/>
      <c r="D730" s="102"/>
      <c r="E730" s="103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232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98" t="s">
        <v>228</v>
      </c>
      <c r="B743" s="99"/>
      <c r="C743" s="99"/>
      <c r="D743" s="99"/>
      <c r="E743" s="100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229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98" t="s">
        <v>230</v>
      </c>
      <c r="B756" s="99"/>
      <c r="C756" s="99"/>
      <c r="D756" s="99"/>
      <c r="E756" s="100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229</v>
      </c>
      <c r="O756" s="39"/>
    </row>
    <row r="757" spans="1:15" ht="18" customHeight="1">
      <c r="A757" s="101" t="s">
        <v>231</v>
      </c>
      <c r="B757" s="102"/>
      <c r="C757" s="102"/>
      <c r="D757" s="102"/>
      <c r="E757" s="103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232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98" t="s">
        <v>228</v>
      </c>
      <c r="B770" s="99"/>
      <c r="C770" s="99"/>
      <c r="D770" s="99"/>
      <c r="E770" s="100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229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98" t="s">
        <v>230</v>
      </c>
      <c r="B783" s="99"/>
      <c r="C783" s="99"/>
      <c r="D783" s="99"/>
      <c r="E783" s="100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229</v>
      </c>
      <c r="O783" s="39"/>
    </row>
    <row r="784" spans="1:15" ht="18" customHeight="1">
      <c r="A784" s="101" t="s">
        <v>231</v>
      </c>
      <c r="B784" s="102"/>
      <c r="C784" s="102"/>
      <c r="D784" s="102"/>
      <c r="E784" s="103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232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98" t="s">
        <v>228</v>
      </c>
      <c r="B797" s="99"/>
      <c r="C797" s="99"/>
      <c r="D797" s="99"/>
      <c r="E797" s="100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229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98" t="s">
        <v>230</v>
      </c>
      <c r="B810" s="99"/>
      <c r="C810" s="99"/>
      <c r="D810" s="99"/>
      <c r="E810" s="100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229</v>
      </c>
      <c r="O810" s="39"/>
    </row>
    <row r="811" spans="1:15" ht="18" customHeight="1">
      <c r="A811" s="101" t="s">
        <v>231</v>
      </c>
      <c r="B811" s="102"/>
      <c r="C811" s="102"/>
      <c r="D811" s="102"/>
      <c r="E811" s="103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232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0" t="str">
        <f t="shared" ref="M812:M823" ca="1" si="180">IFERROR(IF(K812="","",IF(L812="",MOD(NOW()-K812,1),IF(L812&gt;=K812,L812-K812,L812+1-K812))),"")</f>
        <v/>
      </c>
      <c r="N812" s="27"/>
      <c r="O812" s="60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5" t="str">
        <f t="shared" ca="1" si="180"/>
        <v/>
      </c>
      <c r="N813" s="27"/>
      <c r="O813" s="60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0" t="str">
        <f t="shared" ca="1" si="180"/>
        <v/>
      </c>
      <c r="N814" s="27"/>
      <c r="O814" s="60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5" t="str">
        <f t="shared" ca="1" si="180"/>
        <v/>
      </c>
      <c r="N815" s="27"/>
      <c r="O815" s="60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0" t="str">
        <f t="shared" ca="1" si="180"/>
        <v/>
      </c>
      <c r="N816" s="27"/>
      <c r="O816" s="60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5" t="str">
        <f t="shared" ca="1" si="180"/>
        <v/>
      </c>
      <c r="N817" s="27"/>
      <c r="O817" s="60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0" t="str">
        <f t="shared" ca="1" si="180"/>
        <v/>
      </c>
      <c r="N818" s="27"/>
      <c r="O818" s="60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5" t="str">
        <f t="shared" ca="1" si="180"/>
        <v/>
      </c>
      <c r="N819" s="27"/>
      <c r="O819" s="60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0" t="str">
        <f t="shared" ca="1" si="180"/>
        <v/>
      </c>
      <c r="N820" s="27"/>
      <c r="O820" s="60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5" t="str">
        <f t="shared" ca="1" si="180"/>
        <v/>
      </c>
      <c r="N821" s="27"/>
      <c r="O821" s="60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0" t="str">
        <f t="shared" ca="1" si="180"/>
        <v/>
      </c>
      <c r="N822" s="27"/>
      <c r="O822" s="60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5" t="str">
        <f t="shared" ca="1" si="180"/>
        <v/>
      </c>
      <c r="N823" s="27"/>
      <c r="O823" s="60"/>
    </row>
    <row r="824" spans="1:15" ht="15.75" customHeight="1">
      <c r="A824" s="98" t="s">
        <v>228</v>
      </c>
      <c r="B824" s="99"/>
      <c r="C824" s="99"/>
      <c r="D824" s="99"/>
      <c r="E824" s="100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61"/>
      <c r="L824" s="61"/>
      <c r="M824" s="38">
        <f ca="1">IFERROR(SUM(M812:M823),"")</f>
        <v>0</v>
      </c>
      <c r="N824" s="36" t="s">
        <v>229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5" t="str">
        <f t="shared" ref="M825:M836" ca="1" si="183">IFERROR(IF(K825="","",IF(L825="",MOD(NOW()-K825,1),IF(L825&gt;=K825,L825-K825,L825+1-K825))),"")</f>
        <v/>
      </c>
      <c r="N825" s="27"/>
      <c r="O825" s="60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60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5" t="str">
        <f t="shared" ca="1" si="183"/>
        <v/>
      </c>
      <c r="N827" s="27"/>
      <c r="O827" s="60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60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5" t="str">
        <f t="shared" ca="1" si="183"/>
        <v/>
      </c>
      <c r="N829" s="27"/>
      <c r="O829" s="60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60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5" t="str">
        <f t="shared" ca="1" si="183"/>
        <v/>
      </c>
      <c r="N831" s="27"/>
      <c r="O831" s="60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60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5" t="str">
        <f t="shared" ca="1" si="183"/>
        <v/>
      </c>
      <c r="N833" s="27"/>
      <c r="O833" s="60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60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5" t="str">
        <f t="shared" ca="1" si="183"/>
        <v/>
      </c>
      <c r="N835" s="27"/>
      <c r="O835" s="60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60"/>
    </row>
    <row r="837" spans="1:15" ht="15.75" customHeight="1">
      <c r="A837" s="98" t="s">
        <v>230</v>
      </c>
      <c r="B837" s="99"/>
      <c r="C837" s="99"/>
      <c r="D837" s="99"/>
      <c r="E837" s="100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61"/>
      <c r="L837" s="61"/>
      <c r="M837" s="38">
        <f ca="1">IFERROR(SUM(M825:M836),"")</f>
        <v>0</v>
      </c>
      <c r="N837" s="36" t="s">
        <v>229</v>
      </c>
      <c r="O837" s="39"/>
    </row>
    <row r="838" spans="1:15" ht="18" customHeight="1">
      <c r="A838" s="101" t="s">
        <v>231</v>
      </c>
      <c r="B838" s="102"/>
      <c r="C838" s="102"/>
      <c r="D838" s="102"/>
      <c r="E838" s="103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63"/>
      <c r="L838" s="63"/>
      <c r="M838" s="42">
        <f ca="1">IFERROR(M824+M837,"")</f>
        <v>0</v>
      </c>
      <c r="N838" s="40" t="s">
        <v>232</v>
      </c>
      <c r="O838" s="48">
        <f>IFERROR(O824+O837,"")</f>
        <v>0</v>
      </c>
    </row>
  </sheetData>
  <mergeCells count="92"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392:E392"/>
    <mergeCell ref="A311:E311"/>
    <mergeCell ref="A324:E324"/>
    <mergeCell ref="A325:E325"/>
    <mergeCell ref="A338:E338"/>
    <mergeCell ref="A351:E351"/>
    <mergeCell ref="A297:E297"/>
    <mergeCell ref="A298:E298"/>
    <mergeCell ref="A352:E352"/>
    <mergeCell ref="A378:E378"/>
    <mergeCell ref="A379:E379"/>
    <mergeCell ref="A244:E244"/>
    <mergeCell ref="A257:E257"/>
    <mergeCell ref="A270:E270"/>
    <mergeCell ref="A271:E271"/>
    <mergeCell ref="A284:E284"/>
    <mergeCell ref="A824:E824"/>
    <mergeCell ref="A837:E837"/>
    <mergeCell ref="A838:E838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325 E327:E449 E451:E838" xr:uid="{00000000-0002-0000-0500-000001000000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C29:C364 C15:C26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D2:D13 D29:D900 C365 D15:D26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2878EAE7-5404-4D83-90A8-98DF7BC2EF45}"/>
</file>

<file path=customXml/itemProps2.xml><?xml version="1.0" encoding="utf-8"?>
<ds:datastoreItem xmlns:ds="http://schemas.openxmlformats.org/officeDocument/2006/customXml" ds:itemID="{60A38338-7112-4F45-BCE1-49C5EC8DDAF1}"/>
</file>

<file path=customXml/itemProps3.xml><?xml version="1.0" encoding="utf-8"?>
<ds:datastoreItem xmlns:ds="http://schemas.openxmlformats.org/officeDocument/2006/customXml" ds:itemID="{288F5DF9-2BBC-43A5-A79A-7C7087BA3892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2026-08-01T23:55:27Z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