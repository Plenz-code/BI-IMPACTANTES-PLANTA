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6" documentId="13_ncr:1_{A6DBCFB4-28D9-4249-9038-216934055CA6}" xr6:coauthVersionLast="47" xr6:coauthVersionMax="47" xr10:uidLastSave="{1E002086-9E0D-46E4-B05F-433BA77BCF3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1" i="4" l="1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<sst xmlns="http://schemas.openxmlformats.org/spreadsheetml/2006/main" count="8734" uniqueCount="399">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</sst>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604.34357999999997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5549.8377450601884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15" sqref="F51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94" activePane="bottomLeft" state="frozen"/>
      <selection pane="bottomLeft" activeCell="E525" sqref="E52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0.17500879629369592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0.31389768518258365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0.39861990740480646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11.046481967213113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6.4437811475409825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4.6027008196721306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9.2054016393442613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7.3643213114754102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11.046481967213113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15.649182786885243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112.30589999999998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112.30589999999998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198.46686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198.46686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/>
      <c r="H515" s="101" t="str">
        <f>IFERROR(IF($G515="","",$G515*$S$527/$G$527/Cadastro!$E$33),"")</f>
        <v/>
      </c>
      <c r="I515" s="102">
        <f>IFERROR(IF($D515="","",VLOOKUP($D515,Cadastro!$C$4:$G$7,5,FALSE())),"")</f>
        <v>0.6</v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/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S514" sqref="S51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6.2499500000000001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8.0356499999999986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6.2499500000000001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5.3571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5.3571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10.7142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74.999399999999994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74.999399999999994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128.60339999999999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128.60339999999999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2" activePane="bottomLeft" state="frozen"/>
      <selection pane="bottomLeft" activeCell="K506" sqref="K50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9.5510624999999987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13.371487499999999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21.967443749999997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6.6857437499999994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6.6857437499999994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13.371487499999999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21.012337499999997</v>
      </c>
      <c r="K507" s="69" t="e">
        <f>IF(G507="","",IF(#REF!="PC 17",G507*4.2,IF(#REF!="PC 19",G507*5,IF(#REF!="CB",G507*24,""))))</f>
        <v>#REF!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152.81699999999998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152.81699999999998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277.27331999999996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277.27331999999996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2026-08-20T11:07:01Z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