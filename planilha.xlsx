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478" documentId="8_{AF585B22-221D-4780-BB9C-493D365A6A02}" xr6:coauthVersionLast="47" xr6:coauthVersionMax="47" xr10:uidLastSave="{714D516B-F450-4137-B966-196741E9C86A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<sst xmlns="http://schemas.openxmlformats.org/spreadsheetml/2006/main" count="4177" uniqueCount="279">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</sst>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20" sqref="K20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1436170</v>
      </c>
      <c r="D12" s="8">
        <f>IFERROR('Linha 1'!O244,"")</f>
        <v>482110</v>
      </c>
      <c r="E12" s="8">
        <f>IFERROR('Linha 2'!O244,"")</f>
        <v>469520</v>
      </c>
      <c r="F12" s="8">
        <f>IFERROR('Linha 3'!O244,"")</f>
        <v>587230</v>
      </c>
      <c r="G12" s="9">
        <f t="shared" si="0"/>
        <v>1538860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24777850</v>
      </c>
      <c r="D35" s="13">
        <f>IFERROR(SUM(D4:D34),"")</f>
        <v>8369450</v>
      </c>
      <c r="E35" s="13">
        <f>IFERROR(SUM(E4:E34),"")</f>
        <v>5901340</v>
      </c>
      <c r="F35" s="13">
        <f>IFERROR(SUM(F4:F34),"")</f>
        <v>10527840</v>
      </c>
      <c r="G35" s="13">
        <f>IFERROR(SUM(G4:G34),"")</f>
        <v>24798630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0" activePane="bottomLeft" state="frozen"/>
      <selection pane="bottomLeft" activeCell="F238" sqref="F23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210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210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210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150</v>
      </c>
      <c r="G243" s="36">
        <f>SUM(G231:G242)</f>
        <v>750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388</v>
      </c>
      <c r="G244" s="40">
        <f>G230+G243</f>
        <v>1940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216</v>
      </c>
      <c r="O244" s="48">
        <f>IFERROR(O230+O243,"")</f>
        <v>1436170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09" activePane="bottomLeft" state="frozen"/>
      <selection pane="bottomLeft" activeCell="F240" sqref="F24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21</v>
      </c>
      <c r="H232" s="26" t="s">
        <v>16</v>
      </c>
      <c r="I232" s="26" t="s">
        <v>31</v>
      </c>
      <c r="J232" s="26" t="s">
        <v>243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237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132</v>
      </c>
      <c r="G243" s="36">
        <f>SUM(G231:G242)</f>
        <v>554.40000000000009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213</v>
      </c>
      <c r="O243" s="78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247</v>
      </c>
      <c r="G244" s="40">
        <f>G230+G243</f>
        <v>1037.4000000000001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216</v>
      </c>
      <c r="O244" s="84">
        <f>IFERROR(O230+O243,"")</f>
        <v>482110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6" zoomScale="50" zoomScaleNormal="50" workbookViewId="0">
      <selection activeCell="F240" sqref="F24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252</v>
      </c>
      <c r="N166" s="27" t="s">
        <v>253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29.400000000000002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4</v>
      </c>
      <c r="G234" s="28">
        <f t="shared" si="51"/>
        <v>16.8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101</v>
      </c>
      <c r="G243" s="36">
        <f>SUM(G231:G242)</f>
        <v>424.20000000000005</v>
      </c>
      <c r="H243" s="37"/>
      <c r="I243" s="37"/>
      <c r="J243" s="37"/>
      <c r="K243" s="37"/>
      <c r="L243" s="37"/>
      <c r="M243" s="38">
        <f ca="1">IFERROR(SUM(M231:M242),"")</f>
        <v>4.2361111111111113E-2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203</v>
      </c>
      <c r="G244" s="40">
        <f>G230+G243</f>
        <v>852.6</v>
      </c>
      <c r="H244" s="41"/>
      <c r="I244" s="41"/>
      <c r="J244" s="41"/>
      <c r="K244" s="41"/>
      <c r="L244" s="41"/>
      <c r="M244" s="42">
        <f ca="1">IFERROR(M230+M243,"")</f>
        <v>7.7777777777777876E-2</v>
      </c>
      <c r="N244" s="40" t="s">
        <v>216</v>
      </c>
      <c r="O244" s="48">
        <f>IFERROR(O230+O243,"")</f>
        <v>469520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10" activePane="bottomLeft" state="frozen"/>
      <selection pane="bottomLeft" activeCell="F240" sqref="F24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259</v>
      </c>
      <c r="L58" s="29">
        <v>0.54097222222222219</v>
      </c>
      <c r="M58" s="30" t="str">
        <f t="shared" ca="1" si="13"/>
        <v/>
      </c>
      <c r="N58" s="27" t="s">
        <v>260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0.92436817129782867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1.1236737268533843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1.4910348379644953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88.2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278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27</v>
      </c>
      <c r="G236" s="28">
        <f t="shared" si="51"/>
        <v>113.4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32</v>
      </c>
      <c r="G239" s="34">
        <f t="shared" si="51"/>
        <v>134.4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149</v>
      </c>
      <c r="G243" s="36">
        <f>SUM(G231:G242)</f>
        <v>625.79999999999995</v>
      </c>
      <c r="H243" s="37"/>
      <c r="I243" s="37"/>
      <c r="J243" s="37"/>
      <c r="K243" s="61"/>
      <c r="L243" s="61"/>
      <c r="M243" s="38">
        <f ca="1">IFERROR(SUM(M231:M242),"")</f>
        <v>0.13611111111111102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267</v>
      </c>
      <c r="G244" s="40">
        <f>G230+G243</f>
        <v>1121.4000000000001</v>
      </c>
      <c r="H244" s="41"/>
      <c r="I244" s="41"/>
      <c r="J244" s="41"/>
      <c r="K244" s="63"/>
      <c r="L244" s="63"/>
      <c r="M244" s="42">
        <f ca="1">IFERROR(M230+M243,"")</f>
        <v>0.33263888888888893</v>
      </c>
      <c r="N244" s="40" t="s">
        <v>216</v>
      </c>
      <c r="O244" s="48">
        <f>IFERROR(O230+O243,"")</f>
        <v>587230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2026-07-10T08:10:25Z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