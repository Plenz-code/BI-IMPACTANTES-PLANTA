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12" documentId="13_ncr:1_{A6DBCFB4-28D9-4249-9038-216934055CA6}" xr6:coauthVersionLast="47" xr6:coauthVersionMax="47" xr10:uidLastSave="{96BA2F96-C7E9-48AB-B8AE-FC1DC980F93F}"/>
  <bookViews>
    <workbookView xWindow="-110" yWindow="-110" windowWidth="25820" windowHeight="1550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07" i="6" l="1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<sst xmlns="http://schemas.openxmlformats.org/spreadsheetml/2006/main" count="8814" uniqueCount="400">
  <si>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</si>
  <si>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</si>
  <si>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</si>
  <si>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</si>
  <si>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</si>
  <si>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</si>
  <si>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</si>
  <si>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</si>
  <si>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</si>
  <si>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</si>
  <si>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</si>
  <si>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</si>
  <si>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</si>
  <si>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</si>
  <si>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</si>
  <si>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</si>
  <si>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</si>
  <si>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</si>
  <si>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</si>
  <si>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</si>
  <si>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</si>
  <si>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</si>
  <si>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</si>
  <si>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</si>
  <si>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</si>
  <si>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</si>
  <si>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</si>
  <si>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</si>
  <si>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</si>
  <si>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</si>
  <si>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</si>
  <si>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</si>
  <si>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</si>
  <si>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</si>
  <si>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</si>
  <si>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</si>
  <si>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</si>
  <si>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</si>
  <si>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</si>
  <si>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</si>
  <si>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</si>
  <si>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</si>
  <si>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</si>
  <si>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</si>
  <si>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</si>
  <si>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</si>
  <si>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</si>
  <si>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</si>
  <si>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</si>
  <si>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</si>
  <si>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</si>
  <si>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</si>
  <si>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</si>
  <si>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</si>
  <si>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</si>
  <si>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</si>
  <si>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</si>
  <si>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</si>
  <si>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</si>
  <si>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</si>
  <si>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</si>
  <si>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</si>
  <si>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</si>
  <si>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</si>
  <si>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</si>
  <si>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</si>
  <si>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</si>
  <si>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</si>
  <si>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</si>
  <si>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</si>
  <si>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</si>
  <si>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</si>
  <si>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</si>
  <si>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</si>
  <si>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</si>
  <si>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</si>
  <si>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</si>
  <si>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</si>
  <si>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</si>
  <si>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</si>
  <si>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</si>
  <si>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</si>
  <si>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</si>
  <si>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</si>
  <si>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</si>
  <si>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</si>
  <si>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</si>
  <si>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</si>
  <si>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</si>
  <si>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</si>
  <si>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</si>
  <si>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</si>
  <si>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</si>
  <si>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</si>
  <si>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</si>
  <si>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</si>
  <si>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</si>
  <si>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</si>
  <si>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</si>
  <si>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</si>
  <si>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</si>
  <si>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</si>
  <si>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</si>
  <si>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</si>
  <si>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</si>
  <si>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</si>
  <si>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</si>
  <si>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</si>
  <si>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</si>
  <si>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</si>
  <si>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</si>
  <si>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</si>
  <si>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</si>
  <si>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</si>
  <si>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</si>
  <si>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</si>
  <si>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</si>
  <si>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</si>
  <si>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</si>
  <si>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</si>
  <si>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</si>
  <si>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</si>
  <si>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</si>
  <si>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</si>
  <si>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</si>
  <si>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</si>
  <si>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</si>
  <si>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</si>
  <si>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</si>
  <si>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</si>
  <si>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</si>
  <si>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</si>
  <si>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</si>
  <si>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</si>
  <si>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</si>
  <si>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</si>
  <si>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</si>
  <si>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</si>
  <si>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</si>
  <si>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</si>
  <si>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</si>
  <si>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</si>
  <si>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</si>
  <si>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</si>
  <si>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</si>
  <si>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</si>
  <si>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</si>
  <si>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</si>
  <si>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</si>
  <si>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</si>
  <si>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</si>
  <si>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</si>
  <si>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</si>
  <si>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</si>
  <si>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</si>
  <si>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</si>
  <si>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</si>
  <si>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</si>
  <si>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</si>
  <si>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</si>
  <si>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</si>
  <si>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</si>
  <si>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</si>
  <si>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</si>
  <si>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</si>
  <si>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</si>
  <si>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</si>
  <si>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</si>
  <si>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</si>
  <si>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</si>
  <si>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</si>
  <si>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</si>
  <si>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</si>
  <si>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</si>
  <si>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</si>
  <si>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</si>
  <si>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</si>
  <si>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</si>
  <si>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</si>
  <si>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</si>
  <si>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</si>
  <si>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</si>
  <si>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</si>
  <si>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</si>
  <si>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</si>
  <si>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</si>
  <si>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</si>
  <si>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</si>
  <si>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</si>
  <si>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</si>
  <si>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</si>
  <si>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</si>
  <si>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</si>
  <si>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</si>
  <si>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</si>
  <si>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</si>
  <si>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</si>
  <si>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</si>
  <si>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</si>
  <si>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</si>
  <si>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</si>
  <si>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</si>
  <si>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</si>
  <si>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</si>
  <si>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</si>
  <si>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</si>
  <si>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</si>
  <si>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</si>
  <si>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</si>
  <si>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</si>
  <si>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</si>
  <si>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</si>
  <si>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</si>
  <si>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</si>
  <si>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</si>
  <si>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</si>
  <si>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</si>
  <si>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</si>
  <si>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</si>
  <si>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</si>
  <si>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</si>
  <si>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</si>
  <si>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</si>
  <si>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</si>
  <si>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</si>
  <si>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</si>
  <si>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</si>
  <si>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</si>
  <si>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</si>
  <si>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</si>
  <si>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</si>
  <si>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</si>
  <si>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</si>
  <si>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</si>
  <si>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</si>
  <si>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</si>
  <si>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</si>
  <si>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</si>
  <si>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</si>
  <si>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</si>
  <si>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</si>
  <si>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</si>
  <si>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</si>
  <si>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</si>
  <si>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</si>
  <si>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</si>
  <si>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</si>
  <si>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</si>
  <si>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</si>
  <si>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</si>
  <si>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</si>
  <si>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</si>
  <si>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</si>
  <si>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</si>
  <si>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</si>
  <si>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</si>
  <si>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</si>
  <si>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</si>
  <si>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</si>
  <si>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</si>
  <si>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</si>
  <si>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</si>
  <si>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</si>
  <si>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</si>
  <si>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</si>
  <si>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</si>
  <si>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</si>
  <si>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</si>
  <si>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</si>
  <si>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</si>
  <si>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</si>
  <si>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</si>
  <si>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</si>
  <si>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</si>
  <si>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</si>
  <si>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</si>
  <si>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</si>
  <si>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</si>
  <si>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</si>
  <si>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</si>
  <si>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</si>
  <si>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</si>
  <si>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</si>
  <si>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</si>
  <si>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</si>
  <si>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</si>
  <si>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</si>
  <si>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</si>
  <si>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</si>
  <si>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</si>
  <si>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</si>
  <si>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</si>
  <si>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</si>
  <si>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</si>
  <si>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</si>
  <si>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</si>
  <si>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</si>
  <si>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</si>
  <si>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</si>
  <si>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</si>
  <si>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</si>
  <si>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</si>
  <si>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</si>
  <si>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</si>
  <si>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</si>
  <si>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</si>
  <si>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</si>
  <si>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</si>
  <si>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</si>
  <si>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</si>
  <si>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</si>
  <si>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</si>
  <si>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</si>
  <si>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</si>
  <si>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</si>
  <si>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</si>
  <si>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</si>
  <si>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</si>
  <si>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</si>
  <si>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</si>
  <si>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</si>
  <si>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</si>
  <si>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</si>
  <si>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</si>
  <si>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</si>
  <si>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</si>
  <si>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</si>
  <si>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</si>
  <si>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</si>
  <si>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</si>
  <si>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</si>
  <si>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</si>
  <si>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</si>
  <si>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</si>
  <si>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</si>
  <si>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</si>
  <si>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</si>
  <si>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</si>
  <si>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</si>
  <si>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</si>
  <si>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</si>
  <si>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</si>
  <si>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</si>
  <si>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</si>
  <si>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</si>
  <si>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</si>
  <si>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</si>
  <si>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</si>
  <si>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</si>
  <si>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</si>
  <si>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</si>
  <si>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</si>
  <si>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</si>
  <si>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</si>
  <si>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</si>
  <si>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</si>
  <si>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</si>
  <si>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</si>
  <si>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</si>
  <si>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</si>
  <si>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</si>
  <si>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</si>
  <si>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</si>
  <si>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PC 17;PC 01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</si>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</sst>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3" fontId="23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486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71829610</v>
      </c>
      <c r="D35" s="30">
        <f t="shared" si="2"/>
        <v>23300530</v>
      </c>
      <c r="E35" s="30">
        <f t="shared" si="2"/>
        <v>12268060</v>
      </c>
      <c r="F35" s="30">
        <f t="shared" si="2"/>
        <v>29707410</v>
      </c>
      <c r="G35" s="30">
        <f t="shared" si="2"/>
        <v>65276000</v>
      </c>
      <c r="H35" s="31">
        <f t="shared" si="2"/>
        <v>5486.9907825806804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3591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180</v>
      </c>
      <c r="F58" s="150">
        <f>IFERROR(SUM(F56:F57),"")</f>
        <v>486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93" activePane="bottomLeft" state="frozen"/>
      <selection pane="bottomLeft" activeCell="F516" sqref="F516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259</v>
      </c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259</v>
      </c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259</v>
      </c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259</v>
      </c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259</v>
      </c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259</v>
      </c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259</v>
      </c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22</v>
      </c>
      <c r="G527" s="2">
        <f>SUM(G515:G526)</f>
        <v>110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22</v>
      </c>
      <c r="G541" s="1">
        <f>G527+G540</f>
        <v>110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94" activePane="bottomLeft" state="frozen"/>
      <selection pane="bottomLeft" activeCell="G516" sqref="G516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0.22062777777318843</v>
      </c>
      <c r="R53" s="80" t="s">
        <v>305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0.35951666666207616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0.44423888888429897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/>
      <c r="H516" s="88" t="str">
        <f>IFERROR(IF($G516="","",$G516*$S$527/$G$527/Cadastro!$E$33),"")</f>
        <v/>
      </c>
      <c r="I516" s="90">
        <f>IFERROR(IF($D516="","",VLOOKUP($D516,Cadastro!$C$4:$G$7,5,FALSE())),"")</f>
        <v>0.6</v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/>
      <c r="H517" s="88" t="str">
        <f>IFERROR(IF($G517="","",$G517*$S$527/$G$527/Cadastro!$E$33),"")</f>
        <v/>
      </c>
      <c r="I517" s="90">
        <f>IFERROR(IF($D517="","",VLOOKUP($D517,Cadastro!$C$4:$G$7,5,FALSE())),"")</f>
        <v>0.6</v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/>
      <c r="H518" s="88" t="str">
        <f>IFERROR(IF($G518="","",$G518*$S$527/$G$527/Cadastro!$E$33),"")</f>
        <v/>
      </c>
      <c r="I518" s="90">
        <f>IFERROR(IF($D518="","",VLOOKUP($D518,Cadastro!$C$4:$G$7,5,FALSE())),"")</f>
        <v>0.6</v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/>
      <c r="H519" s="88" t="str">
        <f>IFERROR(IF($G519="","",$G519*$S$527/$G$527/Cadastro!$E$33),"")</f>
        <v/>
      </c>
      <c r="I519" s="90">
        <f>IFERROR(IF($D519="","",VLOOKUP($D519,Cadastro!$C$4:$G$7,5,FALSE())),"")</f>
        <v>0.6</v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/>
      <c r="H520" s="88" t="str">
        <f>IFERROR(IF($G520="","",$G520*$S$527/$G$527/Cadastro!$E$33),"")</f>
        <v/>
      </c>
      <c r="I520" s="90">
        <f>IFERROR(IF($D520="","",VLOOKUP($D520,Cadastro!$C$4:$G$7,5,FALSE())),"")</f>
        <v>0.6</v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12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50.400000000000006</v>
      </c>
      <c r="L527" s="72"/>
      <c r="M527" s="72"/>
      <c r="N527" s="72"/>
      <c r="O527" s="72"/>
      <c r="P527" s="72"/>
      <c r="Q527" s="73">
        <f ca="1">IFERROR(SUM(Q515:Q526),"")</f>
        <v>1.3194444444444453E-2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12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50.400000000000006</v>
      </c>
      <c r="L541" s="76"/>
      <c r="M541" s="76"/>
      <c r="N541" s="76"/>
      <c r="O541" s="76"/>
      <c r="P541" s="76"/>
      <c r="Q541" s="77">
        <f ca="1">IFERROR(Q527+Q540,"")</f>
        <v>1.3194444444444453E-2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96" activePane="bottomLeft" state="frozen"/>
      <selection pane="bottomLeft" activeCell="G516" sqref="G51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363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0</v>
      </c>
      <c r="K515" s="69" t="str">
        <f t="shared" ref="K515:K526" si="128">IF(G515="","",IF(E515="PC 17",G515*4.2,IF(E515="PC 19",G515*5,IF(E515="CB",G515*24,""))))</f>
        <v/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9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/>
      <c r="H516" s="88" t="str">
        <f>IFERROR(IF($G516="","",$G516*$S$527/$G$527/Cadastro!$E$33),"")</f>
        <v/>
      </c>
      <c r="I516" s="90">
        <f>IFERROR(IF($D516="","",VLOOKUP($D516,Cadastro!$C$4:$G$7,5,FALSE())),"")</f>
        <v>0.6</v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/>
      <c r="H517" s="88" t="str">
        <f>IFERROR(IF($G517="","",$G517*$S$527/$G$527/Cadastro!$E$33),"")</f>
        <v/>
      </c>
      <c r="I517" s="90">
        <f>IFERROR(IF($D517="","",VLOOKUP($D517,Cadastro!$C$4:$G$7,5,FALSE())),"")</f>
        <v>0.6</v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/>
      <c r="H518" s="88" t="str">
        <f>IFERROR(IF($G518="","",$G518*$S$527/$G$527/Cadastro!$E$33),"")</f>
        <v/>
      </c>
      <c r="I518" s="90">
        <f>IFERROR(IF($D518="","",VLOOKUP($D518,Cadastro!$C$4:$G$7,5,FALSE())),"")</f>
        <v>0.6</v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/>
      <c r="H519" s="88" t="str">
        <f>IFERROR(IF($G519="","",$G519*$S$527/$G$527/Cadastro!$E$33),"")</f>
        <v/>
      </c>
      <c r="I519" s="90">
        <f>IFERROR(IF($D519="","",VLOOKUP($D519,Cadastro!$C$4:$G$7,5,FALSE())),"")</f>
        <v>0.6</v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/>
      <c r="H520" s="88" t="str">
        <f>IFERROR(IF($G520="","",$G520*$S$527/$G$527/Cadastro!$E$33),"")</f>
        <v/>
      </c>
      <c r="I520" s="90">
        <f>IFERROR(IF($D520="","",VLOOKUP($D520,Cadastro!$C$4:$G$7,5,FALSE())),"")</f>
        <v>0.6</v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6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1.2500000000000011E-2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6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1.2500000000000011E-2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492" activePane="bottomLeft" state="frozen"/>
      <selection pane="bottomLeft" activeCell="G516" sqref="G51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364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365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366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367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368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369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370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371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372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373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374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375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377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378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379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380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381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382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383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384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385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386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387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388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389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390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391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392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393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394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395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396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397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391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398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399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66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/>
      <c r="H516" s="88" t="str">
        <f>IFERROR(IF($G516="","",$G516*$S$527/$G$527/Cadastro!$E$33),"")</f>
        <v/>
      </c>
      <c r="I516" s="90">
        <f>IFERROR(IF($D516="","",VLOOKUP($D516,Cadastro!$C$4:$G$7,5,FALSE())),"")</f>
        <v>0.6</v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/>
      <c r="H517" s="88" t="str">
        <f>IFERROR(IF($G517="","",$G517*$S$527/$G$527/Cadastro!$E$33),"")</f>
        <v/>
      </c>
      <c r="I517" s="90">
        <f>IFERROR(IF($D517="","",VLOOKUP($D517,Cadastro!$C$4:$G$7,5,FALSE())),"")</f>
        <v>0.6</v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/>
      <c r="H518" s="88" t="str">
        <f>IFERROR(IF($G518="","",$G518*$S$527/$G$527/Cadastro!$E$33),"")</f>
        <v/>
      </c>
      <c r="I518" s="90">
        <f>IFERROR(IF($D518="","",VLOOKUP($D518,Cadastro!$C$4:$G$7,5,FALSE())),"")</f>
        <v>0.6</v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/>
      <c r="H519" s="88" t="str">
        <f>IFERROR(IF($G519="","",$G519*$S$527/$G$527/Cadastro!$E$33),"")</f>
        <v/>
      </c>
      <c r="I519" s="90">
        <f>IFERROR(IF($D519="","",VLOOKUP($D519,Cadastro!$C$4:$G$7,5,FALSE())),"")</f>
        <v>0.6</v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/>
      <c r="H520" s="88" t="str">
        <f>IFERROR(IF($G520="","",$G520*$S$527/$G$527/Cadastro!$E$33),"")</f>
        <v/>
      </c>
      <c r="I520" s="90">
        <f>IFERROR(IF($D520="","",VLOOKUP($D520,Cadastro!$C$4:$G$7,5,FALSE())),"")</f>
        <v>0.6</v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13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54.6</v>
      </c>
      <c r="L527" s="72"/>
      <c r="M527" s="72"/>
      <c r="N527" s="72"/>
      <c r="O527" s="134"/>
      <c r="P527" s="134"/>
      <c r="Q527" s="73">
        <f ca="1">IFERROR(SUM(Q515:Q526),"")</f>
        <v>1.6666666666666663E-2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13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54.6</v>
      </c>
      <c r="L541" s="76"/>
      <c r="M541" s="76"/>
      <c r="N541" s="76"/>
      <c r="O541" s="135"/>
      <c r="P541" s="135"/>
      <c r="Q541" s="77">
        <f ca="1">IFERROR(Q527+Q540,"")</f>
        <v>1.6666666666666663E-2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2026-08-20T12:14:23Z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