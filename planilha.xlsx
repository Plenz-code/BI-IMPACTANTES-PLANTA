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31" documentId="8_{AF585B22-221D-4780-BB9C-493D365A6A02}" xr6:coauthVersionLast="47" xr6:coauthVersionMax="47" xr10:uidLastSave="{84DFB5A2-DBAE-4C8A-B4C5-E44C0308B4D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<sst xmlns="http://schemas.openxmlformats.org/spreadsheetml/2006/main" count="10725" uniqueCount="402">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</sst>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6" sqref="F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33</v>
      </c>
      <c r="G716" s="36">
        <f>SUM(G704:G715)</f>
        <v>165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33</v>
      </c>
      <c r="G730" s="40">
        <f>G716+G729</f>
        <v>165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4" activePane="bottomLeft" state="frozen"/>
      <selection pane="bottomLeft"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0.13509675925888587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0.29273564814777475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0.40245787036999692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0.1135689814836951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0.28440231481702849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0.42954120370591736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257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232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/>
      <c r="J704" s="26" t="s">
        <v>49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11</v>
      </c>
      <c r="G716" s="36">
        <f>SUM(G704:G715)</f>
        <v>46.2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11</v>
      </c>
      <c r="G730" s="40">
        <f>G716+G729</f>
        <v>46.2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H704" sqref="H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8</v>
      </c>
      <c r="G704" s="28">
        <f t="shared" ref="G704:G715" si="156">IF(F704="","",IF(E704="PC 17",F704*4.2,IF(E704="PC 19",F704*5,"")))</f>
        <v>33.6</v>
      </c>
      <c r="H704" s="26"/>
      <c r="I704" s="26"/>
      <c r="J704" s="26"/>
      <c r="K704" s="29">
        <v>0.35486111111111113</v>
      </c>
      <c r="L704" s="29"/>
      <c r="M704" s="30">
        <f t="shared" ref="M704:M715" ca="1" si="157">IFERROR(IF(K704="","",IF(L704="",MOD(NOW()-K704,1),IF(L704&gt;=K704,L704-K704,L704+1-K704))),"")</f>
        <v>1.9818981483695097E-2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33.6</v>
      </c>
      <c r="H716" s="37"/>
      <c r="I716" s="37"/>
      <c r="J716" s="37"/>
      <c r="K716" s="37"/>
      <c r="L716" s="37"/>
      <c r="M716" s="38">
        <f ca="1">IFERROR(SUM(M704:M715),"")</f>
        <v>1.9818981483695097E-2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33.6</v>
      </c>
      <c r="H730" s="41"/>
      <c r="I730" s="41"/>
      <c r="J730" s="41"/>
      <c r="K730" s="41"/>
      <c r="L730" s="41"/>
      <c r="M730" s="42">
        <f ca="1">IFERROR(M716+M729,"")</f>
        <v>1.9818981483695097E-2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05" sqref="J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0.1253745370413526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0.32468009259690822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0.69204120370801925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159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8.3013425930403173E-2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 t="s">
        <v>17</v>
      </c>
      <c r="I705" s="33" t="s">
        <v>137</v>
      </c>
      <c r="J705" s="33" t="s">
        <v>49</v>
      </c>
      <c r="K705" s="29">
        <v>0.35486111111111113</v>
      </c>
      <c r="L705" s="29"/>
      <c r="M705" s="35">
        <f t="shared" ca="1" si="157"/>
        <v>1.9818981483695097E-2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2</v>
      </c>
      <c r="G716" s="36">
        <f>SUM(G704:G715)</f>
        <v>8.4</v>
      </c>
      <c r="H716" s="37"/>
      <c r="I716" s="37"/>
      <c r="J716" s="37"/>
      <c r="K716" s="61"/>
      <c r="L716" s="61"/>
      <c r="M716" s="38">
        <f ca="1">IFERROR(SUM(M704:M715),"")</f>
        <v>0.10283240741409827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2</v>
      </c>
      <c r="G730" s="40">
        <f>G716+G729</f>
        <v>8.4</v>
      </c>
      <c r="H730" s="41"/>
      <c r="I730" s="41"/>
      <c r="J730" s="41"/>
      <c r="K730" s="63"/>
      <c r="L730" s="63"/>
      <c r="M730" s="42">
        <f ca="1">IFERROR(M716+M729,"")</f>
        <v>0.10283240741409827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