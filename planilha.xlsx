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09" documentId="13_ncr:1_{0A10D8D4-8450-4366-8075-B53B08E6B7EA}" xr6:coauthVersionLast="47" xr6:coauthVersionMax="47" xr10:uidLastSave="{BABA8C99-36A8-46D5-A4E1-8CFD06D18125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68" i="6" s="1"/>
  <c r="J468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7" i="5" l="1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<sst xmlns="http://schemas.openxmlformats.org/spreadsheetml/2006/main" count="7923" uniqueCount="374">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</sst>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9" sqref="F46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281</v>
      </c>
      <c r="G473" s="36">
        <f>SUM(G461:G472)</f>
        <v>1405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281</v>
      </c>
      <c r="G487" s="40">
        <f>G473+G486</f>
        <v>1405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33" activePane="bottomLeft" state="frozen"/>
      <selection pane="bottomLeft" activeCell="P465" sqref="P46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0.51945914351381361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0.65834803240270245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0.74307025462492482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135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567</v>
      </c>
      <c r="L473" s="37"/>
      <c r="M473" s="37"/>
      <c r="N473" s="37"/>
      <c r="O473" s="37"/>
      <c r="P473" s="37"/>
      <c r="Q473" s="38">
        <f ca="1">IFERROR(SUM(Q461:Q472),"")</f>
        <v>9.7916666666666652E-2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135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567</v>
      </c>
      <c r="L487" s="41"/>
      <c r="M487" s="41"/>
      <c r="N487" s="41"/>
      <c r="O487" s="41"/>
      <c r="P487" s="41"/>
      <c r="Q487" s="42">
        <f ca="1">IFERROR(Q473+Q486,"")</f>
        <v>9.7916666666666652E-2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9" sqref="G4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/>
      <c r="Q461" s="35">
        <f t="shared" ref="Q461:Q472" ca="1" si="114">IFERROR(IF(O461="","",IF(P461="",MOD(NOW()-O461,1),IF(P461&gt;=O461,P461-O461,P461+1-O461))),"")</f>
        <v>0.20834803240722977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0.20834803240722977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0.20834803240722977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9" sqref="G46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104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436.80000000000007</v>
      </c>
      <c r="L473" s="37"/>
      <c r="M473" s="37"/>
      <c r="N473" s="37"/>
      <c r="O473" s="61"/>
      <c r="P473" s="61"/>
      <c r="Q473" s="38">
        <f ca="1">IFERROR(SUM(Q461:Q472),"")</f>
        <v>0.26180555555555546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104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436.80000000000007</v>
      </c>
      <c r="L487" s="41"/>
      <c r="M487" s="41"/>
      <c r="N487" s="41"/>
      <c r="O487" s="63"/>
      <c r="P487" s="63"/>
      <c r="Q487" s="42">
        <f ca="1">IFERROR(Q473+Q486,"")</f>
        <v>0.26180555555555546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2026-08-18T19:23:35Z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