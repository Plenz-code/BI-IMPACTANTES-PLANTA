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53" documentId="8_{C51EB6CB-002B-4D6B-B68F-DDEBDB4460C0}" xr6:coauthVersionLast="47" xr6:coauthVersionMax="47" xr10:uidLastSave="{ED3888B6-10FC-43E9-8A9F-0CD1458D6659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<sst xmlns="http://schemas.openxmlformats.org/spreadsheetml/2006/main" count="3222" uniqueCount="277">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</sst>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20" activePane="bottomLeft" state="frozen"/>
      <selection pane="bottomLeft" activeCell="F138" sqref="F1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229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229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>
        <v>2875180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229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/>
      <c r="I137" s="33"/>
      <c r="J137" s="33"/>
      <c r="K137" s="29"/>
      <c r="L137" s="29">
        <v>0.32847222222222222</v>
      </c>
      <c r="M137" s="35" t="str">
        <f t="shared" ref="M137:M148" ca="1" si="31">IFERROR(IF(K137="","",IF(L137="",MOD(NOW()-K137,1),IF(L137&gt;=K137,L137-K137,L137+1-K137))),"")</f>
        <v/>
      </c>
      <c r="N137" s="27" t="s">
        <v>241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229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229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229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229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229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229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229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229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229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229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229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15</v>
      </c>
      <c r="G149" s="36">
        <f>SUM(G137:G148)</f>
        <v>75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15</v>
      </c>
      <c r="G163" s="40">
        <f>G149+G162</f>
        <v>75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12" t="s">
        <v>234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1" activePane="bottomLeft" state="frozen"/>
      <selection pane="bottomLeft" activeCell="J141" sqref="J1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0.22296157407254213</v>
      </c>
      <c r="N53" s="46" t="s">
        <v>251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0.36185046296143103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0.44657268518365334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242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242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242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242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242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242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242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242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253</v>
      </c>
      <c r="E83" s="59" t="s">
        <v>242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254</v>
      </c>
      <c r="M96" s="30" t="str">
        <f t="shared" ref="M96:M107" ca="1" si="22">IFERROR(IF(K96="","",IF(L96="",MOD(NOW()-K96,1),IF(L96&gt;=K96,L96-K96,L96+1-K96))),"")</f>
        <v/>
      </c>
      <c r="N96" s="46" t="s">
        <v>255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231</v>
      </c>
      <c r="O135" s="54">
        <v>756720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235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ref="G137:G148" si="32">IF(F138="","",IF(E138="PC 17",F138*4.2,IF(E138="PC 19",F138*5,IF(E138="CB",F138*24,""))))</f>
        <v/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2"/>
        <v/>
      </c>
      <c r="H139" s="33"/>
      <c r="I139" s="33"/>
      <c r="J139" s="33"/>
      <c r="K139" s="29"/>
      <c r="L139" s="29"/>
      <c r="M139" s="35" t="str">
        <f t="shared" ca="1" si="30"/>
        <v/>
      </c>
      <c r="N139" s="46"/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2"/>
        <v/>
      </c>
      <c r="H140" s="26"/>
      <c r="I140" s="26"/>
      <c r="J140" s="26"/>
      <c r="K140" s="29"/>
      <c r="L140" s="29"/>
      <c r="M140" s="30" t="str">
        <f t="shared" ca="1" si="30"/>
        <v/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2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46"/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21</v>
      </c>
      <c r="G149" s="36">
        <f>SUM(G137:G148)</f>
        <v>88.2</v>
      </c>
      <c r="H149" s="37"/>
      <c r="I149" s="37"/>
      <c r="J149" s="37"/>
      <c r="K149" s="37"/>
      <c r="L149" s="37"/>
      <c r="M149" s="38">
        <f ca="1">IFERROR(SUM(M137:M148),"")</f>
        <v>1.3194444444444453E-2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21</v>
      </c>
      <c r="G163" s="40">
        <f>G149+G162</f>
        <v>88.2</v>
      </c>
      <c r="H163" s="41"/>
      <c r="I163" s="41"/>
      <c r="J163" s="41"/>
      <c r="K163" s="41"/>
      <c r="L163" s="41"/>
      <c r="M163" s="42">
        <f ca="1">IFERROR(M149+M162,"")</f>
        <v>1.3194444444444453E-2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L138" sqref="L1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128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195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231</v>
      </c>
      <c r="O135" s="39">
        <v>416350</v>
      </c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235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267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3</v>
      </c>
      <c r="G149" s="36">
        <f>SUM(G137:G148)</f>
        <v>12.600000000000001</v>
      </c>
      <c r="H149" s="37"/>
      <c r="I149" s="37"/>
      <c r="J149" s="37"/>
      <c r="K149" s="37"/>
      <c r="L149" s="37"/>
      <c r="M149" s="38">
        <f ca="1">IFERROR(SUM(M137:M148),"")</f>
        <v>2.083333333333337E-2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3</v>
      </c>
      <c r="G163" s="40">
        <f>G149+G162</f>
        <v>12.600000000000001</v>
      </c>
      <c r="H163" s="41"/>
      <c r="I163" s="41"/>
      <c r="J163" s="41"/>
      <c r="K163" s="41"/>
      <c r="L163" s="41"/>
      <c r="M163" s="42">
        <f ca="1">IFERROR(M149+M162,"")</f>
        <v>2.083333333333337E-2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2" activePane="bottomLeft" state="frozen"/>
      <selection pane="bottomLeft" activeCell="J137" sqref="J1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242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242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242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242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242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242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242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242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242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242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242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242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242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242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242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242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242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242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242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242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242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242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242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242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242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242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242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242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242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242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242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242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242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242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242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242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242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242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242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242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242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242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242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242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242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242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242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242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127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259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242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242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242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242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242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231</v>
      </c>
      <c r="O135" s="39">
        <v>912240</v>
      </c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235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242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242</v>
      </c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22</v>
      </c>
      <c r="E139" s="62" t="s">
        <v>242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22</v>
      </c>
      <c r="E140" s="62" t="s">
        <v>242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22</v>
      </c>
      <c r="E141" s="62" t="s">
        <v>242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22</v>
      </c>
      <c r="E142" s="62" t="s">
        <v>242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22</v>
      </c>
      <c r="E143" s="62" t="s">
        <v>242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22</v>
      </c>
      <c r="E144" s="62" t="s">
        <v>242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22</v>
      </c>
      <c r="E145" s="62" t="s">
        <v>242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22</v>
      </c>
      <c r="E146" s="62" t="s">
        <v>242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22</v>
      </c>
      <c r="E147" s="62" t="s">
        <v>242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22</v>
      </c>
      <c r="E148" s="62" t="s">
        <v>242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230</v>
      </c>
      <c r="B149" s="88"/>
      <c r="C149" s="88"/>
      <c r="D149" s="88"/>
      <c r="E149" s="89">
        <f>SUM(E137:E148)</f>
        <v>0</v>
      </c>
      <c r="F149" s="36">
        <f>SUM(F137:F148)</f>
        <v>20</v>
      </c>
      <c r="G149" s="36">
        <f>SUM(G137:G148)</f>
        <v>84</v>
      </c>
      <c r="H149" s="37"/>
      <c r="I149" s="37"/>
      <c r="J149" s="37"/>
      <c r="K149" s="61"/>
      <c r="L149" s="61"/>
      <c r="M149" s="38">
        <f ca="1">IFERROR(SUM(M137:M148),"")</f>
        <v>1.041666666666663E-2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20</v>
      </c>
      <c r="G163" s="40">
        <f>G149+G162</f>
        <v>84</v>
      </c>
      <c r="H163" s="41"/>
      <c r="I163" s="41"/>
      <c r="J163" s="41"/>
      <c r="K163" s="63"/>
      <c r="L163" s="63"/>
      <c r="M163" s="42">
        <f ca="1">IFERROR(M149+M162,"")</f>
        <v>1.041666666666663E-2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2026-08-06T12:16:48Z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