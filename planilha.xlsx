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92" documentId="13_ncr:1_{0A10D8D4-8450-4366-8075-B53B08E6B7EA}" xr6:coauthVersionLast="47" xr6:coauthVersionMax="47" xr10:uidLastSave="{04A2AF9E-7F6B-40D6-89BA-80A81C81C17C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61" i="5" s="1"/>
  <c r="J361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61" i="4" s="1"/>
  <c r="J361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0" i="6" l="1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<sst xmlns="http://schemas.openxmlformats.org/spreadsheetml/2006/main" count="6362" uniqueCount="347">
  <si>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</si>
  <si>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</si>
  <si>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</si>
  <si>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</si>
  <si>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</si>
  <si>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</si>
  <si>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</si>
  <si>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</si>
  <si>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</si>
  <si>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</si>
  <si>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</si>
  <si>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</si>
  <si>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</si>
  <si>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</si>
  <si>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</si>
  <si>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</si>
  <si>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</si>
  <si>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</si>
  <si>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</si>
  <si>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</si>
  <si>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</si>
  <si>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</si>
  <si>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</si>
  <si>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</si>
  <si>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</si>
  <si>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</si>
  <si>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</si>
  <si>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</si>
  <si>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</si>
  <si>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</si>
  <si>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</si>
  <si>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</si>
  <si>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</si>
  <si>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</si>
  <si>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</si>
  <si>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</si>
  <si>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</si>
  <si>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</si>
  <si>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</si>
  <si>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</si>
  <si>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</si>
  <si>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</si>
  <si>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</si>
  <si>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</si>
  <si>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</si>
  <si>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</si>
  <si>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</si>
  <si>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</si>
  <si>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</si>
  <si>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</si>
  <si>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</si>
  <si>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</si>
  <si>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</si>
  <si>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</si>
  <si>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</si>
  <si>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</si>
  <si>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</si>
  <si>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</si>
  <si>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</si>
  <si>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</si>
  <si>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</si>
  <si>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</si>
  <si>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</si>
  <si>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</si>
  <si>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</si>
  <si>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</si>
  <si>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</si>
  <si>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</si>
  <si>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</si>
  <si>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</si>
  <si>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</si>
  <si>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</si>
  <si>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</si>
  <si>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</si>
  <si>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</si>
  <si>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</si>
  <si>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</si>
  <si>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</si>
  <si>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</si>
  <si>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</si>
  <si>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</si>
  <si>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</si>
  <si>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</si>
  <si>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</si>
  <si>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</si>
  <si>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</si>
  <si>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</si>
  <si>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</si>
  <si>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</si>
  <si>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</si>
  <si>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</si>
  <si>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</si>
  <si>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</si>
  <si>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</si>
  <si>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</si>
  <si>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</si>
  <si>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</si>
  <si>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</si>
  <si>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</si>
  <si>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</si>
  <si>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</si>
  <si>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</si>
  <si>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</si>
  <si>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</si>
  <si>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</si>
  <si>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</si>
  <si>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</si>
  <si>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</si>
  <si>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</si>
  <si>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</si>
  <si>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</si>
  <si>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</si>
  <si>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</si>
  <si>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</si>
  <si>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</si>
  <si>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</si>
  <si>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</si>
  <si>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</si>
  <si>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</si>
  <si>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</si>
  <si>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</si>
  <si>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</si>
  <si>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</si>
  <si>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</si>
  <si>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</si>
  <si>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</si>
  <si>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</si>
  <si>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</si>
  <si>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</si>
  <si>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</si>
  <si>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</si>
  <si>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</si>
  <si>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</si>
  <si>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</si>
  <si>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</si>
  <si>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</si>
  <si>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</si>
  <si>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</si>
  <si>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</si>
  <si>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</si>
  <si>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</si>
  <si>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</si>
  <si>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</si>
  <si>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</si>
  <si>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</si>
  <si>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</si>
  <si>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</si>
  <si>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</si>
  <si>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</si>
  <si>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</si>
  <si>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</si>
  <si>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</si>
  <si>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</si>
  <si>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</si>
  <si>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</si>
  <si>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</si>
  <si>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</si>
  <si>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</si>
  <si>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</si>
  <si>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</si>
  <si>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</si>
  <si>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</si>
  <si>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</si>
  <si>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</si>
  <si>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</si>
  <si>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</si>
  <si>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</si>
  <si>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</si>
  <si>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</si>
  <si>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</si>
  <si>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</si>
  <si>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</si>
  <si>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</si>
  <si>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</si>
  <si>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</si>
  <si>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</si>
  <si>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</si>
  <si>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</si>
  <si>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</si>
  <si>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</si>
  <si>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</si>
  <si>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</si>
  <si>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</si>
  <si>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</si>
  <si>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</si>
  <si>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</si>
  <si>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</si>
  <si>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</si>
  <si>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</si>
  <si>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</si>
  <si>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</si>
  <si>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</si>
  <si>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</si>
  <si>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</si>
  <si>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</si>
  <si>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</si>
  <si>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</si>
  <si>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</si>
  <si>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</si>
  <si>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</si>
  <si>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</si>
  <si>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</si>
  <si>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</si>
  <si>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</si>
  <si>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</si>
  <si>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</si>
  <si>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</si>
  <si>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</si>
  <si>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</si>
  <si>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</si>
  <si>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</si>
  <si>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</si>
  <si>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</si>
  <si>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</si>
  <si>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</si>
  <si>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</si>
  <si>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</si>
  <si>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</si>
  <si>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</si>
  <si>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</si>
  <si>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</si>
  <si>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</si>
  <si>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</si>
  <si>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</si>
  <si>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</si>
  <si>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</si>
  <si>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</si>
  <si>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</si>
  <si>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</si>
  <si>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</si>
  <si>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</si>
  <si>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</si>
  <si>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</si>
  <si>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</si>
  <si>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</si>
  <si>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</si>
  <si>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</si>
  <si>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</si>
  <si>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</si>
  <si>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</si>
  <si>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</si>
  <si>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</si>
  <si>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</si>
  <si>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</si>
  <si>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</si>
  <si>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</si>
  <si>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</si>
  <si>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</si>
  <si>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</si>
  <si>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</si>
  <si>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</si>
  <si>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</si>
  <si>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</si>
  <si>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</si>
  <si>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</si>
  <si>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</si>
  <si>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</si>
  <si>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</si>
  <si>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</si>
  <si>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</si>
  <si>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</si>
  <si>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</si>
  <si>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</si>
  <si>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</si>
  <si>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</si>
  <si>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</si>
  <si>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</si>
  <si>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</si>
  <si>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</si>
  <si>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</si>
  <si>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</si>
  <si>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</si>
  <si>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</si>
  <si>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</si>
  <si>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</si>
  <si>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</si>
  <si>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</si>
  <si>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</si>
  <si>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</si>
  <si>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</si>
  <si>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</si>
  <si>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</si>
  <si>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</si>
  <si>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</si>
  <si>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</si>
  <si>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</si>
  <si>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</si>
  <si>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</si>
  <si>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</si>
  <si>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</si>
  <si>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</si>
  <si>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</si>
  <si>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</si>
  <si>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</si>
  <si>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</si>
  <si>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</si>
  <si>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</si>
  <si>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</si>
  <si>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</si>
  <si>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</si>
  <si>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</si>
  <si>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</si>
  <si>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</si>
  <si>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</si>
  <si>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</si>
  <si>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</si>
  <si>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</si>
  <si>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</si>
  <si>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</si>
  <si>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</si>
  <si>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</si>
  <si>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</si>
  <si>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</si>
  <si>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</si>
  <si>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</si>
  <si>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</si>
  <si>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</si>
  <si>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</si>
  <si>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15;44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</si>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</sst>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2" sqref="F36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244</v>
      </c>
      <c r="B14" s="161"/>
      <c r="C14" s="161"/>
      <c r="D14" s="161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247</v>
      </c>
      <c r="B27" s="161"/>
      <c r="C27" s="161"/>
      <c r="D27" s="161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58" t="s">
        <v>248</v>
      </c>
      <c r="B28" s="159"/>
      <c r="C28" s="159"/>
      <c r="D28" s="159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244</v>
      </c>
      <c r="B41" s="161"/>
      <c r="C41" s="161"/>
      <c r="D41" s="161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247</v>
      </c>
      <c r="B54" s="161"/>
      <c r="C54" s="161"/>
      <c r="D54" s="161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58" t="s">
        <v>248</v>
      </c>
      <c r="B55" s="159"/>
      <c r="C55" s="159"/>
      <c r="D55" s="159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244</v>
      </c>
      <c r="B68" s="161"/>
      <c r="C68" s="161"/>
      <c r="D68" s="161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247</v>
      </c>
      <c r="B81" s="161"/>
      <c r="C81" s="161"/>
      <c r="D81" s="161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58" t="s">
        <v>248</v>
      </c>
      <c r="B82" s="159"/>
      <c r="C82" s="159"/>
      <c r="D82" s="159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244</v>
      </c>
      <c r="B95" s="161"/>
      <c r="C95" s="161"/>
      <c r="D95" s="161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247</v>
      </c>
      <c r="B108" s="161"/>
      <c r="C108" s="161"/>
      <c r="D108" s="161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58" t="s">
        <v>248</v>
      </c>
      <c r="B109" s="159"/>
      <c r="C109" s="159"/>
      <c r="D109" s="159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244</v>
      </c>
      <c r="B122" s="161"/>
      <c r="C122" s="161"/>
      <c r="D122" s="161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247</v>
      </c>
      <c r="B135" s="161"/>
      <c r="C135" s="161"/>
      <c r="D135" s="161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58" t="s">
        <v>248</v>
      </c>
      <c r="B136" s="159"/>
      <c r="C136" s="159"/>
      <c r="D136" s="159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244</v>
      </c>
      <c r="B149" s="161"/>
      <c r="C149" s="161"/>
      <c r="D149" s="161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247</v>
      </c>
      <c r="B162" s="161"/>
      <c r="C162" s="161"/>
      <c r="D162" s="161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58" t="s">
        <v>248</v>
      </c>
      <c r="B163" s="159"/>
      <c r="C163" s="159"/>
      <c r="D163" s="159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244</v>
      </c>
      <c r="B176" s="161"/>
      <c r="C176" s="161"/>
      <c r="D176" s="161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247</v>
      </c>
      <c r="B189" s="161"/>
      <c r="C189" s="161"/>
      <c r="D189" s="161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58" t="s">
        <v>248</v>
      </c>
      <c r="B190" s="159"/>
      <c r="C190" s="159"/>
      <c r="D190" s="159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244</v>
      </c>
      <c r="B203" s="161"/>
      <c r="C203" s="161"/>
      <c r="D203" s="161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247</v>
      </c>
      <c r="B216" s="161"/>
      <c r="C216" s="161"/>
      <c r="D216" s="161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58" t="s">
        <v>248</v>
      </c>
      <c r="B217" s="159"/>
      <c r="C217" s="159"/>
      <c r="D217" s="159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247</v>
      </c>
      <c r="B243" s="161"/>
      <c r="C243" s="161"/>
      <c r="D243" s="161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58" t="s">
        <v>248</v>
      </c>
      <c r="B244" s="159"/>
      <c r="C244" s="159"/>
      <c r="D244" s="159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244</v>
      </c>
      <c r="B257" s="161"/>
      <c r="C257" s="161"/>
      <c r="D257" s="161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247</v>
      </c>
      <c r="B270" s="161"/>
      <c r="C270" s="161"/>
      <c r="D270" s="161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58" t="s">
        <v>248</v>
      </c>
      <c r="B271" s="159"/>
      <c r="C271" s="159"/>
      <c r="D271" s="159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244</v>
      </c>
      <c r="B284" s="161"/>
      <c r="C284" s="161"/>
      <c r="D284" s="161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247</v>
      </c>
      <c r="B297" s="161"/>
      <c r="C297" s="161"/>
      <c r="D297" s="161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58" t="s">
        <v>248</v>
      </c>
      <c r="B298" s="159"/>
      <c r="C298" s="159"/>
      <c r="D298" s="159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244</v>
      </c>
      <c r="B311" s="161"/>
      <c r="C311" s="161"/>
      <c r="D311" s="161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247</v>
      </c>
      <c r="B324" s="161"/>
      <c r="C324" s="161"/>
      <c r="D324" s="161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58" t="s">
        <v>248</v>
      </c>
      <c r="B325" s="159"/>
      <c r="C325" s="159"/>
      <c r="D325" s="159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244</v>
      </c>
      <c r="B338" s="161"/>
      <c r="C338" s="161"/>
      <c r="D338" s="161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247</v>
      </c>
      <c r="B351" s="161"/>
      <c r="C351" s="161"/>
      <c r="D351" s="161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58" t="s">
        <v>248</v>
      </c>
      <c r="B352" s="159"/>
      <c r="C352" s="159"/>
      <c r="D352" s="159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244</v>
      </c>
      <c r="B365" s="161"/>
      <c r="C365" s="161"/>
      <c r="D365" s="161"/>
      <c r="E365" s="176">
        <f>SUM(E353:E364)</f>
        <v>0</v>
      </c>
      <c r="F365" s="36">
        <f>SUM(F353:F364)</f>
        <v>299</v>
      </c>
      <c r="G365" s="36">
        <f>SUM(G353:G364)</f>
        <v>1461.4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247</v>
      </c>
      <c r="B378" s="161"/>
      <c r="C378" s="161"/>
      <c r="D378" s="161"/>
      <c r="E378" s="17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58" t="s">
        <v>248</v>
      </c>
      <c r="B379" s="159"/>
      <c r="C379" s="159"/>
      <c r="D379" s="159"/>
      <c r="E379" s="175">
        <f>E365+E378</f>
        <v>0</v>
      </c>
      <c r="F379" s="40">
        <f>F365+F378</f>
        <v>299</v>
      </c>
      <c r="G379" s="40">
        <f>G365+G378</f>
        <v>1461.4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244</v>
      </c>
      <c r="B392" s="161"/>
      <c r="C392" s="161"/>
      <c r="D392" s="161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247</v>
      </c>
      <c r="B405" s="161"/>
      <c r="C405" s="161"/>
      <c r="D405" s="161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58" t="s">
        <v>248</v>
      </c>
      <c r="B406" s="159"/>
      <c r="C406" s="159"/>
      <c r="D406" s="159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244</v>
      </c>
      <c r="B419" s="161"/>
      <c r="C419" s="161"/>
      <c r="D419" s="161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247</v>
      </c>
      <c r="B432" s="161"/>
      <c r="C432" s="161"/>
      <c r="D432" s="161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58" t="s">
        <v>248</v>
      </c>
      <c r="B433" s="159"/>
      <c r="C433" s="159"/>
      <c r="D433" s="159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244</v>
      </c>
      <c r="B446" s="161"/>
      <c r="C446" s="161"/>
      <c r="D446" s="161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247</v>
      </c>
      <c r="B459" s="161"/>
      <c r="C459" s="161"/>
      <c r="D459" s="161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58" t="s">
        <v>248</v>
      </c>
      <c r="B460" s="159"/>
      <c r="C460" s="159"/>
      <c r="D460" s="159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0" t="s">
        <v>244</v>
      </c>
      <c r="B473" s="161"/>
      <c r="C473" s="161"/>
      <c r="D473" s="161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0" t="s">
        <v>247</v>
      </c>
      <c r="B486" s="161"/>
      <c r="C486" s="161"/>
      <c r="D486" s="161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58" t="s">
        <v>248</v>
      </c>
      <c r="B487" s="159"/>
      <c r="C487" s="159"/>
      <c r="D487" s="159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0" t="s">
        <v>244</v>
      </c>
      <c r="B500" s="161"/>
      <c r="C500" s="161"/>
      <c r="D500" s="161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0" t="s">
        <v>247</v>
      </c>
      <c r="B513" s="161"/>
      <c r="C513" s="161"/>
      <c r="D513" s="161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58" t="s">
        <v>248</v>
      </c>
      <c r="B514" s="159"/>
      <c r="C514" s="159"/>
      <c r="D514" s="159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0" t="s">
        <v>244</v>
      </c>
      <c r="B527" s="161"/>
      <c r="C527" s="161"/>
      <c r="D527" s="161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0" t="s">
        <v>247</v>
      </c>
      <c r="B540" s="161"/>
      <c r="C540" s="161"/>
      <c r="D540" s="161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58" t="s">
        <v>248</v>
      </c>
      <c r="B541" s="159"/>
      <c r="C541" s="159"/>
      <c r="D541" s="159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0" t="s">
        <v>244</v>
      </c>
      <c r="B554" s="161"/>
      <c r="C554" s="161"/>
      <c r="D554" s="161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0" t="s">
        <v>247</v>
      </c>
      <c r="B567" s="161"/>
      <c r="C567" s="161"/>
      <c r="D567" s="161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58" t="s">
        <v>248</v>
      </c>
      <c r="B568" s="159"/>
      <c r="C568" s="159"/>
      <c r="D568" s="159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0" t="s">
        <v>244</v>
      </c>
      <c r="B581" s="161"/>
      <c r="C581" s="161"/>
      <c r="D581" s="161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0" t="s">
        <v>247</v>
      </c>
      <c r="B594" s="161"/>
      <c r="C594" s="161"/>
      <c r="D594" s="161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58" t="s">
        <v>248</v>
      </c>
      <c r="B595" s="159"/>
      <c r="C595" s="159"/>
      <c r="D595" s="159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0" t="s">
        <v>244</v>
      </c>
      <c r="B608" s="161"/>
      <c r="C608" s="161"/>
      <c r="D608" s="161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0" t="s">
        <v>247</v>
      </c>
      <c r="B621" s="161"/>
      <c r="C621" s="161"/>
      <c r="D621" s="161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58" t="s">
        <v>248</v>
      </c>
      <c r="B622" s="159"/>
      <c r="C622" s="159"/>
      <c r="D622" s="159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0" t="s">
        <v>244</v>
      </c>
      <c r="B635" s="161"/>
      <c r="C635" s="161"/>
      <c r="D635" s="161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0" t="s">
        <v>247</v>
      </c>
      <c r="B648" s="161"/>
      <c r="C648" s="161"/>
      <c r="D648" s="161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58" t="s">
        <v>248</v>
      </c>
      <c r="B649" s="159"/>
      <c r="C649" s="159"/>
      <c r="D649" s="159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0" t="s">
        <v>244</v>
      </c>
      <c r="B662" s="161"/>
      <c r="C662" s="161"/>
      <c r="D662" s="161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0" t="s">
        <v>247</v>
      </c>
      <c r="B675" s="161"/>
      <c r="C675" s="161"/>
      <c r="D675" s="161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58" t="s">
        <v>248</v>
      </c>
      <c r="B676" s="159"/>
      <c r="C676" s="159"/>
      <c r="D676" s="159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0" t="s">
        <v>244</v>
      </c>
      <c r="B689" s="161"/>
      <c r="C689" s="161"/>
      <c r="D689" s="161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0" t="s">
        <v>247</v>
      </c>
      <c r="B702" s="161"/>
      <c r="C702" s="161"/>
      <c r="D702" s="161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58" t="s">
        <v>248</v>
      </c>
      <c r="B703" s="159"/>
      <c r="C703" s="159"/>
      <c r="D703" s="159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0" t="s">
        <v>244</v>
      </c>
      <c r="B716" s="161"/>
      <c r="C716" s="161"/>
      <c r="D716" s="161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0" t="s">
        <v>247</v>
      </c>
      <c r="B729" s="161"/>
      <c r="C729" s="161"/>
      <c r="D729" s="161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58" t="s">
        <v>248</v>
      </c>
      <c r="B730" s="159"/>
      <c r="C730" s="159"/>
      <c r="D730" s="159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0" t="s">
        <v>244</v>
      </c>
      <c r="B743" s="161"/>
      <c r="C743" s="161"/>
      <c r="D743" s="161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0" t="s">
        <v>247</v>
      </c>
      <c r="B756" s="161"/>
      <c r="C756" s="161"/>
      <c r="D756" s="161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58" t="s">
        <v>248</v>
      </c>
      <c r="B757" s="159"/>
      <c r="C757" s="159"/>
      <c r="D757" s="159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0" t="s">
        <v>244</v>
      </c>
      <c r="B770" s="161"/>
      <c r="C770" s="161"/>
      <c r="D770" s="161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0" t="s">
        <v>247</v>
      </c>
      <c r="B783" s="161"/>
      <c r="C783" s="161"/>
      <c r="D783" s="161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58" t="s">
        <v>248</v>
      </c>
      <c r="B784" s="159"/>
      <c r="C784" s="159"/>
      <c r="D784" s="159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0" t="s">
        <v>244</v>
      </c>
      <c r="B797" s="161"/>
      <c r="C797" s="161"/>
      <c r="D797" s="161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0" t="s">
        <v>247</v>
      </c>
      <c r="B810" s="161"/>
      <c r="C810" s="161"/>
      <c r="D810" s="161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0" t="s">
        <v>244</v>
      </c>
      <c r="B824" s="161"/>
      <c r="C824" s="161"/>
      <c r="D824" s="161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0" t="s">
        <v>247</v>
      </c>
      <c r="B837" s="161"/>
      <c r="C837" s="161"/>
      <c r="D837" s="161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58" t="s">
        <v>248</v>
      </c>
      <c r="B838" s="159"/>
      <c r="C838" s="159"/>
      <c r="D838" s="159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P358" sqref="P3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244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247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58" t="s">
        <v>248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244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0.61604363425431075</v>
      </c>
      <c r="R53" s="46" t="s">
        <v>279</v>
      </c>
      <c r="S53" s="31"/>
    </row>
    <row r="54" spans="1:20" ht="15.75" customHeight="1" thickBot="1">
      <c r="A54" s="160" t="s">
        <v>247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0.75493252314319959</v>
      </c>
      <c r="R54" s="36" t="s">
        <v>245</v>
      </c>
      <c r="S54" s="75">
        <v>352430</v>
      </c>
      <c r="T54" s="117"/>
    </row>
    <row r="55" spans="1:20" ht="18" customHeight="1">
      <c r="A55" s="158" t="s">
        <v>248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0.83965474536542195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244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247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58" t="s">
        <v>248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244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247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58" t="s">
        <v>248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244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247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58" t="s">
        <v>248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244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247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58" t="s">
        <v>248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244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247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58" t="s">
        <v>248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244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247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58" t="s">
        <v>248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247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58" t="s">
        <v>248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244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247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58" t="s">
        <v>248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244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247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58" t="s">
        <v>248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244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247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58" t="s">
        <v>248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244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247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58" t="s">
        <v>248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11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46.2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244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99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415.8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247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58" t="s">
        <v>248</v>
      </c>
      <c r="B379" s="159"/>
      <c r="C379" s="159"/>
      <c r="D379" s="159"/>
      <c r="E379" s="159">
        <f>E365+E378</f>
        <v>0</v>
      </c>
      <c r="F379" s="112"/>
      <c r="G379" s="91">
        <f>G365+G378</f>
        <v>99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415.8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244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247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58" t="s">
        <v>248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244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244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247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58" t="s">
        <v>248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244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247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58" t="s">
        <v>248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244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244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247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58" t="s">
        <v>248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244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247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58" t="s">
        <v>248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244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247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58" t="s">
        <v>248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244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247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58" t="s">
        <v>248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244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247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58" t="s">
        <v>248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244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247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58" t="s">
        <v>248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244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247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58" t="s">
        <v>248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244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247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58" t="s">
        <v>248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244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247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58" t="s">
        <v>248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244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247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58" t="s">
        <v>248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244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247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58" t="s">
        <v>248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244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247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58" t="s">
        <v>248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58" sqref="O3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244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247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58" t="s">
        <v>248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244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247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58" t="s">
        <v>248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244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247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58" t="s">
        <v>248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244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247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58" t="s">
        <v>248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244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247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58" t="s">
        <v>248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244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247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58" t="s">
        <v>248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244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247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58" t="s">
        <v>248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244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247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58" t="s">
        <v>248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244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247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58" t="s">
        <v>248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244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247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58" t="s">
        <v>248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244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247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58" t="s">
        <v>248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244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247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58" t="s">
        <v>248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244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247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58" t="s">
        <v>248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144</v>
      </c>
      <c r="O357" s="29" t="s">
        <v>318</v>
      </c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244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74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310.80000000000007</v>
      </c>
      <c r="L365" s="37"/>
      <c r="M365" s="37"/>
      <c r="N365" s="37"/>
      <c r="O365" s="37"/>
      <c r="P365" s="37"/>
      <c r="Q365" s="38">
        <f ca="1">IFERROR(SUM(Q353:Q364),"")</f>
        <v>5.9027777777777735E-2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247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58" t="s">
        <v>248</v>
      </c>
      <c r="B379" s="159"/>
      <c r="C379" s="159"/>
      <c r="D379" s="159"/>
      <c r="E379" s="159">
        <f>E365+E378</f>
        <v>0</v>
      </c>
      <c r="F379" s="112"/>
      <c r="G379" s="91">
        <f>G365+G378</f>
        <v>74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310.80000000000007</v>
      </c>
      <c r="L379" s="41"/>
      <c r="M379" s="41"/>
      <c r="N379" s="41"/>
      <c r="O379" s="41"/>
      <c r="P379" s="41"/>
      <c r="Q379" s="42">
        <f ca="1">IFERROR(Q365+Q378,"")</f>
        <v>5.9027777777777735E-2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244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247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58" t="s">
        <v>248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244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247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58" t="s">
        <v>248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244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247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58" t="s">
        <v>248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244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247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58" t="s">
        <v>248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244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247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58" t="s">
        <v>248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244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247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58" t="s">
        <v>248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244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247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58" t="s">
        <v>248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244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247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58" t="s">
        <v>248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244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247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58" t="s">
        <v>248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244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247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58" t="s">
        <v>248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244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247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58" t="s">
        <v>248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244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247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58" t="s">
        <v>248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244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247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58" t="s">
        <v>248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244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247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58" t="s">
        <v>248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244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247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58" t="s">
        <v>248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244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247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58" t="s">
        <v>248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244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247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58" t="s">
        <v>248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P359" sqref="P35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244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247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58" t="s">
        <v>248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244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247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58" t="s">
        <v>248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244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247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58" t="s">
        <v>248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244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247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58" t="s">
        <v>248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244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247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58" t="s">
        <v>248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247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58" t="s">
        <v>248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244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247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58" t="s">
        <v>248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244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247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58" t="s">
        <v>248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244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247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58" t="s">
        <v>248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244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247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58" t="s">
        <v>248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244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247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58" t="s">
        <v>248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244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247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58" t="s">
        <v>248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244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247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58" t="s">
        <v>248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163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684.6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247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58" t="s">
        <v>248</v>
      </c>
      <c r="B379" s="159"/>
      <c r="C379" s="159"/>
      <c r="D379" s="159"/>
      <c r="E379" s="159">
        <f>E365+E378</f>
        <v>0</v>
      </c>
      <c r="F379" s="112"/>
      <c r="G379" s="91">
        <f>G365+G378</f>
        <v>163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684.6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244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247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58" t="s">
        <v>248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244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247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58" t="s">
        <v>248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244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247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58" t="s">
        <v>248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244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247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58" t="s">
        <v>248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244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247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58" t="s">
        <v>248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244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247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58" t="s">
        <v>248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244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247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58" t="s">
        <v>248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244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247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58" t="s">
        <v>248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244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247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58" t="s">
        <v>248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244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247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58" t="s">
        <v>248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244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247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58" t="s">
        <v>248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244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247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58" t="s">
        <v>248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244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247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58" t="s">
        <v>248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244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247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58" t="s">
        <v>248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244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247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58" t="s">
        <v>248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244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247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58" t="s">
        <v>248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244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247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58" t="s">
        <v>248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2026-08-14T21:43:38Z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