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168" documentId="8_{C51EB6CB-002B-4D6B-B68F-DDEBDB4460C0}" xr6:coauthVersionLast="47" xr6:coauthVersionMax="47" xr10:uidLastSave="{1500864D-A8D4-4DE1-AC2F-B4D33DC04035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<sst xmlns="http://schemas.openxmlformats.org/spreadsheetml/2006/main" count="4315" uniqueCount="305">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</sst>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1392300</v>
      </c>
      <c r="D11" s="11">
        <f>IFERROR('Linha 1'!O217,"")</f>
        <v>601390</v>
      </c>
      <c r="E11" s="11">
        <f>IFERROR('Linha 2'!O217,"")</f>
        <v>92510</v>
      </c>
      <c r="F11" s="11">
        <f>IFERROR('Linha 3'!O217,"")</f>
        <v>790070</v>
      </c>
      <c r="G11" s="12">
        <f t="shared" si="0"/>
        <v>1483970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25428585</v>
      </c>
      <c r="D35" s="13">
        <f>IFERROR(SUM(D4:D34),"")</f>
        <v>7714120</v>
      </c>
      <c r="E35" s="13">
        <f>IFERROR(SUM(E4:E34),"")</f>
        <v>3728860</v>
      </c>
      <c r="F35" s="13">
        <f>IFERROR(SUM(F4:F34),"")</f>
        <v>10241570</v>
      </c>
      <c r="G35" s="13">
        <f>IFERROR(SUM(G4:G34),"")</f>
        <v>21684550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189" activePane="bottomLeft" state="frozen"/>
      <selection pane="bottomLeft" activeCell="F215" sqref="F21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7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380</v>
      </c>
      <c r="G216" s="36">
        <f>SUM(G204:G215)</f>
        <v>1900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631</v>
      </c>
      <c r="G217" s="40">
        <f>G203+G216</f>
        <v>3155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1392300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77" activePane="bottomLeft" state="frozen"/>
      <selection pane="bottomLeft" activeCell="F215" sqref="F21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0.12856631944305263</v>
      </c>
      <c r="N53" s="46" t="s">
        <v>259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0.26745520833194153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0.35217743055416384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132</v>
      </c>
      <c r="G216" s="36">
        <f>SUM(G204:G215)</f>
        <v>554.39999999999986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265</v>
      </c>
      <c r="G217" s="40">
        <f>G203+G216</f>
        <v>1113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601390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76" zoomScale="50" zoomScaleNormal="50" workbookViewId="0">
      <selection activeCell="F215" sqref="F21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285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43</v>
      </c>
      <c r="G216" s="36">
        <f>SUM(G204:G215)</f>
        <v>180.6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58</v>
      </c>
      <c r="G217" s="40">
        <f>G203+G216</f>
        <v>243.6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92510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74" activePane="bottomLeft" state="frozen"/>
      <selection pane="bottomLeft" activeCell="F215" sqref="F21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303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304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124</v>
      </c>
      <c r="G216" s="36">
        <f>SUM(G204:G215)</f>
        <v>518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285</v>
      </c>
      <c r="G217" s="40">
        <f>G203+G216</f>
        <v>1194.2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790070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2026-08-09T10:00:27Z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