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63" documentId="8_{AF585B22-221D-4780-BB9C-493D365A6A02}" xr6:coauthVersionLast="47" xr6:coauthVersionMax="47" xr10:uidLastSave="{3B584DCC-2AB2-475E-8C33-E2521C754CDF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<sst xmlns="http://schemas.openxmlformats.org/spreadsheetml/2006/main" count="12582" uniqueCount="445">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</sst>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3" sqref="F8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194</v>
      </c>
      <c r="G837" s="109">
        <f>SUM(G825:G836)</f>
        <v>970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327</v>
      </c>
      <c r="G838" s="111">
        <f>G824+G837</f>
        <v>970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11" activePane="bottomLeft" state="frozen"/>
      <selection pane="bottomLeft" activeCell="J832" sqref="J8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0.91396898147650063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1.0716078703653895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1.1813300925876118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0.89244120370130986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1.0632745370346433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1.2084134259235322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/>
      <c r="M832" s="78">
        <f ca="1">IFERROR(IF(K832="","",IF(L832="",MOD(NOW()-K832,1),IF(L832&gt;=K832,L832-K832,L832+1-K832))),"")</f>
        <v>7.745370312477462E-4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160</v>
      </c>
      <c r="G837" s="109">
        <f>SUM(G825:G836)</f>
        <v>684.80000000000007</v>
      </c>
      <c r="H837" s="37"/>
      <c r="I837" s="37"/>
      <c r="J837" s="37"/>
      <c r="K837" s="37"/>
      <c r="L837" s="37"/>
      <c r="M837" s="110">
        <f ca="1">IFERROR(SUM(M825:M836),"")</f>
        <v>4.9385648142358782E-2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329</v>
      </c>
      <c r="G838" s="111">
        <f>G824+G837</f>
        <v>1394.6000000000001</v>
      </c>
      <c r="H838" s="41"/>
      <c r="I838" s="41"/>
      <c r="J838" s="41"/>
      <c r="K838" s="41"/>
      <c r="L838" s="41"/>
      <c r="M838" s="112">
        <f ca="1">IFERROR(M824+M837,"")</f>
        <v>0.15424675925346992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H834" sqref="H8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106</v>
      </c>
      <c r="G837" s="109">
        <f>SUM(G825:G836)</f>
        <v>454</v>
      </c>
      <c r="H837" s="37"/>
      <c r="I837" s="37"/>
      <c r="J837" s="37"/>
      <c r="K837" s="37"/>
      <c r="L837" s="37"/>
      <c r="M837" s="110">
        <f ca="1">IFERROR(SUM(M825:M836),"")</f>
        <v>2.0833333333333259E-3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201</v>
      </c>
      <c r="G838" s="111">
        <f>G824+G837</f>
        <v>853</v>
      </c>
      <c r="H838" s="41"/>
      <c r="I838" s="41"/>
      <c r="J838" s="41"/>
      <c r="K838" s="41"/>
      <c r="L838" s="41"/>
      <c r="M838" s="112">
        <f ca="1">IFERROR(M824+M837,"")</f>
        <v>5.9722222222222232E-2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3" sqref="F8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0.90424675925896736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1.103552314814523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1.470913425925634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89</v>
      </c>
      <c r="G837" s="109">
        <f>SUM(G825:G836)</f>
        <v>373.8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208</v>
      </c>
      <c r="G838" s="111">
        <f>G824+G837</f>
        <v>873.60000000000014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2026-08-01T07:41:12Z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