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49" documentId="13_ncr:1_{0A10D8D4-8450-4366-8075-B53B08E6B7EA}" xr6:coauthVersionLast="47" xr6:coauthVersionMax="47" xr10:uidLastSave="{E42281ED-E9E8-475F-A0B1-BFB2100E1C43}"/>
  <bookViews>
    <workbookView xWindow="-108" yWindow="-108" windowWidth="23256" windowHeight="12456" tabRatio="500" firstSheet="1" activeTab="1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8" i="5"/>
  <c r="J408" i="5" s="1"/>
  <c r="H409" i="5"/>
  <c r="J409" i="5" s="1"/>
  <c r="H410" i="5"/>
  <c r="J410" i="5" s="1"/>
  <c r="H411" i="5"/>
  <c r="J411" i="5" s="1"/>
  <c r="H412" i="5"/>
  <c r="J412" i="5" s="1"/>
  <c r="H413" i="5"/>
  <c r="J413" i="5" s="1"/>
  <c r="H414" i="5"/>
  <c r="J414" i="5" s="1"/>
  <c r="H415" i="5"/>
  <c r="J415" i="5" s="1"/>
  <c r="H416" i="5"/>
  <c r="J416" i="5" s="1"/>
  <c r="H417" i="5"/>
  <c r="J417" i="5" s="1"/>
  <c r="H418" i="5"/>
  <c r="J418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8" i="4"/>
  <c r="J408" i="4" s="1"/>
  <c r="H409" i="4"/>
  <c r="J409" i="4" s="1"/>
  <c r="H410" i="4"/>
  <c r="J410" i="4" s="1"/>
  <c r="H411" i="4"/>
  <c r="J411" i="4" s="1"/>
  <c r="H412" i="4"/>
  <c r="J412" i="4" s="1"/>
  <c r="H413" i="4"/>
  <c r="J413" i="4" s="1"/>
  <c r="H414" i="4"/>
  <c r="J414" i="4" s="1"/>
  <c r="H415" i="4"/>
  <c r="J415" i="4" s="1"/>
  <c r="H416" i="4"/>
  <c r="J416" i="4" s="1"/>
  <c r="H417" i="4"/>
  <c r="J417" i="4" s="1"/>
  <c r="H418" i="4"/>
  <c r="J41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H407" i="6" s="1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H407" i="5" s="1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H407" i="4" s="1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07" i="6" l="1"/>
  <c r="J419" i="6" s="1"/>
  <c r="H419" i="6"/>
  <c r="H433" i="6" s="1"/>
  <c r="J407" i="5"/>
  <c r="J419" i="5" s="1"/>
  <c r="H419" i="5"/>
  <c r="H433" i="5" s="1"/>
  <c r="J407" i="4"/>
  <c r="J419" i="4" s="1"/>
  <c r="H419" i="4"/>
  <c r="H433" i="4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33" i="6" l="1"/>
  <c r="T433" i="6" s="1"/>
  <c r="T419" i="6"/>
  <c r="T419" i="5"/>
  <c r="J433" i="5"/>
  <c r="T433" i="5" s="1"/>
  <c r="T419" i="4"/>
  <c r="J433" i="4"/>
  <c r="T433" i="4" s="1"/>
  <c r="H19" i="1" s="1"/>
  <c r="J19" i="1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<sst xmlns="http://schemas.openxmlformats.org/spreadsheetml/2006/main" count="7099" uniqueCount="355">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</sst>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546875" defaultRowHeight="14.4" x14ac:dyDescent="0.3"/>
  <cols>
    <col min="1" max="1" width="17.5546875" customWidth="1"/>
    <col min="2" max="2" width="21" style="69" customWidth="1"/>
    <col min="3" max="3" width="19.5546875" customWidth="1"/>
    <col min="4" max="4" width="23.5546875" customWidth="1"/>
    <col min="5" max="5" width="26" customWidth="1"/>
    <col min="6" max="6" width="26.44140625" customWidth="1"/>
    <col min="7" max="7" width="8.5546875" customWidth="1"/>
    <col min="8" max="8" width="19" hidden="1" customWidth="1"/>
    <col min="9" max="9" width="18.5546875" hidden="1" customWidth="1"/>
    <col min="10" max="10" width="13.33203125" hidden="1" customWidth="1"/>
    <col min="11" max="11" width="22.109375" hidden="1" customWidth="1"/>
    <col min="12" max="12" width="8.5546875" customWidth="1"/>
  </cols>
  <sheetData>
    <row r="1" spans="1:11" ht="31.5" customHeight="1" x14ac:dyDescent="0.3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 x14ac:dyDescent="0.3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 x14ac:dyDescent="0.3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 x14ac:dyDescent="0.3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 x14ac:dyDescent="0.3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 x14ac:dyDescent="0.3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 x14ac:dyDescent="0.3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 x14ac:dyDescent="0.3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 x14ac:dyDescent="0.3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 x14ac:dyDescent="0.3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 x14ac:dyDescent="0.3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 x14ac:dyDescent="0.3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 x14ac:dyDescent="0.3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 x14ac:dyDescent="0.3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 x14ac:dyDescent="0.3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 x14ac:dyDescent="0.3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 x14ac:dyDescent="0.3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 x14ac:dyDescent="0.3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 x14ac:dyDescent="0.3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 x14ac:dyDescent="0.3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 x14ac:dyDescent="0.3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 x14ac:dyDescent="0.3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 x14ac:dyDescent="0.3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 x14ac:dyDescent="0.3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 x14ac:dyDescent="0.3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 x14ac:dyDescent="0.3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 x14ac:dyDescent="0.3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 x14ac:dyDescent="0.3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 x14ac:dyDescent="0.3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 x14ac:dyDescent="0.3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 x14ac:dyDescent="0.3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 x14ac:dyDescent="0.3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 x14ac:dyDescent="0.3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 x14ac:dyDescent="0.3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 x14ac:dyDescent="0.3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abSelected="1" topLeftCell="J1" zoomScale="85" zoomScaleNormal="85" workbookViewId="0">
      <selection activeCell="P76" sqref="P76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 x14ac:dyDescent="0.3">
      <c r="M2" s="167"/>
    </row>
    <row r="3" spans="1:18" ht="25.95" customHeight="1" x14ac:dyDescent="0.3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 x14ac:dyDescent="0.3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 x14ac:dyDescent="0.3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 x14ac:dyDescent="0.3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 x14ac:dyDescent="0.3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 x14ac:dyDescent="0.3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 x14ac:dyDescent="0.3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 x14ac:dyDescent="0.3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 x14ac:dyDescent="0.3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 x14ac:dyDescent="0.3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 x14ac:dyDescent="0.3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 x14ac:dyDescent="0.3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 x14ac:dyDescent="0.3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 x14ac:dyDescent="0.3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 x14ac:dyDescent="0.3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 x14ac:dyDescent="0.3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 x14ac:dyDescent="0.3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 x14ac:dyDescent="0.3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 x14ac:dyDescent="0.3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 x14ac:dyDescent="0.3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 x14ac:dyDescent="0.3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 x14ac:dyDescent="0.3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 x14ac:dyDescent="0.3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 x14ac:dyDescent="0.3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 x14ac:dyDescent="0.3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 x14ac:dyDescent="0.3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 x14ac:dyDescent="0.3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 x14ac:dyDescent="0.3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 x14ac:dyDescent="0.3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 x14ac:dyDescent="0.3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 x14ac:dyDescent="0.3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 x14ac:dyDescent="0.3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 x14ac:dyDescent="0.3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 x14ac:dyDescent="0.3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 x14ac:dyDescent="0.3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 x14ac:dyDescent="0.3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 x14ac:dyDescent="0.3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 x14ac:dyDescent="0.3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 x14ac:dyDescent="0.3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 x14ac:dyDescent="0.3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 x14ac:dyDescent="0.3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 x14ac:dyDescent="0.3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 x14ac:dyDescent="0.3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 x14ac:dyDescent="0.3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 x14ac:dyDescent="0.3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 x14ac:dyDescent="0.3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 x14ac:dyDescent="0.3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 x14ac:dyDescent="0.3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 x14ac:dyDescent="0.3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 x14ac:dyDescent="0.3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 x14ac:dyDescent="0.3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 x14ac:dyDescent="0.3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 x14ac:dyDescent="0.3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 x14ac:dyDescent="0.3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 x14ac:dyDescent="0.3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 x14ac:dyDescent="0.3">
      <c r="M58" s="167"/>
      <c r="N58" s="16"/>
      <c r="O58" s="16"/>
      <c r="P58" s="16" t="s">
        <v>216</v>
      </c>
      <c r="Q58" s="16"/>
      <c r="R58" s="16"/>
    </row>
    <row r="59" spans="1:18" ht="15" customHeight="1" x14ac:dyDescent="0.3">
      <c r="M59" s="167"/>
      <c r="N59" s="17"/>
      <c r="O59" s="17"/>
      <c r="P59" s="17" t="s">
        <v>217</v>
      </c>
      <c r="Q59" s="17"/>
      <c r="R59" s="17"/>
    </row>
    <row r="60" spans="1:18" ht="15" customHeight="1" x14ac:dyDescent="0.3">
      <c r="M60" s="167"/>
      <c r="N60" s="16"/>
      <c r="O60" s="16"/>
      <c r="P60" s="77" t="s">
        <v>112</v>
      </c>
      <c r="Q60" s="16"/>
      <c r="R60" s="16"/>
    </row>
    <row r="61" spans="1:18" ht="15" customHeight="1" x14ac:dyDescent="0.3">
      <c r="M61" s="167"/>
      <c r="N61" s="17"/>
      <c r="O61" s="17"/>
      <c r="P61" s="17" t="s">
        <v>218</v>
      </c>
      <c r="Q61" s="17"/>
      <c r="R61" s="17"/>
    </row>
    <row r="62" spans="1:18" ht="15" customHeight="1" x14ac:dyDescent="0.3">
      <c r="M62" s="167"/>
      <c r="N62" s="16"/>
      <c r="O62" s="16"/>
      <c r="P62" s="16" t="s">
        <v>219</v>
      </c>
      <c r="Q62" s="16"/>
      <c r="R62" s="16"/>
    </row>
    <row r="63" spans="1:18" ht="15" customHeight="1" x14ac:dyDescent="0.3">
      <c r="M63" s="167"/>
      <c r="N63" s="17"/>
      <c r="O63" s="17"/>
      <c r="P63" s="17" t="s">
        <v>220</v>
      </c>
      <c r="Q63" s="17"/>
      <c r="R63" s="17"/>
    </row>
    <row r="64" spans="1:18" ht="15" customHeight="1" x14ac:dyDescent="0.3">
      <c r="M64" s="167"/>
      <c r="N64" s="16"/>
      <c r="O64" s="16"/>
      <c r="P64" s="16" t="s">
        <v>221</v>
      </c>
      <c r="Q64" s="16"/>
      <c r="R64" s="16"/>
    </row>
    <row r="65" spans="13:18" ht="15" customHeight="1" x14ac:dyDescent="0.3">
      <c r="M65" s="167"/>
      <c r="N65" s="17"/>
      <c r="O65" s="17"/>
      <c r="P65" s="17" t="s">
        <v>222</v>
      </c>
      <c r="Q65" s="17"/>
      <c r="R65" s="17"/>
    </row>
    <row r="66" spans="13:18" ht="15" customHeight="1" x14ac:dyDescent="0.3">
      <c r="M66" s="167"/>
      <c r="N66" s="16"/>
      <c r="O66" s="16"/>
      <c r="P66" s="16" t="s">
        <v>223</v>
      </c>
      <c r="Q66" s="16"/>
      <c r="R66" s="16"/>
    </row>
    <row r="67" spans="13:18" ht="15" customHeight="1" x14ac:dyDescent="0.3">
      <c r="M67" s="167"/>
      <c r="N67" s="17"/>
      <c r="O67" s="17"/>
      <c r="P67" s="17" t="s">
        <v>224</v>
      </c>
      <c r="Q67" s="17"/>
      <c r="R67" s="17"/>
    </row>
    <row r="68" spans="13:18" ht="15" customHeight="1" x14ac:dyDescent="0.3">
      <c r="M68" s="167"/>
      <c r="N68" s="16"/>
      <c r="O68" s="16"/>
      <c r="P68" s="16" t="s">
        <v>225</v>
      </c>
      <c r="Q68" s="16"/>
      <c r="R68" s="16"/>
    </row>
    <row r="69" spans="13:18" ht="15" customHeight="1" x14ac:dyDescent="0.3">
      <c r="M69" s="167"/>
      <c r="N69" s="17"/>
      <c r="O69" s="17"/>
      <c r="P69" s="17" t="s">
        <v>226</v>
      </c>
      <c r="Q69" s="17"/>
      <c r="R69" s="17"/>
    </row>
    <row r="70" spans="13:18" ht="15" customHeight="1" x14ac:dyDescent="0.3">
      <c r="M70" s="167"/>
      <c r="N70" s="16"/>
      <c r="O70" s="16"/>
      <c r="P70" s="16" t="s">
        <v>227</v>
      </c>
      <c r="Q70" s="16"/>
      <c r="R70" s="16"/>
    </row>
    <row r="71" spans="13:18" ht="15" customHeight="1" x14ac:dyDescent="0.3">
      <c r="M71" s="167"/>
      <c r="N71" s="17"/>
      <c r="O71" s="17"/>
      <c r="P71" s="17" t="s">
        <v>228</v>
      </c>
      <c r="Q71" s="17"/>
      <c r="R71" s="17"/>
    </row>
    <row r="72" spans="13:18" ht="15" customHeight="1" x14ac:dyDescent="0.3">
      <c r="M72" s="167"/>
      <c r="N72" s="16"/>
      <c r="O72" s="16"/>
      <c r="P72" s="16" t="s">
        <v>229</v>
      </c>
      <c r="Q72" s="16"/>
      <c r="R72" s="16"/>
    </row>
    <row r="73" spans="13:18" ht="15" customHeight="1" x14ac:dyDescent="0.3">
      <c r="M73" s="167"/>
      <c r="N73" s="17"/>
      <c r="O73" s="17"/>
      <c r="P73" s="17" t="s">
        <v>230</v>
      </c>
      <c r="Q73" s="17"/>
      <c r="R73" s="17"/>
    </row>
    <row r="74" spans="13:18" ht="15" customHeight="1" x14ac:dyDescent="0.3">
      <c r="M74" s="167"/>
      <c r="N74" s="16"/>
      <c r="O74" s="16"/>
      <c r="P74" s="16" t="s">
        <v>231</v>
      </c>
      <c r="Q74" s="16"/>
      <c r="R74" s="16"/>
    </row>
    <row r="75" spans="13:18" ht="15" customHeight="1" x14ac:dyDescent="0.3">
      <c r="M75" s="167"/>
      <c r="N75" s="17"/>
      <c r="O75" s="17"/>
      <c r="P75" s="17" t="s">
        <v>232</v>
      </c>
      <c r="Q75" s="17"/>
      <c r="R75" s="17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pane="bottomLeft" activeCell="F408" sqref="F408"/>
    </sheetView>
  </sheetViews>
  <sheetFormatPr defaultColWidth="8.5546875" defaultRowHeight="14.4" x14ac:dyDescent="0.3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8671875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43.5546875" style="20" customWidth="1"/>
    <col min="15" max="15" width="19.88671875" customWidth="1"/>
  </cols>
  <sheetData>
    <row r="1" spans="1:15" ht="37.5" customHeight="1" x14ac:dyDescent="0.3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 x14ac:dyDescent="0.3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3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3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3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3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 x14ac:dyDescent="0.3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 x14ac:dyDescent="0.3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 x14ac:dyDescent="0.3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 x14ac:dyDescent="0.3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3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3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3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3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3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 x14ac:dyDescent="0.3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 x14ac:dyDescent="0.3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3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 x14ac:dyDescent="0.3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 x14ac:dyDescent="0.3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 x14ac:dyDescent="0.3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 x14ac:dyDescent="0.3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 x14ac:dyDescent="0.3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 x14ac:dyDescent="0.3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3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3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3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 x14ac:dyDescent="0.3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 x14ac:dyDescent="0.3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 x14ac:dyDescent="0.3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3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 x14ac:dyDescent="0.3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 x14ac:dyDescent="0.3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3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3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3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3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3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3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3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3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3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3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3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3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 x14ac:dyDescent="0.3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3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3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3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3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3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 x14ac:dyDescent="0.3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3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3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3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3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3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3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 x14ac:dyDescent="0.3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3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3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3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3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3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3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3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3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3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3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3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 x14ac:dyDescent="0.3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3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3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3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 x14ac:dyDescent="0.3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3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3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3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3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3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3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3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3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 x14ac:dyDescent="0.3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3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3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3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3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3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3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3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3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3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3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3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3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 x14ac:dyDescent="0.3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 x14ac:dyDescent="0.3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 x14ac:dyDescent="0.3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 x14ac:dyDescent="0.3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3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3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3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3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 x14ac:dyDescent="0.3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3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3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3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3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 x14ac:dyDescent="0.3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3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3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3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3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3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3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3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3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3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3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3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 x14ac:dyDescent="0.3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 x14ac:dyDescent="0.3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 x14ac:dyDescent="0.3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 x14ac:dyDescent="0.3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 x14ac:dyDescent="0.3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3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3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3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3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3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3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3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3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 x14ac:dyDescent="0.3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3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3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3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3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3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3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3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3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3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3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3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 x14ac:dyDescent="0.3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3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3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3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3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3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3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3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3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3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3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3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 x14ac:dyDescent="0.3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 x14ac:dyDescent="0.3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3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3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3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3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3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3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3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3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3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3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 x14ac:dyDescent="0.3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3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3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3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3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3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3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3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3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3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3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3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40</v>
      </c>
      <c r="G419" s="36">
        <f>SUM(G407:G418)</f>
        <v>200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 x14ac:dyDescent="0.3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 x14ac:dyDescent="0.3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 x14ac:dyDescent="0.3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3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3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3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3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3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3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3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3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3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 x14ac:dyDescent="0.3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40</v>
      </c>
      <c r="G433" s="40">
        <f>G419+G432</f>
        <v>200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 x14ac:dyDescent="0.3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3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 x14ac:dyDescent="0.3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3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 x14ac:dyDescent="0.3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3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3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3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3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3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3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3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 x14ac:dyDescent="0.3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 x14ac:dyDescent="0.3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3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3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3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 x14ac:dyDescent="0.3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 x14ac:dyDescent="0.3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 x14ac:dyDescent="0.3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3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3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3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3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 x14ac:dyDescent="0.3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 x14ac:dyDescent="0.3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 x14ac:dyDescent="0.3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 x14ac:dyDescent="0.3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 x14ac:dyDescent="0.3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 x14ac:dyDescent="0.3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 x14ac:dyDescent="0.3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 x14ac:dyDescent="0.3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 x14ac:dyDescent="0.3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 x14ac:dyDescent="0.3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 x14ac:dyDescent="0.3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 x14ac:dyDescent="0.3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 x14ac:dyDescent="0.3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 x14ac:dyDescent="0.3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 x14ac:dyDescent="0.3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 x14ac:dyDescent="0.3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 x14ac:dyDescent="0.3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 x14ac:dyDescent="0.3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 x14ac:dyDescent="0.3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 x14ac:dyDescent="0.3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 x14ac:dyDescent="0.3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 x14ac:dyDescent="0.3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 x14ac:dyDescent="0.3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 x14ac:dyDescent="0.3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 x14ac:dyDescent="0.3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 x14ac:dyDescent="0.3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 x14ac:dyDescent="0.3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 x14ac:dyDescent="0.3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 x14ac:dyDescent="0.3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 x14ac:dyDescent="0.3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 x14ac:dyDescent="0.3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 x14ac:dyDescent="0.3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 x14ac:dyDescent="0.3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 x14ac:dyDescent="0.3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 x14ac:dyDescent="0.3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 x14ac:dyDescent="0.3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 x14ac:dyDescent="0.3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 x14ac:dyDescent="0.3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 x14ac:dyDescent="0.3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 x14ac:dyDescent="0.3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 x14ac:dyDescent="0.3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 x14ac:dyDescent="0.3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 x14ac:dyDescent="0.3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 x14ac:dyDescent="0.3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 x14ac:dyDescent="0.3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 x14ac:dyDescent="0.3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 x14ac:dyDescent="0.3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 x14ac:dyDescent="0.3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 x14ac:dyDescent="0.3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 x14ac:dyDescent="0.3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 x14ac:dyDescent="0.3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 x14ac:dyDescent="0.3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 x14ac:dyDescent="0.3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 x14ac:dyDescent="0.3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 x14ac:dyDescent="0.3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 x14ac:dyDescent="0.3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 x14ac:dyDescent="0.3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 x14ac:dyDescent="0.3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 x14ac:dyDescent="0.3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 x14ac:dyDescent="0.3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 x14ac:dyDescent="0.3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 x14ac:dyDescent="0.3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 x14ac:dyDescent="0.3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 x14ac:dyDescent="0.3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3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 x14ac:dyDescent="0.3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 x14ac:dyDescent="0.3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 x14ac:dyDescent="0.3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 x14ac:dyDescent="0.3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 x14ac:dyDescent="0.3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 x14ac:dyDescent="0.3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 x14ac:dyDescent="0.3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 x14ac:dyDescent="0.3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 x14ac:dyDescent="0.3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 x14ac:dyDescent="0.3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 x14ac:dyDescent="0.3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 x14ac:dyDescent="0.3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 x14ac:dyDescent="0.3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 x14ac:dyDescent="0.3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 x14ac:dyDescent="0.3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 x14ac:dyDescent="0.3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 x14ac:dyDescent="0.3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 x14ac:dyDescent="0.3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 x14ac:dyDescent="0.3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 x14ac:dyDescent="0.3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 x14ac:dyDescent="0.3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 x14ac:dyDescent="0.3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 x14ac:dyDescent="0.3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 x14ac:dyDescent="0.3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 x14ac:dyDescent="0.3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 x14ac:dyDescent="0.3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 x14ac:dyDescent="0.3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 x14ac:dyDescent="0.3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 x14ac:dyDescent="0.3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 x14ac:dyDescent="0.3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 x14ac:dyDescent="0.3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 x14ac:dyDescent="0.3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 x14ac:dyDescent="0.3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 x14ac:dyDescent="0.3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 x14ac:dyDescent="0.3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 x14ac:dyDescent="0.3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 x14ac:dyDescent="0.3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 x14ac:dyDescent="0.3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 x14ac:dyDescent="0.3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 x14ac:dyDescent="0.3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 x14ac:dyDescent="0.3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 x14ac:dyDescent="0.3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 x14ac:dyDescent="0.3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 x14ac:dyDescent="0.3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 x14ac:dyDescent="0.3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 x14ac:dyDescent="0.3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 x14ac:dyDescent="0.3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 x14ac:dyDescent="0.3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 x14ac:dyDescent="0.3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 x14ac:dyDescent="0.3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 x14ac:dyDescent="0.3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 x14ac:dyDescent="0.3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 x14ac:dyDescent="0.3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 x14ac:dyDescent="0.3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 x14ac:dyDescent="0.3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 x14ac:dyDescent="0.3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 x14ac:dyDescent="0.3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 x14ac:dyDescent="0.3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 x14ac:dyDescent="0.3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 x14ac:dyDescent="0.3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 x14ac:dyDescent="0.3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 x14ac:dyDescent="0.3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 x14ac:dyDescent="0.3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 x14ac:dyDescent="0.3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 x14ac:dyDescent="0.3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 x14ac:dyDescent="0.3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 x14ac:dyDescent="0.3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 x14ac:dyDescent="0.3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 x14ac:dyDescent="0.3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 x14ac:dyDescent="0.3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 x14ac:dyDescent="0.3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 x14ac:dyDescent="0.3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 x14ac:dyDescent="0.3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 x14ac:dyDescent="0.3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 x14ac:dyDescent="0.3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 x14ac:dyDescent="0.3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 x14ac:dyDescent="0.3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 x14ac:dyDescent="0.3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 x14ac:dyDescent="0.3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 x14ac:dyDescent="0.3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 x14ac:dyDescent="0.3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 x14ac:dyDescent="0.3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 x14ac:dyDescent="0.3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 x14ac:dyDescent="0.3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 x14ac:dyDescent="0.3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 x14ac:dyDescent="0.3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 x14ac:dyDescent="0.3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 x14ac:dyDescent="0.3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 x14ac:dyDescent="0.3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 x14ac:dyDescent="0.3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 x14ac:dyDescent="0.3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 x14ac:dyDescent="0.3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 x14ac:dyDescent="0.3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 x14ac:dyDescent="0.3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 x14ac:dyDescent="0.3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 x14ac:dyDescent="0.3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 x14ac:dyDescent="0.3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 x14ac:dyDescent="0.3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 x14ac:dyDescent="0.3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 x14ac:dyDescent="0.3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 x14ac:dyDescent="0.3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 x14ac:dyDescent="0.3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 x14ac:dyDescent="0.3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 x14ac:dyDescent="0.3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 x14ac:dyDescent="0.3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 x14ac:dyDescent="0.3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 x14ac:dyDescent="0.3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 x14ac:dyDescent="0.3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 x14ac:dyDescent="0.3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 x14ac:dyDescent="0.3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 x14ac:dyDescent="0.3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 x14ac:dyDescent="0.3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 x14ac:dyDescent="0.3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 x14ac:dyDescent="0.3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 x14ac:dyDescent="0.3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 x14ac:dyDescent="0.3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 x14ac:dyDescent="0.3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 x14ac:dyDescent="0.3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 x14ac:dyDescent="0.3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 x14ac:dyDescent="0.3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 x14ac:dyDescent="0.3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 x14ac:dyDescent="0.3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 x14ac:dyDescent="0.3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 x14ac:dyDescent="0.3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 x14ac:dyDescent="0.3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 x14ac:dyDescent="0.3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 x14ac:dyDescent="0.3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 x14ac:dyDescent="0.3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 x14ac:dyDescent="0.3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 x14ac:dyDescent="0.3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 x14ac:dyDescent="0.3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 x14ac:dyDescent="0.3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 x14ac:dyDescent="0.3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 x14ac:dyDescent="0.3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 x14ac:dyDescent="0.3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 x14ac:dyDescent="0.3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 x14ac:dyDescent="0.3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 x14ac:dyDescent="0.3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 x14ac:dyDescent="0.3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 x14ac:dyDescent="0.3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 x14ac:dyDescent="0.3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 x14ac:dyDescent="0.3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 x14ac:dyDescent="0.3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 x14ac:dyDescent="0.3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 x14ac:dyDescent="0.3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 x14ac:dyDescent="0.3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 x14ac:dyDescent="0.3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 x14ac:dyDescent="0.3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 x14ac:dyDescent="0.3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 x14ac:dyDescent="0.3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 x14ac:dyDescent="0.3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 x14ac:dyDescent="0.3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 x14ac:dyDescent="0.3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 x14ac:dyDescent="0.3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 x14ac:dyDescent="0.3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 x14ac:dyDescent="0.3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 x14ac:dyDescent="0.3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 x14ac:dyDescent="0.3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 x14ac:dyDescent="0.3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 x14ac:dyDescent="0.3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 x14ac:dyDescent="0.3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 x14ac:dyDescent="0.3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 x14ac:dyDescent="0.3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 x14ac:dyDescent="0.3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 x14ac:dyDescent="0.3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 x14ac:dyDescent="0.3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 x14ac:dyDescent="0.3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 x14ac:dyDescent="0.3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 x14ac:dyDescent="0.3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 x14ac:dyDescent="0.3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 x14ac:dyDescent="0.3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 x14ac:dyDescent="0.3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 x14ac:dyDescent="0.3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 x14ac:dyDescent="0.3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 x14ac:dyDescent="0.3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 x14ac:dyDescent="0.3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 x14ac:dyDescent="0.3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 x14ac:dyDescent="0.3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 x14ac:dyDescent="0.3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 x14ac:dyDescent="0.3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 x14ac:dyDescent="0.3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 x14ac:dyDescent="0.3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 x14ac:dyDescent="0.3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 x14ac:dyDescent="0.3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 x14ac:dyDescent="0.3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 x14ac:dyDescent="0.3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 x14ac:dyDescent="0.3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 x14ac:dyDescent="0.3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 x14ac:dyDescent="0.3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 x14ac:dyDescent="0.3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 x14ac:dyDescent="0.3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 x14ac:dyDescent="0.3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 x14ac:dyDescent="0.3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 x14ac:dyDescent="0.3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 x14ac:dyDescent="0.3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 x14ac:dyDescent="0.3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 x14ac:dyDescent="0.3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 x14ac:dyDescent="0.3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 x14ac:dyDescent="0.3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 x14ac:dyDescent="0.3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 x14ac:dyDescent="0.3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 x14ac:dyDescent="0.3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 x14ac:dyDescent="0.3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 x14ac:dyDescent="0.3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 x14ac:dyDescent="0.3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 x14ac:dyDescent="0.3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 x14ac:dyDescent="0.3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 x14ac:dyDescent="0.3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 x14ac:dyDescent="0.3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 x14ac:dyDescent="0.3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 x14ac:dyDescent="0.3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 x14ac:dyDescent="0.3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 x14ac:dyDescent="0.3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 x14ac:dyDescent="0.3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 x14ac:dyDescent="0.3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 x14ac:dyDescent="0.3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 x14ac:dyDescent="0.3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 x14ac:dyDescent="0.3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 x14ac:dyDescent="0.3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 x14ac:dyDescent="0.3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 x14ac:dyDescent="0.3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 x14ac:dyDescent="0.3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 x14ac:dyDescent="0.3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 x14ac:dyDescent="0.3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 x14ac:dyDescent="0.3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 x14ac:dyDescent="0.3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 x14ac:dyDescent="0.3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 x14ac:dyDescent="0.3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 x14ac:dyDescent="0.3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 x14ac:dyDescent="0.3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 x14ac:dyDescent="0.3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 x14ac:dyDescent="0.3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 x14ac:dyDescent="0.3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 x14ac:dyDescent="0.3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 x14ac:dyDescent="0.3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 x14ac:dyDescent="0.3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 x14ac:dyDescent="0.3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 x14ac:dyDescent="0.3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 x14ac:dyDescent="0.3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 x14ac:dyDescent="0.3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 x14ac:dyDescent="0.3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 x14ac:dyDescent="0.3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 x14ac:dyDescent="0.3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 x14ac:dyDescent="0.3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 x14ac:dyDescent="0.3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 x14ac:dyDescent="0.3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 x14ac:dyDescent="0.3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 x14ac:dyDescent="0.3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 x14ac:dyDescent="0.3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 x14ac:dyDescent="0.3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 x14ac:dyDescent="0.3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 x14ac:dyDescent="0.3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 x14ac:dyDescent="0.3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 x14ac:dyDescent="0.3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 x14ac:dyDescent="0.3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 x14ac:dyDescent="0.3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 x14ac:dyDescent="0.3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 x14ac:dyDescent="0.3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 x14ac:dyDescent="0.3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 x14ac:dyDescent="0.3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 x14ac:dyDescent="0.3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 x14ac:dyDescent="0.3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 x14ac:dyDescent="0.3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 x14ac:dyDescent="0.3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 x14ac:dyDescent="0.3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 x14ac:dyDescent="0.3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 x14ac:dyDescent="0.3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 x14ac:dyDescent="0.3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 x14ac:dyDescent="0.3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 x14ac:dyDescent="0.3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 x14ac:dyDescent="0.3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 x14ac:dyDescent="0.3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 x14ac:dyDescent="0.3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 x14ac:dyDescent="0.3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 x14ac:dyDescent="0.3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 x14ac:dyDescent="0.3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 x14ac:dyDescent="0.3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 x14ac:dyDescent="0.3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 x14ac:dyDescent="0.3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 x14ac:dyDescent="0.3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 x14ac:dyDescent="0.3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 x14ac:dyDescent="0.3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 x14ac:dyDescent="0.3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 x14ac:dyDescent="0.3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 x14ac:dyDescent="0.3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 x14ac:dyDescent="0.3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 x14ac:dyDescent="0.3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 x14ac:dyDescent="0.3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 x14ac:dyDescent="0.3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2" activePane="bottomLeft" state="frozen"/>
      <selection pane="bottomLeft" activeCell="G408" sqref="G408"/>
    </sheetView>
  </sheetViews>
  <sheetFormatPr defaultColWidth="8.5546875" defaultRowHeight="14.4" x14ac:dyDescent="0.3"/>
  <cols>
    <col min="1" max="1" width="13" style="73" customWidth="1"/>
    <col min="2" max="2" width="9" style="20" customWidth="1"/>
    <col min="3" max="3" width="14" style="20" customWidth="1"/>
    <col min="4" max="5" width="16.109375" style="20" customWidth="1"/>
    <col min="6" max="6" width="13.88671875" style="20" hidden="1" customWidth="1"/>
    <col min="7" max="7" width="13" style="20" customWidth="1"/>
    <col min="8" max="8" width="15.6640625" style="20" hidden="1" customWidth="1"/>
    <col min="9" max="9" width="16.33203125" style="20" hidden="1" customWidth="1"/>
    <col min="10" max="10" width="13.88671875" style="20" hidden="1" customWidth="1"/>
    <col min="11" max="11" width="14" style="20" customWidth="1"/>
    <col min="12" max="12" width="31.33203125" style="20" customWidth="1"/>
    <col min="13" max="13" width="29.33203125" style="20" customWidth="1"/>
    <col min="14" max="14" width="48.5546875" style="20" customWidth="1"/>
    <col min="15" max="15" width="15.44140625" style="20" customWidth="1"/>
    <col min="16" max="16" width="12" style="21" customWidth="1"/>
    <col min="17" max="17" width="15.5546875" style="20" customWidth="1"/>
    <col min="18" max="18" width="48.5546875" style="20" customWidth="1"/>
    <col min="19" max="19" width="29.6640625" customWidth="1"/>
    <col min="20" max="20" width="14.6640625" hidden="1" customWidth="1"/>
  </cols>
  <sheetData>
    <row r="1" spans="1:20" ht="37.5" customHeight="1" x14ac:dyDescent="0.3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 x14ac:dyDescent="0.3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 x14ac:dyDescent="0.3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3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3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 x14ac:dyDescent="0.3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 x14ac:dyDescent="0.3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3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3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3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3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3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35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35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3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3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3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3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 x14ac:dyDescent="0.3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 x14ac:dyDescent="0.3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3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3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3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3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35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35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 x14ac:dyDescent="0.3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35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 x14ac:dyDescent="0.3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3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3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3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3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3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3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 x14ac:dyDescent="0.3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 x14ac:dyDescent="0.3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3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3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 x14ac:dyDescent="0.35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0.21883148147753673</v>
      </c>
      <c r="R53" s="46" t="s">
        <v>280</v>
      </c>
      <c r="S53" s="31"/>
    </row>
    <row r="54" spans="1:20" ht="15.75" customHeight="1" thickBot="1" x14ac:dyDescent="0.35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0.35772037036642562</v>
      </c>
      <c r="R54" s="36" t="s">
        <v>245</v>
      </c>
      <c r="S54" s="75">
        <v>352430</v>
      </c>
      <c r="T54" s="117"/>
    </row>
    <row r="55" spans="1:20" ht="18" customHeight="1" x14ac:dyDescent="0.3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0.44244259258864793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 x14ac:dyDescent="0.3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4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3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3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3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3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3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3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3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 x14ac:dyDescent="0.3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3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3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3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4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 x14ac:dyDescent="0.3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 x14ac:dyDescent="0.3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4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4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 x14ac:dyDescent="0.3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4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4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 x14ac:dyDescent="0.3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3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3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 x14ac:dyDescent="0.3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3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 x14ac:dyDescent="0.3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3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3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3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 x14ac:dyDescent="0.3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3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3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4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4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 x14ac:dyDescent="0.3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35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35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 x14ac:dyDescent="0.3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35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35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 x14ac:dyDescent="0.3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35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35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 x14ac:dyDescent="0.3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35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 x14ac:dyDescent="0.3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3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3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3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3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3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3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3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3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3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3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35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35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 x14ac:dyDescent="0.3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3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3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3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3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3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3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3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3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3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3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35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35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 x14ac:dyDescent="0.3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3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3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3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3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3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3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3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3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3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3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35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35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 x14ac:dyDescent="0.3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3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3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3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3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3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3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3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3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3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3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35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35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 x14ac:dyDescent="0.3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3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3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3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3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3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3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3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3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3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3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35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35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 x14ac:dyDescent="0.3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 x14ac:dyDescent="0.3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 x14ac:dyDescent="0.3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 x14ac:dyDescent="0.3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 x14ac:dyDescent="0.3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 x14ac:dyDescent="0.3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 x14ac:dyDescent="0.3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 x14ac:dyDescent="0.3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3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3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3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35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35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 x14ac:dyDescent="0.3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 x14ac:dyDescent="0.3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 x14ac:dyDescent="0.3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 x14ac:dyDescent="0.3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 x14ac:dyDescent="0.3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 x14ac:dyDescent="0.3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 x14ac:dyDescent="0.3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 x14ac:dyDescent="0.3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 x14ac:dyDescent="0.3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3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35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35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 x14ac:dyDescent="0.3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 x14ac:dyDescent="0.3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 x14ac:dyDescent="0.3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 x14ac:dyDescent="0.3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 x14ac:dyDescent="0.3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 x14ac:dyDescent="0.3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3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3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3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3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3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35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35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 x14ac:dyDescent="0.3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 x14ac:dyDescent="0.3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 x14ac:dyDescent="0.3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 x14ac:dyDescent="0.3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 x14ac:dyDescent="0.3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3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3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3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3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3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35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35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 x14ac:dyDescent="0.3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 x14ac:dyDescent="0.3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 x14ac:dyDescent="0.3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 x14ac:dyDescent="0.3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 x14ac:dyDescent="0.3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 x14ac:dyDescent="0.3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 x14ac:dyDescent="0.3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3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3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3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3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35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35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 x14ac:dyDescent="0.3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 x14ac:dyDescent="0.3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 x14ac:dyDescent="0.3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 x14ac:dyDescent="0.3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 x14ac:dyDescent="0.3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 x14ac:dyDescent="0.3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 x14ac:dyDescent="0.3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 x14ac:dyDescent="0.3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3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3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35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35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 x14ac:dyDescent="0.3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2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8.4</v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 x14ac:dyDescent="0.3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 x14ac:dyDescent="0.3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 x14ac:dyDescent="0.3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 x14ac:dyDescent="0.3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 x14ac:dyDescent="0.3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 x14ac:dyDescent="0.3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3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3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3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3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35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35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2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8.4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 x14ac:dyDescent="0.3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 x14ac:dyDescent="0.3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 x14ac:dyDescent="0.3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 x14ac:dyDescent="0.3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 x14ac:dyDescent="0.3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 x14ac:dyDescent="0.3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 x14ac:dyDescent="0.3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 x14ac:dyDescent="0.3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3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3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3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35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35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 x14ac:dyDescent="0.3">
      <c r="A433" s="83" t="s">
        <v>248</v>
      </c>
      <c r="B433" s="82"/>
      <c r="C433" s="82"/>
      <c r="D433" s="82"/>
      <c r="E433" s="82"/>
      <c r="F433" s="112"/>
      <c r="G433" s="91">
        <f>G419+G432</f>
        <v>2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8.4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 x14ac:dyDescent="0.3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 x14ac:dyDescent="0.3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 x14ac:dyDescent="0.3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 x14ac:dyDescent="0.3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 x14ac:dyDescent="0.3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3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3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3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3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3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3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 x14ac:dyDescent="0.35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35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 x14ac:dyDescent="0.3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 x14ac:dyDescent="0.3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 x14ac:dyDescent="0.3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 x14ac:dyDescent="0.3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 x14ac:dyDescent="0.3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 x14ac:dyDescent="0.3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 x14ac:dyDescent="0.3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 x14ac:dyDescent="0.3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3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3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3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35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35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 x14ac:dyDescent="0.3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 x14ac:dyDescent="0.3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 x14ac:dyDescent="0.3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 x14ac:dyDescent="0.3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 x14ac:dyDescent="0.3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 x14ac:dyDescent="0.3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 x14ac:dyDescent="0.3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3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3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3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3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3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35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35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 x14ac:dyDescent="0.3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3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3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3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3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3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3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3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3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3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3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35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35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 x14ac:dyDescent="0.3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 x14ac:dyDescent="0.3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3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3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3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3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3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3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3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3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3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3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35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35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 x14ac:dyDescent="0.3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3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3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3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3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3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3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3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3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3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3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35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35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 x14ac:dyDescent="0.3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3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3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3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3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3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3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3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3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3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3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3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35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35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 x14ac:dyDescent="0.3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3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3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3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3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3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3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3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3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3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3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35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35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 x14ac:dyDescent="0.3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3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3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3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3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3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3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3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3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3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3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3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35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35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 x14ac:dyDescent="0.3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3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3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3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3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3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3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3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3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3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3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35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35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 x14ac:dyDescent="0.3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3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3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3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3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3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3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3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3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3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3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3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35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35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 x14ac:dyDescent="0.3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3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3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3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3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3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3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3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3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3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3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35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35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 x14ac:dyDescent="0.3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3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3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3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3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3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3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3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3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3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3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3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35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35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 x14ac:dyDescent="0.3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3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3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3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3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3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3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3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3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3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3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35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35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 x14ac:dyDescent="0.3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 x14ac:dyDescent="0.3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3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3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3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3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3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3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3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3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3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3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35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35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 x14ac:dyDescent="0.3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3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3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3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3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3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3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3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3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3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3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35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35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 x14ac:dyDescent="0.3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 x14ac:dyDescent="0.3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3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3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3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3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3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3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3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3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3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3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35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35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 x14ac:dyDescent="0.3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3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3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3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3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3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3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3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3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3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3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35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35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 x14ac:dyDescent="0.3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3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3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3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3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3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3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3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3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3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3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3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35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35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 x14ac:dyDescent="0.3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3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3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3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3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3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3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3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3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3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3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35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35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 x14ac:dyDescent="0.3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3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3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3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3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3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3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3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3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3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3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3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35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35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 x14ac:dyDescent="0.3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3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3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3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3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3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3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3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3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3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3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35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35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 x14ac:dyDescent="0.3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3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3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3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3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3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3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3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3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3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3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3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35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35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 x14ac:dyDescent="0.3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3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3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3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3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3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3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3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3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3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3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35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35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3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3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3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3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3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3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3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3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3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3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3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3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35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35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 x14ac:dyDescent="0.3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3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3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3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3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3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3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3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3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3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3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35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35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3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3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3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3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3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3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3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3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3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3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3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3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35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35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 x14ac:dyDescent="0.3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3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3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3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3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3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3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3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3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3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3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35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35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3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 x14ac:dyDescent="0.3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3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3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3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3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3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3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3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3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3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3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35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35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 x14ac:dyDescent="0.3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3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3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3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3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3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3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3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3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3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3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35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35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 x14ac:dyDescent="0.3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2" activePane="bottomLeft" state="frozen"/>
      <selection pane="bottomLeft" activeCell="G408" sqref="G408"/>
    </sheetView>
  </sheetViews>
  <sheetFormatPr defaultColWidth="8.5546875" defaultRowHeight="14.4" x14ac:dyDescent="0.3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8671875" style="20" hidden="1" customWidth="1"/>
    <col min="7" max="7" width="13" style="20" customWidth="1"/>
    <col min="8" max="8" width="15.6640625" style="20" hidden="1" customWidth="1"/>
    <col min="9" max="10" width="13.88671875" style="20" hidden="1" customWidth="1"/>
    <col min="11" max="11" width="14" style="20" customWidth="1"/>
    <col min="12" max="12" width="32.6640625" style="20" customWidth="1"/>
    <col min="13" max="13" width="30.44140625" style="20" customWidth="1"/>
    <col min="14" max="14" width="46.44140625" style="20" customWidth="1"/>
    <col min="15" max="15" width="12" style="20" customWidth="1"/>
    <col min="16" max="16" width="16.44140625" style="21" customWidth="1"/>
    <col min="17" max="17" width="14" style="20" customWidth="1"/>
    <col min="18" max="18" width="56.5546875" style="20" customWidth="1"/>
    <col min="19" max="19" width="31.5546875" customWidth="1"/>
    <col min="20" max="20" width="14.6640625" hidden="1" customWidth="1"/>
  </cols>
  <sheetData>
    <row r="1" spans="1:20" ht="37.5" customHeight="1" x14ac:dyDescent="0.3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 x14ac:dyDescent="0.3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3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3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3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3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3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3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3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3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3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3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35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35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 x14ac:dyDescent="0.3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3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3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 x14ac:dyDescent="0.3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 x14ac:dyDescent="0.3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3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3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3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3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3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35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35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 x14ac:dyDescent="0.3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35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 x14ac:dyDescent="0.3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 x14ac:dyDescent="0.3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 x14ac:dyDescent="0.3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3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3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3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3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3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3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 x14ac:dyDescent="0.3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3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35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35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 x14ac:dyDescent="0.3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 x14ac:dyDescent="0.3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35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35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 x14ac:dyDescent="0.3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3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3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3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3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3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3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3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3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3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3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35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 x14ac:dyDescent="0.3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 x14ac:dyDescent="0.3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3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35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3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35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 x14ac:dyDescent="0.3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3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35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3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35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 x14ac:dyDescent="0.3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 x14ac:dyDescent="0.3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3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3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3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3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3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3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 x14ac:dyDescent="0.3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3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5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5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 x14ac:dyDescent="0.3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5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5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 x14ac:dyDescent="0.3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5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35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 x14ac:dyDescent="0.3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35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35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 x14ac:dyDescent="0.3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35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 x14ac:dyDescent="0.3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3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3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3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3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3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3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3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3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3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3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35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35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 x14ac:dyDescent="0.3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3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3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3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3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3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3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3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3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3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3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35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35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 x14ac:dyDescent="0.3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3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3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3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3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3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3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3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3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3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3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35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35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 x14ac:dyDescent="0.3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3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3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 x14ac:dyDescent="0.3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3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3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3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3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3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3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3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35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35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 x14ac:dyDescent="0.3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3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3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3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3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3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3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3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3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3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3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35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35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 x14ac:dyDescent="0.3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 x14ac:dyDescent="0.3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 x14ac:dyDescent="0.3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 x14ac:dyDescent="0.3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 x14ac:dyDescent="0.3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3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3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3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3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3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3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35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35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 x14ac:dyDescent="0.3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 x14ac:dyDescent="0.3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 x14ac:dyDescent="0.3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3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3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3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3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3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3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3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35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35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 x14ac:dyDescent="0.3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 x14ac:dyDescent="0.3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 x14ac:dyDescent="0.3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 x14ac:dyDescent="0.3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 x14ac:dyDescent="0.3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 x14ac:dyDescent="0.3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3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3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3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3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3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35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35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 x14ac:dyDescent="0.3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 x14ac:dyDescent="0.3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 x14ac:dyDescent="0.3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 x14ac:dyDescent="0.3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3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3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3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3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3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3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35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35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 x14ac:dyDescent="0.3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 x14ac:dyDescent="0.3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 x14ac:dyDescent="0.3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 x14ac:dyDescent="0.3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 x14ac:dyDescent="0.3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 x14ac:dyDescent="0.3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3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3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3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3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3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35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35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 x14ac:dyDescent="0.3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 x14ac:dyDescent="0.3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 x14ac:dyDescent="0.3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 x14ac:dyDescent="0.3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3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3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3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3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3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3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35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35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 x14ac:dyDescent="0.3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3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0</v>
      </c>
      <c r="K407" s="34">
        <f t="shared" ref="K407:K418" si="97">IF(G407="","",IF(E407="PC 17",G407*4.2,IF(E407="PC 19",G407*5,IF(E407="CB",G407*24,""))))</f>
        <v>12.600000000000001</v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 x14ac:dyDescent="0.3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 x14ac:dyDescent="0.3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3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3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3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3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3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3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3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3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35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35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3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12.600000000000001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 x14ac:dyDescent="0.3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 x14ac:dyDescent="0.3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 x14ac:dyDescent="0.3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 x14ac:dyDescent="0.3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 x14ac:dyDescent="0.3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 x14ac:dyDescent="0.3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 x14ac:dyDescent="0.3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3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3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3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3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35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35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 x14ac:dyDescent="0.3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12.600000000000001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 x14ac:dyDescent="0.3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 x14ac:dyDescent="0.3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 x14ac:dyDescent="0.3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 x14ac:dyDescent="0.3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3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3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3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3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3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3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3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35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35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 x14ac:dyDescent="0.3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 x14ac:dyDescent="0.3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 x14ac:dyDescent="0.3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 x14ac:dyDescent="0.3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 x14ac:dyDescent="0.3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3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3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3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3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3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3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35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35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 x14ac:dyDescent="0.3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 x14ac:dyDescent="0.3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 x14ac:dyDescent="0.3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 x14ac:dyDescent="0.3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3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3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3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3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3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3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3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3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35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35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 x14ac:dyDescent="0.3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 x14ac:dyDescent="0.3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 x14ac:dyDescent="0.3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 x14ac:dyDescent="0.3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 x14ac:dyDescent="0.3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3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3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3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3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3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3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35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35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 x14ac:dyDescent="0.3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 x14ac:dyDescent="0.3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3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3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3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3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3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3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3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3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3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3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35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35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 x14ac:dyDescent="0.3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3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3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3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3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3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3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3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3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3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3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35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35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 x14ac:dyDescent="0.3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 x14ac:dyDescent="0.3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3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3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3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3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3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3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3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3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3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3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35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35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 x14ac:dyDescent="0.3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3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3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3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3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3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3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3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3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3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3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35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35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 x14ac:dyDescent="0.3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 x14ac:dyDescent="0.3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3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3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3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3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3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3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3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3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3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3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35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35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 x14ac:dyDescent="0.3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3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3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3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3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3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3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3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3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3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3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35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35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 x14ac:dyDescent="0.3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 x14ac:dyDescent="0.3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3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3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3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3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3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3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3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3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3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3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35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35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 x14ac:dyDescent="0.3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3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3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3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3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3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3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3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3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3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3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35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35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 x14ac:dyDescent="0.3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 x14ac:dyDescent="0.3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3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3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3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3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3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3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3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3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3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3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35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35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 x14ac:dyDescent="0.3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3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3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3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3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3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3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3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3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3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3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35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35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 x14ac:dyDescent="0.3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 x14ac:dyDescent="0.3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3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3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3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3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3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3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3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3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3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3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35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35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 x14ac:dyDescent="0.3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3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3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3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3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3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3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3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3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3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3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35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35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 x14ac:dyDescent="0.3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 x14ac:dyDescent="0.3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3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3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3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3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3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3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3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3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3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3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35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35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 x14ac:dyDescent="0.3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3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3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3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3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3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3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3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3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3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3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35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35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 x14ac:dyDescent="0.3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 x14ac:dyDescent="0.3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3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3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3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3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3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3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3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3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3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3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35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35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 x14ac:dyDescent="0.3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3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3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3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3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3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3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3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3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3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3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35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35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 x14ac:dyDescent="0.3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 x14ac:dyDescent="0.3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3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3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3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3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3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3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3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3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3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3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35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35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 x14ac:dyDescent="0.3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3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3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3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3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3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3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3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3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3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3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35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35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 x14ac:dyDescent="0.3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 x14ac:dyDescent="0.3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3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3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3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3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3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3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3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3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3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3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35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35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 x14ac:dyDescent="0.3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3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3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3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3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3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3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3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3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3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3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35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35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3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 x14ac:dyDescent="0.3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3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3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3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3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3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3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3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3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3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3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35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35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 x14ac:dyDescent="0.3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3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3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3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3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3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3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3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3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3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3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35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35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3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 x14ac:dyDescent="0.3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3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3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3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3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3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3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3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3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3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3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35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35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 x14ac:dyDescent="0.3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3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3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3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3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3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3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3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3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3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3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35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35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3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 x14ac:dyDescent="0.3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3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3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3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3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3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3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3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3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3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3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35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35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 x14ac:dyDescent="0.3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3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3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3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3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3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3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3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3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3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3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35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35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 x14ac:dyDescent="0.3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2" activePane="bottomLeft" state="frozen"/>
      <selection pane="bottomLeft" activeCell="N411" sqref="N411"/>
    </sheetView>
  </sheetViews>
  <sheetFormatPr defaultColWidth="8.5546875" defaultRowHeight="14.4" x14ac:dyDescent="0.3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8671875" style="57" hidden="1" customWidth="1"/>
    <col min="7" max="7" width="13" style="57" customWidth="1"/>
    <col min="8" max="8" width="15.6640625" style="57" hidden="1" customWidth="1"/>
    <col min="9" max="10" width="13.88671875" style="57" hidden="1" customWidth="1"/>
    <col min="11" max="11" width="14" style="57" customWidth="1"/>
    <col min="12" max="12" width="36" style="57" customWidth="1"/>
    <col min="13" max="13" width="25.109375" style="57" customWidth="1"/>
    <col min="14" max="14" width="42.33203125" style="57" customWidth="1"/>
    <col min="15" max="15" width="18.44140625" style="57" customWidth="1"/>
    <col min="16" max="16" width="14" style="58" customWidth="1"/>
    <col min="17" max="17" width="14" style="57" customWidth="1"/>
    <col min="18" max="18" width="64.88671875" style="57" customWidth="1"/>
    <col min="19" max="19" width="25.5546875" customWidth="1"/>
    <col min="20" max="20" width="14.6640625" hidden="1" customWidth="1"/>
  </cols>
  <sheetData>
    <row r="1" spans="1:20" ht="37.5" customHeight="1" x14ac:dyDescent="0.3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 x14ac:dyDescent="0.3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3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3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3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3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3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3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3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3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3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3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35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35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3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323</v>
      </c>
      <c r="S16" s="60"/>
    </row>
    <row r="17" spans="1:20" ht="15" customHeight="1" x14ac:dyDescent="0.3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 x14ac:dyDescent="0.3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 x14ac:dyDescent="0.3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324</v>
      </c>
      <c r="S19" s="60"/>
    </row>
    <row r="20" spans="1:20" ht="15" customHeight="1" x14ac:dyDescent="0.3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3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3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325</v>
      </c>
      <c r="S22" s="60"/>
    </row>
    <row r="23" spans="1:20" ht="15" customHeight="1" x14ac:dyDescent="0.3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3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3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35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35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 x14ac:dyDescent="0.3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35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 x14ac:dyDescent="0.3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3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3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3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326</v>
      </c>
      <c r="S45" s="60"/>
    </row>
    <row r="46" spans="1:20" ht="15" customHeight="1" x14ac:dyDescent="0.3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3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3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3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3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3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3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35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35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 x14ac:dyDescent="0.3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 x14ac:dyDescent="0.3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327</v>
      </c>
      <c r="S59" s="60"/>
    </row>
    <row r="60" spans="1:20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328</v>
      </c>
      <c r="S60" s="60"/>
    </row>
    <row r="61" spans="1:20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3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35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329</v>
      </c>
      <c r="S69" s="60"/>
    </row>
    <row r="70" spans="1:20" ht="15" customHeight="1" x14ac:dyDescent="0.3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3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3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 x14ac:dyDescent="0.3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3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3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3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3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3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3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3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35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 x14ac:dyDescent="0.3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 x14ac:dyDescent="0.3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3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35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3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35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 x14ac:dyDescent="0.3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330</v>
      </c>
      <c r="S114" s="60"/>
    </row>
    <row r="115" spans="1:20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3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35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331</v>
      </c>
      <c r="S124" s="60"/>
    </row>
    <row r="125" spans="1:20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3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35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 x14ac:dyDescent="0.3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3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332</v>
      </c>
      <c r="S138" s="31"/>
    </row>
    <row r="139" spans="1:22" ht="15" customHeight="1" x14ac:dyDescent="0.3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333</v>
      </c>
      <c r="S139" s="31"/>
    </row>
    <row r="140" spans="1:22" ht="15" customHeight="1" x14ac:dyDescent="0.3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3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3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3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3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3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 x14ac:dyDescent="0.3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5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334</v>
      </c>
      <c r="S150" s="31"/>
    </row>
    <row r="151" spans="1:20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335</v>
      </c>
      <c r="S151" s="31"/>
    </row>
    <row r="152" spans="1:20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5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 x14ac:dyDescent="0.3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336</v>
      </c>
      <c r="S170" s="31"/>
    </row>
    <row r="171" spans="1:20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5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337</v>
      </c>
      <c r="S177" s="31"/>
    </row>
    <row r="178" spans="1:20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5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 x14ac:dyDescent="0.3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338</v>
      </c>
      <c r="S192" s="31"/>
    </row>
    <row r="193" spans="1:20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5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339</v>
      </c>
      <c r="S204" s="60"/>
    </row>
    <row r="205" spans="1:20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341</v>
      </c>
      <c r="S206" s="60"/>
    </row>
    <row r="207" spans="1:20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35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 x14ac:dyDescent="0.3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342</v>
      </c>
      <c r="S220" s="60"/>
    </row>
    <row r="221" spans="1:20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343</v>
      </c>
      <c r="S221" s="60"/>
    </row>
    <row r="222" spans="1:20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35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344</v>
      </c>
      <c r="S231" s="60"/>
    </row>
    <row r="232" spans="1:20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345</v>
      </c>
      <c r="S232" s="60"/>
    </row>
    <row r="233" spans="1:20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35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 x14ac:dyDescent="0.3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346</v>
      </c>
      <c r="S249" s="60"/>
    </row>
    <row r="250" spans="1:20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35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 x14ac:dyDescent="0.3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3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3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3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3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3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3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3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3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3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3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35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35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 x14ac:dyDescent="0.3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3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3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3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3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3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3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3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3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3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3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35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35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 x14ac:dyDescent="0.3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3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3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3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3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3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3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3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3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3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3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35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35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 x14ac:dyDescent="0.3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3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3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3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3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3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3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3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3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3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3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35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35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 x14ac:dyDescent="0.3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3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3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3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3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3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3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3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3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3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3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35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35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 x14ac:dyDescent="0.3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 x14ac:dyDescent="0.3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 x14ac:dyDescent="0.3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 x14ac:dyDescent="0.3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 x14ac:dyDescent="0.3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3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3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3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3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3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3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35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35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 x14ac:dyDescent="0.3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 x14ac:dyDescent="0.3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 x14ac:dyDescent="0.3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 x14ac:dyDescent="0.3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 x14ac:dyDescent="0.3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 x14ac:dyDescent="0.3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 x14ac:dyDescent="0.3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347</v>
      </c>
      <c r="S346" s="60"/>
    </row>
    <row r="347" spans="1:20" ht="15" customHeight="1" x14ac:dyDescent="0.3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348</v>
      </c>
      <c r="S347" s="60"/>
    </row>
    <row r="348" spans="1:20" ht="15" customHeight="1" x14ac:dyDescent="0.3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3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35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35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 x14ac:dyDescent="0.3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 x14ac:dyDescent="0.3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 x14ac:dyDescent="0.3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 x14ac:dyDescent="0.3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349</v>
      </c>
      <c r="S356" s="60"/>
    </row>
    <row r="357" spans="1:20" ht="15" customHeight="1" x14ac:dyDescent="0.3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 x14ac:dyDescent="0.3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350</v>
      </c>
      <c r="S358" s="60"/>
    </row>
    <row r="359" spans="1:20" ht="15" customHeight="1" x14ac:dyDescent="0.3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3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3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3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3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35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35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 x14ac:dyDescent="0.3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 x14ac:dyDescent="0.3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 x14ac:dyDescent="0.3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 x14ac:dyDescent="0.3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 x14ac:dyDescent="0.3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 x14ac:dyDescent="0.3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351</v>
      </c>
      <c r="S372" s="60"/>
    </row>
    <row r="373" spans="1:20" ht="15" customHeight="1" x14ac:dyDescent="0.3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 x14ac:dyDescent="0.3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3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3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35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35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 x14ac:dyDescent="0.3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 x14ac:dyDescent="0.3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 x14ac:dyDescent="0.3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 x14ac:dyDescent="0.3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 x14ac:dyDescent="0.3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 x14ac:dyDescent="0.3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0.71258148147899192</v>
      </c>
      <c r="R385" s="27" t="s">
        <v>352</v>
      </c>
      <c r="S385" s="60"/>
    </row>
    <row r="386" spans="1:20" ht="15" customHeight="1" x14ac:dyDescent="0.3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3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3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3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3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35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35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0.77716481481232513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 x14ac:dyDescent="0.3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353</v>
      </c>
      <c r="S394" s="60"/>
    </row>
    <row r="395" spans="1:20" ht="15" customHeight="1" x14ac:dyDescent="0.3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 x14ac:dyDescent="0.3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3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3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3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3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3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3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3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35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35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 x14ac:dyDescent="0.3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0.83688703703454737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4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16.8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354</v>
      </c>
      <c r="S407" s="60"/>
    </row>
    <row r="408" spans="1:20" ht="15" customHeight="1" x14ac:dyDescent="0.3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 x14ac:dyDescent="0.3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 x14ac:dyDescent="0.3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 x14ac:dyDescent="0.3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 x14ac:dyDescent="0.3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 x14ac:dyDescent="0.3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3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3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3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3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35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35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4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16.8</v>
      </c>
      <c r="L419" s="37"/>
      <c r="M419" s="37"/>
      <c r="N419" s="37"/>
      <c r="O419" s="61"/>
      <c r="P419" s="61"/>
      <c r="Q419" s="38">
        <f ca="1">IFERROR(SUM(Q407:Q418),"")</f>
        <v>1.2500000000000011E-2</v>
      </c>
      <c r="R419" s="36" t="s">
        <v>245</v>
      </c>
      <c r="S419" s="39"/>
      <c r="T419" s="119">
        <f>IFERROR(J419,"")</f>
        <v>0</v>
      </c>
    </row>
    <row r="420" spans="1:20" ht="15" customHeight="1" x14ac:dyDescent="0.3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 x14ac:dyDescent="0.3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 x14ac:dyDescent="0.3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 x14ac:dyDescent="0.3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 x14ac:dyDescent="0.3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 x14ac:dyDescent="0.3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 x14ac:dyDescent="0.3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 x14ac:dyDescent="0.3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 x14ac:dyDescent="0.3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3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3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35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35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 x14ac:dyDescent="0.3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4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16.8</v>
      </c>
      <c r="L433" s="41"/>
      <c r="M433" s="41"/>
      <c r="N433" s="41"/>
      <c r="O433" s="63"/>
      <c r="P433" s="63"/>
      <c r="Q433" s="42">
        <f ca="1">IFERROR(Q419+Q432,"")</f>
        <v>1.2500000000000011E-2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 x14ac:dyDescent="0.3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 x14ac:dyDescent="0.3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 x14ac:dyDescent="0.3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3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3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3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3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3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3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3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3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35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35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 x14ac:dyDescent="0.3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 x14ac:dyDescent="0.3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 x14ac:dyDescent="0.3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 x14ac:dyDescent="0.3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 x14ac:dyDescent="0.3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 x14ac:dyDescent="0.3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 x14ac:dyDescent="0.3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3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3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3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3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35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35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 x14ac:dyDescent="0.3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 x14ac:dyDescent="0.3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 x14ac:dyDescent="0.3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 x14ac:dyDescent="0.3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 x14ac:dyDescent="0.3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 x14ac:dyDescent="0.3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 x14ac:dyDescent="0.3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 x14ac:dyDescent="0.3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 x14ac:dyDescent="0.3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 x14ac:dyDescent="0.3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 x14ac:dyDescent="0.3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 x14ac:dyDescent="0.3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 x14ac:dyDescent="0.35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 x14ac:dyDescent="0.35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 x14ac:dyDescent="0.3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 x14ac:dyDescent="0.3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 x14ac:dyDescent="0.3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 x14ac:dyDescent="0.3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 x14ac:dyDescent="0.3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 x14ac:dyDescent="0.3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 x14ac:dyDescent="0.3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 x14ac:dyDescent="0.3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 x14ac:dyDescent="0.3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 x14ac:dyDescent="0.3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 x14ac:dyDescent="0.3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 x14ac:dyDescent="0.35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 x14ac:dyDescent="0.35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 x14ac:dyDescent="0.3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 x14ac:dyDescent="0.3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3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3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3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3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3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 x14ac:dyDescent="0.3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 x14ac:dyDescent="0.3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 x14ac:dyDescent="0.3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 x14ac:dyDescent="0.3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 x14ac:dyDescent="0.3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 x14ac:dyDescent="0.35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 x14ac:dyDescent="0.35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 x14ac:dyDescent="0.3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 x14ac:dyDescent="0.3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 x14ac:dyDescent="0.3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 x14ac:dyDescent="0.3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 x14ac:dyDescent="0.3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 x14ac:dyDescent="0.3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 x14ac:dyDescent="0.3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 x14ac:dyDescent="0.3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 x14ac:dyDescent="0.3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 x14ac:dyDescent="0.3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 x14ac:dyDescent="0.3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 x14ac:dyDescent="0.35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 x14ac:dyDescent="0.35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 x14ac:dyDescent="0.3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 x14ac:dyDescent="0.3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 x14ac:dyDescent="0.3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 x14ac:dyDescent="0.3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 x14ac:dyDescent="0.3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 x14ac:dyDescent="0.3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 x14ac:dyDescent="0.3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 x14ac:dyDescent="0.3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 x14ac:dyDescent="0.3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 x14ac:dyDescent="0.3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 x14ac:dyDescent="0.3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 x14ac:dyDescent="0.3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 x14ac:dyDescent="0.35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 x14ac:dyDescent="0.35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 x14ac:dyDescent="0.3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 x14ac:dyDescent="0.3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 x14ac:dyDescent="0.3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 x14ac:dyDescent="0.3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 x14ac:dyDescent="0.3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 x14ac:dyDescent="0.3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 x14ac:dyDescent="0.3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 x14ac:dyDescent="0.3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 x14ac:dyDescent="0.3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 x14ac:dyDescent="0.3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 x14ac:dyDescent="0.3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 x14ac:dyDescent="0.35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 x14ac:dyDescent="0.35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 x14ac:dyDescent="0.3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 x14ac:dyDescent="0.3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 x14ac:dyDescent="0.3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 x14ac:dyDescent="0.3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 x14ac:dyDescent="0.3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 x14ac:dyDescent="0.3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 x14ac:dyDescent="0.3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 x14ac:dyDescent="0.3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 x14ac:dyDescent="0.3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 x14ac:dyDescent="0.3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 x14ac:dyDescent="0.3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 x14ac:dyDescent="0.3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 x14ac:dyDescent="0.35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 x14ac:dyDescent="0.35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 x14ac:dyDescent="0.3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3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 x14ac:dyDescent="0.3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 x14ac:dyDescent="0.3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 x14ac:dyDescent="0.3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 x14ac:dyDescent="0.3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 x14ac:dyDescent="0.3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 x14ac:dyDescent="0.3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 x14ac:dyDescent="0.3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 x14ac:dyDescent="0.3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 x14ac:dyDescent="0.3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 x14ac:dyDescent="0.35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 x14ac:dyDescent="0.35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 x14ac:dyDescent="0.3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 x14ac:dyDescent="0.3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 x14ac:dyDescent="0.3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 x14ac:dyDescent="0.3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 x14ac:dyDescent="0.3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 x14ac:dyDescent="0.3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 x14ac:dyDescent="0.3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 x14ac:dyDescent="0.3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3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3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3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3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35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35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 x14ac:dyDescent="0.3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 x14ac:dyDescent="0.3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 x14ac:dyDescent="0.3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 x14ac:dyDescent="0.3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 x14ac:dyDescent="0.3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 x14ac:dyDescent="0.3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 x14ac:dyDescent="0.3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 x14ac:dyDescent="0.3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 x14ac:dyDescent="0.3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 x14ac:dyDescent="0.3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 x14ac:dyDescent="0.3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 x14ac:dyDescent="0.35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 x14ac:dyDescent="0.35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 x14ac:dyDescent="0.3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 x14ac:dyDescent="0.3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 x14ac:dyDescent="0.3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 x14ac:dyDescent="0.3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 x14ac:dyDescent="0.3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 x14ac:dyDescent="0.3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 x14ac:dyDescent="0.3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 x14ac:dyDescent="0.3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 x14ac:dyDescent="0.3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 x14ac:dyDescent="0.3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 x14ac:dyDescent="0.3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 x14ac:dyDescent="0.3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 x14ac:dyDescent="0.35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 x14ac:dyDescent="0.35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 x14ac:dyDescent="0.3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 x14ac:dyDescent="0.3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 x14ac:dyDescent="0.3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 x14ac:dyDescent="0.3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 x14ac:dyDescent="0.3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 x14ac:dyDescent="0.3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 x14ac:dyDescent="0.3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 x14ac:dyDescent="0.3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 x14ac:dyDescent="0.3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 x14ac:dyDescent="0.3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 x14ac:dyDescent="0.3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 x14ac:dyDescent="0.35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 x14ac:dyDescent="0.35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 x14ac:dyDescent="0.3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 x14ac:dyDescent="0.3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 x14ac:dyDescent="0.3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 x14ac:dyDescent="0.3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 x14ac:dyDescent="0.3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 x14ac:dyDescent="0.3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 x14ac:dyDescent="0.3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 x14ac:dyDescent="0.3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 x14ac:dyDescent="0.3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 x14ac:dyDescent="0.3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 x14ac:dyDescent="0.3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 x14ac:dyDescent="0.3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 x14ac:dyDescent="0.35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 x14ac:dyDescent="0.35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 x14ac:dyDescent="0.3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 x14ac:dyDescent="0.3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 x14ac:dyDescent="0.3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 x14ac:dyDescent="0.3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 x14ac:dyDescent="0.3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 x14ac:dyDescent="0.3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 x14ac:dyDescent="0.3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 x14ac:dyDescent="0.3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 x14ac:dyDescent="0.3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 x14ac:dyDescent="0.3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 x14ac:dyDescent="0.3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 x14ac:dyDescent="0.35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 x14ac:dyDescent="0.35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 x14ac:dyDescent="0.3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 x14ac:dyDescent="0.3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 x14ac:dyDescent="0.3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 x14ac:dyDescent="0.3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 x14ac:dyDescent="0.3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 x14ac:dyDescent="0.3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 x14ac:dyDescent="0.3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 x14ac:dyDescent="0.3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 x14ac:dyDescent="0.3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 x14ac:dyDescent="0.3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 x14ac:dyDescent="0.3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 x14ac:dyDescent="0.3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 x14ac:dyDescent="0.35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 x14ac:dyDescent="0.35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 x14ac:dyDescent="0.3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 x14ac:dyDescent="0.3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 x14ac:dyDescent="0.3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 x14ac:dyDescent="0.3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 x14ac:dyDescent="0.3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 x14ac:dyDescent="0.3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 x14ac:dyDescent="0.3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 x14ac:dyDescent="0.3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 x14ac:dyDescent="0.3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 x14ac:dyDescent="0.3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 x14ac:dyDescent="0.3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 x14ac:dyDescent="0.35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 x14ac:dyDescent="0.35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 x14ac:dyDescent="0.3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 x14ac:dyDescent="0.3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 x14ac:dyDescent="0.3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 x14ac:dyDescent="0.3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 x14ac:dyDescent="0.3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 x14ac:dyDescent="0.3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 x14ac:dyDescent="0.3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 x14ac:dyDescent="0.3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 x14ac:dyDescent="0.3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 x14ac:dyDescent="0.3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 x14ac:dyDescent="0.3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 x14ac:dyDescent="0.3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 x14ac:dyDescent="0.35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 x14ac:dyDescent="0.35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 x14ac:dyDescent="0.3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 x14ac:dyDescent="0.3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 x14ac:dyDescent="0.3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 x14ac:dyDescent="0.3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 x14ac:dyDescent="0.3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 x14ac:dyDescent="0.3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 x14ac:dyDescent="0.3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 x14ac:dyDescent="0.3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 x14ac:dyDescent="0.3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 x14ac:dyDescent="0.3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 x14ac:dyDescent="0.3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 x14ac:dyDescent="0.35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 x14ac:dyDescent="0.35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 x14ac:dyDescent="0.3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 x14ac:dyDescent="0.3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 x14ac:dyDescent="0.3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 x14ac:dyDescent="0.3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 x14ac:dyDescent="0.3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 x14ac:dyDescent="0.3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 x14ac:dyDescent="0.3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 x14ac:dyDescent="0.3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 x14ac:dyDescent="0.3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 x14ac:dyDescent="0.3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 x14ac:dyDescent="0.3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 x14ac:dyDescent="0.3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 x14ac:dyDescent="0.35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 x14ac:dyDescent="0.35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 x14ac:dyDescent="0.3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 x14ac:dyDescent="0.3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 x14ac:dyDescent="0.3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 x14ac:dyDescent="0.3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 x14ac:dyDescent="0.3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 x14ac:dyDescent="0.3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 x14ac:dyDescent="0.3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 x14ac:dyDescent="0.3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 x14ac:dyDescent="0.3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 x14ac:dyDescent="0.3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 x14ac:dyDescent="0.3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 x14ac:dyDescent="0.35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 x14ac:dyDescent="0.35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 x14ac:dyDescent="0.3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 x14ac:dyDescent="0.3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 x14ac:dyDescent="0.3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 x14ac:dyDescent="0.3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 x14ac:dyDescent="0.3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 x14ac:dyDescent="0.3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 x14ac:dyDescent="0.3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 x14ac:dyDescent="0.3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 x14ac:dyDescent="0.3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 x14ac:dyDescent="0.3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 x14ac:dyDescent="0.3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 x14ac:dyDescent="0.3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 x14ac:dyDescent="0.35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 x14ac:dyDescent="0.35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 x14ac:dyDescent="0.3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 x14ac:dyDescent="0.3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 x14ac:dyDescent="0.3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 x14ac:dyDescent="0.3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 x14ac:dyDescent="0.3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 x14ac:dyDescent="0.3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 x14ac:dyDescent="0.3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 x14ac:dyDescent="0.3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 x14ac:dyDescent="0.3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 x14ac:dyDescent="0.3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 x14ac:dyDescent="0.3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 x14ac:dyDescent="0.35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 x14ac:dyDescent="0.35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3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 x14ac:dyDescent="0.3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 x14ac:dyDescent="0.3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 x14ac:dyDescent="0.3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 x14ac:dyDescent="0.3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 x14ac:dyDescent="0.3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 x14ac:dyDescent="0.3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 x14ac:dyDescent="0.3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 x14ac:dyDescent="0.3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 x14ac:dyDescent="0.3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 x14ac:dyDescent="0.3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 x14ac:dyDescent="0.3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 x14ac:dyDescent="0.35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 x14ac:dyDescent="0.35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 x14ac:dyDescent="0.3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 x14ac:dyDescent="0.3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 x14ac:dyDescent="0.3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 x14ac:dyDescent="0.3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 x14ac:dyDescent="0.3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 x14ac:dyDescent="0.3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 x14ac:dyDescent="0.3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 x14ac:dyDescent="0.3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 x14ac:dyDescent="0.3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 x14ac:dyDescent="0.3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 x14ac:dyDescent="0.3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 x14ac:dyDescent="0.35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 x14ac:dyDescent="0.35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3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 x14ac:dyDescent="0.3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 x14ac:dyDescent="0.3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 x14ac:dyDescent="0.3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 x14ac:dyDescent="0.3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 x14ac:dyDescent="0.3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 x14ac:dyDescent="0.3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 x14ac:dyDescent="0.3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 x14ac:dyDescent="0.3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 x14ac:dyDescent="0.3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 x14ac:dyDescent="0.3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 x14ac:dyDescent="0.3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 x14ac:dyDescent="0.35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 x14ac:dyDescent="0.35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 x14ac:dyDescent="0.3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 x14ac:dyDescent="0.3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 x14ac:dyDescent="0.3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 x14ac:dyDescent="0.3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 x14ac:dyDescent="0.3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 x14ac:dyDescent="0.3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 x14ac:dyDescent="0.3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 x14ac:dyDescent="0.3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 x14ac:dyDescent="0.3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 x14ac:dyDescent="0.3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 x14ac:dyDescent="0.3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 x14ac:dyDescent="0.35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 x14ac:dyDescent="0.35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3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 x14ac:dyDescent="0.3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 x14ac:dyDescent="0.3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 x14ac:dyDescent="0.3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 x14ac:dyDescent="0.3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 x14ac:dyDescent="0.3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 x14ac:dyDescent="0.3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 x14ac:dyDescent="0.3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 x14ac:dyDescent="0.3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 x14ac:dyDescent="0.3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 x14ac:dyDescent="0.3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 x14ac:dyDescent="0.3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 x14ac:dyDescent="0.35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 x14ac:dyDescent="0.35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 x14ac:dyDescent="0.3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 x14ac:dyDescent="0.3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 x14ac:dyDescent="0.3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 x14ac:dyDescent="0.3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 x14ac:dyDescent="0.3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 x14ac:dyDescent="0.3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 x14ac:dyDescent="0.3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 x14ac:dyDescent="0.3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 x14ac:dyDescent="0.3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 x14ac:dyDescent="0.3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 x14ac:dyDescent="0.3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 x14ac:dyDescent="0.35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 x14ac:dyDescent="0.35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 x14ac:dyDescent="0.3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2026-08-16T12:10:39Z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