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278" documentId="8_{AF585B22-221D-4780-BB9C-493D365A6A02}" xr6:coauthVersionLast="47" xr6:coauthVersionMax="47" xr10:uidLastSave="{449FFF6A-A8E6-46DA-9A6E-2F6BEF5CDC6A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<sst xmlns="http://schemas.openxmlformats.org/spreadsheetml/2006/main" count="5651" uniqueCount="309">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</sst>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1525000</v>
      </c>
      <c r="D16" s="8">
        <f>IFERROR('Linha 1'!O352,"")</f>
        <v>837000</v>
      </c>
      <c r="E16" s="8">
        <f>IFERROR('Linha 2'!O352,"")</f>
        <v>168000</v>
      </c>
      <c r="F16" s="8">
        <f>IFERROR('Linha 3'!O352,"")</f>
        <v>780000</v>
      </c>
      <c r="G16" s="9">
        <f t="shared" si="0"/>
        <v>1785000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38288228</v>
      </c>
      <c r="D35" s="13">
        <f>IFERROR(SUM(D4:D34),"")</f>
        <v>13827250</v>
      </c>
      <c r="E35" s="13">
        <f>IFERROR(SUM(E4:E34),"")</f>
        <v>9359510</v>
      </c>
      <c r="F35" s="13">
        <f>IFERROR(SUM(F4:F34),"")</f>
        <v>17418500</v>
      </c>
      <c r="G35" s="13">
        <f>IFERROR(SUM(G4:G34),"")</f>
        <v>40605260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16" activePane="bottomLeft" state="frozen"/>
      <selection pane="bottomLeft" activeCell="N342" sqref="N34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305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9.7916666666666652E-2</v>
      </c>
      <c r="N352" s="40" t="s">
        <v>222</v>
      </c>
      <c r="O352" s="48">
        <f>IFERROR(O338+O351,"")</f>
        <v>1525000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B320" activePane="bottomLeft" state="frozen"/>
      <selection pane="bottomLeft" activeCell="E339" sqref="E33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22</v>
      </c>
      <c r="G339" s="34">
        <f t="shared" ref="G339:G350" si="75">IF(F339="","",IF(E339="PC 17",F339*4.2,IF(E339="PC 19",F339*5,"")))</f>
        <v>92.4</v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22</v>
      </c>
      <c r="G351" s="36">
        <f>SUM(G339:G350)</f>
        <v>92.4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219</v>
      </c>
      <c r="G352" s="40">
        <f>G338+G351</f>
        <v>929.40000000000009</v>
      </c>
      <c r="H352" s="41"/>
      <c r="I352" s="41"/>
      <c r="J352" s="41"/>
      <c r="K352" s="41"/>
      <c r="L352" s="41"/>
      <c r="M352" s="42">
        <f ca="1">IFERROR(M338+M351,"")</f>
        <v>6.9444444444444475E-2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05" zoomScale="50" zoomScaleNormal="50" workbookViewId="0">
      <selection activeCell="F340" sqref="F34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272</v>
      </c>
      <c r="N166" s="27" t="s">
        <v>273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268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>
        <v>17</v>
      </c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17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57</v>
      </c>
      <c r="G352" s="40">
        <f>G338+G351</f>
        <v>168.00000000000003</v>
      </c>
      <c r="H352" s="41"/>
      <c r="I352" s="41"/>
      <c r="J352" s="41"/>
      <c r="K352" s="41"/>
      <c r="L352" s="41"/>
      <c r="M352" s="42">
        <f ca="1">IFERROR(M338+M351,"")</f>
        <v>0.23402777777777789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21" activePane="bottomLeft" state="frozen"/>
      <selection pane="bottomLeft" activeCell="F340" sqref="F34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287</v>
      </c>
      <c r="L58" s="29">
        <v>0.54097222222222219</v>
      </c>
      <c r="M58" s="30" t="str">
        <f t="shared" ca="1" si="13"/>
        <v/>
      </c>
      <c r="N58" s="27" t="s">
        <v>288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0.60664351852028631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0.80594907407584193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1.173310185186953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268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>
        <v>10</v>
      </c>
      <c r="G339" s="34" t="str">
        <f t="shared" ref="G339:G350" si="75">IF(F339="","",IF(E339="PC 17",F339*4.2,IF(E339="PC 19",F339*5,"")))</f>
        <v/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/>
      <c r="G340" s="28" t="str">
        <f t="shared" si="75"/>
        <v/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10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2.9861111111111116E-2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193</v>
      </c>
      <c r="G352" s="40">
        <f>G338+G351</f>
        <v>780.6</v>
      </c>
      <c r="H352" s="41"/>
      <c r="I352" s="41"/>
      <c r="J352" s="41"/>
      <c r="K352" s="63"/>
      <c r="L352" s="63"/>
      <c r="M352" s="42">
        <f ca="1">IFERROR(M338+M351,"")</f>
        <v>0.13888888888888884</v>
      </c>
      <c r="N352" s="40" t="s">
        <v>222</v>
      </c>
      <c r="O352" s="48">
        <f>IFERROR(O338+O351,"")</f>
        <v>780000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2026-07-14T00:33:05Z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