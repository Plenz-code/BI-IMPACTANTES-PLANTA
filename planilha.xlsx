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38" documentId="13_ncr:1_{0A10D8D4-8450-4366-8075-B53B08E6B7EA}" xr6:coauthVersionLast="47" xr6:coauthVersionMax="47" xr10:uidLastSave="{97651443-0864-46C3-B885-D14C8EF38F3F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2" i="6"/>
  <c r="J422" i="6" s="1"/>
  <c r="H423" i="6"/>
  <c r="J423" i="6" s="1"/>
  <c r="H424" i="6"/>
  <c r="J424" i="6" s="1"/>
  <c r="H425" i="6"/>
  <c r="J425" i="6" s="1"/>
  <c r="H426" i="6"/>
  <c r="J426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2" i="5"/>
  <c r="J422" i="5" s="1"/>
  <c r="H423" i="5"/>
  <c r="J423" i="5" s="1"/>
  <c r="H424" i="5"/>
  <c r="J424" i="5" s="1"/>
  <c r="H425" i="5"/>
  <c r="J425" i="5" s="1"/>
  <c r="H426" i="5"/>
  <c r="J426" i="5" s="1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2" i="4"/>
  <c r="J422" i="4" s="1"/>
  <c r="H423" i="4"/>
  <c r="J423" i="4" s="1"/>
  <c r="H424" i="4"/>
  <c r="J424" i="4" s="1"/>
  <c r="H425" i="4"/>
  <c r="J425" i="4" s="1"/>
  <c r="H426" i="4"/>
  <c r="J426" i="4" s="1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0" i="6" l="1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<sst xmlns="http://schemas.openxmlformats.org/spreadsheetml/2006/main" count="7303" uniqueCount="358">
  <si>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</si>
  <si>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</si>
  <si>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</si>
  <si>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</si>
  <si>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</si>
  <si>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</si>
  <si>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</si>
  <si>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</si>
  <si>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</si>
  <si>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</si>
  <si>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</si>
  <si>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</si>
  <si>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</si>
  <si>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</si>
  <si>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</si>
  <si>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</si>
  <si>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</si>
  <si>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</si>
  <si>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</si>
  <si>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</si>
  <si>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</si>
  <si>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</si>
  <si>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</si>
  <si>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</si>
  <si>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</si>
  <si>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</si>
  <si>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</si>
  <si>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</si>
  <si>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</si>
  <si>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</si>
  <si>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</si>
  <si>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</si>
  <si>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</si>
  <si>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</si>
  <si>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</si>
  <si>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</si>
  <si>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</si>
  <si>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</si>
  <si>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</si>
  <si>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</si>
  <si>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</si>
  <si>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</si>
  <si>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</si>
  <si>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</si>
  <si>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</si>
  <si>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</si>
  <si>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</si>
  <si>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</si>
  <si>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</si>
  <si>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</si>
  <si>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</si>
  <si>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</si>
  <si>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</si>
  <si>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</si>
  <si>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</si>
  <si>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</si>
  <si>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</si>
  <si>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</si>
  <si>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</si>
  <si>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</si>
  <si>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</si>
  <si>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</si>
  <si>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</si>
  <si>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</si>
  <si>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</si>
  <si>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</si>
  <si>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</si>
  <si>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</si>
  <si>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</si>
  <si>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</si>
  <si>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</si>
  <si>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</si>
  <si>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</si>
  <si>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</si>
  <si>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</si>
  <si>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</si>
  <si>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</si>
  <si>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</si>
  <si>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</si>
  <si>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</si>
  <si>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</si>
  <si>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</si>
  <si>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</si>
  <si>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</si>
  <si>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</si>
  <si>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</si>
  <si>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</si>
  <si>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</si>
  <si>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</si>
  <si>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</si>
  <si>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</si>
  <si>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</si>
  <si>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</si>
  <si>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</si>
  <si>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</si>
  <si>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</si>
  <si>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</si>
  <si>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</si>
  <si>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</si>
  <si>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</si>
  <si>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</si>
  <si>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</si>
  <si>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</si>
  <si>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</si>
  <si>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</si>
  <si>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</si>
  <si>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</si>
  <si>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</si>
  <si>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</si>
  <si>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</si>
  <si>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</si>
  <si>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</si>
  <si>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</si>
  <si>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</si>
  <si>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</si>
  <si>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</si>
  <si>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</si>
  <si>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</si>
  <si>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</si>
  <si>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</si>
  <si>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</si>
  <si>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</si>
  <si>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</si>
  <si>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</si>
  <si>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</si>
  <si>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</si>
  <si>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</si>
  <si>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</si>
  <si>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</si>
  <si>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</si>
  <si>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</si>
  <si>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</si>
  <si>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</si>
  <si>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</si>
  <si>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</si>
  <si>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</si>
  <si>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</si>
  <si>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</si>
  <si>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</si>
  <si>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</si>
  <si>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</si>
  <si>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</si>
  <si>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</si>
  <si>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</si>
  <si>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</si>
  <si>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</si>
  <si>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</si>
  <si>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</si>
  <si>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</si>
  <si>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</si>
  <si>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</si>
  <si>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</si>
  <si>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</si>
  <si>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</si>
  <si>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</si>
  <si>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</si>
  <si>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</si>
  <si>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</si>
  <si>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</si>
  <si>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</si>
  <si>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</si>
  <si>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</si>
  <si>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</si>
  <si>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</si>
  <si>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</si>
  <si>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</si>
  <si>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</si>
  <si>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</si>
  <si>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</si>
  <si>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</si>
  <si>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</si>
  <si>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</si>
  <si>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</si>
  <si>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</si>
  <si>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</si>
  <si>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</si>
  <si>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</si>
  <si>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</si>
  <si>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</si>
  <si>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</si>
  <si>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</si>
  <si>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</si>
  <si>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</si>
  <si>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</si>
  <si>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</si>
  <si>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</si>
  <si>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</si>
  <si>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</si>
  <si>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</si>
  <si>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</si>
  <si>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</si>
  <si>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</si>
  <si>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</si>
  <si>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</si>
  <si>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</si>
  <si>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</si>
  <si>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</si>
  <si>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</si>
  <si>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</si>
  <si>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</si>
  <si>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</si>
  <si>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</si>
  <si>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</si>
  <si>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</si>
  <si>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</si>
  <si>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</si>
  <si>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</si>
  <si>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</si>
  <si>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</si>
  <si>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</si>
  <si>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</si>
  <si>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</si>
  <si>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</si>
  <si>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</si>
  <si>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</si>
  <si>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</si>
  <si>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</si>
  <si>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</si>
  <si>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</si>
  <si>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</si>
  <si>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</si>
  <si>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</si>
  <si>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</si>
  <si>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</si>
  <si>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</si>
  <si>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</si>
  <si>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</si>
  <si>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</si>
  <si>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</si>
  <si>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</si>
  <si>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</si>
  <si>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</si>
  <si>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</si>
  <si>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</si>
  <si>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</si>
  <si>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</si>
  <si>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</si>
  <si>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</si>
  <si>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</si>
  <si>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</si>
  <si>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</si>
  <si>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</si>
  <si>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</si>
  <si>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</si>
  <si>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</si>
  <si>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</si>
  <si>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</si>
  <si>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</si>
  <si>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</si>
  <si>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</si>
  <si>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</si>
  <si>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</si>
  <si>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</si>
  <si>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</si>
  <si>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</si>
  <si>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</si>
  <si>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</si>
  <si>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</si>
  <si>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</si>
  <si>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</si>
  <si>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</si>
  <si>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</si>
  <si>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</si>
  <si>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</si>
  <si>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</si>
  <si>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</si>
  <si>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</si>
  <si>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</si>
  <si>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</si>
  <si>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</si>
  <si>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</si>
  <si>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</si>
  <si>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</si>
  <si>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</si>
  <si>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</si>
  <si>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</si>
  <si>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</si>
  <si>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</si>
  <si>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</si>
  <si>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</si>
  <si>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</si>
  <si>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</si>
  <si>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</si>
  <si>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</si>
  <si>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</si>
  <si>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</si>
  <si>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</si>
  <si>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</si>
  <si>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</si>
  <si>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</si>
  <si>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</si>
  <si>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</si>
  <si>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</si>
  <si>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</si>
  <si>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</si>
  <si>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</si>
  <si>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</si>
  <si>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</si>
  <si>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</si>
  <si>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</si>
  <si>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</si>
  <si>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</si>
  <si>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</si>
  <si>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</si>
  <si>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</si>
  <si>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grelha, material não britado no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</si>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</sst>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22" sqref="F422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55</v>
      </c>
      <c r="G432" s="36">
        <f>SUM(G420:G431)</f>
        <v>275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265</v>
      </c>
      <c r="G433" s="40">
        <f>G419+G432</f>
        <v>1325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94" activePane="bottomLeft" state="frozen"/>
      <selection pane="bottomLeft" activeCell="R422" sqref="R422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0.77373368055123137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0.91262256944012021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0.99734479166234258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/>
      <c r="Q420" s="30">
        <f t="shared" ref="Q420:Q431" ca="1" si="104">IFERROR(IF(O420="","",IF(P420="",MOD(NOW()-O420,1),IF(P420&gt;=O420,P420-O420,P420+1-O420))),"")</f>
        <v>2.2344791665091179E-2</v>
      </c>
      <c r="R420" s="46" t="s">
        <v>305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37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155.4</v>
      </c>
      <c r="L432" s="37"/>
      <c r="M432" s="37"/>
      <c r="N432" s="37"/>
      <c r="O432" s="37"/>
      <c r="P432" s="37"/>
      <c r="Q432" s="38">
        <f ca="1">IFERROR(SUM(Q420:Q431),"")</f>
        <v>2.2344791665091179E-2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184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772.80000000000007</v>
      </c>
      <c r="L433" s="41"/>
      <c r="M433" s="41"/>
      <c r="N433" s="41"/>
      <c r="O433" s="41"/>
      <c r="P433" s="41"/>
      <c r="Q433" s="42">
        <f ca="1">IFERROR(Q419+Q432,"")</f>
        <v>0.11331701388731341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R421" sqref="R421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319</v>
      </c>
      <c r="Q222" s="30" t="str">
        <f t="shared" ca="1" si="49"/>
        <v/>
      </c>
      <c r="R222" s="27" t="s">
        <v>320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/>
      <c r="Q420" s="30">
        <f t="shared" ref="Q420:Q431" ca="1" si="102">IFERROR(IF(O420="","",IF(P420="",MOD(NOW()-O420,1),IF(P420&gt;=O420,P420-O420,P420+1-O420))),"")</f>
        <v>2.6511458330787718E-2</v>
      </c>
      <c r="R420" s="86" t="s">
        <v>325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9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37.800000000000004</v>
      </c>
      <c r="L432" s="37"/>
      <c r="M432" s="37"/>
      <c r="N432" s="37"/>
      <c r="O432" s="37"/>
      <c r="P432" s="37"/>
      <c r="Q432" s="38">
        <f ca="1">IFERROR(SUM(Q420:Q431),"")</f>
        <v>2.6511458330787718E-2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130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546</v>
      </c>
      <c r="L433" s="41"/>
      <c r="M433" s="41"/>
      <c r="N433" s="41"/>
      <c r="O433" s="41"/>
      <c r="P433" s="41"/>
      <c r="Q433" s="42">
        <f ca="1">IFERROR(Q419+Q432,"")</f>
        <v>9.9428124997454459E-2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G422" sqref="G422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27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113.4</v>
      </c>
      <c r="L432" s="37"/>
      <c r="M432" s="37"/>
      <c r="N432" s="37"/>
      <c r="O432" s="61"/>
      <c r="P432" s="61"/>
      <c r="Q432" s="38">
        <f ca="1">IFERROR(SUM(Q420:Q431),"")</f>
        <v>2.3611111111111249E-2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169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709.80000000000007</v>
      </c>
      <c r="L433" s="41"/>
      <c r="M433" s="41"/>
      <c r="N433" s="41"/>
      <c r="O433" s="63"/>
      <c r="P433" s="63"/>
      <c r="Q433" s="42">
        <f ca="1">IFERROR(Q419+Q432,"")</f>
        <v>0.13888888888888906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2026-08-17T01:29:13Z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