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05" documentId="8_{AF585B22-221D-4780-BB9C-493D365A6A02}" xr6:coauthVersionLast="47" xr6:coauthVersionMax="47" xr10:uidLastSave="{F7AE12FE-389B-49BC-B7F2-2C7DF2DB95A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<sst xmlns="http://schemas.openxmlformats.org/spreadsheetml/2006/main" count="5128" uniqueCount="297">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</sst>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4" sqref="K6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5" sqref="F3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213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217</v>
      </c>
      <c r="O27" s="39">
        <v>1183060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217</v>
      </c>
      <c r="O54" s="39">
        <v>959290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217</v>
      </c>
      <c r="O81" s="39">
        <v>878050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217</v>
      </c>
      <c r="O108" s="39">
        <v>1700000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217</v>
      </c>
      <c r="O135" s="39">
        <v>862330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217</v>
      </c>
      <c r="O162" s="44">
        <v>1546080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217</v>
      </c>
      <c r="O189" s="39">
        <v>2355810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217</v>
      </c>
      <c r="O216" s="45">
        <v>2013260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217</v>
      </c>
      <c r="O243" s="39">
        <v>1545480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217</v>
      </c>
      <c r="O270" s="39">
        <v>1182690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228</v>
      </c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217</v>
      </c>
      <c r="O297" s="39">
        <v>1843460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229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214</v>
      </c>
      <c r="F301" s="27">
        <v>20.5</v>
      </c>
      <c r="G301" s="34">
        <f t="shared" si="66"/>
        <v>102.5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81.5</v>
      </c>
      <c r="G311" s="36">
        <f>SUM(G299:G310)</f>
        <v>407.5</v>
      </c>
      <c r="H311" s="37"/>
      <c r="I311" s="37"/>
      <c r="J311" s="37"/>
      <c r="K311" s="37"/>
      <c r="L311" s="37"/>
      <c r="M311" s="38">
        <f ca="1">IFERROR(SUM(M299:M310),"")</f>
        <v>7.9861111111111216E-2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81.5</v>
      </c>
      <c r="G325" s="40">
        <f>G311+G324</f>
        <v>407.5</v>
      </c>
      <c r="H325" s="41"/>
      <c r="I325" s="41"/>
      <c r="J325" s="41"/>
      <c r="K325" s="41"/>
      <c r="L325" s="41"/>
      <c r="M325" s="42">
        <f ca="1">IFERROR(M311+M324,"")</f>
        <v>7.9861111111111216E-2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5" sqref="F3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217</v>
      </c>
      <c r="O27" s="78">
        <v>393200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85">
        <v>276360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217</v>
      </c>
      <c r="O81" s="54">
        <v>787860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217</v>
      </c>
      <c r="O108" s="54">
        <v>1087080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217</v>
      </c>
      <c r="O135" s="54">
        <v>794480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217</v>
      </c>
      <c r="O162" s="54">
        <v>882280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217</v>
      </c>
      <c r="O189" s="78"/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217</v>
      </c>
      <c r="O216" s="78">
        <v>648410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217</v>
      </c>
      <c r="O243" s="78">
        <v>849060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217</v>
      </c>
      <c r="O270" s="78">
        <v>625070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217</v>
      </c>
      <c r="O297" s="78">
        <v>761660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18</v>
      </c>
      <c r="G302" s="28">
        <f t="shared" si="66"/>
        <v>75.600000000000009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10</v>
      </c>
      <c r="G303" s="34">
        <f t="shared" si="66"/>
        <v>42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47</v>
      </c>
      <c r="G311" s="36">
        <f>SUM(G299:G310)</f>
        <v>197.4</v>
      </c>
      <c r="H311" s="37"/>
      <c r="I311" s="37"/>
      <c r="J311" s="37"/>
      <c r="K311" s="37"/>
      <c r="L311" s="37"/>
      <c r="M311" s="38">
        <f ca="1">IFERROR(SUM(M299:M310),"")</f>
        <v>5.5555555555555525E-2</v>
      </c>
      <c r="N311" s="36" t="s">
        <v>217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78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47</v>
      </c>
      <c r="G325" s="40">
        <f>G311+G324</f>
        <v>197.4</v>
      </c>
      <c r="H325" s="41"/>
      <c r="I325" s="41"/>
      <c r="J325" s="41"/>
      <c r="K325" s="41"/>
      <c r="L325" s="41"/>
      <c r="M325" s="42">
        <f ca="1">IFERROR(M311+M324,"")</f>
        <v>5.5555555555555525E-2</v>
      </c>
      <c r="N325" s="40" t="s">
        <v>220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78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78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78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78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78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78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78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78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78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78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78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78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78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78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78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4" sqref="F3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217</v>
      </c>
      <c r="O27" s="39">
        <v>308500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217</v>
      </c>
      <c r="O54" s="39">
        <v>124290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217</v>
      </c>
      <c r="O81" s="39">
        <v>396340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217</v>
      </c>
      <c r="O108" s="39">
        <v>41230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217</v>
      </c>
      <c r="O135" s="39">
        <v>381250</v>
      </c>
    </row>
    <row r="136" spans="1:15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217</v>
      </c>
      <c r="O162" s="39">
        <v>337120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264</v>
      </c>
      <c r="N166" s="27" t="s">
        <v>265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217</v>
      </c>
      <c r="O189" s="39">
        <v>747210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217</v>
      </c>
      <c r="O216" s="39">
        <v>468430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217</v>
      </c>
      <c r="O243" s="39">
        <v>575930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217</v>
      </c>
      <c r="O270" s="39">
        <v>483510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217</v>
      </c>
      <c r="O297" s="39">
        <v>487980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5</v>
      </c>
      <c r="G301" s="34">
        <f t="shared" si="66"/>
        <v>21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11</v>
      </c>
      <c r="G302" s="28">
        <f t="shared" si="66"/>
        <v>46.2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31</v>
      </c>
      <c r="G311" s="36">
        <f>SUM(G299:G310)</f>
        <v>130.20000000000002</v>
      </c>
      <c r="H311" s="37"/>
      <c r="I311" s="37"/>
      <c r="J311" s="37"/>
      <c r="K311" s="37"/>
      <c r="L311" s="37"/>
      <c r="M311" s="38">
        <f ca="1">IFERROR(SUM(M299:M310),"")</f>
        <v>3.4027777777777768E-2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31</v>
      </c>
      <c r="G325" s="40">
        <f>G311+G324</f>
        <v>130.20000000000002</v>
      </c>
      <c r="H325" s="41"/>
      <c r="I325" s="41"/>
      <c r="J325" s="41"/>
      <c r="K325" s="41"/>
      <c r="L325" s="41"/>
      <c r="M325" s="42">
        <f ca="1">IFERROR(M311+M324,"")</f>
        <v>3.4027777777777768E-2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217</v>
      </c>
      <c r="O432" s="39"/>
    </row>
    <row r="433" spans="1:15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L301" sqref="L3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203</v>
      </c>
      <c r="C1" s="23" t="s">
        <v>12</v>
      </c>
      <c r="D1" s="22" t="s">
        <v>13</v>
      </c>
      <c r="E1" s="22" t="s">
        <v>204</v>
      </c>
      <c r="F1" s="23" t="s">
        <v>205</v>
      </c>
      <c r="G1" s="23" t="s">
        <v>206</v>
      </c>
      <c r="H1" s="23" t="s">
        <v>14</v>
      </c>
      <c r="I1" s="23" t="s">
        <v>15</v>
      </c>
      <c r="J1" s="23" t="s">
        <v>207</v>
      </c>
      <c r="K1" s="23" t="s">
        <v>208</v>
      </c>
      <c r="L1" s="23" t="s">
        <v>209</v>
      </c>
      <c r="M1" s="24" t="s">
        <v>210</v>
      </c>
      <c r="N1" s="23" t="s">
        <v>211</v>
      </c>
      <c r="O1" s="23" t="s">
        <v>212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216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218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217</v>
      </c>
      <c r="O27" s="39">
        <v>202230</v>
      </c>
    </row>
    <row r="28" spans="1:15" ht="18" customHeight="1">
      <c r="A28" s="94" t="s">
        <v>219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216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218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217</v>
      </c>
      <c r="O54" s="39">
        <v>473910</v>
      </c>
    </row>
    <row r="55" spans="1:15" ht="18" customHeight="1">
      <c r="A55" s="94" t="s">
        <v>219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275</v>
      </c>
      <c r="L58" s="29">
        <v>0.54097222222222219</v>
      </c>
      <c r="M58" s="30" t="str">
        <f t="shared" ca="1" si="13"/>
        <v/>
      </c>
      <c r="N58" s="27" t="s">
        <v>276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216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218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217</v>
      </c>
      <c r="O81" s="39">
        <v>565120</v>
      </c>
    </row>
    <row r="82" spans="1:15" ht="18" customHeight="1">
      <c r="A82" s="94" t="s">
        <v>219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216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218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217</v>
      </c>
      <c r="O108" s="39">
        <v>558590</v>
      </c>
    </row>
    <row r="109" spans="1:15" ht="18" customHeight="1">
      <c r="A109" s="94" t="s">
        <v>219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216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214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214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0.30842638888861984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218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0.50773194444417546</v>
      </c>
      <c r="N135" s="36" t="s">
        <v>217</v>
      </c>
      <c r="O135" s="39">
        <v>729290</v>
      </c>
    </row>
    <row r="136" spans="1:18" ht="18" customHeight="1">
      <c r="A136" s="94" t="s">
        <v>219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0.87509305555528649</v>
      </c>
      <c r="N136" s="40" t="s">
        <v>220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214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216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218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217</v>
      </c>
      <c r="O162" s="39">
        <v>697320</v>
      </c>
    </row>
    <row r="163" spans="1:15" ht="18" customHeight="1">
      <c r="A163" s="94" t="s">
        <v>219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216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218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217</v>
      </c>
      <c r="O189" s="39">
        <v>973580</v>
      </c>
    </row>
    <row r="190" spans="1:15" ht="18" customHeight="1">
      <c r="A190" s="94" t="s">
        <v>219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216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218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217</v>
      </c>
      <c r="O216" s="45">
        <v>1060630</v>
      </c>
    </row>
    <row r="217" spans="1:15" ht="18" customHeight="1">
      <c r="A217" s="94" t="s">
        <v>219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216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218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217</v>
      </c>
      <c r="O243" s="39">
        <v>982340</v>
      </c>
    </row>
    <row r="244" spans="1:15" ht="18" customHeight="1">
      <c r="A244" s="94" t="s">
        <v>219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216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218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217</v>
      </c>
      <c r="O270" s="39">
        <v>1208450</v>
      </c>
    </row>
    <row r="271" spans="1:15" ht="18" customHeight="1">
      <c r="A271" s="94" t="s">
        <v>219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216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218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217</v>
      </c>
      <c r="O297" s="39">
        <v>1049090</v>
      </c>
    </row>
    <row r="298" spans="1:15" ht="18" customHeight="1">
      <c r="A298" s="94" t="s">
        <v>219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0</v>
      </c>
      <c r="G301" s="34">
        <f t="shared" si="66"/>
        <v>0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216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0.23888888888888893</v>
      </c>
      <c r="N311" s="36" t="s">
        <v>217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218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217</v>
      </c>
      <c r="O324" s="39"/>
    </row>
    <row r="325" spans="1:15" ht="18" customHeight="1">
      <c r="A325" s="94" t="s">
        <v>219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0.23888888888888893</v>
      </c>
      <c r="N325" s="40" t="s">
        <v>220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216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218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217</v>
      </c>
      <c r="O351" s="39"/>
    </row>
    <row r="352" spans="1:15" ht="18" customHeight="1">
      <c r="A352" s="94" t="s">
        <v>219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216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218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217</v>
      </c>
      <c r="O378" s="39"/>
    </row>
    <row r="379" spans="1:15" ht="18" customHeight="1">
      <c r="A379" s="94" t="s">
        <v>219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216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218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217</v>
      </c>
      <c r="O405" s="39"/>
    </row>
    <row r="406" spans="1:15" ht="18" customHeight="1">
      <c r="A406" s="94" t="s">
        <v>219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216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218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217</v>
      </c>
      <c r="O432" s="39"/>
    </row>
    <row r="433" spans="1:17" ht="18" customHeight="1">
      <c r="A433" s="94" t="s">
        <v>219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216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218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217</v>
      </c>
      <c r="O459" s="39"/>
    </row>
    <row r="460" spans="1:15" ht="18" customHeight="1">
      <c r="A460" s="94" t="s">
        <v>219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216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218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217</v>
      </c>
      <c r="O486" s="39"/>
    </row>
    <row r="487" spans="1:15" ht="18" customHeight="1">
      <c r="A487" s="94" t="s">
        <v>219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216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218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217</v>
      </c>
      <c r="O513" s="39"/>
    </row>
    <row r="514" spans="1:15" ht="18" customHeight="1">
      <c r="A514" s="94" t="s">
        <v>219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216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218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217</v>
      </c>
      <c r="O540" s="39"/>
    </row>
    <row r="541" spans="1:15" ht="18" customHeight="1">
      <c r="A541" s="94" t="s">
        <v>219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216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218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217</v>
      </c>
      <c r="O567" s="39"/>
    </row>
    <row r="568" spans="1:15" ht="18" customHeight="1">
      <c r="A568" s="94" t="s">
        <v>219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216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218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217</v>
      </c>
      <c r="O594" s="39"/>
    </row>
    <row r="595" spans="1:15" ht="18" customHeight="1">
      <c r="A595" s="94" t="s">
        <v>219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216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218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217</v>
      </c>
      <c r="O621" s="39"/>
    </row>
    <row r="622" spans="1:15" ht="18" customHeight="1">
      <c r="A622" s="94" t="s">
        <v>219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216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218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217</v>
      </c>
      <c r="O648" s="39"/>
    </row>
    <row r="649" spans="1:15" ht="18" customHeight="1">
      <c r="A649" s="94" t="s">
        <v>219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216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218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217</v>
      </c>
      <c r="O675" s="39"/>
    </row>
    <row r="676" spans="1:15" ht="18" customHeight="1">
      <c r="A676" s="94" t="s">
        <v>219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216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218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217</v>
      </c>
      <c r="O702" s="39"/>
    </row>
    <row r="703" spans="1:15" ht="18" customHeight="1">
      <c r="A703" s="94" t="s">
        <v>219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216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218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217</v>
      </c>
      <c r="O729" s="39"/>
    </row>
    <row r="730" spans="1:15" ht="18" customHeight="1">
      <c r="A730" s="94" t="s">
        <v>219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216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218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217</v>
      </c>
      <c r="O756" s="39"/>
    </row>
    <row r="757" spans="1:15" ht="18" customHeight="1">
      <c r="A757" s="94" t="s">
        <v>219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216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218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217</v>
      </c>
      <c r="O783" s="39"/>
    </row>
    <row r="784" spans="1:15" ht="18" customHeight="1">
      <c r="A784" s="94" t="s">
        <v>219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216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218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217</v>
      </c>
      <c r="O810" s="39"/>
    </row>
    <row r="811" spans="1:15" ht="18" customHeight="1">
      <c r="A811" s="94" t="s">
        <v>219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2026-07-12T17:23:40Z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