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89" documentId="8_{AF585B22-221D-4780-BB9C-493D365A6A02}" xr6:coauthVersionLast="47" xr6:coauthVersionMax="47" xr10:uidLastSave="{6C4B46B9-C2F4-4D5E-8124-BDF344E3724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<sst xmlns="http://schemas.openxmlformats.org/spreadsheetml/2006/main" count="2363" uniqueCount="228">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</sst>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34</v>
      </c>
      <c r="G108" s="36">
        <f>SUM(G96:G107)</f>
        <v>142.80000000000001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146</v>
      </c>
      <c r="G109" s="40">
        <f>G95+G108</f>
        <v>662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20</v>
      </c>
      <c r="I96" s="26" t="s">
        <v>47</v>
      </c>
      <c r="J96" s="26"/>
      <c r="K96" s="29">
        <v>0.87569444444444444</v>
      </c>
      <c r="L96" s="29"/>
      <c r="M96" s="30">
        <f t="shared" ref="M96:M107" ca="1" si="22">IFERROR(IF(K96="","",IF(L96="",MOD(NOW()-K96,1),IF(L96&gt;=K96,L96-K96,L96+1-K96))),"")</f>
        <v>4.1197800921509042E-2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4.1197800921509042E-2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0.24258668981039794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F99" sqref="F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41</v>
      </c>
      <c r="G108" s="36">
        <f>SUM(G96:G107)</f>
        <v>172.2</v>
      </c>
      <c r="H108" s="37"/>
      <c r="I108" s="37"/>
      <c r="J108" s="37"/>
      <c r="K108" s="61"/>
      <c r="L108" s="61"/>
      <c r="M108" s="38">
        <f ca="1">IFERROR(SUM(M96:M107),"")</f>
        <v>1.3888888888888951E-2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184</v>
      </c>
      <c r="G109" s="40">
        <f>G95+G108</f>
        <v>875.2</v>
      </c>
      <c r="H109" s="41"/>
      <c r="I109" s="41"/>
      <c r="J109" s="41"/>
      <c r="K109" s="63"/>
      <c r="L109" s="63"/>
      <c r="M109" s="42">
        <f ca="1">IFERROR(M95+M108,"")</f>
        <v>0.20208333333333345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2026-07-05T02:00:40Z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