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8744" documentId="8_{AF585B22-221D-4780-BB9C-493D365A6A02}" xr6:coauthVersionLast="47" xr6:coauthVersionMax="47" xr10:uidLastSave="{3BEB0EF7-139E-43A4-9A06-DBE600AD2F6B}"/>
  <bookViews>
    <workbookView xWindow="-110" yWindow="-110" windowWidth="25820" windowHeight="1550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<sst xmlns="http://schemas.openxmlformats.org/spreadsheetml/2006/main" count="7665" uniqueCount="352">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</sst>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0" sqref="G20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3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4">
        <v>46221</v>
      </c>
      <c r="C21" s="11">
        <f>IFERROR(Britador!O487,"")</f>
        <v>2034810</v>
      </c>
      <c r="D21" s="11">
        <f>IFERROR('Linha 1'!O487,"")</f>
        <v>870930</v>
      </c>
      <c r="E21" s="11">
        <f>IFERROR('Linha 2'!O487,"")</f>
        <v>228940</v>
      </c>
      <c r="F21" s="11">
        <f>IFERROR('Linha 3'!O487,"")</f>
        <v>774200</v>
      </c>
      <c r="G21" s="12">
        <f t="shared" si="0"/>
        <v>1874070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54275252</v>
      </c>
      <c r="D35" s="13">
        <f>IFERROR(SUM(D4:D34),"")</f>
        <v>20116680</v>
      </c>
      <c r="E35" s="13">
        <f>IFERROR(SUM(E4:E34),"")</f>
        <v>12475680</v>
      </c>
      <c r="F35" s="13">
        <f>IFERROR(SUM(F4:F34),"")</f>
        <v>24305660</v>
      </c>
      <c r="G35" s="13">
        <f>IFERROR(SUM(G4:G34),"")</f>
        <v>56898020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M56" sqref="M5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7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/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54" activePane="bottomLeft" state="frozen"/>
      <selection pane="bottomLeft" activeCell="F476" sqref="F476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29.85546875" style="20" customWidth="1"/>
    <col min="15" max="15" width="14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226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228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227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227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227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227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227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227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227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227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227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227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230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227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227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227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227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227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227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227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227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227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230</v>
      </c>
      <c r="O27" s="39">
        <v>1183060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233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234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227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230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227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227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227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227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227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227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227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227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227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227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227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230</v>
      </c>
      <c r="O54" s="39">
        <v>959290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233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227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227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227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227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227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227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227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227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227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227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227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227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230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235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227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230</v>
      </c>
      <c r="O81" s="39">
        <v>878050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233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227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227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230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>
        <v>1700000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233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230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230</v>
      </c>
      <c r="O135" s="39">
        <v>862330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233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230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227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230</v>
      </c>
      <c r="O162" s="44">
        <v>1546080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233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227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227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227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227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227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227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227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227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227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227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230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227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227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227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227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227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227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227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227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227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227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227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227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>
        <v>2355810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233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227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227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227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227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227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227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227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227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227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227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227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227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230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230</v>
      </c>
      <c r="O216" s="45">
        <v>2013260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233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238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227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227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227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227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227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230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230</v>
      </c>
      <c r="O243" s="39">
        <v>1545480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233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239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227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227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227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227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227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227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230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>
        <v>1182690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233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230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227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240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227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227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227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227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241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227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241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227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241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227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241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227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241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227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241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227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241</v>
      </c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230</v>
      </c>
      <c r="O297" s="39">
        <v>1843460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233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242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227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227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243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227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227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227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227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227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227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227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227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230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227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244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244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227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244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244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244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227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244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>
        <v>1940000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233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227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227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227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227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227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227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227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227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227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227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227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230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227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227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227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227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227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227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227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227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227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227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227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227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230</v>
      </c>
      <c r="O351" s="39">
        <v>701874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233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246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227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227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227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227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227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227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227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227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227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227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227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230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227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227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227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227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227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227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227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227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227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227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227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230</v>
      </c>
      <c r="O378" s="39">
        <v>1088710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233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227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227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247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227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248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227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227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227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227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227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227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227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227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230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227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227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249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227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227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227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227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227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227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227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227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227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230</v>
      </c>
      <c r="O405" s="39">
        <v>1202270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233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227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250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227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227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251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227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227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227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227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227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252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252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227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227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230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227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227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227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227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227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227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227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227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227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227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227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227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>
        <v>1801910</v>
      </c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233</v>
      </c>
      <c r="O433" s="48">
        <f>IFERROR(O419+O432,"")</f>
        <v>3402600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227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253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227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227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227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227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227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227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227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227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230</v>
      </c>
      <c r="O446" s="39">
        <v>1241480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254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254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254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254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254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254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254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254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254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254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254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254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230</v>
      </c>
      <c r="O459" s="39">
        <v>2675000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233</v>
      </c>
      <c r="O460" s="48">
        <f>IFERROR(O446+O459,"")</f>
        <v>3916480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>
        <v>2034810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2034810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59" t="s">
        <v>227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457" activePane="bottomLeft" state="frozen"/>
      <selection pane="bottomLeft" activeCell="F480" sqref="F48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230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230</v>
      </c>
      <c r="O27" s="78">
        <v>393200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233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255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230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254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230</v>
      </c>
      <c r="O54" s="85">
        <v>276360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233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230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230</v>
      </c>
      <c r="O81" s="54">
        <v>787860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233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254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254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254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254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254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230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261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262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230</v>
      </c>
      <c r="O108" s="54">
        <v>1087080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233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263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230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264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245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265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230</v>
      </c>
      <c r="O135" s="54">
        <v>794480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233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267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230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230</v>
      </c>
      <c r="O162" s="54">
        <v>882280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233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254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254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254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254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254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254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254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254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254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254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230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230</v>
      </c>
      <c r="O189" s="78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233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230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271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272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230</v>
      </c>
      <c r="O216" s="78">
        <v>648410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233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274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254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254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254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254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254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229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230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269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254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254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230</v>
      </c>
      <c r="O243" s="78">
        <v>849060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233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254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254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254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254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230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230</v>
      </c>
      <c r="O270" s="78">
        <v>625070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233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277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278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230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230</v>
      </c>
      <c r="O297" s="78">
        <v>761660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233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280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254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230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254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230</v>
      </c>
      <c r="O324" s="78">
        <v>524410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233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254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254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254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254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283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227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254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254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254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254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254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254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254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230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284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285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230</v>
      </c>
      <c r="O351" s="78">
        <v>598420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233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254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230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254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254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254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0.80976770832785405</v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0.96740659721674294</v>
      </c>
      <c r="N378" s="36" t="s">
        <v>230</v>
      </c>
      <c r="O378" s="78">
        <v>511980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1.0771288194389652</v>
      </c>
      <c r="N379" s="40" t="s">
        <v>233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254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254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254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254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269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254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286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254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254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254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254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230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254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287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245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230</v>
      </c>
      <c r="O405" s="78">
        <v>552440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233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254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254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254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254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254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254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254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227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254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254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230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254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288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0.78823993055266328</v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231</v>
      </c>
      <c r="B432" s="89"/>
      <c r="C432" s="89"/>
      <c r="D432" s="89"/>
      <c r="E432" s="89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0.95907326388599667</v>
      </c>
      <c r="N432" s="36" t="s">
        <v>230</v>
      </c>
      <c r="O432" s="78">
        <v>484540</v>
      </c>
    </row>
    <row r="433" spans="1:15" ht="18" customHeight="1">
      <c r="A433" s="94" t="s">
        <v>232</v>
      </c>
      <c r="B433" s="92"/>
      <c r="C433" s="92"/>
      <c r="D433" s="92"/>
      <c r="E433" s="92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1.1042121527748856</v>
      </c>
      <c r="N433" s="40" t="s">
        <v>233</v>
      </c>
      <c r="O433" s="84">
        <f>IFERROR(O419+O432,"")</f>
        <v>1184540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289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290</v>
      </c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230</v>
      </c>
      <c r="O446" s="78">
        <v>849430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291</v>
      </c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227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230</v>
      </c>
      <c r="O459" s="78">
        <v>631190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233</v>
      </c>
      <c r="O460" s="84">
        <f>IFERROR(O446+O459,"")</f>
        <v>1480620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292</v>
      </c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293</v>
      </c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294</v>
      </c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227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227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227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227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230</v>
      </c>
      <c r="O473" s="78">
        <v>870930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295</v>
      </c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76</v>
      </c>
      <c r="G486" s="36">
        <f>SUM(G474:G485)</f>
        <v>380</v>
      </c>
      <c r="H486" s="37"/>
      <c r="I486" s="37"/>
      <c r="J486" s="37"/>
      <c r="K486" s="37"/>
      <c r="L486" s="37"/>
      <c r="M486" s="38">
        <f ca="1">IFERROR(SUM(M474:M485),"")</f>
        <v>7.8472222222222276E-2</v>
      </c>
      <c r="N486" s="36" t="s">
        <v>230</v>
      </c>
      <c r="O486" s="78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199</v>
      </c>
      <c r="G487" s="40">
        <f>G473+G486</f>
        <v>995</v>
      </c>
      <c r="H487" s="41"/>
      <c r="I487" s="41"/>
      <c r="J487" s="41"/>
      <c r="K487" s="41"/>
      <c r="L487" s="41"/>
      <c r="M487" s="42">
        <f ca="1">IFERROR(M473+M486,"")</f>
        <v>0.18958333333333327</v>
      </c>
      <c r="N487" s="40" t="s">
        <v>233</v>
      </c>
      <c r="O487" s="84">
        <f>IFERROR(O473+O486,"")</f>
        <v>870930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8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8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8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8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8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8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8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8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8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3">
        <f>IFERROR(O797+O810,"")</f>
        <v>0</v>
      </c>
    </row>
  </sheetData>
  <mergeCells count="87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513:E513"/>
    <mergeCell ref="A514:E514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56" zoomScale="50" zoomScaleNormal="50" workbookViewId="0">
      <selection activeCell="F480" sqref="F48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27.85546875" style="20" customWidth="1"/>
    <col min="15" max="15" width="14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296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297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230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230</v>
      </c>
      <c r="O27" s="39">
        <v>308500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233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298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230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254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230</v>
      </c>
      <c r="O54" s="39">
        <v>124290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233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299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230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230</v>
      </c>
      <c r="O81" s="39">
        <v>396340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233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300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230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230</v>
      </c>
      <c r="O108" s="39">
        <v>41230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233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230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230</v>
      </c>
      <c r="O135" s="39">
        <v>381250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233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268</v>
      </c>
      <c r="K141" s="29">
        <v>0.71597222222222223</v>
      </c>
      <c r="L141" s="29" t="s">
        <v>302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227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227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230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303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230</v>
      </c>
      <c r="O162" s="39">
        <v>337120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233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227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254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254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304</v>
      </c>
      <c r="N166" s="27" t="s">
        <v>305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254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254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254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254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254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254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254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254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230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254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254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254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254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254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254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254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254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254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254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254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254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230</v>
      </c>
      <c r="O189" s="39">
        <v>747210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233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254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254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306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254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254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254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254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254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254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254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254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230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230</v>
      </c>
      <c r="O216" s="39">
        <v>468430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233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254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254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254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254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254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230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254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230</v>
      </c>
      <c r="O243" s="39">
        <v>575930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233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254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254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254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230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254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307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308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230</v>
      </c>
      <c r="O270" s="39">
        <v>483510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233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230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309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254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230</v>
      </c>
      <c r="O297" s="39">
        <v>487980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233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311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227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230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254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312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313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230</v>
      </c>
      <c r="O324" s="39">
        <v>609460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233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254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314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254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254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254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227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254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254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254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254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254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254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230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230</v>
      </c>
      <c r="O351" s="39">
        <v>437940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233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254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254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230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254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254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254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254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254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254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230</v>
      </c>
      <c r="O378" s="39">
        <v>473310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233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254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254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254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254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254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254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254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254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254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230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230</v>
      </c>
      <c r="O405" s="39">
        <v>507450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233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254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254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254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254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254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254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254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227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227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254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254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230</v>
      </c>
      <c r="O419" s="39">
        <v>209000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227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6">
        <f t="shared" ca="1" si="94"/>
        <v>1.5972222222222276E-2</v>
      </c>
      <c r="N421" s="98" t="s">
        <v>288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5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230</v>
      </c>
      <c r="O432" s="39">
        <v>229150</v>
      </c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233</v>
      </c>
      <c r="O433" s="48">
        <f>IFERROR(O419+O432,"")</f>
        <v>438150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315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230</v>
      </c>
      <c r="O446" s="39">
        <v>191330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227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230</v>
      </c>
      <c r="O459" s="39">
        <v>409980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233</v>
      </c>
      <c r="O460" s="48">
        <f>IFERROR(O446+O459,"")</f>
        <v>601310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227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227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227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227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230</v>
      </c>
      <c r="O473" s="39">
        <v>228940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6</v>
      </c>
      <c r="G478" s="28">
        <f t="shared" si="105"/>
        <v>30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6</v>
      </c>
      <c r="G479" s="34">
        <f t="shared" si="105"/>
        <v>30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39</v>
      </c>
      <c r="G486" s="36">
        <f>SUM(G474:G485)</f>
        <v>195</v>
      </c>
      <c r="H486" s="37"/>
      <c r="I486" s="37"/>
      <c r="J486" s="37"/>
      <c r="K486" s="37"/>
      <c r="L486" s="37"/>
      <c r="M486" s="38">
        <f ca="1">IFERROR(SUM(M474:M485),"")</f>
        <v>2.1527777777777701E-2</v>
      </c>
      <c r="N486" s="36" t="s">
        <v>230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69</v>
      </c>
      <c r="G487" s="40">
        <f>G473+G486</f>
        <v>345</v>
      </c>
      <c r="H487" s="41"/>
      <c r="I487" s="41"/>
      <c r="J487" s="41"/>
      <c r="K487" s="41"/>
      <c r="L487" s="41"/>
      <c r="M487" s="42">
        <f ca="1">IFERROR(M473+M486,"")</f>
        <v>0.15138888888888874</v>
      </c>
      <c r="N487" s="40" t="s">
        <v>233</v>
      </c>
      <c r="O487" s="48">
        <f>IFERROR(O473+O486,"")</f>
        <v>228940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457" activePane="bottomLeft" state="frozen"/>
      <selection pane="bottomLeft" activeCell="F480" sqref="F480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50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316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230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317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230</v>
      </c>
      <c r="O27" s="39">
        <v>202230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233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318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319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230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230</v>
      </c>
      <c r="O54" s="39">
        <v>473910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233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320</v>
      </c>
      <c r="L58" s="29">
        <v>0.54097222222222219</v>
      </c>
      <c r="M58" s="30" t="str">
        <f t="shared" ca="1" si="13"/>
        <v/>
      </c>
      <c r="N58" s="27" t="s">
        <v>321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230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296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322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323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324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325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230</v>
      </c>
      <c r="O81" s="39">
        <v>565120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233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254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326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254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254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227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230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230</v>
      </c>
      <c r="O108" s="39">
        <v>558590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233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327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230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328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329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0.80004560185625451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266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0.99935115741181013</v>
      </c>
      <c r="N135" s="36" t="s">
        <v>230</v>
      </c>
      <c r="O135" s="39">
        <v>729290</v>
      </c>
    </row>
    <row r="136" spans="1:18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1.3667122685229212</v>
      </c>
      <c r="N136" s="40" t="s">
        <v>233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330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230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331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254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230</v>
      </c>
      <c r="O162" s="39">
        <v>697320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233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227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254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254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254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254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332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254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254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254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254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254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230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254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254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254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254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254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254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254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254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254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254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254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254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230</v>
      </c>
      <c r="O189" s="39">
        <v>973580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233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254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254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254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333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254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334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254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254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254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254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254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230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335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230</v>
      </c>
      <c r="O216" s="45">
        <v>1060630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233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336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337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254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254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338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254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254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254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230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339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230</v>
      </c>
      <c r="O243" s="39">
        <v>982340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233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340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254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254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254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254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254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230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254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230</v>
      </c>
      <c r="O270" s="39">
        <v>1208450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233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230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254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230</v>
      </c>
      <c r="O297" s="39">
        <v>1049090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233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341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254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230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227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263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230</v>
      </c>
      <c r="O324" s="39">
        <v>1063720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233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254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254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291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254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254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227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254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254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254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254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254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254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254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229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230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342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343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230</v>
      </c>
      <c r="O351" s="39">
        <v>696140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233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254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229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230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254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254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254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344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254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254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254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254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230</v>
      </c>
      <c r="O378" s="39">
        <v>704750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233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254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345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254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254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332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254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254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254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254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254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254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230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346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347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230</v>
      </c>
      <c r="O405" s="39">
        <v>958130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233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254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254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254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254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254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254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254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254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227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230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254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348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230</v>
      </c>
      <c r="O432" s="39">
        <v>605220</v>
      </c>
    </row>
    <row r="433" spans="1:17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233</v>
      </c>
      <c r="O433" s="48">
        <f>IFERROR(O419+O432,"")</f>
        <v>1096740</v>
      </c>
    </row>
    <row r="434" spans="1:17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230</v>
      </c>
      <c r="O446" s="39">
        <v>878370</v>
      </c>
    </row>
    <row r="447" spans="1:17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349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230</v>
      </c>
      <c r="O459" s="39">
        <v>615330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233</v>
      </c>
      <c r="O460" s="48">
        <f>IFERROR(O446+O459,"")</f>
        <v>1493700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350</v>
      </c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351</v>
      </c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325</v>
      </c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227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227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227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227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230</v>
      </c>
      <c r="O473" s="39">
        <v>774200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20</v>
      </c>
      <c r="G474" s="28">
        <f t="shared" ref="G474:G485" si="105">IF(F474="","",IF(E474="PC 17",F474*4.2,IF(E474="PC 19",F474*5,"")))</f>
        <v>100</v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86</v>
      </c>
      <c r="G486" s="36">
        <f>SUM(G474:G485)</f>
        <v>430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201</v>
      </c>
      <c r="G487" s="40">
        <f>G473+G486</f>
        <v>1005</v>
      </c>
      <c r="H487" s="41"/>
      <c r="I487" s="41"/>
      <c r="J487" s="41"/>
      <c r="K487" s="63"/>
      <c r="L487" s="63"/>
      <c r="M487" s="42">
        <f ca="1">IFERROR(M473+M486,"")</f>
        <v>0.14097222222222217</v>
      </c>
      <c r="N487" s="40" t="s">
        <v>233</v>
      </c>
      <c r="O487" s="48">
        <f>IFERROR(O473+O486,"")</f>
        <v>774200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2026-07-19T05:11:25Z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