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19" documentId="13_ncr:1_{0A10D8D4-8450-4366-8075-B53B08E6B7EA}" xr6:coauthVersionLast="47" xr6:coauthVersionMax="47" xr10:uidLastSave="{BF93DBA9-C105-4A33-8130-50D0F6144BC8}"/>
  <bookViews>
    <workbookView xWindow="-28920" yWindow="-6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5" i="5" s="1"/>
  <c r="J355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5" i="4" s="1"/>
  <c r="J355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4" i="6" l="1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<sst xmlns="http://schemas.openxmlformats.org/spreadsheetml/2006/main" count="6292" uniqueCount="344">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</sst>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Border="1" applyAlignment="1">
      <alignment horizontal="center" vertical="center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5" t="s">
        <v>7</v>
      </c>
      <c r="J2" s="127" t="s">
        <v>8</v>
      </c>
      <c r="K2" s="169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70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73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73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73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73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73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73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73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73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73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73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73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4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73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73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73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73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73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73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73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73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73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73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73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73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73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73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73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73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73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73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73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6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2" activePane="bottomLeft" state="frozen"/>
      <selection pane="bottomLeft" activeCell="E360" sqref="E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243</v>
      </c>
      <c r="B14" s="153"/>
      <c r="C14" s="153"/>
      <c r="D14" s="153"/>
      <c r="E14" s="15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246</v>
      </c>
      <c r="B27" s="153"/>
      <c r="C27" s="153"/>
      <c r="D27" s="153"/>
      <c r="E27" s="15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55" t="s">
        <v>247</v>
      </c>
      <c r="B28" s="156"/>
      <c r="C28" s="156"/>
      <c r="D28" s="156"/>
      <c r="E28" s="15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243</v>
      </c>
      <c r="B41" s="153"/>
      <c r="C41" s="153"/>
      <c r="D41" s="153"/>
      <c r="E41" s="15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246</v>
      </c>
      <c r="B54" s="153"/>
      <c r="C54" s="153"/>
      <c r="D54" s="153"/>
      <c r="E54" s="15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55" t="s">
        <v>247</v>
      </c>
      <c r="B55" s="156"/>
      <c r="C55" s="156"/>
      <c r="D55" s="156"/>
      <c r="E55" s="15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243</v>
      </c>
      <c r="B68" s="153"/>
      <c r="C68" s="153"/>
      <c r="D68" s="153"/>
      <c r="E68" s="15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246</v>
      </c>
      <c r="B81" s="153"/>
      <c r="C81" s="153"/>
      <c r="D81" s="153"/>
      <c r="E81" s="15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55" t="s">
        <v>247</v>
      </c>
      <c r="B82" s="156"/>
      <c r="C82" s="156"/>
      <c r="D82" s="156"/>
      <c r="E82" s="15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243</v>
      </c>
      <c r="B95" s="153"/>
      <c r="C95" s="153"/>
      <c r="D95" s="153"/>
      <c r="E95" s="15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246</v>
      </c>
      <c r="B108" s="153"/>
      <c r="C108" s="153"/>
      <c r="D108" s="153"/>
      <c r="E108" s="15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55" t="s">
        <v>247</v>
      </c>
      <c r="B109" s="156"/>
      <c r="C109" s="156"/>
      <c r="D109" s="156"/>
      <c r="E109" s="15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243</v>
      </c>
      <c r="B122" s="153"/>
      <c r="C122" s="153"/>
      <c r="D122" s="153"/>
      <c r="E122" s="15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246</v>
      </c>
      <c r="B135" s="153"/>
      <c r="C135" s="153"/>
      <c r="D135" s="153"/>
      <c r="E135" s="15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55" t="s">
        <v>247</v>
      </c>
      <c r="B136" s="156"/>
      <c r="C136" s="156"/>
      <c r="D136" s="156"/>
      <c r="E136" s="15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243</v>
      </c>
      <c r="B149" s="153"/>
      <c r="C149" s="153"/>
      <c r="D149" s="153"/>
      <c r="E149" s="15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246</v>
      </c>
      <c r="B162" s="153"/>
      <c r="C162" s="153"/>
      <c r="D162" s="153"/>
      <c r="E162" s="15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55" t="s">
        <v>247</v>
      </c>
      <c r="B163" s="156"/>
      <c r="C163" s="156"/>
      <c r="D163" s="156"/>
      <c r="E163" s="15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243</v>
      </c>
      <c r="B176" s="153"/>
      <c r="C176" s="153"/>
      <c r="D176" s="153"/>
      <c r="E176" s="15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246</v>
      </c>
      <c r="B189" s="153"/>
      <c r="C189" s="153"/>
      <c r="D189" s="153"/>
      <c r="E189" s="15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55" t="s">
        <v>247</v>
      </c>
      <c r="B190" s="156"/>
      <c r="C190" s="156"/>
      <c r="D190" s="156"/>
      <c r="E190" s="15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243</v>
      </c>
      <c r="B203" s="153"/>
      <c r="C203" s="153"/>
      <c r="D203" s="153"/>
      <c r="E203" s="15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246</v>
      </c>
      <c r="B216" s="153"/>
      <c r="C216" s="153"/>
      <c r="D216" s="153"/>
      <c r="E216" s="15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55" t="s">
        <v>247</v>
      </c>
      <c r="B217" s="156"/>
      <c r="C217" s="156"/>
      <c r="D217" s="156"/>
      <c r="E217" s="15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8" t="s">
        <v>243</v>
      </c>
      <c r="B230" s="159"/>
      <c r="C230" s="159"/>
      <c r="D230" s="159"/>
      <c r="E230" s="160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246</v>
      </c>
      <c r="B243" s="153"/>
      <c r="C243" s="153"/>
      <c r="D243" s="153"/>
      <c r="E243" s="15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55" t="s">
        <v>247</v>
      </c>
      <c r="B244" s="156"/>
      <c r="C244" s="156"/>
      <c r="D244" s="156"/>
      <c r="E244" s="15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243</v>
      </c>
      <c r="B257" s="153"/>
      <c r="C257" s="153"/>
      <c r="D257" s="153"/>
      <c r="E257" s="15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246</v>
      </c>
      <c r="B270" s="153"/>
      <c r="C270" s="153"/>
      <c r="D270" s="153"/>
      <c r="E270" s="15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55" t="s">
        <v>247</v>
      </c>
      <c r="B271" s="156"/>
      <c r="C271" s="156"/>
      <c r="D271" s="156"/>
      <c r="E271" s="15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243</v>
      </c>
      <c r="B284" s="153"/>
      <c r="C284" s="153"/>
      <c r="D284" s="153"/>
      <c r="E284" s="15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246</v>
      </c>
      <c r="B297" s="153"/>
      <c r="C297" s="153"/>
      <c r="D297" s="153"/>
      <c r="E297" s="15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55" t="s">
        <v>247</v>
      </c>
      <c r="B298" s="156"/>
      <c r="C298" s="156"/>
      <c r="D298" s="156"/>
      <c r="E298" s="15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2" t="s">
        <v>243</v>
      </c>
      <c r="B311" s="153"/>
      <c r="C311" s="153"/>
      <c r="D311" s="153"/>
      <c r="E311" s="15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2" t="s">
        <v>246</v>
      </c>
      <c r="B324" s="153"/>
      <c r="C324" s="153"/>
      <c r="D324" s="153"/>
      <c r="E324" s="15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55" t="s">
        <v>247</v>
      </c>
      <c r="B325" s="156"/>
      <c r="C325" s="156"/>
      <c r="D325" s="156"/>
      <c r="E325" s="15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2" t="s">
        <v>243</v>
      </c>
      <c r="B338" s="153"/>
      <c r="C338" s="153"/>
      <c r="D338" s="153"/>
      <c r="E338" s="15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2" t="s">
        <v>246</v>
      </c>
      <c r="B351" s="153"/>
      <c r="C351" s="153"/>
      <c r="D351" s="153"/>
      <c r="E351" s="15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55" t="s">
        <v>247</v>
      </c>
      <c r="B352" s="156"/>
      <c r="C352" s="156"/>
      <c r="D352" s="156"/>
      <c r="E352" s="15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37</v>
      </c>
      <c r="E354" s="62" t="s">
        <v>242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37</v>
      </c>
      <c r="E355" s="62" t="s">
        <v>242</v>
      </c>
      <c r="F355" s="27">
        <v>32</v>
      </c>
      <c r="G355" s="34">
        <f t="shared" si="73"/>
        <v>160</v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37</v>
      </c>
      <c r="E356" s="62" t="s">
        <v>242</v>
      </c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37</v>
      </c>
      <c r="E357" s="62" t="s">
        <v>242</v>
      </c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37</v>
      </c>
      <c r="E358" s="62" t="s">
        <v>242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37</v>
      </c>
      <c r="E359" s="62" t="s">
        <v>258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37</v>
      </c>
      <c r="E360" s="62" t="s">
        <v>242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37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37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37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37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2" t="s">
        <v>243</v>
      </c>
      <c r="B365" s="153"/>
      <c r="C365" s="153"/>
      <c r="D365" s="153"/>
      <c r="E365" s="154">
        <f>SUM(E353:E364)</f>
        <v>0</v>
      </c>
      <c r="F365" s="36">
        <f>SUM(F353:F364)</f>
        <v>103</v>
      </c>
      <c r="G365" s="36">
        <f>SUM(G353:G364)</f>
        <v>515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244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2" t="s">
        <v>246</v>
      </c>
      <c r="B378" s="153"/>
      <c r="C378" s="153"/>
      <c r="D378" s="153"/>
      <c r="E378" s="15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244</v>
      </c>
      <c r="O378" s="39"/>
    </row>
    <row r="379" spans="1:15" ht="18" customHeight="1">
      <c r="A379" s="155" t="s">
        <v>247</v>
      </c>
      <c r="B379" s="156"/>
      <c r="C379" s="156"/>
      <c r="D379" s="156"/>
      <c r="E379" s="157">
        <f>E365+E378</f>
        <v>0</v>
      </c>
      <c r="F379" s="40">
        <f>F365+F378</f>
        <v>103</v>
      </c>
      <c r="G379" s="40">
        <f>G365+G378</f>
        <v>515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248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2" t="s">
        <v>243</v>
      </c>
      <c r="B392" s="153"/>
      <c r="C392" s="153"/>
      <c r="D392" s="153"/>
      <c r="E392" s="15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2" t="s">
        <v>246</v>
      </c>
      <c r="B405" s="153"/>
      <c r="C405" s="153"/>
      <c r="D405" s="153"/>
      <c r="E405" s="15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55" t="s">
        <v>247</v>
      </c>
      <c r="B406" s="156"/>
      <c r="C406" s="156"/>
      <c r="D406" s="156"/>
      <c r="E406" s="15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2" t="s">
        <v>243</v>
      </c>
      <c r="B419" s="153"/>
      <c r="C419" s="153"/>
      <c r="D419" s="153"/>
      <c r="E419" s="15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2" t="s">
        <v>246</v>
      </c>
      <c r="B432" s="153"/>
      <c r="C432" s="153"/>
      <c r="D432" s="153"/>
      <c r="E432" s="15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55" t="s">
        <v>247</v>
      </c>
      <c r="B433" s="156"/>
      <c r="C433" s="156"/>
      <c r="D433" s="156"/>
      <c r="E433" s="15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2" t="s">
        <v>243</v>
      </c>
      <c r="B446" s="153"/>
      <c r="C446" s="153"/>
      <c r="D446" s="153"/>
      <c r="E446" s="15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2" t="s">
        <v>246</v>
      </c>
      <c r="B459" s="153"/>
      <c r="C459" s="153"/>
      <c r="D459" s="153"/>
      <c r="E459" s="15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55" t="s">
        <v>247</v>
      </c>
      <c r="B460" s="156"/>
      <c r="C460" s="156"/>
      <c r="D460" s="156"/>
      <c r="E460" s="15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2" t="s">
        <v>243</v>
      </c>
      <c r="B473" s="153"/>
      <c r="C473" s="153"/>
      <c r="D473" s="153"/>
      <c r="E473" s="15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2" t="s">
        <v>246</v>
      </c>
      <c r="B486" s="153"/>
      <c r="C486" s="153"/>
      <c r="D486" s="153"/>
      <c r="E486" s="15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55" t="s">
        <v>247</v>
      </c>
      <c r="B487" s="156"/>
      <c r="C487" s="156"/>
      <c r="D487" s="156"/>
      <c r="E487" s="15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2" t="s">
        <v>243</v>
      </c>
      <c r="B500" s="153"/>
      <c r="C500" s="153"/>
      <c r="D500" s="153"/>
      <c r="E500" s="15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2" t="s">
        <v>246</v>
      </c>
      <c r="B513" s="153"/>
      <c r="C513" s="153"/>
      <c r="D513" s="153"/>
      <c r="E513" s="15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55" t="s">
        <v>247</v>
      </c>
      <c r="B514" s="156"/>
      <c r="C514" s="156"/>
      <c r="D514" s="156"/>
      <c r="E514" s="15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2" t="s">
        <v>243</v>
      </c>
      <c r="B527" s="153"/>
      <c r="C527" s="153"/>
      <c r="D527" s="153"/>
      <c r="E527" s="15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2" t="s">
        <v>246</v>
      </c>
      <c r="B540" s="153"/>
      <c r="C540" s="153"/>
      <c r="D540" s="153"/>
      <c r="E540" s="15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55" t="s">
        <v>247</v>
      </c>
      <c r="B541" s="156"/>
      <c r="C541" s="156"/>
      <c r="D541" s="156"/>
      <c r="E541" s="15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2" t="s">
        <v>243</v>
      </c>
      <c r="B554" s="153"/>
      <c r="C554" s="153"/>
      <c r="D554" s="153"/>
      <c r="E554" s="15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2" t="s">
        <v>246</v>
      </c>
      <c r="B567" s="153"/>
      <c r="C567" s="153"/>
      <c r="D567" s="153"/>
      <c r="E567" s="15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55" t="s">
        <v>247</v>
      </c>
      <c r="B568" s="156"/>
      <c r="C568" s="156"/>
      <c r="D568" s="156"/>
      <c r="E568" s="15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2" t="s">
        <v>243</v>
      </c>
      <c r="B581" s="153"/>
      <c r="C581" s="153"/>
      <c r="D581" s="153"/>
      <c r="E581" s="15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2" t="s">
        <v>246</v>
      </c>
      <c r="B594" s="153"/>
      <c r="C594" s="153"/>
      <c r="D594" s="153"/>
      <c r="E594" s="15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55" t="s">
        <v>247</v>
      </c>
      <c r="B595" s="156"/>
      <c r="C595" s="156"/>
      <c r="D595" s="156"/>
      <c r="E595" s="15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2" t="s">
        <v>243</v>
      </c>
      <c r="B608" s="153"/>
      <c r="C608" s="153"/>
      <c r="D608" s="153"/>
      <c r="E608" s="15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2" t="s">
        <v>246</v>
      </c>
      <c r="B621" s="153"/>
      <c r="C621" s="153"/>
      <c r="D621" s="153"/>
      <c r="E621" s="15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55" t="s">
        <v>247</v>
      </c>
      <c r="B622" s="156"/>
      <c r="C622" s="156"/>
      <c r="D622" s="156"/>
      <c r="E622" s="15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2" t="s">
        <v>243</v>
      </c>
      <c r="B635" s="153"/>
      <c r="C635" s="153"/>
      <c r="D635" s="153"/>
      <c r="E635" s="15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2" t="s">
        <v>246</v>
      </c>
      <c r="B648" s="153"/>
      <c r="C648" s="153"/>
      <c r="D648" s="153"/>
      <c r="E648" s="15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55" t="s">
        <v>247</v>
      </c>
      <c r="B649" s="156"/>
      <c r="C649" s="156"/>
      <c r="D649" s="156"/>
      <c r="E649" s="15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2" t="s">
        <v>243</v>
      </c>
      <c r="B662" s="153"/>
      <c r="C662" s="153"/>
      <c r="D662" s="153"/>
      <c r="E662" s="15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2" t="s">
        <v>246</v>
      </c>
      <c r="B675" s="153"/>
      <c r="C675" s="153"/>
      <c r="D675" s="153"/>
      <c r="E675" s="15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55" t="s">
        <v>247</v>
      </c>
      <c r="B676" s="156"/>
      <c r="C676" s="156"/>
      <c r="D676" s="156"/>
      <c r="E676" s="15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2" t="s">
        <v>243</v>
      </c>
      <c r="B689" s="153"/>
      <c r="C689" s="153"/>
      <c r="D689" s="153"/>
      <c r="E689" s="15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2" t="s">
        <v>246</v>
      </c>
      <c r="B702" s="153"/>
      <c r="C702" s="153"/>
      <c r="D702" s="153"/>
      <c r="E702" s="15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55" t="s">
        <v>247</v>
      </c>
      <c r="B703" s="156"/>
      <c r="C703" s="156"/>
      <c r="D703" s="156"/>
      <c r="E703" s="15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2" t="s">
        <v>243</v>
      </c>
      <c r="B716" s="153"/>
      <c r="C716" s="153"/>
      <c r="D716" s="153"/>
      <c r="E716" s="15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2" t="s">
        <v>246</v>
      </c>
      <c r="B729" s="153"/>
      <c r="C729" s="153"/>
      <c r="D729" s="153"/>
      <c r="E729" s="15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55" t="s">
        <v>247</v>
      </c>
      <c r="B730" s="156"/>
      <c r="C730" s="156"/>
      <c r="D730" s="156"/>
      <c r="E730" s="15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2" t="s">
        <v>243</v>
      </c>
      <c r="B743" s="153"/>
      <c r="C743" s="153"/>
      <c r="D743" s="153"/>
      <c r="E743" s="15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2" t="s">
        <v>246</v>
      </c>
      <c r="B756" s="153"/>
      <c r="C756" s="153"/>
      <c r="D756" s="153"/>
      <c r="E756" s="15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55" t="s">
        <v>247</v>
      </c>
      <c r="B757" s="156"/>
      <c r="C757" s="156"/>
      <c r="D757" s="156"/>
      <c r="E757" s="15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2" t="s">
        <v>243</v>
      </c>
      <c r="B770" s="153"/>
      <c r="C770" s="153"/>
      <c r="D770" s="153"/>
      <c r="E770" s="15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2" t="s">
        <v>246</v>
      </c>
      <c r="B783" s="153"/>
      <c r="C783" s="153"/>
      <c r="D783" s="153"/>
      <c r="E783" s="15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55" t="s">
        <v>247</v>
      </c>
      <c r="B784" s="156"/>
      <c r="C784" s="156"/>
      <c r="D784" s="156"/>
      <c r="E784" s="15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2" t="s">
        <v>243</v>
      </c>
      <c r="B797" s="153"/>
      <c r="C797" s="153"/>
      <c r="D797" s="153"/>
      <c r="E797" s="15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2" t="s">
        <v>246</v>
      </c>
      <c r="B810" s="153"/>
      <c r="C810" s="153"/>
      <c r="D810" s="153"/>
      <c r="E810" s="15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61" t="s">
        <v>247</v>
      </c>
      <c r="B811" s="162"/>
      <c r="C811" s="162"/>
      <c r="D811" s="162"/>
      <c r="E811" s="163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2" t="s">
        <v>243</v>
      </c>
      <c r="B824" s="153"/>
      <c r="C824" s="153"/>
      <c r="D824" s="153"/>
      <c r="E824" s="15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2" t="s">
        <v>246</v>
      </c>
      <c r="B837" s="153"/>
      <c r="C837" s="153"/>
      <c r="D837" s="153"/>
      <c r="E837" s="15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55" t="s">
        <v>247</v>
      </c>
      <c r="B838" s="156"/>
      <c r="C838" s="156"/>
      <c r="D838" s="156"/>
      <c r="E838" s="15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0.33763888888643123</v>
      </c>
      <c r="R53" s="46" t="s">
        <v>278</v>
      </c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0.47652777777532013</v>
      </c>
      <c r="R54" s="36" t="s">
        <v>244</v>
      </c>
      <c r="S54" s="75">
        <v>352430</v>
      </c>
      <c r="T54" s="117"/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0.56124999999754244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258</v>
      </c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258</v>
      </c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258</v>
      </c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258</v>
      </c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258</v>
      </c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258</v>
      </c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258</v>
      </c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22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92.4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244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45"/>
      <c r="T378" s="122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22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92.4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248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56" sqref="G35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243</v>
      </c>
      <c r="B41" s="153"/>
      <c r="C41" s="153"/>
      <c r="D41" s="153"/>
      <c r="E41" s="15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243</v>
      </c>
      <c r="B149" s="153"/>
      <c r="C149" s="153"/>
      <c r="D149" s="153"/>
      <c r="E149" s="15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243</v>
      </c>
      <c r="B257" s="153"/>
      <c r="C257" s="153"/>
      <c r="D257" s="153"/>
      <c r="E257" s="15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2" t="s">
        <v>243</v>
      </c>
      <c r="B338" s="153"/>
      <c r="C338" s="153"/>
      <c r="D338" s="153"/>
      <c r="E338" s="15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2" t="s">
        <v>243</v>
      </c>
      <c r="B365" s="153"/>
      <c r="C365" s="153"/>
      <c r="D365" s="153"/>
      <c r="E365" s="153">
        <f>SUM(E353:E364)</f>
        <v>0</v>
      </c>
      <c r="F365" s="110"/>
      <c r="G365" s="80">
        <f>SUM(G353:G364)</f>
        <v>17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71.400000000000006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17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71.400000000000006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E357" sqref="E3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243</v>
      </c>
      <c r="B14" s="153"/>
      <c r="C14" s="153"/>
      <c r="D14" s="153"/>
      <c r="E14" s="15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246</v>
      </c>
      <c r="B27" s="153"/>
      <c r="C27" s="153"/>
      <c r="D27" s="153"/>
      <c r="E27" s="15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55" t="s">
        <v>247</v>
      </c>
      <c r="B28" s="156"/>
      <c r="C28" s="156"/>
      <c r="D28" s="156"/>
      <c r="E28" s="156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243</v>
      </c>
      <c r="B41" s="153"/>
      <c r="C41" s="153"/>
      <c r="D41" s="153"/>
      <c r="E41" s="15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246</v>
      </c>
      <c r="B54" s="153"/>
      <c r="C54" s="153"/>
      <c r="D54" s="153"/>
      <c r="E54" s="15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55" t="s">
        <v>247</v>
      </c>
      <c r="B55" s="156"/>
      <c r="C55" s="156"/>
      <c r="D55" s="156"/>
      <c r="E55" s="156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243</v>
      </c>
      <c r="B68" s="153"/>
      <c r="C68" s="153"/>
      <c r="D68" s="153"/>
      <c r="E68" s="15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246</v>
      </c>
      <c r="B81" s="153"/>
      <c r="C81" s="153"/>
      <c r="D81" s="153"/>
      <c r="E81" s="15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55" t="s">
        <v>247</v>
      </c>
      <c r="B82" s="156"/>
      <c r="C82" s="156"/>
      <c r="D82" s="156"/>
      <c r="E82" s="156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243</v>
      </c>
      <c r="B95" s="153"/>
      <c r="C95" s="153"/>
      <c r="D95" s="153"/>
      <c r="E95" s="15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246</v>
      </c>
      <c r="B108" s="153"/>
      <c r="C108" s="153"/>
      <c r="D108" s="153"/>
      <c r="E108" s="15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55" t="s">
        <v>247</v>
      </c>
      <c r="B109" s="156"/>
      <c r="C109" s="156"/>
      <c r="D109" s="156"/>
      <c r="E109" s="156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243</v>
      </c>
      <c r="B122" s="153"/>
      <c r="C122" s="153"/>
      <c r="D122" s="153"/>
      <c r="E122" s="15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246</v>
      </c>
      <c r="B135" s="153"/>
      <c r="C135" s="153"/>
      <c r="D135" s="153"/>
      <c r="E135" s="15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55" t="s">
        <v>247</v>
      </c>
      <c r="B136" s="156"/>
      <c r="C136" s="156"/>
      <c r="D136" s="156"/>
      <c r="E136" s="156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246</v>
      </c>
      <c r="B162" s="153"/>
      <c r="C162" s="153"/>
      <c r="D162" s="153"/>
      <c r="E162" s="15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55" t="s">
        <v>247</v>
      </c>
      <c r="B163" s="156"/>
      <c r="C163" s="156"/>
      <c r="D163" s="156"/>
      <c r="E163" s="156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243</v>
      </c>
      <c r="B176" s="153"/>
      <c r="C176" s="153"/>
      <c r="D176" s="153"/>
      <c r="E176" s="15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246</v>
      </c>
      <c r="B189" s="153"/>
      <c r="C189" s="153"/>
      <c r="D189" s="153"/>
      <c r="E189" s="15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55" t="s">
        <v>247</v>
      </c>
      <c r="B190" s="156"/>
      <c r="C190" s="156"/>
      <c r="D190" s="156"/>
      <c r="E190" s="156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243</v>
      </c>
      <c r="B203" s="153"/>
      <c r="C203" s="153"/>
      <c r="D203" s="153"/>
      <c r="E203" s="15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246</v>
      </c>
      <c r="B216" s="153"/>
      <c r="C216" s="153"/>
      <c r="D216" s="153"/>
      <c r="E216" s="15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55" t="s">
        <v>247</v>
      </c>
      <c r="B217" s="156"/>
      <c r="C217" s="156"/>
      <c r="D217" s="156"/>
      <c r="E217" s="156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243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246</v>
      </c>
      <c r="B243" s="153"/>
      <c r="C243" s="153"/>
      <c r="D243" s="153"/>
      <c r="E243" s="15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55" t="s">
        <v>247</v>
      </c>
      <c r="B244" s="156"/>
      <c r="C244" s="156"/>
      <c r="D244" s="156"/>
      <c r="E244" s="156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341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243</v>
      </c>
      <c r="B257" s="153"/>
      <c r="C257" s="153"/>
      <c r="D257" s="153"/>
      <c r="E257" s="15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246</v>
      </c>
      <c r="B270" s="153"/>
      <c r="C270" s="153"/>
      <c r="D270" s="153"/>
      <c r="E270" s="15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55" t="s">
        <v>247</v>
      </c>
      <c r="B271" s="156"/>
      <c r="C271" s="156"/>
      <c r="D271" s="156"/>
      <c r="E271" s="156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243</v>
      </c>
      <c r="B284" s="153"/>
      <c r="C284" s="153"/>
      <c r="D284" s="153"/>
      <c r="E284" s="15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246</v>
      </c>
      <c r="B297" s="153"/>
      <c r="C297" s="153"/>
      <c r="D297" s="153"/>
      <c r="E297" s="15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55" t="s">
        <v>247</v>
      </c>
      <c r="B298" s="156"/>
      <c r="C298" s="156"/>
      <c r="D298" s="156"/>
      <c r="E298" s="156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243</v>
      </c>
      <c r="B311" s="153"/>
      <c r="C311" s="153"/>
      <c r="D311" s="153"/>
      <c r="E311" s="15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246</v>
      </c>
      <c r="B324" s="153"/>
      <c r="C324" s="153"/>
      <c r="D324" s="153"/>
      <c r="E324" s="15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55" t="s">
        <v>247</v>
      </c>
      <c r="B325" s="156"/>
      <c r="C325" s="156"/>
      <c r="D325" s="156"/>
      <c r="E325" s="156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243</v>
      </c>
      <c r="B338" s="153"/>
      <c r="C338" s="153"/>
      <c r="D338" s="153"/>
      <c r="E338" s="15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342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343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246</v>
      </c>
      <c r="B351" s="153"/>
      <c r="C351" s="153"/>
      <c r="D351" s="153"/>
      <c r="E351" s="15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55" t="s">
        <v>247</v>
      </c>
      <c r="B352" s="156"/>
      <c r="C352" s="156"/>
      <c r="D352" s="156"/>
      <c r="E352" s="156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258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258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258</v>
      </c>
      <c r="F355" s="134">
        <f>IFERROR(IF($D355="","",VLOOKUP($D355,Cadastro!$C$4:$E$7,3,FALSE)),"")</f>
        <v>0.24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258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258</v>
      </c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50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210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244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246</v>
      </c>
      <c r="B378" s="153"/>
      <c r="C378" s="153"/>
      <c r="D378" s="153"/>
      <c r="E378" s="153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244</v>
      </c>
      <c r="S378" s="39"/>
      <c r="T378" s="119">
        <f>IFERROR(J378,"")</f>
        <v>0</v>
      </c>
    </row>
    <row r="379" spans="1:20" ht="18" customHeight="1">
      <c r="A379" s="155" t="s">
        <v>247</v>
      </c>
      <c r="B379" s="156"/>
      <c r="C379" s="156"/>
      <c r="D379" s="156"/>
      <c r="E379" s="156">
        <f>E365+E378</f>
        <v>0</v>
      </c>
      <c r="F379" s="112"/>
      <c r="G379" s="91">
        <f>G365+G378</f>
        <v>50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210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248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243</v>
      </c>
      <c r="B392" s="153"/>
      <c r="C392" s="153"/>
      <c r="D392" s="153"/>
      <c r="E392" s="153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246</v>
      </c>
      <c r="B405" s="153"/>
      <c r="C405" s="153"/>
      <c r="D405" s="153"/>
      <c r="E405" s="153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55" t="s">
        <v>247</v>
      </c>
      <c r="B406" s="156"/>
      <c r="C406" s="156"/>
      <c r="D406" s="156"/>
      <c r="E406" s="156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243</v>
      </c>
      <c r="B419" s="153"/>
      <c r="C419" s="153"/>
      <c r="D419" s="153"/>
      <c r="E419" s="153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246</v>
      </c>
      <c r="B432" s="153"/>
      <c r="C432" s="153"/>
      <c r="D432" s="153"/>
      <c r="E432" s="153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55" t="s">
        <v>247</v>
      </c>
      <c r="B433" s="156"/>
      <c r="C433" s="156"/>
      <c r="D433" s="156"/>
      <c r="E433" s="156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243</v>
      </c>
      <c r="B446" s="153"/>
      <c r="C446" s="153"/>
      <c r="D446" s="153"/>
      <c r="E446" s="153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246</v>
      </c>
      <c r="B459" s="153"/>
      <c r="C459" s="153"/>
      <c r="D459" s="153"/>
      <c r="E459" s="153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55" t="s">
        <v>247</v>
      </c>
      <c r="B460" s="156"/>
      <c r="C460" s="156"/>
      <c r="D460" s="156"/>
      <c r="E460" s="156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243</v>
      </c>
      <c r="B473" s="153"/>
      <c r="C473" s="153"/>
      <c r="D473" s="153"/>
      <c r="E473" s="15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246</v>
      </c>
      <c r="B486" s="153"/>
      <c r="C486" s="153"/>
      <c r="D486" s="153"/>
      <c r="E486" s="15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55" t="s">
        <v>247</v>
      </c>
      <c r="B487" s="156"/>
      <c r="C487" s="156"/>
      <c r="D487" s="156"/>
      <c r="E487" s="156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243</v>
      </c>
      <c r="B500" s="153"/>
      <c r="C500" s="153"/>
      <c r="D500" s="153"/>
      <c r="E500" s="15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246</v>
      </c>
      <c r="B513" s="153"/>
      <c r="C513" s="153"/>
      <c r="D513" s="153"/>
      <c r="E513" s="15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55" t="s">
        <v>247</v>
      </c>
      <c r="B514" s="156"/>
      <c r="C514" s="156"/>
      <c r="D514" s="156"/>
      <c r="E514" s="156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243</v>
      </c>
      <c r="B527" s="153"/>
      <c r="C527" s="153"/>
      <c r="D527" s="153"/>
      <c r="E527" s="15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246</v>
      </c>
      <c r="B540" s="153"/>
      <c r="C540" s="153"/>
      <c r="D540" s="153"/>
      <c r="E540" s="15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55" t="s">
        <v>247</v>
      </c>
      <c r="B541" s="156"/>
      <c r="C541" s="156"/>
      <c r="D541" s="156"/>
      <c r="E541" s="156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243</v>
      </c>
      <c r="B554" s="153"/>
      <c r="C554" s="153"/>
      <c r="D554" s="153"/>
      <c r="E554" s="15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246</v>
      </c>
      <c r="B567" s="153"/>
      <c r="C567" s="153"/>
      <c r="D567" s="153"/>
      <c r="E567" s="15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55" t="s">
        <v>247</v>
      </c>
      <c r="B568" s="156"/>
      <c r="C568" s="156"/>
      <c r="D568" s="156"/>
      <c r="E568" s="156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243</v>
      </c>
      <c r="B581" s="153"/>
      <c r="C581" s="153"/>
      <c r="D581" s="153"/>
      <c r="E581" s="15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246</v>
      </c>
      <c r="B594" s="153"/>
      <c r="C594" s="153"/>
      <c r="D594" s="153"/>
      <c r="E594" s="15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55" t="s">
        <v>247</v>
      </c>
      <c r="B595" s="156"/>
      <c r="C595" s="156"/>
      <c r="D595" s="156"/>
      <c r="E595" s="156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243</v>
      </c>
      <c r="B608" s="153"/>
      <c r="C608" s="153"/>
      <c r="D608" s="153"/>
      <c r="E608" s="15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246</v>
      </c>
      <c r="B621" s="153"/>
      <c r="C621" s="153"/>
      <c r="D621" s="153"/>
      <c r="E621" s="15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55" t="s">
        <v>247</v>
      </c>
      <c r="B622" s="156"/>
      <c r="C622" s="156"/>
      <c r="D622" s="156"/>
      <c r="E622" s="156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243</v>
      </c>
      <c r="B635" s="153"/>
      <c r="C635" s="153"/>
      <c r="D635" s="153"/>
      <c r="E635" s="15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246</v>
      </c>
      <c r="B648" s="153"/>
      <c r="C648" s="153"/>
      <c r="D648" s="153"/>
      <c r="E648" s="15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55" t="s">
        <v>247</v>
      </c>
      <c r="B649" s="156"/>
      <c r="C649" s="156"/>
      <c r="D649" s="156"/>
      <c r="E649" s="156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243</v>
      </c>
      <c r="B662" s="153"/>
      <c r="C662" s="153"/>
      <c r="D662" s="153"/>
      <c r="E662" s="15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246</v>
      </c>
      <c r="B675" s="153"/>
      <c r="C675" s="153"/>
      <c r="D675" s="153"/>
      <c r="E675" s="15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55" t="s">
        <v>247</v>
      </c>
      <c r="B676" s="156"/>
      <c r="C676" s="156"/>
      <c r="D676" s="156"/>
      <c r="E676" s="156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243</v>
      </c>
      <c r="B689" s="153"/>
      <c r="C689" s="153"/>
      <c r="D689" s="153"/>
      <c r="E689" s="15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246</v>
      </c>
      <c r="B702" s="153"/>
      <c r="C702" s="153"/>
      <c r="D702" s="153"/>
      <c r="E702" s="15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55" t="s">
        <v>247</v>
      </c>
      <c r="B703" s="156"/>
      <c r="C703" s="156"/>
      <c r="D703" s="156"/>
      <c r="E703" s="156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243</v>
      </c>
      <c r="B716" s="153"/>
      <c r="C716" s="153"/>
      <c r="D716" s="153"/>
      <c r="E716" s="15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246</v>
      </c>
      <c r="B729" s="153"/>
      <c r="C729" s="153"/>
      <c r="D729" s="153"/>
      <c r="E729" s="15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55" t="s">
        <v>247</v>
      </c>
      <c r="B730" s="156"/>
      <c r="C730" s="156"/>
      <c r="D730" s="156"/>
      <c r="E730" s="156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243</v>
      </c>
      <c r="B743" s="153"/>
      <c r="C743" s="153"/>
      <c r="D743" s="153"/>
      <c r="E743" s="15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246</v>
      </c>
      <c r="B756" s="153"/>
      <c r="C756" s="153"/>
      <c r="D756" s="153"/>
      <c r="E756" s="15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55" t="s">
        <v>247</v>
      </c>
      <c r="B757" s="156"/>
      <c r="C757" s="156"/>
      <c r="D757" s="156"/>
      <c r="E757" s="156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243</v>
      </c>
      <c r="B770" s="153"/>
      <c r="C770" s="153"/>
      <c r="D770" s="153"/>
      <c r="E770" s="15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246</v>
      </c>
      <c r="B783" s="153"/>
      <c r="C783" s="153"/>
      <c r="D783" s="153"/>
      <c r="E783" s="15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55" t="s">
        <v>247</v>
      </c>
      <c r="B784" s="156"/>
      <c r="C784" s="156"/>
      <c r="D784" s="156"/>
      <c r="E784" s="156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243</v>
      </c>
      <c r="B797" s="153"/>
      <c r="C797" s="153"/>
      <c r="D797" s="153"/>
      <c r="E797" s="15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246</v>
      </c>
      <c r="B810" s="153"/>
      <c r="C810" s="153"/>
      <c r="D810" s="153"/>
      <c r="E810" s="15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55" t="s">
        <v>247</v>
      </c>
      <c r="B811" s="156"/>
      <c r="C811" s="156"/>
      <c r="D811" s="156"/>
      <c r="E811" s="156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243</v>
      </c>
      <c r="B824" s="153"/>
      <c r="C824" s="153"/>
      <c r="D824" s="153"/>
      <c r="E824" s="15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246</v>
      </c>
      <c r="B837" s="153"/>
      <c r="C837" s="153"/>
      <c r="D837" s="153"/>
      <c r="E837" s="15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55" t="s">
        <v>247</v>
      </c>
      <c r="B838" s="156"/>
      <c r="C838" s="156"/>
      <c r="D838" s="156"/>
      <c r="E838" s="156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2026-08-14T15:01:39Z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