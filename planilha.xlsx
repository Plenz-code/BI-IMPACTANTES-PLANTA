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1" documentId="8_{C51EB6CB-002B-4D6B-B68F-DDEBDB4460C0}" xr6:coauthVersionLast="47" xr6:coauthVersionMax="47" xr10:uidLastSave="{B31C220E-0E11-45B8-A756-919FE79DD4F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<sst xmlns="http://schemas.openxmlformats.org/spreadsheetml/2006/main" count="1386" uniqueCount="241">
  <si>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</si>
  <si>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</si>
  <si>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</si>
  <si>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</si>
  <si>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</si>
  <si>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</si>
  <si>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</si>
  <si>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</si>
  <si>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</si>
  <si>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</si>
  <si>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</si>
  <si>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</si>
  <si>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</si>
  <si>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</si>
  <si>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</si>
  <si>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</si>
  <si>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</si>
  <si>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</si>
  <si>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</si>
  <si>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</si>
  <si>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</si>
  <si>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</si>
  <si>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</si>
  <si>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</si>
  <si>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</si>
  <si>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</si>
  <si>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</si>
  <si>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</si>
  <si>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</si>
  <si>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</si>
  <si>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</si>
  <si>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</si>
  <si>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</si>
  <si>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</si>
  <si>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</si>
  <si>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</si>
  <si>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</si>
  <si>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</si>
  <si>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</si>
  <si>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</si>
  <si>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</si>
  <si>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</si>
  <si>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</si>
  <si>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</si>
  <si>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</si>
  <si>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</si>
  <si>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</si>
  <si>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</si>
  <si>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</si>
  <si>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</si>
  <si>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</si>
  <si>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</si>
  <si>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</si>
  <si>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</si>
  <si>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</si>
  <si>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</si>
  <si>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</si>
  <si>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</si>
  <si>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</si>
  <si>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</si>
  <si>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</si>
  <si>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</si>
  <si>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</si>
  <si>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</si>
  <si>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</si>
  <si>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</si>
  <si>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</si>
  <si>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</si>
  <si>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</si>
  <si>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</si>
  <si>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</si>
  <si>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</si>
  <si>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</si>
  <si>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</si>
  <si>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</si>
  <si>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</si>
  <si>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</si>
  <si>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</si>
  <si>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</si>
  <si>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</si>
  <si>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</si>
  <si>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</si>
  <si>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</si>
  <si>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</si>
  <si>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</si>
  <si>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</si>
  <si>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</si>
  <si>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</si>
  <si>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</si>
  <si>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</si>
  <si>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</si>
  <si>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</si>
  <si>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</si>
  <si>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</si>
  <si>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</si>
  <si>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</si>
  <si>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</si>
  <si>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</si>
  <si>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</si>
  <si>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</si>
  <si>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</si>
  <si>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</si>
  <si>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</si>
  <si>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</si>
  <si>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</si>
  <si>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</si>
  <si>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</si>
  <si>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</si>
  <si>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</si>
  <si>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</si>
  <si>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</si>
  <si>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</si>
  <si>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</si>
  <si>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</si>
  <si>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</si>
  <si>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</si>
  <si>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</si>
  <si>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</si>
  <si>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</si>
  <si>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</si>
  <si>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</si>
  <si>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</si>
  <si>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</si>
  <si>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</si>
  <si>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</si>
  <si>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</si>
  <si>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</si>
  <si>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</si>
  <si>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</si>
  <si>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</si>
  <si>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</si>
  <si>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</si>
  <si>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</si>
  <si>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</si>
  <si>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</si>
  <si>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</si>
  <si>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</si>
  <si>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</si>
  <si>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</si>
  <si>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</si>
  <si>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</si>
  <si>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</si>
  <si>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</si>
  <si>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</si>
  <si>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</si>
  <si>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</si>
  <si>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</si>
  <si>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</si>
  <si>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</si>
  <si>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</si>
  <si>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</si>
  <si>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</si>
  <si>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</si>
  <si>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</si>
  <si>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</si>
  <si>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</si>
  <si>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</si>
  <si>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</si>
  <si>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</si>
  <si>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</si>
  <si>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</si>
  <si>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</si>
  <si>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</si>
  <si>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</si>
  <si>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</si>
  <si>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</si>
  <si>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</si>
  <si>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</si>
  <si>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</si>
  <si>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</si>
  <si>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</si>
  <si>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</si>
  <si>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</si>
  <si>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</si>
  <si>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</si>
  <si>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</si>
  <si>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</si>
  <si>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</si>
  <si>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</si>
  <si>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</si>
  <si>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</si>
  <si>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</si>
  <si>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</si>
  <si>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</si>
  <si>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</si>
  <si>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</si>
  <si>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</si>
  <si>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</si>
  <si>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</si>
  <si>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</si>
  <si>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</si>
  <si>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</si>
  <si>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</si>
  <si>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</si>
  <si>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</si>
  <si>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</si>
  <si>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</si>
  <si>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</si>
  <si>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</si>
  <si>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</si>
  <si>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</si>
  <si>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</si>
  <si>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</si>
  <si>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</si>
  <si>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</si>
  <si>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</si>
  <si>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</si>
  <si>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</si>
  <si>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</si>
  <si>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</si>
  <si>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</si>
  <si>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</si>
  <si>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</si>
  <si>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</si>
  <si>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</si>
  <si>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</si>
  <si>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</si>
  <si>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</si>
  <si>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</si>
  <si>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</si>
  <si>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</si>
  <si>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</si>
  <si>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</si>
  <si>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</si>
  <si>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</si>
  <si>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</si>
  <si>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</si>
  <si>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</si>
  <si>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</si>
  <si>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</si>
  <si>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</si>
  <si>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</si>
  <si>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</si>
  <si>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</si>
  <si>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</si>
  <si>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</si>
  <si>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</si>
  <si>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20;25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</si>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</sst>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5" sqref="E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17" sqref="L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 t="s">
        <v>19</v>
      </c>
      <c r="I16" s="26" t="s">
        <v>39</v>
      </c>
      <c r="J16" s="26" t="s">
        <v>27</v>
      </c>
      <c r="K16" s="29" t="s">
        <v>237</v>
      </c>
      <c r="L16" s="29">
        <v>0.8569444444444444</v>
      </c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9.7222222222221877E-3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0.21041666666666653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16</v>
      </c>
      <c r="G27" s="36">
        <f>SUM(G15:G26)</f>
        <v>67.2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97</v>
      </c>
      <c r="G28" s="40">
        <f>G14+G27</f>
        <v>407.40000000000003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</v>
      </c>
      <c r="G27" s="36">
        <f>SUM(G15:G26)</f>
        <v>42</v>
      </c>
      <c r="H27" s="37"/>
      <c r="I27" s="37"/>
      <c r="J27" s="37"/>
      <c r="K27" s="61"/>
      <c r="L27" s="61"/>
      <c r="M27" s="38">
        <f ca="1">IFERROR(SUM(M15:M26),"")</f>
        <v>3.8888888888888973E-2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140</v>
      </c>
      <c r="G28" s="40">
        <f>G14+G27</f>
        <v>588.00000000000011</v>
      </c>
      <c r="H28" s="41"/>
      <c r="I28" s="41"/>
      <c r="J28" s="41"/>
      <c r="K28" s="63"/>
      <c r="L28" s="63"/>
      <c r="M28" s="42">
        <f ca="1">IFERROR(M14+M27,"")</f>
        <v>7.777777777777789E-2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2026-08-02T00:34:52Z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