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33" documentId="8_{AF585B22-221D-4780-BB9C-493D365A6A02}" xr6:coauthVersionLast="47" xr6:coauthVersionMax="47" xr10:uidLastSave="{7E267BED-E4B4-4B04-A071-CA38C4AECF5F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<sst xmlns="http://schemas.openxmlformats.org/spreadsheetml/2006/main" count="5710" uniqueCount="310">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</sst>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5" activePane="bottomLeft" state="frozen"/>
      <selection pane="bottomLeft" activeCell="L340" sqref="L3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7.8472222222222276E-2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0.17638888888888893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L340" sqref="L3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32</v>
      </c>
      <c r="G351" s="36">
        <f>SUM(G339:G350)</f>
        <v>134.4</v>
      </c>
      <c r="H351" s="37"/>
      <c r="I351" s="37"/>
      <c r="J351" s="37"/>
      <c r="K351" s="37"/>
      <c r="L351" s="37"/>
      <c r="M351" s="38">
        <f ca="1">IFERROR(SUM(M339:M350),"")</f>
        <v>5.5555555555555358E-3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229</v>
      </c>
      <c r="G352" s="40">
        <f>G338+G351</f>
        <v>971.40000000000009</v>
      </c>
      <c r="H352" s="41"/>
      <c r="I352" s="41"/>
      <c r="J352" s="41"/>
      <c r="K352" s="41"/>
      <c r="L352" s="41"/>
      <c r="M352" s="42">
        <f ca="1">IFERROR(M338+M351,"")</f>
        <v>7.5000000000000011E-2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L341" sqref="L3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25</v>
      </c>
      <c r="G351" s="36">
        <f>SUM(G339:G350)</f>
        <v>105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65</v>
      </c>
      <c r="G352" s="40">
        <f>G338+G351</f>
        <v>273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15" activePane="bottomLeft" state="frozen"/>
      <selection pane="bottomLeft" activeCell="J344" sqref="J34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0.6689444444491528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0.86825000000470842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1.2356111111158194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 t="s">
        <v>20</v>
      </c>
      <c r="I344" s="26" t="s">
        <v>153</v>
      </c>
      <c r="J344" s="26" t="s">
        <v>74</v>
      </c>
      <c r="K344" s="29" t="s">
        <v>309</v>
      </c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25</v>
      </c>
      <c r="G351" s="36">
        <f>SUM(G339:G350)</f>
        <v>105</v>
      </c>
      <c r="H351" s="37"/>
      <c r="I351" s="37"/>
      <c r="J351" s="37"/>
      <c r="K351" s="61"/>
      <c r="L351" s="61"/>
      <c r="M351" s="38">
        <f ca="1">IFERROR(SUM(M339:M350),"")</f>
        <v>4.166666666666663E-2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208</v>
      </c>
      <c r="G352" s="40">
        <f>G338+G351</f>
        <v>885.6</v>
      </c>
      <c r="H352" s="41"/>
      <c r="I352" s="41"/>
      <c r="J352" s="41"/>
      <c r="K352" s="63"/>
      <c r="L352" s="63"/>
      <c r="M352" s="42">
        <f ca="1">IFERROR(M338+M351,"")</f>
        <v>0.15069444444444435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2026-07-14T02:02:36Z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