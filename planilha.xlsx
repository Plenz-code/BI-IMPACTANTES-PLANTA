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46" documentId="13_ncr:1_{0A10D8D4-8450-4366-8075-B53B08E6B7EA}" xr6:coauthVersionLast="47" xr6:coauthVersionMax="47" xr10:uidLastSave="{B1B6CF10-9323-48FE-89FD-3C6E2EFEEADA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7" i="6" l="1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<sst xmlns="http://schemas.openxmlformats.org/spreadsheetml/2006/main" count="7908" uniqueCount="374">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</sst>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45" activePane="bottomLeft" state="frozen"/>
      <selection pane="bottomLeft" activeCell="E472" sqref="E472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33" activePane="bottomLeft" state="frozen"/>
      <selection pane="bottomLeft" activeCell="M461" sqref="M461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0.19320567129034316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0.33209456017923206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0.41681678240145437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/>
      <c r="H461" s="140" t="str">
        <f>IFERROR(IF($G461="","",$G461*$S$473/$G$473/Cadastro!$E$33),"")</f>
        <v/>
      </c>
      <c r="I461" s="141">
        <f>IFERROR(IF($D461="","",VLOOKUP($D461,Cadastro!$C$4:$G$7,5,FALSE)),"")</f>
        <v>0.6</v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/>
      <c r="H462" s="134" t="str">
        <f>IFERROR(IF($G462="","",$G462*$S$473/$G$473/Cadastro!$E$33),"")</f>
        <v/>
      </c>
      <c r="I462" s="135">
        <f>IFERROR(IF($D462="","",VLOOKUP($D462,Cadastro!$C$4:$G$7,5,FALSE)),"")</f>
        <v>0.6</v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2.0833333333333315E-2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2.0833333333333315E-2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61" sqref="G46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/>
      <c r="H461" s="140" t="str">
        <f>IFERROR(IF($G461="","",$G461*$S$473/$G$473/Cadastro!$E$33),"")</f>
        <v/>
      </c>
      <c r="I461" s="141">
        <f>IFERROR(IF($D461="","",VLOOKUP($D461,Cadastro!$C$4:$G$7,5,FALSE)),"")</f>
        <v>0.6</v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/>
      <c r="H462" s="134" t="str">
        <f>IFERROR(IF($G462="","",$G462*$S$473/$G$473/Cadastro!$E$33),"")</f>
        <v/>
      </c>
      <c r="I462" s="135">
        <f>IFERROR(IF($D462="","",VLOOKUP($D462,Cadastro!$C$4:$G$7,5,FALSE)),"")</f>
        <v>0.6</v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61" sqref="G46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/>
      <c r="H461" s="140" t="str">
        <f>IFERROR(IF($G461="","",$G461*$S$473/$G$473/Cadastro!$E$33),"")</f>
        <v/>
      </c>
      <c r="I461" s="141">
        <f>IFERROR(IF($D461="","",VLOOKUP($D461,Cadastro!$C$4:$G$7,5,FALSE)),"")</f>
        <v>0.6</v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/>
      <c r="Q461" s="35">
        <f t="shared" ref="Q461:Q472" ca="1" si="116">IFERROR(IF(O461="","",IF(P461="",MOD(NOW()-O461,1),IF(P461&gt;=O461,P461-O461,P461+1-O461))),"")</f>
        <v>1.6122337961860467E-2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/>
      <c r="H462" s="134" t="str">
        <f>IFERROR(IF($G462="","",$G462*$S$473/$G$473/Cadastro!$E$33),"")</f>
        <v/>
      </c>
      <c r="I462" s="135">
        <f>IFERROR(IF($D462="","",VLOOKUP($D462,Cadastro!$C$4:$G$7,5,FALSE)),"")</f>
        <v>0.6</v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1.6122337961860467E-2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1.6122337961860467E-2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2026-08-18T11:33:38Z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