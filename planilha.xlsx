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78" documentId="8_{AF585B22-221D-4780-BB9C-493D365A6A02}" xr6:coauthVersionLast="47" xr6:coauthVersionMax="47" xr10:uidLastSave="{31A6A5D3-094C-44C2-9B73-6BE79598B94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<sst xmlns="http://schemas.openxmlformats.org/spreadsheetml/2006/main" count="11360" uniqueCount="418">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</sst>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33" activePane="bottomLeft" state="frozen"/>
      <selection pane="bottomLeft" activeCell="F750" sqref="F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85</v>
      </c>
      <c r="G756" s="36">
        <f>SUM(G744:G755)</f>
        <v>425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498</v>
      </c>
      <c r="G757" s="40">
        <f>G743+G756</f>
        <v>2465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9" sqref="F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0.80911365740757901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0.9667525462964679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1.0764747685186902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0.78758587963238824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0.95841921296572163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1.1035581018546106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68</v>
      </c>
      <c r="G756" s="36">
        <f>SUM(G744:G755)</f>
        <v>285.60000000000002</v>
      </c>
      <c r="H756" s="37"/>
      <c r="I756" s="37"/>
      <c r="J756" s="37"/>
      <c r="K756" s="37"/>
      <c r="L756" s="37"/>
      <c r="M756" s="38">
        <f ca="1">IFERROR(SUM(M744:M755),"")</f>
        <v>4.6527777777777855E-2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203</v>
      </c>
      <c r="G757" s="40">
        <f>G743+G756</f>
        <v>852.6</v>
      </c>
      <c r="H757" s="41"/>
      <c r="I757" s="41"/>
      <c r="J757" s="41"/>
      <c r="K757" s="41"/>
      <c r="L757" s="41"/>
      <c r="M757" s="42">
        <f ca="1">IFERROR(M743+M756,"")</f>
        <v>0.11666666666666672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48" sqref="F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16</v>
      </c>
      <c r="G756" s="36">
        <f>SUM(G744:G755)</f>
        <v>67.2</v>
      </c>
      <c r="H756" s="37"/>
      <c r="I756" s="37"/>
      <c r="J756" s="37"/>
      <c r="K756" s="37"/>
      <c r="L756" s="37"/>
      <c r="M756" s="38">
        <f ca="1">IFERROR(SUM(M744:M755),"")</f>
        <v>4.7222222222222276E-2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81</v>
      </c>
      <c r="G757" s="40">
        <f>G743+G756</f>
        <v>340.2</v>
      </c>
      <c r="H757" s="41"/>
      <c r="I757" s="41"/>
      <c r="J757" s="41"/>
      <c r="K757" s="41"/>
      <c r="L757" s="41"/>
      <c r="M757" s="42">
        <f ca="1">IFERROR(M743+M756,"")</f>
        <v>0.11180555555555555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J750" sqref="J7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0.79939143519004574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0.99869699074560137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1.3660581018567124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20</v>
      </c>
      <c r="I746" s="26" t="s">
        <v>52</v>
      </c>
      <c r="J746" s="33" t="s">
        <v>181</v>
      </c>
      <c r="K746" s="29">
        <v>4.8611111111111112E-2</v>
      </c>
      <c r="L746" s="29"/>
      <c r="M746" s="30">
        <f t="shared" ca="1" si="166"/>
        <v>8.5879633843433112E-5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71</v>
      </c>
      <c r="G756" s="36">
        <f>SUM(G744:G755)</f>
        <v>298.20000000000005</v>
      </c>
      <c r="H756" s="37"/>
      <c r="I756" s="37"/>
      <c r="J756" s="37"/>
      <c r="K756" s="61"/>
      <c r="L756" s="61"/>
      <c r="M756" s="38">
        <f ca="1">IFERROR(SUM(M744:M755),"")</f>
        <v>4.4530324078287942E-2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228</v>
      </c>
      <c r="G757" s="40">
        <f>G743+G756</f>
        <v>957.6</v>
      </c>
      <c r="H757" s="41"/>
      <c r="I757" s="41"/>
      <c r="J757" s="41"/>
      <c r="K757" s="63"/>
      <c r="L757" s="63"/>
      <c r="M757" s="42">
        <f ca="1">IFERROR(M743+M756,"")</f>
        <v>1.1528636574116213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2026-07-29T05:10:39Z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