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394" documentId="8_{C51EB6CB-002B-4D6B-B68F-DDEBDB4460C0}" xr6:coauthVersionLast="47" xr6:coauthVersionMax="47" xr10:uidLastSave="{D847FE3D-62CA-4D4A-AA57-B828715AACD3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<sst xmlns="http://schemas.openxmlformats.org/spreadsheetml/2006/main" count="3697" uniqueCount="291">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</sst>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2" activePane="bottomLeft" state="frozen"/>
      <selection pane="bottomLeft" activeCell="F172" sqref="F17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289</v>
      </c>
      <c r="G176" s="36">
        <f>SUM(G164:G175)</f>
        <v>1445</v>
      </c>
      <c r="H176" s="37"/>
      <c r="I176" s="37"/>
      <c r="J176" s="37"/>
      <c r="K176" s="37"/>
      <c r="L176" s="37"/>
      <c r="M176" s="38">
        <f ca="1">IFERROR(SUM(M164:M175),"")</f>
        <v>4.5833333333333337E-2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289</v>
      </c>
      <c r="G190" s="40">
        <f>G176+G189</f>
        <v>1445</v>
      </c>
      <c r="H190" s="41"/>
      <c r="I190" s="41"/>
      <c r="J190" s="41"/>
      <c r="K190" s="41"/>
      <c r="L190" s="41"/>
      <c r="M190" s="42">
        <f ca="1">IFERROR(M176+M189,"")</f>
        <v>4.5833333333333337E-2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46" activePane="bottomLeft" state="frozen"/>
      <selection pane="bottomLeft" activeCell="J167" sqref="J16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0.51229189814330311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0.65118078703219195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0.73590300925441432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>
        <v>6</v>
      </c>
      <c r="G167" s="34">
        <f t="shared" si="36"/>
        <v>25.200000000000003</v>
      </c>
      <c r="H167" s="33" t="s">
        <v>20</v>
      </c>
      <c r="I167" s="33" t="s">
        <v>156</v>
      </c>
      <c r="J167" s="33" t="s">
        <v>74</v>
      </c>
      <c r="K167" s="29">
        <v>0.63194444444444442</v>
      </c>
      <c r="L167" s="29"/>
      <c r="M167" s="35">
        <f t="shared" ca="1" si="37"/>
        <v>1.8752314790617675E-3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>
        <v>8</v>
      </c>
      <c r="G168" s="28">
        <f t="shared" si="36"/>
        <v>33.6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48</v>
      </c>
      <c r="G176" s="36">
        <f>SUM(G164:G175)</f>
        <v>201.6</v>
      </c>
      <c r="H176" s="37"/>
      <c r="I176" s="37"/>
      <c r="J176" s="37"/>
      <c r="K176" s="37"/>
      <c r="L176" s="37"/>
      <c r="M176" s="38">
        <f ca="1">IFERROR(SUM(M164:M175),"")</f>
        <v>7.201412036795074E-2</v>
      </c>
      <c r="N176" s="36" t="s">
        <v>234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48</v>
      </c>
      <c r="G190" s="40">
        <f>G176+G189</f>
        <v>201.6</v>
      </c>
      <c r="H190" s="41"/>
      <c r="I190" s="41"/>
      <c r="J190" s="41"/>
      <c r="K190" s="41"/>
      <c r="L190" s="41"/>
      <c r="M190" s="42">
        <f ca="1">IFERROR(M176+M189,"")</f>
        <v>7.201412036795074E-2</v>
      </c>
      <c r="N190" s="40" t="s">
        <v>238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51" zoomScale="50" zoomScaleNormal="50" workbookViewId="0">
      <selection activeCell="J172" sqref="J1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 t="s">
        <v>20</v>
      </c>
      <c r="I172" s="26" t="s">
        <v>156</v>
      </c>
      <c r="J172" s="26" t="s">
        <v>74</v>
      </c>
      <c r="K172" s="29">
        <v>0.63194444444444442</v>
      </c>
      <c r="L172" s="29"/>
      <c r="M172" s="30">
        <f t="shared" ca="1" si="37"/>
        <v>1.8751157404039986E-3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50</v>
      </c>
      <c r="G176" s="36">
        <f>SUM(G164:G175)</f>
        <v>210.00000000000003</v>
      </c>
      <c r="H176" s="37"/>
      <c r="I176" s="37"/>
      <c r="J176" s="37"/>
      <c r="K176" s="37"/>
      <c r="L176" s="37"/>
      <c r="M176" s="38">
        <f ca="1">IFERROR(SUM(M164:M175),"")</f>
        <v>7.4097337962626297E-2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50</v>
      </c>
      <c r="G190" s="40">
        <f>G176+G189</f>
        <v>210.00000000000003</v>
      </c>
      <c r="H190" s="41"/>
      <c r="I190" s="41"/>
      <c r="J190" s="41"/>
      <c r="K190" s="41"/>
      <c r="L190" s="41"/>
      <c r="M190" s="42">
        <f ca="1">IFERROR(M176+M189,"")</f>
        <v>7.4097337962626297E-2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72" sqref="F17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155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140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161</v>
      </c>
      <c r="J170" s="26" t="s">
        <v>27</v>
      </c>
      <c r="K170" s="29">
        <v>0.62847222222222221</v>
      </c>
      <c r="L170" s="29"/>
      <c r="M170" s="30">
        <f t="shared" ca="1" si="37"/>
        <v>5.3473379666684195E-3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17</v>
      </c>
      <c r="G171" s="34">
        <f t="shared" si="36"/>
        <v>71.400000000000006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118</v>
      </c>
      <c r="G176" s="36">
        <f>SUM(G164:G175)</f>
        <v>495.6</v>
      </c>
      <c r="H176" s="37"/>
      <c r="I176" s="37"/>
      <c r="J176" s="37"/>
      <c r="K176" s="61"/>
      <c r="L176" s="61"/>
      <c r="M176" s="38">
        <f ca="1">IFERROR(SUM(M164:M175),"")</f>
        <v>0.10256956018889063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118</v>
      </c>
      <c r="G190" s="40">
        <f>G176+G189</f>
        <v>495.6</v>
      </c>
      <c r="H190" s="41"/>
      <c r="I190" s="41"/>
      <c r="J190" s="41"/>
      <c r="K190" s="63"/>
      <c r="L190" s="63"/>
      <c r="M190" s="42">
        <f ca="1">IFERROR(M176+M189,"")</f>
        <v>0.10256956018889063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2026-08-07T19:13:31Z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