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8" documentId="13_ncr:1_{0A10D8D4-8450-4366-8075-B53B08E6B7EA}" xr6:coauthVersionLast="47" xr6:coauthVersionMax="47" xr10:uidLastSave="{CFED2E0A-3170-48E1-8FBD-1B5D5C09E161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<sst xmlns="http://schemas.openxmlformats.org/spreadsheetml/2006/main" count="8159" uniqueCount="382">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</sst>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738810</v>
      </c>
      <c r="G21" s="12">
        <f t="shared" si="0"/>
        <v>2796230</v>
      </c>
      <c r="H21" s="96">
        <f>IFERROR('Linha 1'!T487+'Linha 2'!T487+'Linha 3'!T487,0)</f>
        <v>587.20829999999989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27499380</v>
      </c>
      <c r="G35" s="13">
        <f t="shared" si="2"/>
        <v>61205450</v>
      </c>
      <c r="H35" s="97">
        <f t="shared" si="2"/>
        <v>5041.3341450601893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O487" sqref="O48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S487" sqref="S48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0.17319641203357605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0.31208530092246495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0.39680752314468726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58" activePane="bottomLeft" state="frozen"/>
      <selection pane="bottomLeft" activeCell="S487" sqref="S4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86" sqref="G48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0</v>
      </c>
      <c r="I485" s="138">
        <f>IFERROR(IF($D485="","",VLOOKUP($D485,Cadastro!$C$4:$G$7,5,FALSE)),"")</f>
        <v>0.6</v>
      </c>
      <c r="J485" s="139">
        <f t="shared" si="118"/>
        <v>0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