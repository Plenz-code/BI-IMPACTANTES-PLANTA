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957" documentId="8_{AF585B22-221D-4780-BB9C-493D365A6A02}" xr6:coauthVersionLast="47" xr6:coauthVersionMax="47" xr10:uidLastSave="{6E16BB6B-63AD-4C05-B0C6-B2392AE33C13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<sst xmlns="http://schemas.openxmlformats.org/spreadsheetml/2006/main" count="6152" uniqueCount="315">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</sst>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597930</v>
      </c>
      <c r="G17" s="12">
        <f t="shared" si="0"/>
        <v>1435610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18712570</v>
      </c>
      <c r="G35" s="13">
        <f>IFERROR(SUM(G4:G34),"")</f>
        <v>43773370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6" activePane="bottomLeft" state="frozen"/>
      <selection pane="bottomLeft" activeCell="F376" sqref="F3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216</v>
      </c>
      <c r="F367" s="27">
        <v>16</v>
      </c>
      <c r="G367" s="34">
        <f t="shared" si="81"/>
        <v>80</v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156</v>
      </c>
      <c r="G378" s="36">
        <f>SUM(G366:G377)</f>
        <v>780</v>
      </c>
      <c r="H378" s="37"/>
      <c r="I378" s="37"/>
      <c r="J378" s="37"/>
      <c r="K378" s="37"/>
      <c r="L378" s="37"/>
      <c r="M378" s="38">
        <f ca="1">IFERROR(SUM(M366:M377),"")</f>
        <v>1.9444444444444445E-2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431</v>
      </c>
      <c r="G379" s="40">
        <f>G365+G378</f>
        <v>2155</v>
      </c>
      <c r="H379" s="41"/>
      <c r="I379" s="41"/>
      <c r="J379" s="41"/>
      <c r="K379" s="41"/>
      <c r="L379" s="41"/>
      <c r="M379" s="42">
        <f ca="1">IFERROR(M365+M378,"")</f>
        <v>0.11041666666666657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357" activePane="bottomLeft" state="frozen"/>
      <selection pane="bottomLeft" activeCell="J375" sqref="J3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/>
      <c r="M375" s="35">
        <f t="shared" ca="1" si="82"/>
        <v>1.1513078701682389E-2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/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/>
      <c r="M376" s="30">
        <f t="shared" ca="1" si="82"/>
        <v>1.0964120374410413E-3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0.13830393518356787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0.24802615740579004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1" zoomScale="50" zoomScaleNormal="50" workbookViewId="0">
      <selection activeCell="F376" sqref="F3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81</v>
      </c>
      <c r="K367" s="29">
        <v>0.2076388888888889</v>
      </c>
      <c r="L367" s="29"/>
      <c r="M367" s="35">
        <f t="shared" ca="1" si="82"/>
        <v>9.4297453688341193E-3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236</v>
      </c>
      <c r="F368" s="27">
        <v>8</v>
      </c>
      <c r="G368" s="28">
        <f t="shared" si="81"/>
        <v>33.6</v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104</v>
      </c>
      <c r="G378" s="36">
        <f>SUM(G366:G377)</f>
        <v>436.80000000000007</v>
      </c>
      <c r="H378" s="37"/>
      <c r="I378" s="37"/>
      <c r="J378" s="37"/>
      <c r="K378" s="37"/>
      <c r="L378" s="37"/>
      <c r="M378" s="38">
        <f ca="1">IFERROR(SUM(M366:M377),"")</f>
        <v>2.1929745368834075E-2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113</v>
      </c>
      <c r="G379" s="40">
        <f>G365+G378</f>
        <v>474.60000000000008</v>
      </c>
      <c r="H379" s="41"/>
      <c r="I379" s="41"/>
      <c r="J379" s="41"/>
      <c r="K379" s="41"/>
      <c r="L379" s="41"/>
      <c r="M379" s="42">
        <f ca="1">IFERROR(M365+M378,"")</f>
        <v>0.45317974536883404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8" activePane="bottomLeft" state="frozen"/>
      <selection pane="bottomLeft" activeCell="F376" sqref="F3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0.96776319444325054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1.1670687499988062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1.5344298611099172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236</v>
      </c>
      <c r="F377" s="27"/>
      <c r="G377" s="34" t="str">
        <f t="shared" si="81"/>
        <v/>
      </c>
      <c r="H377" s="33"/>
      <c r="I377" s="33"/>
      <c r="J377" s="33"/>
      <c r="K377" s="29">
        <v>0.20347222222222222</v>
      </c>
      <c r="L377" s="29"/>
      <c r="M377" s="35">
        <f t="shared" ca="1" si="82"/>
        <v>1.3596527773188427E-2</v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151</v>
      </c>
      <c r="G378" s="36">
        <f>SUM(G366:G377)</f>
        <v>634.19999999999993</v>
      </c>
      <c r="H378" s="37"/>
      <c r="I378" s="37"/>
      <c r="J378" s="37"/>
      <c r="K378" s="61"/>
      <c r="L378" s="61"/>
      <c r="M378" s="38">
        <f ca="1">IFERROR(SUM(M366:M377),"")</f>
        <v>0.10040208332874408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276</v>
      </c>
      <c r="G379" s="40">
        <f>G365+G378</f>
        <v>1159.1999999999998</v>
      </c>
      <c r="H379" s="41"/>
      <c r="I379" s="41"/>
      <c r="J379" s="41"/>
      <c r="K379" s="63"/>
      <c r="L379" s="63"/>
      <c r="M379" s="42">
        <f ca="1">IFERROR(M365+M378,"")</f>
        <v>0.20526319443985525</v>
      </c>
      <c r="N379" s="40" t="s">
        <v>222</v>
      </c>
      <c r="O379" s="48">
        <f>IFERROR(O365+O378,"")</f>
        <v>597930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2026-07-15T09:13:09Z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