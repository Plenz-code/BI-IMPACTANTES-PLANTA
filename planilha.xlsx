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8" documentId="13_ncr:1_{A6DBCFB4-28D9-4249-9038-216934055CA6}" xr6:coauthVersionLast="47" xr6:coauthVersionMax="47" xr10:uidLastSave="{5B63F1EE-0CA7-43CD-B941-213B04FB1B81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<sst xmlns="http://schemas.openxmlformats.org/spreadsheetml/2006/main" count="9506" uniqueCount="418">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</sst>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H561" sqref="H56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/>
      <c r="M561" s="71">
        <f t="shared" ca="1" si="120"/>
        <v>1.0888194447034039E-2</v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118</v>
      </c>
      <c r="G567" s="2">
        <f>SUM(G555:G566)</f>
        <v>590</v>
      </c>
      <c r="H567" s="72"/>
      <c r="I567" s="72"/>
      <c r="J567" s="72"/>
      <c r="K567" s="72"/>
      <c r="L567" s="72"/>
      <c r="M567" s="73">
        <f ca="1">IFERROR(SUM(M555:M566),"")</f>
        <v>0.25394375000258967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118</v>
      </c>
      <c r="G568" s="1">
        <f>G554+G567</f>
        <v>590</v>
      </c>
      <c r="H568" s="76"/>
      <c r="I568" s="76"/>
      <c r="J568" s="76"/>
      <c r="K568" s="76"/>
      <c r="L568" s="76"/>
      <c r="M568" s="77">
        <f ca="1">IFERROR(M554+M567,"")</f>
        <v>0.75394375000258962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300</v>
      </c>
      <c r="I1" s="86" t="s">
        <v>22</v>
      </c>
      <c r="J1" s="86" t="s">
        <v>301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301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302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303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304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306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307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308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309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0.12130486110982019</v>
      </c>
      <c r="R53" s="80" t="s">
        <v>310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0.26019374999870792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0.34491597222093073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302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311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312</v>
      </c>
      <c r="Q96" s="66" t="str">
        <f t="shared" ref="Q96:Q107" ca="1" si="22">IFERROR(IF(O96="","",IF(P96="",MOD(NOW()-O96,1),IF(P96&gt;=O96,P96-O96,P96+1-O96))),"")</f>
        <v/>
      </c>
      <c r="R96" s="80" t="s">
        <v>313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314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315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316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317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318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319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321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322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323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316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311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325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326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327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328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329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330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331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323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318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311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332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333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334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335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336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337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338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339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340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341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318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342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343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0.45116597222659038</v>
      </c>
      <c r="R555" s="80" t="s">
        <v>344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0.45116597222659038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0.77269375000436802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6" sqref="N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300</v>
      </c>
      <c r="I1" s="86" t="s">
        <v>22</v>
      </c>
      <c r="J1" s="86" t="s">
        <v>301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301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305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311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319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311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322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358</v>
      </c>
      <c r="Q222" s="66" t="str">
        <f t="shared" ca="1" si="49"/>
        <v/>
      </c>
      <c r="R222" s="63" t="s">
        <v>359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329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330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311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333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311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311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311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/>
      <c r="O566" s="65">
        <v>0.23749999999999999</v>
      </c>
      <c r="P566" s="65"/>
      <c r="Q566" s="66">
        <f t="shared" ca="1" si="141"/>
        <v>5.3326388879213482E-3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8.4499305554588178E-2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0.49491597222125489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L566" sqref="L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300</v>
      </c>
      <c r="I1" s="86" t="s">
        <v>22</v>
      </c>
      <c r="J1" s="86" t="s">
        <v>301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301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308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311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319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333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29</v>
      </c>
      <c r="M566" s="61" t="s">
        <v>61</v>
      </c>
      <c r="N566" s="61"/>
      <c r="O566" s="65">
        <v>0.2388888888888889</v>
      </c>
      <c r="P566" s="65"/>
      <c r="Q566" s="66">
        <f t="shared" ca="1" si="145"/>
        <v>3.9437500017811544E-3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0.18033263889066992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0.33658263889066997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2026-08-22T09:49:45Z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