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853" documentId="13_ncr:1_{0A10D8D4-8450-4366-8075-B53B08E6B7EA}" xr6:coauthVersionLast="47" xr6:coauthVersionMax="47" xr10:uidLastSave="{840C151C-99CF-45B9-B188-E2318E215038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5" i="6"/>
  <c r="J355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5" i="5"/>
  <c r="J355" i="5" s="1"/>
  <c r="H356" i="5"/>
  <c r="J356" i="5" s="1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5" i="4"/>
  <c r="J355" i="4" s="1"/>
  <c r="H356" i="4"/>
  <c r="J356" i="4" s="1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4" i="6" s="1"/>
  <c r="J35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3" i="5" l="1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<sst xmlns="http://schemas.openxmlformats.org/spreadsheetml/2006/main" count="6270" uniqueCount="342">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</sst>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2" activePane="bottomLeft" state="frozen"/>
      <selection pane="bottomLeft" activeCell="L354" sqref="L35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5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5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5" t="s">
        <v>245</v>
      </c>
      <c r="B28" s="156"/>
      <c r="C28" s="156"/>
      <c r="D28" s="156"/>
      <c r="E28" s="15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5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5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5" t="s">
        <v>245</v>
      </c>
      <c r="B55" s="156"/>
      <c r="C55" s="156"/>
      <c r="D55" s="156"/>
      <c r="E55" s="15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5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5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5" t="s">
        <v>245</v>
      </c>
      <c r="B82" s="156"/>
      <c r="C82" s="156"/>
      <c r="D82" s="156"/>
      <c r="E82" s="15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5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5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5" t="s">
        <v>245</v>
      </c>
      <c r="B109" s="156"/>
      <c r="C109" s="156"/>
      <c r="D109" s="156"/>
      <c r="E109" s="15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5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5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5" t="s">
        <v>245</v>
      </c>
      <c r="B136" s="156"/>
      <c r="C136" s="156"/>
      <c r="D136" s="156"/>
      <c r="E136" s="15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5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5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5" t="s">
        <v>245</v>
      </c>
      <c r="B163" s="156"/>
      <c r="C163" s="156"/>
      <c r="D163" s="156"/>
      <c r="E163" s="15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5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5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5" t="s">
        <v>245</v>
      </c>
      <c r="B190" s="156"/>
      <c r="C190" s="156"/>
      <c r="D190" s="156"/>
      <c r="E190" s="15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5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5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5" t="s">
        <v>245</v>
      </c>
      <c r="B217" s="156"/>
      <c r="C217" s="156"/>
      <c r="D217" s="156"/>
      <c r="E217" s="15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241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5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5" t="s">
        <v>245</v>
      </c>
      <c r="B244" s="156"/>
      <c r="C244" s="156"/>
      <c r="D244" s="156"/>
      <c r="E244" s="15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5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5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5" t="s">
        <v>245</v>
      </c>
      <c r="B271" s="156"/>
      <c r="C271" s="156"/>
      <c r="D271" s="156"/>
      <c r="E271" s="15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5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5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5" t="s">
        <v>245</v>
      </c>
      <c r="B298" s="156"/>
      <c r="C298" s="156"/>
      <c r="D298" s="156"/>
      <c r="E298" s="15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2" t="s">
        <v>241</v>
      </c>
      <c r="B311" s="153"/>
      <c r="C311" s="153"/>
      <c r="D311" s="153"/>
      <c r="E311" s="15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5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5" t="s">
        <v>245</v>
      </c>
      <c r="B325" s="156"/>
      <c r="C325" s="156"/>
      <c r="D325" s="156"/>
      <c r="E325" s="15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5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5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5" t="s">
        <v>245</v>
      </c>
      <c r="B352" s="156"/>
      <c r="C352" s="156"/>
      <c r="D352" s="156"/>
      <c r="E352" s="15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 t="s">
        <v>240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25</v>
      </c>
      <c r="I353" s="33" t="s">
        <v>28</v>
      </c>
      <c r="J353" s="33" t="s">
        <v>49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 t="s">
        <v>240</v>
      </c>
      <c r="F354" s="27">
        <v>35</v>
      </c>
      <c r="G354" s="28">
        <f t="shared" si="73"/>
        <v>175</v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 t="s">
        <v>240</v>
      </c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 t="s">
        <v>35</v>
      </c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 t="s">
        <v>35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 t="s">
        <v>35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 t="s">
        <v>35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 t="s">
        <v>35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54">
        <f>SUM(E353:E364)</f>
        <v>0</v>
      </c>
      <c r="F365" s="36">
        <f>SUM(F353:F364)</f>
        <v>71</v>
      </c>
      <c r="G365" s="36">
        <f>SUM(G353:G364)</f>
        <v>355</v>
      </c>
      <c r="H365" s="37"/>
      <c r="I365" s="37"/>
      <c r="J365" s="37"/>
      <c r="K365" s="37"/>
      <c r="L365" s="37"/>
      <c r="M365" s="38">
        <f ca="1">IFERROR(SUM(M353:M364),"")</f>
        <v>4.1666666666666519E-3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5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5" t="s">
        <v>245</v>
      </c>
      <c r="B379" s="156"/>
      <c r="C379" s="156"/>
      <c r="D379" s="156"/>
      <c r="E379" s="157">
        <f>E365+E378</f>
        <v>0</v>
      </c>
      <c r="F379" s="40">
        <f>F365+F378</f>
        <v>71</v>
      </c>
      <c r="G379" s="40">
        <f>G365+G378</f>
        <v>355</v>
      </c>
      <c r="H379" s="41"/>
      <c r="I379" s="41"/>
      <c r="J379" s="41"/>
      <c r="K379" s="41"/>
      <c r="L379" s="41"/>
      <c r="M379" s="42">
        <f ca="1">IFERROR(M365+M378,"")</f>
        <v>4.1666666666666519E-3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5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5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5" t="s">
        <v>245</v>
      </c>
      <c r="B406" s="156"/>
      <c r="C406" s="156"/>
      <c r="D406" s="156"/>
      <c r="E406" s="15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5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5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5" t="s">
        <v>245</v>
      </c>
      <c r="B433" s="156"/>
      <c r="C433" s="156"/>
      <c r="D433" s="156"/>
      <c r="E433" s="15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5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5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5" t="s">
        <v>245</v>
      </c>
      <c r="B460" s="156"/>
      <c r="C460" s="156"/>
      <c r="D460" s="156"/>
      <c r="E460" s="15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5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5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5" t="s">
        <v>245</v>
      </c>
      <c r="B487" s="156"/>
      <c r="C487" s="156"/>
      <c r="D487" s="156"/>
      <c r="E487" s="15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5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5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5" t="s">
        <v>245</v>
      </c>
      <c r="B514" s="156"/>
      <c r="C514" s="156"/>
      <c r="D514" s="156"/>
      <c r="E514" s="15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5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5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5" t="s">
        <v>245</v>
      </c>
      <c r="B541" s="156"/>
      <c r="C541" s="156"/>
      <c r="D541" s="156"/>
      <c r="E541" s="15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5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5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5" t="s">
        <v>245</v>
      </c>
      <c r="B568" s="156"/>
      <c r="C568" s="156"/>
      <c r="D568" s="156"/>
      <c r="E568" s="15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5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5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5" t="s">
        <v>245</v>
      </c>
      <c r="B595" s="156"/>
      <c r="C595" s="156"/>
      <c r="D595" s="156"/>
      <c r="E595" s="15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5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5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5" t="s">
        <v>245</v>
      </c>
      <c r="B622" s="156"/>
      <c r="C622" s="156"/>
      <c r="D622" s="156"/>
      <c r="E622" s="15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5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5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5" t="s">
        <v>245</v>
      </c>
      <c r="B649" s="156"/>
      <c r="C649" s="156"/>
      <c r="D649" s="156"/>
      <c r="E649" s="15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5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5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5" t="s">
        <v>245</v>
      </c>
      <c r="B676" s="156"/>
      <c r="C676" s="156"/>
      <c r="D676" s="156"/>
      <c r="E676" s="15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5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5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5" t="s">
        <v>245</v>
      </c>
      <c r="B703" s="156"/>
      <c r="C703" s="156"/>
      <c r="D703" s="156"/>
      <c r="E703" s="15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5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5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5" t="s">
        <v>245</v>
      </c>
      <c r="B730" s="156"/>
      <c r="C730" s="156"/>
      <c r="D730" s="156"/>
      <c r="E730" s="15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5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5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5" t="s">
        <v>245</v>
      </c>
      <c r="B757" s="156"/>
      <c r="C757" s="156"/>
      <c r="D757" s="156"/>
      <c r="E757" s="15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5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5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5" t="s">
        <v>245</v>
      </c>
      <c r="B784" s="156"/>
      <c r="C784" s="156"/>
      <c r="D784" s="156"/>
      <c r="E784" s="15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5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5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1" t="s">
        <v>245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5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5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5" t="s">
        <v>245</v>
      </c>
      <c r="B838" s="156"/>
      <c r="C838" s="156"/>
      <c r="D838" s="156"/>
      <c r="E838" s="15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5" sqref="G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0.29132581018347992</v>
      </c>
      <c r="R53" s="46" t="s">
        <v>276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0.43021469907236881</v>
      </c>
      <c r="R54" s="36" t="s">
        <v>242</v>
      </c>
      <c r="S54" s="75">
        <v>352430</v>
      </c>
      <c r="T54" s="117"/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0.51493692129459112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241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27</v>
      </c>
      <c r="E326" s="108" t="s">
        <v>240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27</v>
      </c>
      <c r="E327" s="108" t="s">
        <v>240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27</v>
      </c>
      <c r="E328" s="108" t="s">
        <v>240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27</v>
      </c>
      <c r="E329" s="108" t="s">
        <v>240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27</v>
      </c>
      <c r="E330" s="108" t="s">
        <v>240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27</v>
      </c>
      <c r="E331" s="108" t="s">
        <v>240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27</v>
      </c>
      <c r="E332" s="108" t="s">
        <v>256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27</v>
      </c>
      <c r="E333" s="108" t="s">
        <v>256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27</v>
      </c>
      <c r="E334" s="108" t="s">
        <v>256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27</v>
      </c>
      <c r="E335" s="108" t="s">
        <v>256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27</v>
      </c>
      <c r="E336" s="108" t="s">
        <v>256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27</v>
      </c>
      <c r="E337" s="108" t="s">
        <v>256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27</v>
      </c>
      <c r="E339" s="109" t="s">
        <v>256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27</v>
      </c>
      <c r="E340" s="109" t="s">
        <v>256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27</v>
      </c>
      <c r="E341" s="109" t="s">
        <v>256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27</v>
      </c>
      <c r="E342" s="109" t="s">
        <v>256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27</v>
      </c>
      <c r="E343" s="109" t="s">
        <v>256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27</v>
      </c>
      <c r="E344" s="109" t="s">
        <v>256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27</v>
      </c>
      <c r="E345" s="109" t="s">
        <v>256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27</v>
      </c>
      <c r="E346" s="109" t="s">
        <v>256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27</v>
      </c>
      <c r="E347" s="109" t="s">
        <v>256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27</v>
      </c>
      <c r="E348" s="109" t="s">
        <v>256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27</v>
      </c>
      <c r="E349" s="109" t="s">
        <v>256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27</v>
      </c>
      <c r="E350" s="109" t="s">
        <v>256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149.5557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 t="s">
        <v>256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24</v>
      </c>
      <c r="M354" s="26" t="s">
        <v>36</v>
      </c>
      <c r="N354" s="26" t="s">
        <v>32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E356" sqref="E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27</v>
      </c>
      <c r="E326" s="108" t="s">
        <v>240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27</v>
      </c>
      <c r="E327" s="108" t="s">
        <v>240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27</v>
      </c>
      <c r="E328" s="108" t="s">
        <v>240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27</v>
      </c>
      <c r="E329" s="108" t="s">
        <v>240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27</v>
      </c>
      <c r="E330" s="108" t="s">
        <v>240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27</v>
      </c>
      <c r="E331" s="108" t="s">
        <v>256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27</v>
      </c>
      <c r="E332" s="108" t="s">
        <v>256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27</v>
      </c>
      <c r="E333" s="108" t="s">
        <v>256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27</v>
      </c>
      <c r="E334" s="108" t="s">
        <v>256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27</v>
      </c>
      <c r="E335" s="108" t="s">
        <v>256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27</v>
      </c>
      <c r="E336" s="108" t="s">
        <v>256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27</v>
      </c>
      <c r="E337" s="108" t="s">
        <v>256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27</v>
      </c>
      <c r="E339" s="109" t="s">
        <v>256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27</v>
      </c>
      <c r="E340" s="109" t="s">
        <v>256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27</v>
      </c>
      <c r="E341" s="109" t="s">
        <v>256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27</v>
      </c>
      <c r="E342" s="109" t="s">
        <v>256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27</v>
      </c>
      <c r="E343" s="109" t="s">
        <v>256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27</v>
      </c>
      <c r="E344" s="109" t="s">
        <v>256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27</v>
      </c>
      <c r="E345" s="109" t="s">
        <v>256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27</v>
      </c>
      <c r="E346" s="109" t="s">
        <v>256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27</v>
      </c>
      <c r="E347" s="109" t="s">
        <v>256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27</v>
      </c>
      <c r="E348" s="109" t="s">
        <v>256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27</v>
      </c>
      <c r="E349" s="109" t="s">
        <v>256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27</v>
      </c>
      <c r="E350" s="109" t="s">
        <v>256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53.795699999999997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25</v>
      </c>
      <c r="M353" s="33" t="s">
        <v>52</v>
      </c>
      <c r="N353" s="33" t="s">
        <v>67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 t="s">
        <v>256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 t="s">
        <v>256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 t="s">
        <v>256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5" t="s">
        <v>245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5" t="s">
        <v>245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P354" sqref="P35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27</v>
      </c>
      <c r="E326" s="108" t="s">
        <v>240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27</v>
      </c>
      <c r="E327" s="108" t="s">
        <v>240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27</v>
      </c>
      <c r="E328" s="108" t="s">
        <v>240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27</v>
      </c>
      <c r="E329" s="108" t="s">
        <v>240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27</v>
      </c>
      <c r="E330" s="108" t="s">
        <v>256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27</v>
      </c>
      <c r="E331" s="108" t="s">
        <v>240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27</v>
      </c>
      <c r="E332" s="108" t="s">
        <v>256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27</v>
      </c>
      <c r="E333" s="108" t="s">
        <v>256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27</v>
      </c>
      <c r="E334" s="108" t="s">
        <v>256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27</v>
      </c>
      <c r="E335" s="108" t="s">
        <v>256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27</v>
      </c>
      <c r="E336" s="108" t="s">
        <v>256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27</v>
      </c>
      <c r="E337" s="108" t="s">
        <v>256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27</v>
      </c>
      <c r="E339" s="109" t="s">
        <v>256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27</v>
      </c>
      <c r="E340" s="109" t="s">
        <v>256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27</v>
      </c>
      <c r="E341" s="109" t="s">
        <v>256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27</v>
      </c>
      <c r="E342" s="109" t="s">
        <v>256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27</v>
      </c>
      <c r="E343" s="109" t="s">
        <v>256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27</v>
      </c>
      <c r="E344" s="109" t="s">
        <v>256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27</v>
      </c>
      <c r="E345" s="109" t="s">
        <v>256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27</v>
      </c>
      <c r="E346" s="109" t="s">
        <v>256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27</v>
      </c>
      <c r="E347" s="109" t="s">
        <v>256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27</v>
      </c>
      <c r="E348" s="109" t="s">
        <v>256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27</v>
      </c>
      <c r="E349" s="109" t="s">
        <v>256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27</v>
      </c>
      <c r="E350" s="109" t="s">
        <v>256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222.20729999999995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23</v>
      </c>
      <c r="M353" s="33"/>
      <c r="N353" s="33" t="s">
        <v>99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 t="s">
        <v>256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 t="s">
        <v>256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27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113.4</v>
      </c>
      <c r="L365" s="37"/>
      <c r="M365" s="37"/>
      <c r="N365" s="37"/>
      <c r="O365" s="61"/>
      <c r="P365" s="61"/>
      <c r="Q365" s="38">
        <f ca="1">IFERROR(SUM(Q353:Q364),"")</f>
        <v>5.902777777777779E-2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27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113.4</v>
      </c>
      <c r="L379" s="41"/>
      <c r="M379" s="41"/>
      <c r="N379" s="41"/>
      <c r="O379" s="63"/>
      <c r="P379" s="63"/>
      <c r="Q379" s="42">
        <f ca="1">IFERROR(Q365+Q378,"")</f>
        <v>5.902777777777779E-2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5" t="s">
        <v>245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5" t="s">
        <v>245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2026-08-14T13:55:43Z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