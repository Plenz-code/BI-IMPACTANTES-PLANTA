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0" documentId="13_ncr:1_{A6DBCFB4-28D9-4249-9038-216934055CA6}" xr6:coauthVersionLast="47" xr6:coauthVersionMax="47" xr10:uidLastSave="{C7F75D9C-FA14-4F73-8832-E2200623EC6D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6" l="1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<sst xmlns="http://schemas.openxmlformats.org/spreadsheetml/2006/main" count="8595" uniqueCount="398">
  <si>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</si>
  <si>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</si>
  <si>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</si>
  <si>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</si>
  <si>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</si>
  <si>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</si>
  <si>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</si>
  <si>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</si>
  <si>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</si>
  <si>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</si>
  <si>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</si>
  <si>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</si>
  <si>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</si>
  <si>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</si>
  <si>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</si>
  <si>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</si>
  <si>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</si>
  <si>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</si>
  <si>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</si>
  <si>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</si>
  <si>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</si>
  <si>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</si>
  <si>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</si>
  <si>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</si>
  <si>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</si>
  <si>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</si>
  <si>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</si>
  <si>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</si>
  <si>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</si>
  <si>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</si>
  <si>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</si>
  <si>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</si>
  <si>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</si>
  <si>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</si>
  <si>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</si>
  <si>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</si>
  <si>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</si>
  <si>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</si>
  <si>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</si>
  <si>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</si>
  <si>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</si>
  <si>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</si>
  <si>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</si>
  <si>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</si>
  <si>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</si>
  <si>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</si>
  <si>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</si>
  <si>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</si>
  <si>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</si>
  <si>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</si>
  <si>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</si>
  <si>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</si>
  <si>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</si>
  <si>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</si>
  <si>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</si>
  <si>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</si>
  <si>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</si>
  <si>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</si>
  <si>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</si>
  <si>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</si>
  <si>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</si>
  <si>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</si>
  <si>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</si>
  <si>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</si>
  <si>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</si>
  <si>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</si>
  <si>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</si>
  <si>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</si>
  <si>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</si>
  <si>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</si>
  <si>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</si>
  <si>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</si>
  <si>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</si>
  <si>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</si>
  <si>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</si>
  <si>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</si>
  <si>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</si>
  <si>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</si>
  <si>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</si>
  <si>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</si>
  <si>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</si>
  <si>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</si>
  <si>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</si>
  <si>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</si>
  <si>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</si>
  <si>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</si>
  <si>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</si>
  <si>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</si>
  <si>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</si>
  <si>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</si>
  <si>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</si>
  <si>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</si>
  <si>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</si>
  <si>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</si>
  <si>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</si>
  <si>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</si>
  <si>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</si>
  <si>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</si>
  <si>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</si>
  <si>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</si>
  <si>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</si>
  <si>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</si>
  <si>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</si>
  <si>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</si>
  <si>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</si>
  <si>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</si>
  <si>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</si>
  <si>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</si>
  <si>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</si>
  <si>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</si>
  <si>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</si>
  <si>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</si>
  <si>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</si>
  <si>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</si>
  <si>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</si>
  <si>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</si>
  <si>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</si>
  <si>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</si>
  <si>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</si>
  <si>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</si>
  <si>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</si>
  <si>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</si>
  <si>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</si>
  <si>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</si>
  <si>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</si>
  <si>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</si>
  <si>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</si>
  <si>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</si>
  <si>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</si>
  <si>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</si>
  <si>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</si>
  <si>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</si>
  <si>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</si>
  <si>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</si>
  <si>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</si>
  <si>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</si>
  <si>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</si>
  <si>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</si>
  <si>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</si>
  <si>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</si>
  <si>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</si>
  <si>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</si>
  <si>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</si>
  <si>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</si>
  <si>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</si>
  <si>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</si>
  <si>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</si>
  <si>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</si>
  <si>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</si>
  <si>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</si>
  <si>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</si>
  <si>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</si>
  <si>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</si>
  <si>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</si>
  <si>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</si>
  <si>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</si>
  <si>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</si>
  <si>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</si>
  <si>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</si>
  <si>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</si>
  <si>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</si>
  <si>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</si>
  <si>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</si>
  <si>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</si>
  <si>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</si>
  <si>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</si>
  <si>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</si>
  <si>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</si>
  <si>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</si>
  <si>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</si>
  <si>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</si>
  <si>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</si>
  <si>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</si>
  <si>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</si>
  <si>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</si>
  <si>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</si>
  <si>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</si>
  <si>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</si>
  <si>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</si>
  <si>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</si>
  <si>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</si>
  <si>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</si>
  <si>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</si>
  <si>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</si>
  <si>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</si>
  <si>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</si>
  <si>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</si>
  <si>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</si>
  <si>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</si>
  <si>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</si>
  <si>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</si>
  <si>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</si>
  <si>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</si>
  <si>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</si>
  <si>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</si>
  <si>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</si>
  <si>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</si>
  <si>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</si>
  <si>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</si>
  <si>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</si>
  <si>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</si>
  <si>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</si>
  <si>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</si>
  <si>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</si>
  <si>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</si>
  <si>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</si>
  <si>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</si>
  <si>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</si>
  <si>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</si>
  <si>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</si>
  <si>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</si>
  <si>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</si>
  <si>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</si>
  <si>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</si>
  <si>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</si>
  <si>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</si>
  <si>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</si>
  <si>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</si>
  <si>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</si>
  <si>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</si>
  <si>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</si>
  <si>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</si>
  <si>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</si>
  <si>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</si>
  <si>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</si>
  <si>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</si>
  <si>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</si>
  <si>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</si>
  <si>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</si>
  <si>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</si>
  <si>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</si>
  <si>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</si>
  <si>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</si>
  <si>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</si>
  <si>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</si>
  <si>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</si>
  <si>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</si>
  <si>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</si>
  <si>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</si>
  <si>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</si>
  <si>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</si>
  <si>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</si>
  <si>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</si>
  <si>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</si>
  <si>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</si>
  <si>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</si>
  <si>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</si>
  <si>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</si>
  <si>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</si>
  <si>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</si>
  <si>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</si>
  <si>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</si>
  <si>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</si>
  <si>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</si>
  <si>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</si>
  <si>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</si>
  <si>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</si>
  <si>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</si>
  <si>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</si>
  <si>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</si>
  <si>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</si>
  <si>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</si>
  <si>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</si>
  <si>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</si>
  <si>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</si>
  <si>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</si>
  <si>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</si>
  <si>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</si>
  <si>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</si>
  <si>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</si>
  <si>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</si>
  <si>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</si>
  <si>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</si>
  <si>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</si>
  <si>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</si>
  <si>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</si>
  <si>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</si>
  <si>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</si>
  <si>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</si>
  <si>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</si>
  <si>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</si>
  <si>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</si>
  <si>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</si>
  <si>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</si>
  <si>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</si>
  <si>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</si>
  <si>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</si>
  <si>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</si>
  <si>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</si>
  <si>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</si>
  <si>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</si>
  <si>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</si>
  <si>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</si>
  <si>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</si>
  <si>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</si>
  <si>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</si>
  <si>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</si>
  <si>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</si>
  <si>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</si>
  <si>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</si>
  <si>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</si>
  <si>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</si>
  <si>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</si>
  <si>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</si>
  <si>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</si>
  <si>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</si>
  <si>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</si>
  <si>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</si>
  <si>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</si>
  <si>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</si>
  <si>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</si>
  <si>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</si>
  <si>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</si>
  <si>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</si>
  <si>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</si>
  <si>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</si>
  <si>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</si>
  <si>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</si>
  <si>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</si>
  <si>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</si>
  <si>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</si>
  <si>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</si>
  <si>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</si>
  <si>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</si>
  <si>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</si>
  <si>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</si>
  <si>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</si>
  <si>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</si>
  <si>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</si>
  <si>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</si>
  <si>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</si>
  <si>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</si>
  <si>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</si>
  <si>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</si>
  <si>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</si>
  <si>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</si>
  <si>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</si>
  <si>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</si>
  <si>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</si>
  <si>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</si>
  <si>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</si>
  <si>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</si>
  <si>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</si>
  <si>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</si>
  <si>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</si>
  <si>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</si>
  <si>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</si>
  <si>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</si>
  <si>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</si>
  <si>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</si>
  <si>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</si>
  <si>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</si>
  <si>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</si>
  <si>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</si>
  <si>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</si>
  <si>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</si>
  <si>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</si>
  <si>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</si>
  <si>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</si>
  <si>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</si>
  <si>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</si>
  <si>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arrebentol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</si>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</sst>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8" sqref="D50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267</v>
      </c>
      <c r="G513" s="2">
        <f>SUM(G501:G512)</f>
        <v>1335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549</v>
      </c>
      <c r="G514" s="1">
        <f>G500+G513</f>
        <v>2745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N504" sqref="N50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1.2637731480936054E-2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0.15152662036982378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0.23624884259204659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/>
      <c r="H508" s="88" t="str">
        <f>IFERROR(IF($G508="","",$G508*$S$513/$G$513/Cadastro!$E$33),"")</f>
        <v/>
      </c>
      <c r="I508" s="90">
        <f>IFERROR(IF($D508="","",VLOOKUP($D508,Cadastro!$C$4:$G$7,5,FALSE())),"")</f>
        <v>0.6</v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71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298.20000000000005</v>
      </c>
      <c r="L513" s="72"/>
      <c r="M513" s="72"/>
      <c r="N513" s="72"/>
      <c r="O513" s="72"/>
      <c r="P513" s="72"/>
      <c r="Q513" s="73">
        <f ca="1">IFERROR(SUM(Q501:Q512),"")</f>
        <v>6.5277777777777643E-2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213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903.40000000000009</v>
      </c>
      <c r="L514" s="76"/>
      <c r="M514" s="76"/>
      <c r="N514" s="76"/>
      <c r="O514" s="76"/>
      <c r="P514" s="76"/>
      <c r="Q514" s="77">
        <f ca="1">IFERROR(Q500+Q513,"")</f>
        <v>0.15694444444444428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P505" sqref="P50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0.13333333333333333</v>
      </c>
      <c r="Q505" s="71">
        <f t="shared" ca="1" si="125"/>
        <v>2.7777777777777679E-3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47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197.4</v>
      </c>
      <c r="L513" s="72"/>
      <c r="M513" s="72"/>
      <c r="N513" s="72"/>
      <c r="O513" s="72"/>
      <c r="P513" s="72"/>
      <c r="Q513" s="73">
        <f ca="1">IFERROR(SUM(Q501:Q512),"")</f>
        <v>7.2916666666666546E-2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119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503.79999999999995</v>
      </c>
      <c r="L514" s="76"/>
      <c r="M514" s="76"/>
      <c r="N514" s="76"/>
      <c r="O514" s="76"/>
      <c r="P514" s="76"/>
      <c r="Q514" s="77">
        <f ca="1">IFERROR(Q500+Q513,"")</f>
        <v>0.16874999999999998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G507" sqref="G50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397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97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299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2026-08-20T07:13:26Z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