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38" documentId="8_{C51EB6CB-002B-4D6B-B68F-DDEBDB4460C0}" xr6:coauthVersionLast="47" xr6:coauthVersionMax="47" xr10:uidLastSave="{DA10D14A-8215-40AC-969D-3FA523914966}"/>
  <bookViews>
    <workbookView xWindow="-108" yWindow="-108" windowWidth="23256" windowHeight="12456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G28" i="6"/>
  <c r="M648" i="6"/>
  <c r="G27" i="6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<sst xmlns="http://schemas.openxmlformats.org/spreadsheetml/2006/main" count="1245" uniqueCount="237">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</sst>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797765</v>
      </c>
      <c r="D4" s="8">
        <f>IFERROR('Linha 1'!O28,"")</f>
        <v>481280</v>
      </c>
      <c r="E4" s="8">
        <f>IFERROR('Linha 2'!O28,"")</f>
        <v>326520</v>
      </c>
      <c r="F4" s="8">
        <f>IFERROR('Linha 3'!O28,"")</f>
        <v>561420</v>
      </c>
      <c r="G4" s="9">
        <f t="shared" ref="G4:G34" si="0">IFERROR(D4+E4+F4,"")</f>
        <v>1369220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797765</v>
      </c>
      <c r="D35" s="13">
        <f>IFERROR(SUM(D4:D34),"")</f>
        <v>481280</v>
      </c>
      <c r="E35" s="13">
        <f>IFERROR(SUM(E4:E34),"")</f>
        <v>326520</v>
      </c>
      <c r="F35" s="13">
        <f>IFERROR(SUM(F4:F34),"")</f>
        <v>561420</v>
      </c>
      <c r="G35" s="13">
        <f>IFERROR(SUM(G4:G34),"")</f>
        <v>1369220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2" activePane="bottomLeft" state="frozen"/>
      <selection pane="bottomLeft" activeCell="D15" sqref="D15:D2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/>
      <c r="F15" s="27"/>
      <c r="G15" s="34" t="str">
        <f t="shared" ref="G15:G26" si="3">IF(F15="","",IF(E15="PC 17",F15*4.2,IF(E15="PC 19",F15*5,IF(E15="CB",F15*35,""))))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/>
      <c r="F16" s="27"/>
      <c r="G16" s="34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/>
      <c r="F18" s="27"/>
      <c r="G18" s="34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/>
      <c r="F20" s="27"/>
      <c r="G20" s="34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/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/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/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196</v>
      </c>
      <c r="G28" s="40">
        <f>G14+G27</f>
        <v>980</v>
      </c>
      <c r="H28" s="41"/>
      <c r="I28" s="41"/>
      <c r="J28" s="41"/>
      <c r="K28" s="41"/>
      <c r="L28" s="41"/>
      <c r="M28" s="42">
        <f ca="1">IFERROR(M14+M27,"")</f>
        <v>6.597222222222221E-2</v>
      </c>
      <c r="N28" s="40" t="s">
        <v>232</v>
      </c>
      <c r="O28" s="43">
        <f>IFERROR(O14+O27,"")</f>
        <v>797765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0" t="s">
        <v>231</v>
      </c>
      <c r="B811" s="111"/>
      <c r="C811" s="111"/>
      <c r="D811" s="111"/>
      <c r="E811" s="112">
        <f>E797+E810</f>
        <v>0</v>
      </c>
      <c r="F811" s="11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" activePane="bottomLeft" state="frozen"/>
      <selection pane="bottomLeft" activeCell="O15" sqref="O1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/>
      <c r="D16" s="62"/>
      <c r="E16" s="62"/>
      <c r="F16" s="27"/>
      <c r="G16" s="34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/>
      <c r="D18" s="62"/>
      <c r="E18" s="62"/>
      <c r="F18" s="27"/>
      <c r="G18" s="34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46235</v>
      </c>
      <c r="B20" s="25">
        <f t="shared" si="5"/>
        <v>1.0416666666666663</v>
      </c>
      <c r="C20" s="33"/>
      <c r="D20" s="62"/>
      <c r="E20" s="62"/>
      <c r="F20" s="27"/>
      <c r="G20" s="34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46235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/>
      <c r="D22" s="62"/>
      <c r="E22" s="62"/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/>
      <c r="D23" s="62"/>
      <c r="E23" s="62"/>
      <c r="F23" s="76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/>
      <c r="D24" s="62"/>
      <c r="E24" s="62"/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/>
      <c r="D26" s="62"/>
      <c r="E26" s="62"/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77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112</v>
      </c>
      <c r="G28" s="40">
        <f>G14+G27</f>
        <v>470.40000000000003</v>
      </c>
      <c r="H28" s="41"/>
      <c r="I28" s="41"/>
      <c r="J28" s="41"/>
      <c r="K28" s="41"/>
      <c r="L28" s="41"/>
      <c r="M28" s="42">
        <f ca="1">IFERROR(M14+M27,"")</f>
        <v>0.20069444444444434</v>
      </c>
      <c r="N28" s="40" t="s">
        <v>232</v>
      </c>
      <c r="O28" s="82">
        <f>O14+O27</f>
        <v>481280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O15" sqref="O1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ca="1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46235</v>
      </c>
      <c r="B19" s="32">
        <f t="shared" si="4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46235</v>
      </c>
      <c r="B20" s="25">
        <f t="shared" si="4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81</v>
      </c>
      <c r="G28" s="40">
        <f>G14+G27</f>
        <v>340.20000000000005</v>
      </c>
      <c r="H28" s="41"/>
      <c r="I28" s="41"/>
      <c r="J28" s="41"/>
      <c r="K28" s="41"/>
      <c r="L28" s="41"/>
      <c r="M28" s="42">
        <f ca="1">IFERROR(M14+M27,"")</f>
        <v>1.3194444444444509E-2</v>
      </c>
      <c r="N28" s="40" t="s">
        <v>232</v>
      </c>
      <c r="O28" s="43">
        <f>IFERROR(O14+O27,"")</f>
        <v>326520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C29:C900 C2:C13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D296:D900 D29:D294 D2:D13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" activePane="bottomLeft" state="frozen"/>
      <selection pane="bottomLeft" activeCell="O15" sqref="O1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78" t="str">
        <f ca="1">IFERROR(IF(K16="","",IF(L16="",MOD(NOW()-K16,1),IF(L16&gt;=K16,L16-K16,L16+1-K16))),"")</f>
        <v/>
      </c>
      <c r="N16" s="27"/>
      <c r="O16" s="60"/>
    </row>
    <row r="17" spans="1:15" ht="15" customHeight="1">
      <c r="A17" s="69">
        <v>46235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46235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46235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46235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46235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130</v>
      </c>
      <c r="G28" s="40">
        <f>G14+G27</f>
        <v>546.00000000000011</v>
      </c>
      <c r="H28" s="41"/>
      <c r="I28" s="41"/>
      <c r="J28" s="41"/>
      <c r="K28" s="63"/>
      <c r="L28" s="63"/>
      <c r="M28" s="42">
        <f ca="1">IFERROR(M14+M27,"")</f>
        <v>3.8888888888888917E-2</v>
      </c>
      <c r="N28" s="40" t="s">
        <v>232</v>
      </c>
      <c r="O28" s="48">
        <f>IFERROR(O14+O27,"")</f>
        <v>561420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228</v>
      </c>
      <c r="B338" s="99"/>
      <c r="C338" s="99"/>
      <c r="D338" s="99"/>
      <c r="E338" s="100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C366:C900 C29:C364 C2:C13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D29:D900 C365 D2:D13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2026-08-01T23:01:00Z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