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141" documentId="8_{C51EB6CB-002B-4D6B-B68F-DDEBDB4460C0}" xr6:coauthVersionLast="47" xr6:coauthVersionMax="47" xr10:uidLastSave="{6064A824-9DF4-40F8-A369-BC2479193222}"/>
  <bookViews>
    <workbookView xWindow="-108" yWindow="-108" windowWidth="23256" windowHeight="12456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4" i="3" l="1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6" i="1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<sst xmlns="http://schemas.openxmlformats.org/spreadsheetml/2006/main" count="1874" uniqueCount="259">
  <si>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</si>
  <si>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</si>
  <si>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</si>
  <si>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</si>
  <si>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</si>
  <si>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</si>
  <si>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</si>
  <si>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</si>
  <si>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</si>
  <si>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</si>
  <si>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</si>
  <si>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</si>
  <si>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</si>
  <si>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</si>
  <si>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</si>
  <si>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</si>
  <si>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</si>
  <si>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</si>
  <si>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</si>
  <si>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</si>
  <si>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</si>
  <si>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</si>
  <si>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</si>
  <si>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</si>
  <si>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</si>
  <si>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</si>
  <si>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</si>
  <si>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</si>
  <si>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</si>
  <si>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</si>
  <si>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</si>
  <si>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</si>
  <si>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</si>
  <si>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</si>
  <si>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</si>
  <si>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</si>
  <si>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</si>
  <si>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</si>
  <si>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</si>
  <si>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</si>
  <si>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</si>
  <si>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</si>
  <si>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</si>
  <si>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</si>
  <si>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</si>
  <si>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</si>
  <si>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</si>
  <si>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</si>
  <si>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</si>
  <si>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</si>
  <si>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</si>
  <si>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</si>
  <si>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</si>
  <si>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</si>
  <si>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</si>
  <si>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</si>
  <si>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</si>
  <si>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</si>
  <si>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</si>
  <si>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</si>
  <si>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</si>
  <si>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</si>
  <si>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</si>
  <si>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</si>
  <si>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</si>
  <si>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</si>
  <si>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</si>
  <si>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</si>
  <si>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</si>
  <si>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</si>
  <si>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</si>
  <si>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</si>
  <si>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</si>
  <si>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</si>
  <si>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</si>
  <si>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</si>
  <si>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</si>
  <si>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</si>
  <si>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</si>
  <si>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</si>
  <si>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</si>
  <si>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</si>
  <si>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</si>
  <si>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</si>
  <si>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</si>
  <si>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</si>
  <si>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</si>
  <si>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</si>
  <si>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</si>
  <si>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</si>
  <si>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</si>
  <si>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</si>
  <si>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</si>
  <si>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</si>
  <si>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</si>
  <si>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</si>
  <si>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</si>
  <si>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</si>
  <si>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</si>
  <si>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</si>
  <si>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</si>
  <si>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</si>
  <si>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</si>
  <si>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</si>
  <si>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</si>
  <si>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</si>
  <si>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</si>
  <si>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</si>
  <si>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</si>
  <si>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</si>
  <si>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</si>
  <si>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</si>
  <si>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</si>
  <si>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</si>
  <si>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</si>
  <si>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</si>
  <si>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</si>
  <si>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</si>
  <si>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</si>
  <si>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</si>
  <si>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</si>
  <si>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</si>
  <si>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</si>
  <si>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</si>
  <si>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</si>
  <si>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</si>
  <si>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</si>
  <si>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</si>
  <si>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</si>
  <si>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</si>
  <si>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</si>
  <si>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</si>
  <si>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</si>
  <si>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</si>
  <si>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</si>
  <si>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</si>
  <si>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</si>
  <si>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</si>
  <si>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</si>
  <si>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</si>
  <si>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</si>
  <si>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</si>
  <si>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</si>
  <si>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</si>
  <si>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</si>
  <si>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</si>
  <si>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</si>
  <si>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</si>
  <si>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</si>
  <si>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</si>
  <si>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</si>
  <si>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</si>
  <si>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</si>
  <si>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</si>
  <si>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</si>
  <si>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</si>
  <si>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</si>
  <si>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</si>
  <si>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</si>
  <si>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</si>
  <si>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</si>
  <si>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</si>
  <si>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</si>
  <si>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</si>
  <si>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</si>
  <si>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</si>
  <si>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</si>
  <si>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</si>
  <si>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</si>
  <si>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</si>
  <si>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</si>
  <si>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</si>
  <si>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</si>
  <si>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</si>
  <si>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</si>
  <si>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</si>
  <si>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</si>
  <si>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</si>
  <si>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</si>
  <si>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</si>
  <si>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</si>
  <si>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</si>
  <si>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</si>
  <si>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</si>
  <si>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</si>
  <si>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</si>
  <si>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</si>
  <si>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</si>
  <si>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</si>
  <si>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</si>
  <si>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</si>
  <si>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</si>
  <si>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</si>
  <si>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</si>
  <si>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</si>
  <si>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</si>
  <si>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</si>
  <si>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</si>
  <si>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</si>
  <si>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</si>
  <si>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</si>
  <si>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</si>
  <si>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</si>
  <si>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</si>
  <si>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</si>
  <si>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</si>
  <si>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</si>
  <si>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</si>
  <si>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</si>
  <si>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</si>
  <si>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</si>
  <si>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</si>
  <si>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</si>
  <si>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</si>
  <si>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</si>
  <si>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</si>
  <si>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</si>
  <si>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</si>
  <si>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</si>
  <si>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</si>
  <si>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</si>
  <si>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</si>
  <si>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</si>
  <si>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</si>
  <si>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</si>
  <si>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</si>
  <si>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</si>
  <si>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</si>
  <si>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</si>
  <si>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</si>
  <si>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</si>
  <si>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</si>
  <si>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</si>
  <si>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</si>
  <si>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</si>
  <si>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PC 24</t>
  </si>
  <si>
    <t>PC 25</t>
  </si>
  <si>
    <t>PC 26</t>
  </si>
  <si>
    <t>PC 27</t>
  </si>
  <si>
    <t>PC 28</t>
  </si>
  <si>
    <t>PC 29</t>
  </si>
  <si>
    <t>troca dos pinos ,caiu 1 faca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</si>
  <si>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</si>
  <si>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</si>
  <si>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</si>
  <si>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</si>
  <si>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</si>
  <si>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</si>
  <si>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</si>
  <si>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</si>
  <si>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</si>
  <si>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</si>
  <si>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solda no queixo</t>
  </si>
  <si>
    <t>sem material no estoque</t>
  </si>
  <si>
    <t>troca de martelo</t>
  </si>
  <si>
    <t>processando blend</t>
  </si>
  <si>
    <t>colocar chapa na bica</t>
  </si>
  <si>
    <t>solda no queixo ,revestimento gasto</t>
  </si>
  <si>
    <t>troca de martelo mm 4\5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</si>
</sst>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1351560</v>
      </c>
      <c r="D5" s="11">
        <f>IFERROR('Linha 1'!O55,"")</f>
        <v>311070</v>
      </c>
      <c r="E5" s="11">
        <f>IFERROR('Linha 2'!O55,"")</f>
        <v>237080</v>
      </c>
      <c r="F5" s="11">
        <f>IFERROR('Linha 3'!O55,"")</f>
        <v>766800</v>
      </c>
      <c r="G5" s="12">
        <f t="shared" si="0"/>
        <v>1314950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3147235</v>
      </c>
      <c r="D35" s="13">
        <f>IFERROR(SUM(D4:D34),"")</f>
        <v>1342210</v>
      </c>
      <c r="E35" s="13">
        <f>IFERROR(SUM(E4:E34),"")</f>
        <v>921600</v>
      </c>
      <c r="F35" s="13">
        <f>IFERROR(SUM(F4:F34),"")</f>
        <v>1819740</v>
      </c>
      <c r="G35" s="13">
        <f>IFERROR(SUM(G4:G34),"")</f>
        <v>4083550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/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203</v>
      </c>
      <c r="L58" s="16"/>
      <c r="M58" s="16"/>
    </row>
    <row r="59" spans="1:13" ht="15" customHeight="1">
      <c r="H59" s="110"/>
      <c r="I59" s="17"/>
      <c r="J59" s="17"/>
      <c r="K59" s="17" t="s">
        <v>204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205</v>
      </c>
      <c r="L61" s="17"/>
      <c r="M61" s="17"/>
    </row>
    <row r="62" spans="1:13" ht="15" customHeight="1">
      <c r="H62" s="110"/>
      <c r="I62" s="16"/>
      <c r="J62" s="16"/>
      <c r="K62" s="16" t="s">
        <v>206</v>
      </c>
      <c r="L62" s="16"/>
      <c r="M62" s="16"/>
    </row>
    <row r="63" spans="1:13" ht="15" customHeight="1">
      <c r="H63" s="110"/>
      <c r="I63" s="17"/>
      <c r="J63" s="17"/>
      <c r="K63" s="17" t="s">
        <v>207</v>
      </c>
      <c r="L63" s="17"/>
      <c r="M63" s="17"/>
    </row>
    <row r="64" spans="1:13" ht="15" customHeight="1">
      <c r="H64" s="110"/>
      <c r="I64" s="16"/>
      <c r="J64" s="16"/>
      <c r="K64" s="16" t="s">
        <v>208</v>
      </c>
      <c r="L64" s="16"/>
      <c r="M64" s="16"/>
    </row>
    <row r="65" spans="8:13" ht="15" customHeight="1">
      <c r="H65" s="110"/>
      <c r="I65" s="17"/>
      <c r="J65" s="17"/>
      <c r="K65" s="17" t="s">
        <v>209</v>
      </c>
      <c r="L65" s="17"/>
      <c r="M65" s="17"/>
    </row>
    <row r="66" spans="8:13" ht="15" customHeight="1">
      <c r="H66" s="110"/>
      <c r="I66" s="16"/>
      <c r="J66" s="16"/>
      <c r="K66" s="16" t="s">
        <v>210</v>
      </c>
      <c r="L66" s="16"/>
      <c r="M66" s="16"/>
    </row>
    <row r="67" spans="8:13" ht="15" customHeight="1">
      <c r="H67" s="110"/>
      <c r="I67" s="17"/>
      <c r="J67" s="17"/>
      <c r="K67" s="17" t="s">
        <v>211</v>
      </c>
      <c r="L67" s="17"/>
      <c r="M67" s="17"/>
    </row>
    <row r="68" spans="8:13" ht="15" customHeight="1">
      <c r="H68" s="110"/>
      <c r="I68" s="16"/>
      <c r="J68" s="16"/>
      <c r="K68" s="16" t="s">
        <v>212</v>
      </c>
      <c r="L68" s="16"/>
      <c r="M68" s="16"/>
    </row>
    <row r="69" spans="8:13" ht="15" customHeight="1">
      <c r="H69" s="110"/>
      <c r="I69" s="17"/>
      <c r="J69" s="17"/>
      <c r="K69" s="17" t="s">
        <v>213</v>
      </c>
      <c r="L69" s="17"/>
      <c r="M69" s="17"/>
    </row>
    <row r="70" spans="8:13" ht="15" customHeight="1">
      <c r="H70" s="110"/>
      <c r="I70" s="16"/>
      <c r="J70" s="16"/>
      <c r="K70" s="16" t="s">
        <v>214</v>
      </c>
      <c r="L70" s="16"/>
      <c r="M70" s="16"/>
    </row>
    <row r="71" spans="8:13" ht="15" customHeight="1">
      <c r="H71" s="110"/>
      <c r="I71" s="17"/>
      <c r="J71" s="17"/>
      <c r="K71" s="17" t="s">
        <v>215</v>
      </c>
      <c r="L71" s="17"/>
      <c r="M71" s="17"/>
    </row>
    <row r="72" spans="8:13" ht="15" customHeight="1">
      <c r="H72" s="110"/>
      <c r="I72" s="16"/>
      <c r="J72" s="16"/>
      <c r="K72" s="16" t="s">
        <v>216</v>
      </c>
      <c r="L72" s="16"/>
      <c r="M72" s="16"/>
    </row>
    <row r="73" spans="8:13" ht="15" customHeight="1">
      <c r="H73" s="110"/>
      <c r="I73" s="17"/>
      <c r="J73" s="17"/>
      <c r="K73" s="17"/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28" activePane="bottomLeft" state="frozen"/>
      <selection pane="bottomLeft" activeCell="F53" sqref="F53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229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227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227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227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230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227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227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227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227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227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227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227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229</v>
      </c>
      <c r="O27" s="39">
        <v>997910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233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227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227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234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227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230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227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227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227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235</v>
      </c>
      <c r="F35" s="27">
        <v>55</v>
      </c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236</v>
      </c>
      <c r="F36" s="27">
        <v>38</v>
      </c>
      <c r="G36" s="34" t="str">
        <f>IF(F36="","",IF(E36="PC 17",F36*4.2,IF(E36="PC 19",F36*5,IF(E36="CB",F36*35,""))))</f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237</v>
      </c>
      <c r="F37" s="27">
        <v>21</v>
      </c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238</v>
      </c>
      <c r="F38" s="27">
        <v>0</v>
      </c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239</v>
      </c>
      <c r="F39" s="27">
        <v>0</v>
      </c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240</v>
      </c>
      <c r="F40" s="27">
        <v>0</v>
      </c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695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229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227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227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227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227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227</v>
      </c>
      <c r="F46" s="27">
        <v>27</v>
      </c>
      <c r="G46" s="34">
        <f t="shared" si="9"/>
        <v>135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227</v>
      </c>
      <c r="F47" s="27">
        <v>17</v>
      </c>
      <c r="G47" s="28">
        <f t="shared" si="9"/>
        <v>85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227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227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0.24305555555555552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1555</v>
      </c>
      <c r="H55" s="41"/>
      <c r="I55" s="41"/>
      <c r="J55" s="41"/>
      <c r="K55" s="41"/>
      <c r="L55" s="41"/>
      <c r="M55" s="42">
        <f ca="1">IFERROR(M41+M54,"")</f>
        <v>0.3027777777777777</v>
      </c>
      <c r="N55" s="40" t="s">
        <v>233</v>
      </c>
      <c r="O55" s="43">
        <f>IFERROR(O41+O54,"")</f>
        <v>1351560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19",F56*5,IF(E56="CB",F56*35,""))))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12" t="s">
        <v>232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34" activePane="bottomLeft" state="frozen"/>
      <selection pane="bottomLeft" activeCell="F53" sqref="F5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243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244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245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242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242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242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242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242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246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242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247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242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242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242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242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242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229</v>
      </c>
      <c r="O27" s="77">
        <v>549860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233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242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242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242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242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242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242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242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242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242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242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242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229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242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242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242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242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242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248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242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249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242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242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242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250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242</v>
      </c>
      <c r="F53" s="27"/>
      <c r="G53" s="28" t="str">
        <f t="shared" si="9"/>
        <v/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0.14130798610858619</v>
      </c>
      <c r="N53" s="46" t="s">
        <v>251</v>
      </c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0.28019687499747509</v>
      </c>
      <c r="N54" s="36" t="s">
        <v>229</v>
      </c>
      <c r="O54" s="84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0.3649190972196974</v>
      </c>
      <c r="N55" s="40" t="s">
        <v>233</v>
      </c>
      <c r="O55" s="82">
        <f>IFERROR(O41+O54,"")</f>
        <v>311070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81"/>
      <c r="K57" s="29"/>
      <c r="L57" s="29"/>
      <c r="M57" s="30"/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228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231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232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231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232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3">
    <dataValidation type="list" allowBlank="1" showErrorMessage="1" errorTitle="Valor inválido" error="Selecione PC 17 ou PC 19 da lista." sqref="E2:E13 E15:E26 E515:E838 E434:E512 E29:E431" xr:uid="{2227B2AC-9B51-4D92-B575-77146BD9FF6F}">
      <formula1>"PC 17,PC 19,CB"</formula1>
      <formula2>0</formula2>
    </dataValidation>
    <dataValidation type="list" showErrorMessage="1" errorTitle="Atenção" error="Selecione primeiro o Tipo de Parada (col G) e depois escolha a Descrição da lista." sqref="J34:J900 J2:J31" xr:uid="{0BA40B9C-5AAF-42E8-A8BA-306603CB5155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B81D8E9D-BA29-40F2-8329-92ABBE9A48D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2B7268D3-6231-4722-BDC7-42279D69997D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C998DA28-BE6E-4743-9983-837BCFB02979}">
          <x14:formula1>
            <xm:f>Cadastro!$C$4:$C$10</xm:f>
          </x14:formula1>
          <x14:formula2>
            <xm:f>0</xm:f>
          </x14:formula2>
          <xm:sqref>D84:D900 D2:D13 D15:D26 E432:E433 E513:E514 D29:D82</xm:sqref>
        </x14:dataValidation>
        <x14:dataValidation type="list" allowBlank="1" showErrorMessage="1" errorTitle="Valor inválido" error="Selecione da lista." xr:uid="{467F7869-8B5B-4B9F-8082-E8288D61AEE3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8ABCC6A-B021-4296-95C0-E54844E2D0F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topLeftCell="A29" zoomScale="50" zoomScaleNormal="50" workbookViewId="0">
      <selection activeCell="F52" sqref="F5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242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252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242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242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242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246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242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253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242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242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242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242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242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242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242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231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229</v>
      </c>
      <c r="O27" s="39">
        <v>358000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233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242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242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242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242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242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242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242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242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242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242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242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229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254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255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242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242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242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242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242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242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242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252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242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242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242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233</v>
      </c>
      <c r="O55" s="43">
        <f>IFERROR(O41+O54,"")</f>
        <v>237080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0" activePane="bottomLeft" state="frozen"/>
      <selection pane="bottomLeft" activeCell="F52" sqref="F52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242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242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256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242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249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242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252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242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257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242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242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242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258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242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242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242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229</v>
      </c>
      <c r="O27" s="39">
        <v>491520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233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242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242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242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242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242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242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242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242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242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242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228</v>
      </c>
      <c r="B41" s="101"/>
      <c r="C41" s="101"/>
      <c r="D41" s="101"/>
      <c r="E41" s="102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229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242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242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255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242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242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242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242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242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242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242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233</v>
      </c>
      <c r="O55" s="48">
        <f>IFERROR(O41+O54,"")</f>
        <v>766800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233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233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233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228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233</v>
      </c>
      <c r="O838" s="48">
        <f>IFERROR(O824+O837,"")</f>
        <v>0</v>
      </c>
    </row>
  </sheetData>
  <mergeCells count="92"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2026-08-03T10:18:30Z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