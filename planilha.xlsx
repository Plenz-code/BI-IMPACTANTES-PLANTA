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59" documentId="8_{C51EB6CB-002B-4D6B-B68F-DDEBDB4460C0}" xr6:coauthVersionLast="47" xr6:coauthVersionMax="47" xr10:uidLastSave="{018A24BC-50C8-467D-8914-DE913DDD4091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<sst xmlns="http://schemas.openxmlformats.org/spreadsheetml/2006/main" count="4448" uniqueCount="305">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</sst>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08" activePane="bottomLeft" state="frozen"/>
      <selection pane="bottomLeft" activeCell="F221" sqref="F2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110</v>
      </c>
      <c r="G230" s="36">
        <f>SUM(G218:G229)</f>
        <v>550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110</v>
      </c>
      <c r="G244" s="40">
        <f>G230+G243</f>
        <v>550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21" sqref="F2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0.30842685185052687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0.44731574073941577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0.53203796296163808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33</v>
      </c>
      <c r="G230" s="36">
        <f>SUM(G218:G229)</f>
        <v>138.60000000000002</v>
      </c>
      <c r="H230" s="37"/>
      <c r="I230" s="37"/>
      <c r="J230" s="37"/>
      <c r="K230" s="37"/>
      <c r="L230" s="37"/>
      <c r="M230" s="38">
        <f ca="1">IFERROR(SUM(M218:M229),"")</f>
        <v>6.944444444444442E-2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33</v>
      </c>
      <c r="G244" s="40">
        <f>G230+G243</f>
        <v>138.60000000000002</v>
      </c>
      <c r="H244" s="41"/>
      <c r="I244" s="41"/>
      <c r="J244" s="41"/>
      <c r="K244" s="41"/>
      <c r="L244" s="41"/>
      <c r="M244" s="42">
        <f ca="1">IFERROR(M230+M243,"")</f>
        <v>6.944444444444442E-2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2" zoomScale="50" zoomScaleNormal="50" workbookViewId="0">
      <selection activeCell="F221" sqref="F2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22</v>
      </c>
      <c r="G230" s="36">
        <f>SUM(G218:G229)</f>
        <v>92.4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22</v>
      </c>
      <c r="G244" s="40">
        <f>G230+G243</f>
        <v>92.4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K219" sqref="K2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/>
      <c r="I218" s="26"/>
      <c r="J218" s="26"/>
      <c r="K218" s="29">
        <v>0.41805555555555557</v>
      </c>
      <c r="L218" s="29"/>
      <c r="M218" s="30">
        <f t="shared" ref="M218:M229" ca="1" si="49">IFERROR(IF(K218="","",IF(L218="",MOD(NOW()-K218,1),IF(L218&gt;=K218,L218-K218,L218+1-K218))),"")</f>
        <v>1.1899074073880911E-2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51</v>
      </c>
      <c r="G230" s="36">
        <f>SUM(G218:G229)</f>
        <v>214.20000000000002</v>
      </c>
      <c r="H230" s="37"/>
      <c r="I230" s="37"/>
      <c r="J230" s="37"/>
      <c r="K230" s="61"/>
      <c r="L230" s="61"/>
      <c r="M230" s="38">
        <f ca="1">IFERROR(SUM(M218:M229),"")</f>
        <v>1.1899074073880911E-2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51</v>
      </c>
      <c r="G244" s="40">
        <f>G230+G243</f>
        <v>214.20000000000002</v>
      </c>
      <c r="H244" s="41"/>
      <c r="I244" s="41"/>
      <c r="J244" s="41"/>
      <c r="K244" s="63"/>
      <c r="L244" s="63"/>
      <c r="M244" s="42">
        <f ca="1">IFERROR(M230+M243,"")</f>
        <v>1.1899074073880911E-2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2026-08-09T14:19:18Z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