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746" documentId="13_ncr:1_{A6DBCFB4-28D9-4249-9038-216934055CA6}" xr6:coauthVersionLast="47" xr6:coauthVersionMax="47" xr10:uidLastSave="{589A341E-000A-46A4-86C7-6BC0E224BB58}"/>
  <bookViews>
    <workbookView xWindow="-108" yWindow="-108" windowWidth="23256" windowHeight="12456" tabRatio="500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7" i="6" s="1"/>
  <c r="J597" i="6" s="1"/>
  <c r="S608" i="5"/>
  <c r="S608" i="4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J598" i="6" s="1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F596" i="6"/>
  <c r="S595" i="6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C26" i="1" s="1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E4" i="1"/>
  <c r="C4" i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C35" i="1" l="1"/>
  <c r="S622" i="6"/>
  <c r="F26" i="1" s="1"/>
  <c r="H599" i="6"/>
  <c r="J599" i="6" s="1"/>
  <c r="H600" i="6"/>
  <c r="J600" i="6" s="1"/>
  <c r="H596" i="6"/>
  <c r="H608" i="6" s="1"/>
  <c r="H622" i="6" s="1"/>
  <c r="F35" i="1"/>
  <c r="E35" i="1"/>
  <c r="G26" i="1"/>
  <c r="J584" i="6"/>
  <c r="J585" i="6"/>
  <c r="J586" i="6"/>
  <c r="J587" i="6"/>
  <c r="J588" i="6"/>
  <c r="J589" i="6"/>
  <c r="J590" i="6"/>
  <c r="J591" i="6"/>
  <c r="J592" i="6"/>
  <c r="J593" i="6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Q55" i="6" l="1"/>
  <c r="M352" i="3"/>
  <c r="Q28" i="4"/>
  <c r="J596" i="6"/>
  <c r="J608" i="6" s="1"/>
  <c r="G35" i="1"/>
  <c r="Q568" i="5"/>
  <c r="M514" i="3"/>
  <c r="M433" i="3"/>
  <c r="Q622" i="6"/>
  <c r="Q217" i="6"/>
  <c r="Q190" i="4"/>
  <c r="M190" i="3"/>
  <c r="M568" i="3"/>
  <c r="M838" i="3"/>
  <c r="Q649" i="6"/>
  <c r="Q595" i="6"/>
  <c r="Q649" i="4"/>
  <c r="Q703" i="4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<sst xmlns="http://schemas.openxmlformats.org/spreadsheetml/2006/main" count="10083" uniqueCount="428">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</sst>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activeCell="B1" sqref="B1"/>
      <selection pane="bottomLeft" activeCell="R17" sqref="R17"/>
    </sheetView>
  </sheetViews>
  <sheetFormatPr defaultColWidth="8.5546875" defaultRowHeight="14.4" x14ac:dyDescent="0.3"/>
  <cols>
    <col min="1" max="1" width="17.5546875" customWidth="1"/>
    <col min="2" max="2" width="21" style="3" customWidth="1"/>
    <col min="3" max="3" width="25.5546875" customWidth="1"/>
    <col min="4" max="4" width="23.5546875" customWidth="1"/>
    <col min="5" max="5" width="26" customWidth="1"/>
    <col min="6" max="6" width="18.6640625" customWidth="1"/>
    <col min="7" max="7" width="8.5546875" customWidth="1"/>
    <col min="8" max="8" width="19" hidden="1" customWidth="1"/>
    <col min="9" max="9" width="18.5546875" hidden="1" customWidth="1"/>
    <col min="10" max="10" width="13.109375" hidden="1" customWidth="1"/>
    <col min="11" max="11" width="22.109375" hidden="1" customWidth="1"/>
    <col min="12" max="14" width="8.5546875" customWidth="1"/>
  </cols>
  <sheetData>
    <row r="1" spans="1:12" ht="31.5" customHeight="1" x14ac:dyDescent="0.3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 x14ac:dyDescent="0.3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3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3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 x14ac:dyDescent="0.3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 x14ac:dyDescent="0.3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 x14ac:dyDescent="0.3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 x14ac:dyDescent="0.3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 x14ac:dyDescent="0.3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 x14ac:dyDescent="0.3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 x14ac:dyDescent="0.3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 x14ac:dyDescent="0.3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 x14ac:dyDescent="0.3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 x14ac:dyDescent="0.3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 x14ac:dyDescent="0.3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3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 x14ac:dyDescent="0.3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 x14ac:dyDescent="0.3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 x14ac:dyDescent="0.3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 x14ac:dyDescent="0.3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 x14ac:dyDescent="0.3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 x14ac:dyDescent="0.3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 x14ac:dyDescent="0.3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 x14ac:dyDescent="0.3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 x14ac:dyDescent="0.3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 x14ac:dyDescent="0.3">
      <c r="A26" s="17">
        <v>23</v>
      </c>
      <c r="B26" s="18">
        <v>46257</v>
      </c>
      <c r="C26" s="19">
        <f>IFERROR(Britador!O622,"")</f>
        <v>1126060</v>
      </c>
      <c r="D26" s="19">
        <f>IFERROR('Linha 1'!S622,"")</f>
        <v>705800</v>
      </c>
      <c r="E26" s="19">
        <f>IFERROR('Linha 2'!S622,"")</f>
        <v>341670</v>
      </c>
      <c r="F26" s="19">
        <f>IFERROR('Linha 3'!S622,"")</f>
        <v>709960</v>
      </c>
      <c r="G26" s="20">
        <f t="shared" si="0"/>
        <v>1757430</v>
      </c>
      <c r="H26" s="21">
        <f>IFERROR('Linha 1'!T622+'Linha 2'!T622+'Linha 3'!T622,0)</f>
        <v>369.06029999999998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 x14ac:dyDescent="0.3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 x14ac:dyDescent="0.3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 x14ac:dyDescent="0.3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 x14ac:dyDescent="0.3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 x14ac:dyDescent="0.3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 x14ac:dyDescent="0.3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 x14ac:dyDescent="0.3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 x14ac:dyDescent="0.3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 x14ac:dyDescent="0.3">
      <c r="A35" s="162" t="s">
        <v>16</v>
      </c>
      <c r="B35" s="162"/>
      <c r="C35" s="30">
        <f t="shared" ref="C35:I35" si="2">IFERROR(SUM(C4:C34),"")</f>
        <v>80967440</v>
      </c>
      <c r="D35" s="30">
        <f t="shared" si="2"/>
        <v>26091950</v>
      </c>
      <c r="E35" s="30">
        <f t="shared" si="2"/>
        <v>14925110</v>
      </c>
      <c r="F35" s="30">
        <f t="shared" si="2"/>
        <v>35124290</v>
      </c>
      <c r="G35" s="30">
        <f t="shared" si="2"/>
        <v>76141350</v>
      </c>
      <c r="H35" s="31">
        <f t="shared" si="2"/>
        <v>7575.1179326915126</v>
      </c>
      <c r="I35" s="31">
        <f t="shared" si="2"/>
        <v>4967.05</v>
      </c>
      <c r="J35" s="32">
        <f>I35/H35</f>
        <v>0.65570596314599672</v>
      </c>
      <c r="K35" s="33">
        <f>SUM(K4:K34)</f>
        <v>450.78</v>
      </c>
      <c r="L35" s="34">
        <f>IFERROR(SUM(L4:L34),"")</f>
        <v>6177.6</v>
      </c>
    </row>
    <row r="36" spans="1:12" ht="15" customHeight="1" x14ac:dyDescent="0.3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I582" sqref="I582"/>
    </sheetView>
  </sheetViews>
  <sheetFormatPr defaultColWidth="8.5546875" defaultRowHeight="14.4" x14ac:dyDescent="0.3"/>
  <cols>
    <col min="1" max="1" width="14" customWidth="1"/>
    <col min="2" max="2" width="2" customWidth="1"/>
    <col min="3" max="3" width="26.4414062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88671875" customWidth="1"/>
  </cols>
  <sheetData>
    <row r="1" spans="1:18" ht="27.75" customHeight="1" x14ac:dyDescent="0.3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 x14ac:dyDescent="0.3">
      <c r="M2" s="164"/>
    </row>
    <row r="3" spans="1:18" ht="25.5" customHeight="1" x14ac:dyDescent="0.3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3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3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3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3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3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 x14ac:dyDescent="0.3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 x14ac:dyDescent="0.3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 x14ac:dyDescent="0.3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 x14ac:dyDescent="0.3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 x14ac:dyDescent="0.3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 x14ac:dyDescent="0.3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 x14ac:dyDescent="0.3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 x14ac:dyDescent="0.3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 x14ac:dyDescent="0.3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 x14ac:dyDescent="0.3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 x14ac:dyDescent="0.3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 x14ac:dyDescent="0.3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 x14ac:dyDescent="0.3">
      <c r="A21" s="40"/>
      <c r="C21" s="40"/>
      <c r="J21" s="40"/>
      <c r="L21" s="40" t="s">
        <v>133</v>
      </c>
      <c r="M21" s="164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 x14ac:dyDescent="0.3">
      <c r="A22" s="37"/>
      <c r="C22" s="37"/>
      <c r="J22" s="37"/>
      <c r="L22" s="37" t="s">
        <v>137</v>
      </c>
      <c r="M22" s="164"/>
      <c r="N22" s="37"/>
      <c r="O22" s="37"/>
      <c r="P22" s="37" t="s">
        <v>138</v>
      </c>
      <c r="Q22" s="37"/>
      <c r="R22" s="37" t="s">
        <v>139</v>
      </c>
    </row>
    <row r="23" spans="1:18" ht="15.75" customHeight="1" x14ac:dyDescent="0.3">
      <c r="A23" s="40"/>
      <c r="C23" s="40"/>
      <c r="J23" s="40"/>
      <c r="L23" s="40" t="s">
        <v>140</v>
      </c>
      <c r="M23" s="164"/>
      <c r="N23" s="40"/>
      <c r="O23" s="40"/>
      <c r="P23" s="40" t="s">
        <v>141</v>
      </c>
      <c r="Q23" s="40"/>
      <c r="R23" s="40" t="s">
        <v>142</v>
      </c>
    </row>
    <row r="24" spans="1:18" ht="15.75" customHeight="1" x14ac:dyDescent="0.3">
      <c r="A24" s="37"/>
      <c r="C24" s="37"/>
      <c r="J24" s="37"/>
      <c r="L24" s="37" t="s">
        <v>143</v>
      </c>
      <c r="M24" s="164"/>
      <c r="N24" s="37"/>
      <c r="O24" s="37"/>
      <c r="P24" s="37" t="s">
        <v>144</v>
      </c>
      <c r="Q24" s="37"/>
      <c r="R24" s="37" t="s">
        <v>145</v>
      </c>
    </row>
    <row r="25" spans="1:18" ht="15.75" customHeight="1" x14ac:dyDescent="0.3">
      <c r="A25" s="40"/>
      <c r="C25" s="40"/>
      <c r="J25" s="40"/>
      <c r="L25" s="40" t="s">
        <v>146</v>
      </c>
      <c r="M25" s="164"/>
      <c r="N25" s="40"/>
      <c r="O25" s="40"/>
      <c r="P25" s="40" t="s">
        <v>147</v>
      </c>
      <c r="Q25" s="40"/>
      <c r="R25" s="40" t="s">
        <v>148</v>
      </c>
    </row>
    <row r="26" spans="1:18" ht="15.75" customHeight="1" x14ac:dyDescent="0.3">
      <c r="A26" s="37"/>
      <c r="C26" s="37"/>
      <c r="J26" s="37"/>
      <c r="L26" s="37" t="s">
        <v>149</v>
      </c>
      <c r="M26" s="164"/>
      <c r="N26" s="37"/>
      <c r="O26" s="37"/>
      <c r="P26" s="37" t="s">
        <v>150</v>
      </c>
      <c r="Q26" s="37"/>
      <c r="R26" s="37"/>
    </row>
    <row r="27" spans="1:18" ht="15.75" customHeight="1" x14ac:dyDescent="0.3">
      <c r="A27" s="40"/>
      <c r="C27" s="40"/>
      <c r="J27" s="40"/>
      <c r="L27" s="40" t="s">
        <v>151</v>
      </c>
      <c r="M27" s="164"/>
      <c r="N27" s="40"/>
      <c r="O27" s="40"/>
      <c r="P27" s="40" t="s">
        <v>142</v>
      </c>
      <c r="Q27" s="40"/>
      <c r="R27" s="40" t="s">
        <v>71</v>
      </c>
    </row>
    <row r="28" spans="1:18" ht="15.75" customHeight="1" x14ac:dyDescent="0.3">
      <c r="A28" s="37"/>
      <c r="C28" s="37"/>
      <c r="J28" s="37"/>
      <c r="L28" s="37" t="s">
        <v>152</v>
      </c>
      <c r="M28" s="164"/>
      <c r="N28" s="37"/>
      <c r="O28" s="37"/>
      <c r="P28" s="37" t="s">
        <v>121</v>
      </c>
      <c r="Q28" s="37"/>
      <c r="R28" s="37" t="s">
        <v>153</v>
      </c>
    </row>
    <row r="29" spans="1:18" ht="15.75" customHeight="1" x14ac:dyDescent="0.3">
      <c r="A29" s="40"/>
      <c r="C29" s="40"/>
      <c r="J29" s="40"/>
      <c r="L29" s="40" t="s">
        <v>154</v>
      </c>
      <c r="M29" s="164"/>
      <c r="N29" s="40"/>
      <c r="O29" s="40"/>
      <c r="P29" s="40" t="s">
        <v>155</v>
      </c>
      <c r="Q29" s="40"/>
      <c r="R29" s="40" t="s">
        <v>156</v>
      </c>
    </row>
    <row r="30" spans="1:18" ht="15.75" customHeight="1" x14ac:dyDescent="0.3">
      <c r="A30" s="37"/>
      <c r="C30" s="37"/>
      <c r="J30" s="37"/>
      <c r="L30" s="37" t="s">
        <v>157</v>
      </c>
      <c r="M30" s="164"/>
      <c r="N30" s="37"/>
      <c r="O30" s="37"/>
      <c r="P30" s="37" t="s">
        <v>158</v>
      </c>
      <c r="Q30" s="37"/>
      <c r="R30" s="37" t="s">
        <v>159</v>
      </c>
    </row>
    <row r="31" spans="1:18" ht="15.75" customHeight="1" x14ac:dyDescent="0.3">
      <c r="A31" s="40"/>
      <c r="C31" s="40"/>
      <c r="J31" s="40"/>
      <c r="L31" s="40" t="s">
        <v>160</v>
      </c>
      <c r="M31" s="164"/>
      <c r="N31" s="40"/>
      <c r="O31" s="40"/>
      <c r="P31" s="40" t="s">
        <v>161</v>
      </c>
      <c r="Q31" s="40"/>
      <c r="R31" s="40" t="s">
        <v>162</v>
      </c>
    </row>
    <row r="32" spans="1:18" ht="15.75" customHeight="1" x14ac:dyDescent="0.3">
      <c r="A32" s="37"/>
      <c r="C32" s="37"/>
      <c r="J32" s="37"/>
      <c r="L32" s="37" t="s">
        <v>163</v>
      </c>
      <c r="M32" s="164"/>
      <c r="N32" s="37"/>
      <c r="O32" s="37"/>
      <c r="P32" s="37" t="s">
        <v>164</v>
      </c>
      <c r="Q32" s="37"/>
      <c r="R32" t="s">
        <v>165</v>
      </c>
    </row>
    <row r="33" spans="1:18" ht="15.75" customHeight="1" x14ac:dyDescent="0.3">
      <c r="A33" s="40"/>
      <c r="C33" s="50" t="s">
        <v>166</v>
      </c>
      <c r="E33" s="51">
        <v>1000</v>
      </c>
      <c r="J33" s="40"/>
      <c r="L33" s="40" t="s">
        <v>167</v>
      </c>
      <c r="M33" s="164"/>
      <c r="N33" s="40"/>
      <c r="O33" s="40"/>
      <c r="P33" s="40" t="s">
        <v>168</v>
      </c>
      <c r="Q33" s="40"/>
      <c r="R33" s="40" t="s">
        <v>29</v>
      </c>
    </row>
    <row r="34" spans="1:18" ht="15.75" customHeight="1" x14ac:dyDescent="0.3">
      <c r="A34" s="37"/>
      <c r="C34" s="37"/>
      <c r="J34" s="37"/>
      <c r="L34" s="37" t="s">
        <v>169</v>
      </c>
      <c r="M34" s="164"/>
      <c r="N34" s="37"/>
      <c r="O34" s="37"/>
      <c r="P34" s="37" t="s">
        <v>88</v>
      </c>
      <c r="Q34" s="37"/>
      <c r="R34" s="37" t="s">
        <v>170</v>
      </c>
    </row>
    <row r="35" spans="1:18" ht="15.75" customHeight="1" x14ac:dyDescent="0.3">
      <c r="A35" s="40"/>
      <c r="C35" s="40"/>
      <c r="J35" s="40"/>
      <c r="L35" s="40" t="s">
        <v>171</v>
      </c>
      <c r="M35" s="164"/>
      <c r="N35" s="40"/>
      <c r="O35" s="40"/>
      <c r="P35" s="40" t="s">
        <v>172</v>
      </c>
      <c r="Q35" s="40"/>
      <c r="R35" s="40" t="s">
        <v>173</v>
      </c>
    </row>
    <row r="36" spans="1:18" ht="15.75" customHeight="1" x14ac:dyDescent="0.3">
      <c r="A36" s="37"/>
      <c r="C36" s="37"/>
      <c r="J36" s="37"/>
      <c r="L36" s="37" t="s">
        <v>174</v>
      </c>
      <c r="M36" s="164"/>
      <c r="N36" s="37"/>
      <c r="O36" s="37"/>
      <c r="P36" s="37" t="s">
        <v>175</v>
      </c>
      <c r="Q36" s="37"/>
      <c r="R36" s="37" t="s">
        <v>176</v>
      </c>
    </row>
    <row r="37" spans="1:18" ht="15.75" customHeight="1" x14ac:dyDescent="0.3">
      <c r="A37" s="40"/>
      <c r="C37" s="40"/>
      <c r="J37" s="40"/>
      <c r="L37" s="40" t="s">
        <v>177</v>
      </c>
      <c r="M37" s="164"/>
      <c r="N37" s="40"/>
      <c r="O37" s="40"/>
      <c r="P37" s="40" t="s">
        <v>178</v>
      </c>
      <c r="Q37" s="40"/>
      <c r="R37" s="40" t="s">
        <v>179</v>
      </c>
    </row>
    <row r="38" spans="1:18" ht="15.75" customHeight="1" x14ac:dyDescent="0.3">
      <c r="A38" s="37"/>
      <c r="C38" s="37"/>
      <c r="J38" s="37"/>
      <c r="L38" s="37" t="s">
        <v>180</v>
      </c>
      <c r="M38" s="164"/>
      <c r="N38" s="37"/>
      <c r="O38" s="37"/>
      <c r="P38" s="37" t="s">
        <v>181</v>
      </c>
      <c r="Q38" s="37"/>
      <c r="R38" s="37" t="s">
        <v>182</v>
      </c>
    </row>
    <row r="39" spans="1:18" ht="15.75" customHeight="1" x14ac:dyDescent="0.3">
      <c r="A39" s="40"/>
      <c r="C39" s="40"/>
      <c r="J39" s="40"/>
      <c r="L39" s="40"/>
      <c r="M39" s="164"/>
      <c r="N39" s="40"/>
      <c r="O39" s="40"/>
      <c r="P39" s="40" t="s">
        <v>183</v>
      </c>
      <c r="Q39" s="40"/>
      <c r="R39" s="40" t="s">
        <v>184</v>
      </c>
    </row>
    <row r="40" spans="1:18" ht="15.75" customHeight="1" x14ac:dyDescent="0.3">
      <c r="A40" s="37"/>
      <c r="C40" s="37"/>
      <c r="J40" s="37"/>
      <c r="L40" s="37"/>
      <c r="M40" s="164"/>
      <c r="N40" s="37"/>
      <c r="O40" s="37"/>
      <c r="P40" s="37" t="s">
        <v>185</v>
      </c>
      <c r="Q40" s="37"/>
      <c r="R40" s="37" t="s">
        <v>186</v>
      </c>
    </row>
    <row r="41" spans="1:18" ht="15.75" customHeight="1" x14ac:dyDescent="0.3">
      <c r="A41" s="40"/>
      <c r="C41" s="40"/>
      <c r="J41" s="40"/>
      <c r="L41" s="40"/>
      <c r="M41" s="164"/>
      <c r="N41" s="40"/>
      <c r="O41" s="40"/>
      <c r="P41" s="40" t="s">
        <v>187</v>
      </c>
      <c r="Q41" s="40"/>
      <c r="R41" s="40" t="s">
        <v>188</v>
      </c>
    </row>
    <row r="42" spans="1:18" ht="15.75" customHeight="1" x14ac:dyDescent="0.3">
      <c r="A42" s="37"/>
      <c r="C42" s="37"/>
      <c r="J42" s="37"/>
      <c r="L42" s="37"/>
      <c r="M42" s="164"/>
      <c r="N42" s="37"/>
      <c r="O42" s="37"/>
      <c r="P42" s="37" t="s">
        <v>189</v>
      </c>
      <c r="Q42" s="37"/>
      <c r="R42" s="37" t="s">
        <v>190</v>
      </c>
    </row>
    <row r="43" spans="1:18" ht="15.75" customHeight="1" x14ac:dyDescent="0.3">
      <c r="A43" s="40"/>
      <c r="C43" s="40"/>
      <c r="J43" s="40"/>
      <c r="L43" s="40"/>
      <c r="M43" s="164"/>
      <c r="N43" s="40"/>
      <c r="O43" s="40"/>
      <c r="P43" s="40" t="s">
        <v>191</v>
      </c>
      <c r="Q43" s="40"/>
      <c r="R43" s="40" t="s">
        <v>192</v>
      </c>
    </row>
    <row r="44" spans="1:18" ht="15.75" customHeight="1" x14ac:dyDescent="0.3">
      <c r="A44" s="37"/>
      <c r="C44" s="37"/>
      <c r="J44" s="37"/>
      <c r="L44" s="37"/>
      <c r="M44" s="164"/>
      <c r="N44" s="37"/>
      <c r="O44" s="37"/>
      <c r="P44" s="37" t="s">
        <v>193</v>
      </c>
      <c r="Q44" s="37"/>
      <c r="R44" s="37" t="s">
        <v>194</v>
      </c>
    </row>
    <row r="45" spans="1:18" ht="15.75" customHeight="1" x14ac:dyDescent="0.3">
      <c r="A45" s="40"/>
      <c r="C45" s="40"/>
      <c r="J45" s="40"/>
      <c r="L45" s="40"/>
      <c r="M45" s="164"/>
      <c r="N45" s="40"/>
      <c r="O45" s="40"/>
      <c r="P45" s="40" t="s">
        <v>195</v>
      </c>
      <c r="Q45" s="40"/>
      <c r="R45" s="40" t="s">
        <v>196</v>
      </c>
    </row>
    <row r="46" spans="1:18" ht="15.75" customHeight="1" x14ac:dyDescent="0.3">
      <c r="A46" s="37"/>
      <c r="C46" s="37"/>
      <c r="J46" s="37"/>
      <c r="L46" s="37"/>
      <c r="M46" s="164"/>
      <c r="N46" s="37"/>
      <c r="O46" s="37"/>
      <c r="P46" s="37" t="s">
        <v>197</v>
      </c>
      <c r="Q46" s="37"/>
      <c r="R46" s="37" t="s">
        <v>198</v>
      </c>
    </row>
    <row r="47" spans="1:18" ht="15.75" customHeight="1" x14ac:dyDescent="0.3">
      <c r="A47" s="40"/>
      <c r="C47" s="40"/>
      <c r="J47" s="40"/>
      <c r="L47" s="40"/>
      <c r="M47" s="164"/>
      <c r="N47" s="40"/>
      <c r="O47" s="40"/>
      <c r="P47" s="40" t="s">
        <v>199</v>
      </c>
      <c r="Q47" s="40"/>
      <c r="R47" s="40" t="s">
        <v>200</v>
      </c>
    </row>
    <row r="48" spans="1:18" ht="15.75" customHeight="1" x14ac:dyDescent="0.3">
      <c r="A48" s="37"/>
      <c r="C48" s="37"/>
      <c r="J48" s="37"/>
      <c r="L48" s="37"/>
      <c r="M48" s="164"/>
      <c r="N48" s="37"/>
      <c r="O48" s="37"/>
      <c r="P48" s="37" t="s">
        <v>201</v>
      </c>
      <c r="Q48" s="37"/>
      <c r="R48" s="37" t="s">
        <v>202</v>
      </c>
    </row>
    <row r="49" spans="1:18" ht="18" customHeight="1" x14ac:dyDescent="0.3">
      <c r="M49" s="164"/>
      <c r="N49" s="40"/>
      <c r="O49" s="40"/>
      <c r="P49" s="40" t="s">
        <v>203</v>
      </c>
      <c r="Q49" s="40"/>
      <c r="R49" s="40" t="s">
        <v>204</v>
      </c>
    </row>
    <row r="50" spans="1:18" ht="21" customHeight="1" x14ac:dyDescent="0.3">
      <c r="A50" s="52" t="s">
        <v>205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206</v>
      </c>
      <c r="Q50" s="37"/>
      <c r="R50" s="37" t="s">
        <v>207</v>
      </c>
    </row>
    <row r="51" spans="1:18" ht="24" customHeight="1" x14ac:dyDescent="0.3">
      <c r="M51" s="164"/>
      <c r="N51" s="40"/>
      <c r="O51" s="40"/>
      <c r="P51" s="40" t="s">
        <v>208</v>
      </c>
      <c r="Q51" s="40"/>
      <c r="R51" s="40" t="s">
        <v>209</v>
      </c>
    </row>
    <row r="52" spans="1:18" ht="24" customHeight="1" x14ac:dyDescent="0.3">
      <c r="M52" s="164"/>
      <c r="N52" s="37"/>
      <c r="O52" s="37"/>
      <c r="P52" s="37" t="s">
        <v>210</v>
      </c>
      <c r="Q52" s="37"/>
      <c r="R52" s="37" t="s">
        <v>211</v>
      </c>
    </row>
    <row r="53" spans="1:18" ht="36" customHeight="1" x14ac:dyDescent="0.3">
      <c r="M53" s="164"/>
      <c r="N53" s="40"/>
      <c r="O53" s="40"/>
      <c r="P53" s="40" t="s">
        <v>212</v>
      </c>
      <c r="Q53" s="40"/>
      <c r="R53" s="40" t="s">
        <v>213</v>
      </c>
    </row>
    <row r="54" spans="1:18" ht="15" customHeight="1" x14ac:dyDescent="0.3">
      <c r="M54" s="164"/>
      <c r="N54" s="37"/>
      <c r="O54" s="37"/>
      <c r="P54" s="37" t="s">
        <v>214</v>
      </c>
      <c r="Q54" s="37"/>
      <c r="R54" s="37" t="s">
        <v>215</v>
      </c>
    </row>
    <row r="55" spans="1:18" ht="15" customHeight="1" x14ac:dyDescent="0.3">
      <c r="M55" s="164"/>
      <c r="N55" s="40"/>
      <c r="O55" s="40"/>
      <c r="P55" s="40" t="s">
        <v>216</v>
      </c>
      <c r="Q55" s="40"/>
      <c r="R55" s="40" t="s">
        <v>217</v>
      </c>
    </row>
    <row r="56" spans="1:18" ht="15" customHeight="1" x14ac:dyDescent="0.3">
      <c r="M56" s="164"/>
      <c r="N56" s="37"/>
      <c r="O56" s="37"/>
      <c r="P56" s="37" t="s">
        <v>218</v>
      </c>
      <c r="Q56" s="37"/>
      <c r="R56" s="37" t="s">
        <v>219</v>
      </c>
    </row>
    <row r="57" spans="1:18" ht="15" customHeight="1" x14ac:dyDescent="0.3">
      <c r="M57" s="164"/>
      <c r="N57" s="40"/>
      <c r="O57" s="40"/>
      <c r="P57" s="40" t="s">
        <v>59</v>
      </c>
      <c r="Q57" s="40"/>
      <c r="R57" s="40" t="s">
        <v>220</v>
      </c>
    </row>
    <row r="58" spans="1:18" ht="15" customHeight="1" x14ac:dyDescent="0.3">
      <c r="M58" s="164"/>
      <c r="N58" s="37"/>
      <c r="O58" s="37"/>
      <c r="P58" s="37" t="s">
        <v>221</v>
      </c>
      <c r="Q58" s="37"/>
      <c r="R58" s="37" t="s">
        <v>222</v>
      </c>
    </row>
    <row r="59" spans="1:18" ht="15" customHeight="1" x14ac:dyDescent="0.3">
      <c r="M59" s="164"/>
      <c r="N59" s="40"/>
      <c r="O59" s="40"/>
      <c r="P59" s="40" t="s">
        <v>223</v>
      </c>
      <c r="Q59" s="40"/>
      <c r="R59" s="40" t="s">
        <v>224</v>
      </c>
    </row>
    <row r="60" spans="1:18" ht="15" customHeight="1" x14ac:dyDescent="0.3">
      <c r="M60" s="164"/>
      <c r="N60" s="37"/>
      <c r="O60" s="37"/>
      <c r="P60" s="53" t="s">
        <v>114</v>
      </c>
      <c r="Q60" s="37"/>
      <c r="R60" s="37"/>
    </row>
    <row r="61" spans="1:18" ht="15" customHeight="1" x14ac:dyDescent="0.3">
      <c r="M61" s="164"/>
      <c r="N61" s="40"/>
      <c r="O61" s="40"/>
      <c r="P61" s="40" t="s">
        <v>225</v>
      </c>
      <c r="Q61" s="40"/>
      <c r="R61" s="40"/>
    </row>
    <row r="62" spans="1:18" ht="15" customHeight="1" x14ac:dyDescent="0.3">
      <c r="M62" s="164"/>
      <c r="N62" s="37"/>
      <c r="O62" s="37"/>
      <c r="P62" s="37" t="s">
        <v>226</v>
      </c>
      <c r="Q62" s="37"/>
      <c r="R62" s="37"/>
    </row>
    <row r="63" spans="1:18" ht="15" customHeight="1" x14ac:dyDescent="0.3">
      <c r="M63" s="164"/>
      <c r="N63" s="40"/>
      <c r="O63" s="40"/>
      <c r="P63" s="40" t="s">
        <v>227</v>
      </c>
      <c r="Q63" s="40"/>
      <c r="R63" s="40"/>
    </row>
    <row r="64" spans="1:18" ht="15" customHeight="1" x14ac:dyDescent="0.3">
      <c r="M64" s="164"/>
      <c r="N64" s="37"/>
      <c r="O64" s="37"/>
      <c r="P64" s="37" t="s">
        <v>228</v>
      </c>
      <c r="Q64" s="37"/>
      <c r="R64" s="37"/>
    </row>
    <row r="65" spans="13:18" ht="15" customHeight="1" x14ac:dyDescent="0.3">
      <c r="M65" s="164"/>
      <c r="N65" s="40"/>
      <c r="O65" s="40"/>
      <c r="P65" s="40" t="s">
        <v>229</v>
      </c>
      <c r="Q65" s="40"/>
      <c r="R65" s="40"/>
    </row>
    <row r="66" spans="13:18" ht="15" customHeight="1" x14ac:dyDescent="0.3">
      <c r="M66" s="164"/>
      <c r="N66" s="37"/>
      <c r="O66" s="37"/>
      <c r="P66" s="37" t="s">
        <v>230</v>
      </c>
      <c r="Q66" s="37"/>
      <c r="R66" s="37"/>
    </row>
    <row r="67" spans="13:18" ht="15" customHeight="1" x14ac:dyDescent="0.3">
      <c r="M67" s="164"/>
      <c r="N67" s="40"/>
      <c r="O67" s="40"/>
      <c r="P67" s="40" t="s">
        <v>231</v>
      </c>
      <c r="Q67" s="40"/>
      <c r="R67" s="40"/>
    </row>
    <row r="68" spans="13:18" ht="15" customHeight="1" x14ac:dyDescent="0.3">
      <c r="M68" s="164"/>
      <c r="N68" s="37"/>
      <c r="O68" s="37"/>
      <c r="P68" s="37" t="s">
        <v>232</v>
      </c>
      <c r="Q68" s="37"/>
      <c r="R68" s="37"/>
    </row>
    <row r="69" spans="13:18" ht="15" customHeight="1" x14ac:dyDescent="0.3">
      <c r="M69" s="164"/>
      <c r="N69" s="40"/>
      <c r="O69" s="40"/>
      <c r="P69" s="40" t="s">
        <v>233</v>
      </c>
      <c r="Q69" s="40"/>
      <c r="R69" s="40"/>
    </row>
    <row r="70" spans="13:18" ht="15" customHeight="1" x14ac:dyDescent="0.3">
      <c r="M70" s="164"/>
      <c r="N70" s="37"/>
      <c r="O70" s="37"/>
      <c r="P70" s="37" t="s">
        <v>234</v>
      </c>
      <c r="Q70" s="37"/>
      <c r="R70" s="37"/>
    </row>
    <row r="71" spans="13:18" ht="15" customHeight="1" x14ac:dyDescent="0.3">
      <c r="M71" s="164"/>
      <c r="N71" s="40"/>
      <c r="O71" s="40"/>
      <c r="P71" s="40" t="s">
        <v>235</v>
      </c>
      <c r="Q71" s="40"/>
      <c r="R71" s="40"/>
    </row>
    <row r="72" spans="13:18" ht="15" customHeight="1" x14ac:dyDescent="0.3">
      <c r="M72" s="164"/>
      <c r="N72" s="37"/>
      <c r="O72" s="37"/>
      <c r="P72" s="37" t="s">
        <v>236</v>
      </c>
      <c r="Q72" s="37"/>
      <c r="R72" s="37"/>
    </row>
    <row r="73" spans="13:18" ht="15" customHeight="1" x14ac:dyDescent="0.3">
      <c r="M73" s="164"/>
      <c r="N73" s="40"/>
      <c r="O73" s="40"/>
      <c r="P73" s="40" t="s">
        <v>237</v>
      </c>
      <c r="Q73" s="40"/>
      <c r="R73" s="40"/>
    </row>
    <row r="74" spans="13:18" ht="15" customHeight="1" x14ac:dyDescent="0.3">
      <c r="M74" s="164"/>
      <c r="N74" s="37"/>
      <c r="O74" s="37"/>
      <c r="P74" s="37" t="s">
        <v>238</v>
      </c>
      <c r="Q74" s="37"/>
      <c r="R74" s="37"/>
    </row>
    <row r="75" spans="13:18" ht="15" customHeight="1" x14ac:dyDescent="0.3">
      <c r="M75" s="164"/>
      <c r="N75" s="40"/>
      <c r="O75" s="40"/>
      <c r="P75" s="40" t="s">
        <v>239</v>
      </c>
      <c r="Q75" s="40"/>
      <c r="R75" s="40"/>
    </row>
    <row r="76" spans="13:18" ht="15" customHeight="1" x14ac:dyDescent="0.3"/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546875" defaultRowHeight="14.4" x14ac:dyDescent="0.3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3">
      <c r="A1" s="138" t="s">
        <v>12</v>
      </c>
      <c r="B1" s="138" t="s">
        <v>240</v>
      </c>
      <c r="C1" s="138" t="s">
        <v>241</v>
      </c>
      <c r="D1" s="138" t="s">
        <v>19</v>
      </c>
      <c r="E1" s="138" t="s">
        <v>242</v>
      </c>
      <c r="F1" s="138" t="s">
        <v>243</v>
      </c>
      <c r="G1" s="138" t="s">
        <v>244</v>
      </c>
      <c r="H1" s="138" t="s">
        <v>245</v>
      </c>
      <c r="I1" s="138" t="s">
        <v>246</v>
      </c>
      <c r="J1" s="138" t="s">
        <v>247</v>
      </c>
      <c r="K1" s="138" t="s">
        <v>248</v>
      </c>
    </row>
    <row r="2" spans="1:11" ht="15.75" customHeight="1" x14ac:dyDescent="0.3">
      <c r="A2" s="139">
        <v>46235</v>
      </c>
      <c r="B2" s="140" t="s">
        <v>249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 x14ac:dyDescent="0.3">
      <c r="A3" s="144">
        <v>46235</v>
      </c>
      <c r="B3" s="145" t="s">
        <v>250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 x14ac:dyDescent="0.3">
      <c r="A4" s="166" t="s">
        <v>251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 x14ac:dyDescent="0.3">
      <c r="A5" s="139">
        <v>46236</v>
      </c>
      <c r="B5" s="140" t="s">
        <v>249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 x14ac:dyDescent="0.3">
      <c r="A6" s="144">
        <v>46236</v>
      </c>
      <c r="B6" s="145" t="s">
        <v>250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 x14ac:dyDescent="0.3">
      <c r="A7" s="166" t="s">
        <v>251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 x14ac:dyDescent="0.3">
      <c r="A8" s="139">
        <v>46237</v>
      </c>
      <c r="B8" s="140" t="s">
        <v>249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 x14ac:dyDescent="0.3">
      <c r="A9" s="144">
        <v>46237</v>
      </c>
      <c r="B9" s="145" t="s">
        <v>250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 x14ac:dyDescent="0.3">
      <c r="A10" s="166" t="s">
        <v>251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 x14ac:dyDescent="0.3">
      <c r="A11" s="139">
        <v>46238</v>
      </c>
      <c r="B11" s="140" t="s">
        <v>249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 x14ac:dyDescent="0.3">
      <c r="A12" s="144">
        <v>46238</v>
      </c>
      <c r="B12" s="145" t="s">
        <v>250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 x14ac:dyDescent="0.3">
      <c r="A13" s="166" t="s">
        <v>251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 x14ac:dyDescent="0.3">
      <c r="A14" s="139">
        <v>46239</v>
      </c>
      <c r="B14" s="140" t="s">
        <v>249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 x14ac:dyDescent="0.3">
      <c r="A15" s="144">
        <v>46239</v>
      </c>
      <c r="B15" s="145" t="s">
        <v>250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 x14ac:dyDescent="0.3">
      <c r="A16" s="166" t="s">
        <v>251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 x14ac:dyDescent="0.3">
      <c r="A17" s="139">
        <v>46240</v>
      </c>
      <c r="B17" s="140" t="s">
        <v>249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 x14ac:dyDescent="0.3">
      <c r="A18" s="144">
        <v>46240</v>
      </c>
      <c r="B18" s="145" t="s">
        <v>250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 x14ac:dyDescent="0.3">
      <c r="A19" s="166" t="s">
        <v>251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 x14ac:dyDescent="0.3">
      <c r="A20" s="139">
        <v>46241</v>
      </c>
      <c r="B20" s="140" t="s">
        <v>249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 x14ac:dyDescent="0.3">
      <c r="A21" s="144">
        <v>46241</v>
      </c>
      <c r="B21" s="145" t="s">
        <v>250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 x14ac:dyDescent="0.3">
      <c r="A22" s="166" t="s">
        <v>251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 x14ac:dyDescent="0.3">
      <c r="A23" s="139">
        <v>46242</v>
      </c>
      <c r="B23" s="140" t="s">
        <v>249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 x14ac:dyDescent="0.3">
      <c r="A24" s="144">
        <v>46242</v>
      </c>
      <c r="B24" s="145" t="s">
        <v>250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 x14ac:dyDescent="0.3">
      <c r="A25" s="166" t="s">
        <v>251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 x14ac:dyDescent="0.3">
      <c r="A26" s="139">
        <v>46243</v>
      </c>
      <c r="B26" s="140" t="s">
        <v>249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 x14ac:dyDescent="0.3">
      <c r="A27" s="144">
        <v>46243</v>
      </c>
      <c r="B27" s="145" t="s">
        <v>250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 x14ac:dyDescent="0.3">
      <c r="A28" s="166" t="s">
        <v>251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 x14ac:dyDescent="0.3">
      <c r="A29" s="139">
        <v>46244</v>
      </c>
      <c r="B29" s="140" t="s">
        <v>249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 x14ac:dyDescent="0.3">
      <c r="A30" s="144">
        <v>46244</v>
      </c>
      <c r="B30" s="145" t="s">
        <v>250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 x14ac:dyDescent="0.3">
      <c r="A31" s="166" t="s">
        <v>251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 x14ac:dyDescent="0.3">
      <c r="A32" s="139">
        <v>46245</v>
      </c>
      <c r="B32" s="140" t="s">
        <v>249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 x14ac:dyDescent="0.3">
      <c r="A33" s="144">
        <v>46245</v>
      </c>
      <c r="B33" s="145" t="s">
        <v>250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 x14ac:dyDescent="0.3">
      <c r="A34" s="166" t="s">
        <v>251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 x14ac:dyDescent="0.3">
      <c r="A35" s="139">
        <v>46246</v>
      </c>
      <c r="B35" s="140" t="s">
        <v>249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 x14ac:dyDescent="0.3">
      <c r="A36" s="144">
        <v>46246</v>
      </c>
      <c r="B36" s="145" t="s">
        <v>250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 x14ac:dyDescent="0.3">
      <c r="A37" s="166" t="s">
        <v>251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 x14ac:dyDescent="0.3">
      <c r="A38" s="139">
        <v>46247</v>
      </c>
      <c r="B38" s="140" t="s">
        <v>249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 x14ac:dyDescent="0.3">
      <c r="A39" s="144">
        <v>46247</v>
      </c>
      <c r="B39" s="145" t="s">
        <v>250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 x14ac:dyDescent="0.3">
      <c r="A40" s="166" t="s">
        <v>251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 x14ac:dyDescent="0.3">
      <c r="A41" s="139">
        <v>46248</v>
      </c>
      <c r="B41" s="140" t="s">
        <v>249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 x14ac:dyDescent="0.3">
      <c r="A42" s="144">
        <v>46248</v>
      </c>
      <c r="B42" s="145" t="s">
        <v>250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 x14ac:dyDescent="0.3">
      <c r="A43" s="166" t="s">
        <v>251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 x14ac:dyDescent="0.3">
      <c r="A44" s="139">
        <v>46249</v>
      </c>
      <c r="B44" s="140" t="s">
        <v>249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 x14ac:dyDescent="0.3">
      <c r="A45" s="144">
        <v>46249</v>
      </c>
      <c r="B45" s="145" t="s">
        <v>250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 x14ac:dyDescent="0.3">
      <c r="A46" s="166" t="s">
        <v>251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 x14ac:dyDescent="0.3">
      <c r="A47" s="139">
        <v>46250</v>
      </c>
      <c r="B47" s="140" t="s">
        <v>249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 x14ac:dyDescent="0.3">
      <c r="A48" s="144">
        <v>46250</v>
      </c>
      <c r="B48" s="145" t="s">
        <v>250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 x14ac:dyDescent="0.3">
      <c r="A49" s="166" t="s">
        <v>251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 x14ac:dyDescent="0.3">
      <c r="A50" s="139">
        <v>46251</v>
      </c>
      <c r="B50" s="140" t="s">
        <v>249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 x14ac:dyDescent="0.3">
      <c r="A51" s="144">
        <v>46251</v>
      </c>
      <c r="B51" s="145" t="s">
        <v>250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 x14ac:dyDescent="0.3">
      <c r="A52" s="166" t="s">
        <v>251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 x14ac:dyDescent="0.3">
      <c r="A53" s="139">
        <v>46252</v>
      </c>
      <c r="B53" s="140" t="s">
        <v>249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 x14ac:dyDescent="0.3">
      <c r="A54" s="144">
        <v>46252</v>
      </c>
      <c r="B54" s="145" t="s">
        <v>250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 x14ac:dyDescent="0.3">
      <c r="A55" s="166" t="s">
        <v>251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 x14ac:dyDescent="0.3">
      <c r="A56" s="139">
        <v>46253</v>
      </c>
      <c r="B56" s="140" t="s">
        <v>249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 x14ac:dyDescent="0.3">
      <c r="A57" s="144">
        <v>46253</v>
      </c>
      <c r="B57" s="145" t="s">
        <v>250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 x14ac:dyDescent="0.3">
      <c r="A58" s="166" t="s">
        <v>251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 x14ac:dyDescent="0.3">
      <c r="A59" s="139">
        <v>46254</v>
      </c>
      <c r="B59" s="140" t="s">
        <v>249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 x14ac:dyDescent="0.3">
      <c r="A60" s="144">
        <v>46254</v>
      </c>
      <c r="B60" s="145" t="s">
        <v>250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 x14ac:dyDescent="0.3">
      <c r="A61" s="166" t="s">
        <v>251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 x14ac:dyDescent="0.3">
      <c r="A62" s="139">
        <v>46255</v>
      </c>
      <c r="B62" s="140" t="s">
        <v>249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 x14ac:dyDescent="0.3">
      <c r="A63" s="144">
        <v>46255</v>
      </c>
      <c r="B63" s="145" t="s">
        <v>250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 x14ac:dyDescent="0.3">
      <c r="A64" s="166" t="s">
        <v>251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 x14ac:dyDescent="0.3">
      <c r="A65" s="139">
        <v>46256</v>
      </c>
      <c r="B65" s="140" t="s">
        <v>249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 x14ac:dyDescent="0.3">
      <c r="A66" s="144">
        <v>46256</v>
      </c>
      <c r="B66" s="145" t="s">
        <v>250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 x14ac:dyDescent="0.3">
      <c r="A67" s="166" t="s">
        <v>251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 x14ac:dyDescent="0.3">
      <c r="A68" s="139">
        <v>46257</v>
      </c>
      <c r="B68" s="140" t="s">
        <v>249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 x14ac:dyDescent="0.3">
      <c r="A69" s="144">
        <v>46257</v>
      </c>
      <c r="B69" s="145" t="s">
        <v>250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 x14ac:dyDescent="0.3">
      <c r="A70" s="166" t="s">
        <v>251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 x14ac:dyDescent="0.3">
      <c r="A71" s="139">
        <v>46258</v>
      </c>
      <c r="B71" s="140" t="s">
        <v>249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 x14ac:dyDescent="0.3">
      <c r="A72" s="144">
        <v>46258</v>
      </c>
      <c r="B72" s="145" t="s">
        <v>250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 x14ac:dyDescent="0.3">
      <c r="A73" s="166" t="s">
        <v>251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 x14ac:dyDescent="0.3">
      <c r="A74" s="139">
        <v>46259</v>
      </c>
      <c r="B74" s="140" t="s">
        <v>249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 x14ac:dyDescent="0.3">
      <c r="A75" s="144">
        <v>46259</v>
      </c>
      <c r="B75" s="145" t="s">
        <v>250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 x14ac:dyDescent="0.3">
      <c r="A76" s="166" t="s">
        <v>251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 x14ac:dyDescent="0.3">
      <c r="A77" s="139">
        <v>46260</v>
      </c>
      <c r="B77" s="140" t="s">
        <v>249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 x14ac:dyDescent="0.3">
      <c r="A78" s="144">
        <v>46260</v>
      </c>
      <c r="B78" s="145" t="s">
        <v>250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 x14ac:dyDescent="0.3">
      <c r="A79" s="166" t="s">
        <v>251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 x14ac:dyDescent="0.3">
      <c r="A80" s="139">
        <v>46261</v>
      </c>
      <c r="B80" s="140" t="s">
        <v>249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 x14ac:dyDescent="0.3">
      <c r="A81" s="144">
        <v>46261</v>
      </c>
      <c r="B81" s="145" t="s">
        <v>250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 x14ac:dyDescent="0.3">
      <c r="A82" s="166" t="s">
        <v>251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 x14ac:dyDescent="0.3">
      <c r="A83" s="139">
        <v>46262</v>
      </c>
      <c r="B83" s="140" t="s">
        <v>249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 x14ac:dyDescent="0.3">
      <c r="A84" s="144">
        <v>46262</v>
      </c>
      <c r="B84" s="145" t="s">
        <v>250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 x14ac:dyDescent="0.3">
      <c r="A85" s="166" t="s">
        <v>251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 x14ac:dyDescent="0.3">
      <c r="A86" s="139">
        <v>46263</v>
      </c>
      <c r="B86" s="140" t="s">
        <v>249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 x14ac:dyDescent="0.3">
      <c r="A87" s="144">
        <v>46263</v>
      </c>
      <c r="B87" s="145" t="s">
        <v>250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 x14ac:dyDescent="0.3">
      <c r="A88" s="166" t="s">
        <v>251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 x14ac:dyDescent="0.3">
      <c r="A89" s="139">
        <v>46264</v>
      </c>
      <c r="B89" s="140" t="s">
        <v>249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 x14ac:dyDescent="0.3">
      <c r="A90" s="144">
        <v>46264</v>
      </c>
      <c r="B90" s="145" t="s">
        <v>250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 x14ac:dyDescent="0.3">
      <c r="A91" s="166" t="s">
        <v>251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 x14ac:dyDescent="0.3">
      <c r="A92" s="139">
        <v>46265</v>
      </c>
      <c r="B92" s="140" t="s">
        <v>249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 x14ac:dyDescent="0.3">
      <c r="A93" s="144">
        <v>46265</v>
      </c>
      <c r="B93" s="145" t="s">
        <v>250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 x14ac:dyDescent="0.3">
      <c r="A94" s="166" t="s">
        <v>251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topLeftCell="F1" zoomScale="80" zoomScaleNormal="80" workbookViewId="0">
      <pane ySplit="1" topLeftCell="A593" activePane="bottomLeft" state="frozen"/>
      <selection pane="bottomLeft" activeCell="O609" sqref="O609"/>
    </sheetView>
  </sheetViews>
  <sheetFormatPr defaultColWidth="8.5546875" defaultRowHeight="14.4" x14ac:dyDescent="0.3"/>
  <cols>
    <col min="1" max="1" width="18.10937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8671875" style="54" customWidth="1"/>
    <col min="8" max="8" width="33.109375" style="54" customWidth="1"/>
    <col min="9" max="9" width="23.44140625" style="54" customWidth="1"/>
    <col min="10" max="10" width="43.109375" style="54" customWidth="1"/>
    <col min="11" max="11" width="14" style="54" customWidth="1"/>
    <col min="12" max="12" width="13.109375" style="55" customWidth="1"/>
    <col min="13" max="13" width="14" style="54" customWidth="1"/>
    <col min="14" max="14" width="37.33203125" style="54" customWidth="1"/>
    <col min="15" max="15" width="19.88671875" customWidth="1"/>
  </cols>
  <sheetData>
    <row r="1" spans="1:15" ht="37.5" customHeight="1" x14ac:dyDescent="0.3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57" t="s">
        <v>254</v>
      </c>
      <c r="G1" s="57" t="s">
        <v>255</v>
      </c>
      <c r="H1" s="57" t="s">
        <v>23</v>
      </c>
      <c r="I1" s="57" t="s">
        <v>24</v>
      </c>
      <c r="J1" s="57" t="s">
        <v>256</v>
      </c>
      <c r="K1" s="57" t="s">
        <v>257</v>
      </c>
      <c r="L1" s="57" t="s">
        <v>258</v>
      </c>
      <c r="M1" s="58" t="s">
        <v>259</v>
      </c>
      <c r="N1" s="57" t="s">
        <v>248</v>
      </c>
      <c r="O1" s="57" t="s">
        <v>260</v>
      </c>
    </row>
    <row r="2" spans="1:15" ht="15" customHeight="1" x14ac:dyDescent="0.3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261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261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261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261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261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261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261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 x14ac:dyDescent="0.3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261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261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261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261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261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 x14ac:dyDescent="0.3">
      <c r="A14" s="167" t="s">
        <v>262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263</v>
      </c>
      <c r="O14" s="74">
        <v>797765</v>
      </c>
    </row>
    <row r="15" spans="1:15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261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261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261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264</v>
      </c>
      <c r="O17" s="67"/>
    </row>
    <row r="18" spans="1:15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261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261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261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261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261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261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261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261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261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 x14ac:dyDescent="0.3">
      <c r="A27" s="167" t="s">
        <v>265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263</v>
      </c>
      <c r="O27" s="74">
        <v>997910</v>
      </c>
    </row>
    <row r="28" spans="1:15" ht="18" customHeight="1" x14ac:dyDescent="0.3">
      <c r="A28" s="168" t="s">
        <v>251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266</v>
      </c>
      <c r="O28" s="30">
        <f>IFERROR(O14+O27,"")</f>
        <v>1795675</v>
      </c>
    </row>
    <row r="29" spans="1:15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261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 x14ac:dyDescent="0.3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261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267</v>
      </c>
      <c r="O30" s="67"/>
    </row>
    <row r="31" spans="1:15" ht="15" customHeight="1" x14ac:dyDescent="0.3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261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264</v>
      </c>
      <c r="O31" s="67"/>
    </row>
    <row r="32" spans="1:15" ht="15" customHeight="1" x14ac:dyDescent="0.3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261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 x14ac:dyDescent="0.3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261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 x14ac:dyDescent="0.3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261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 x14ac:dyDescent="0.3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261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 x14ac:dyDescent="0.3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261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 x14ac:dyDescent="0.3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261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 x14ac:dyDescent="0.3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261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 x14ac:dyDescent="0.3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261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 x14ac:dyDescent="0.3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261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 x14ac:dyDescent="0.3">
      <c r="A41" s="167" t="s">
        <v>262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263</v>
      </c>
      <c r="O41" s="74">
        <v>1351560</v>
      </c>
    </row>
    <row r="42" spans="1:15" ht="15" customHeight="1" x14ac:dyDescent="0.3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261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268</v>
      </c>
      <c r="O42" s="67"/>
    </row>
    <row r="43" spans="1:15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261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261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261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261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261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261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261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261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261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261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 x14ac:dyDescent="0.3">
      <c r="A54" s="167" t="s">
        <v>265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263</v>
      </c>
      <c r="O54" s="74">
        <v>981310</v>
      </c>
    </row>
    <row r="55" spans="1:15" ht="18" customHeight="1" x14ac:dyDescent="0.3">
      <c r="A55" s="168" t="s">
        <v>251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266</v>
      </c>
      <c r="O55" s="30">
        <f>IFERROR(O41+O54,"")</f>
        <v>2332870</v>
      </c>
    </row>
    <row r="56" spans="1:15" ht="15" customHeight="1" x14ac:dyDescent="0.3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261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 x14ac:dyDescent="0.3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261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 x14ac:dyDescent="0.3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261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 x14ac:dyDescent="0.3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261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 x14ac:dyDescent="0.3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261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 x14ac:dyDescent="0.3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261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 x14ac:dyDescent="0.3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261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 x14ac:dyDescent="0.3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261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 x14ac:dyDescent="0.3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261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 x14ac:dyDescent="0.3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261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 x14ac:dyDescent="0.3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261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 x14ac:dyDescent="0.3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261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 x14ac:dyDescent="0.3">
      <c r="A68" s="167" t="s">
        <v>262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263</v>
      </c>
      <c r="O68" s="74">
        <v>2102950</v>
      </c>
    </row>
    <row r="69" spans="1:15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261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 x14ac:dyDescent="0.3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261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269</v>
      </c>
      <c r="O70" s="67"/>
    </row>
    <row r="71" spans="1:15" ht="15" customHeight="1" x14ac:dyDescent="0.3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261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 x14ac:dyDescent="0.3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261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 x14ac:dyDescent="0.3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261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 x14ac:dyDescent="0.3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261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 x14ac:dyDescent="0.3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261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 x14ac:dyDescent="0.3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261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 x14ac:dyDescent="0.3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261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 x14ac:dyDescent="0.3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261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 x14ac:dyDescent="0.3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261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 x14ac:dyDescent="0.3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261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 x14ac:dyDescent="0.3">
      <c r="A81" s="167" t="s">
        <v>265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263</v>
      </c>
      <c r="O81" s="74">
        <v>1547910</v>
      </c>
    </row>
    <row r="82" spans="1:15" ht="18" customHeight="1" x14ac:dyDescent="0.3">
      <c r="A82" s="168" t="s">
        <v>251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266</v>
      </c>
      <c r="O82" s="30">
        <f>IFERROR(O68+O81,"")</f>
        <v>3650860</v>
      </c>
    </row>
    <row r="83" spans="1:15" ht="15" customHeight="1" x14ac:dyDescent="0.3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261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261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261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270</v>
      </c>
      <c r="O85" s="67"/>
    </row>
    <row r="86" spans="1:15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261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261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261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261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261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261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261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261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261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 x14ac:dyDescent="0.3">
      <c r="A95" s="167" t="s">
        <v>262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263</v>
      </c>
      <c r="O95" s="74">
        <v>2050000</v>
      </c>
    </row>
    <row r="96" spans="1:15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261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261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261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261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261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261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271</v>
      </c>
      <c r="O101" s="67"/>
    </row>
    <row r="102" spans="1:15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261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261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261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261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261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261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 x14ac:dyDescent="0.3">
      <c r="A108" s="167" t="s">
        <v>265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263</v>
      </c>
      <c r="O108" s="74">
        <v>3156240</v>
      </c>
    </row>
    <row r="109" spans="1:15" ht="18" customHeight="1" x14ac:dyDescent="0.3">
      <c r="A109" s="168" t="s">
        <v>251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266</v>
      </c>
      <c r="O109" s="30">
        <f>IFERROR(O95+O108,"")</f>
        <v>5206240</v>
      </c>
    </row>
    <row r="110" spans="1:15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261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261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261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261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261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261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261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261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261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261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261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261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 x14ac:dyDescent="0.3">
      <c r="A122" s="167" t="s">
        <v>262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263</v>
      </c>
      <c r="O122" s="74">
        <v>846660</v>
      </c>
    </row>
    <row r="123" spans="1:15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261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 x14ac:dyDescent="0.3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261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 x14ac:dyDescent="0.3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261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 x14ac:dyDescent="0.3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261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 x14ac:dyDescent="0.3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261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 x14ac:dyDescent="0.3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261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 x14ac:dyDescent="0.3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261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 x14ac:dyDescent="0.3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261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 x14ac:dyDescent="0.3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261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 x14ac:dyDescent="0.3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261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 x14ac:dyDescent="0.3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261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 x14ac:dyDescent="0.3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261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 x14ac:dyDescent="0.3">
      <c r="A135" s="167" t="s">
        <v>265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263</v>
      </c>
      <c r="O135" s="74">
        <v>2875180</v>
      </c>
    </row>
    <row r="136" spans="1:15" ht="18" customHeight="1" x14ac:dyDescent="0.3">
      <c r="A136" s="168" t="s">
        <v>251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266</v>
      </c>
      <c r="O136" s="30">
        <f>IFERROR(O122+O135,"")</f>
        <v>3721840</v>
      </c>
    </row>
    <row r="137" spans="1:15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261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272</v>
      </c>
      <c r="O137" s="67"/>
    </row>
    <row r="138" spans="1:15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261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261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261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261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261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261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261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261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261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261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261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 x14ac:dyDescent="0.35">
      <c r="A149" s="167" t="s">
        <v>262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263</v>
      </c>
      <c r="O149" s="78">
        <v>1650350</v>
      </c>
    </row>
    <row r="150" spans="1:15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261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261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273</v>
      </c>
      <c r="O151" s="67"/>
    </row>
    <row r="152" spans="1:15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261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261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261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261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261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261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261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261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261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261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 x14ac:dyDescent="0.35">
      <c r="A162" s="167" t="s">
        <v>265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263</v>
      </c>
      <c r="O162" s="79">
        <v>842000</v>
      </c>
    </row>
    <row r="163" spans="1:15" ht="18" customHeight="1" x14ac:dyDescent="0.3">
      <c r="A163" s="168" t="s">
        <v>251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266</v>
      </c>
      <c r="O163" s="30">
        <f>IFERROR(O149+O162,"")</f>
        <v>2492350</v>
      </c>
    </row>
    <row r="164" spans="1:15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261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238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274</v>
      </c>
      <c r="O164" s="67"/>
    </row>
    <row r="165" spans="1:15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261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261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261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261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261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261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261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261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261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261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261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 x14ac:dyDescent="0.3">
      <c r="A176" s="167" t="s">
        <v>262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263</v>
      </c>
      <c r="O176" s="74">
        <v>2934820</v>
      </c>
    </row>
    <row r="177" spans="1:15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261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275</v>
      </c>
      <c r="O177" s="67"/>
    </row>
    <row r="178" spans="1:15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261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261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261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261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261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261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261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276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261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261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261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 x14ac:dyDescent="0.3">
      <c r="A189" s="167" t="s">
        <v>265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263</v>
      </c>
      <c r="O189" s="74">
        <v>1901630</v>
      </c>
    </row>
    <row r="190" spans="1:15" ht="18" customHeight="1" x14ac:dyDescent="0.3">
      <c r="A190" s="168" t="s">
        <v>251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266</v>
      </c>
      <c r="O190" s="30">
        <f>IFERROR(O176+O189,"")</f>
        <v>4836450</v>
      </c>
    </row>
    <row r="191" spans="1:15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261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261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261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277</v>
      </c>
      <c r="O193" s="67"/>
    </row>
    <row r="194" spans="1:15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261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261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261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261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261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261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261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261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261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 x14ac:dyDescent="0.3">
      <c r="A203" s="167" t="s">
        <v>262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263</v>
      </c>
      <c r="O203" s="74">
        <v>1392300</v>
      </c>
    </row>
    <row r="204" spans="1:15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261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261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261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261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261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261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261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261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261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261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261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261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 x14ac:dyDescent="0.3">
      <c r="A216" s="167" t="s">
        <v>265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263</v>
      </c>
      <c r="O216" s="74">
        <v>1852295</v>
      </c>
    </row>
    <row r="217" spans="1:15" ht="18" customHeight="1" x14ac:dyDescent="0.3">
      <c r="A217" s="168" t="s">
        <v>251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266</v>
      </c>
      <c r="O217" s="82">
        <f>IFERROR(O203+O216,"")</f>
        <v>3244595</v>
      </c>
    </row>
    <row r="218" spans="1:15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261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261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261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215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278</v>
      </c>
      <c r="O220" s="81"/>
    </row>
    <row r="221" spans="1:15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261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261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261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261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261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261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261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261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261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 x14ac:dyDescent="0.3">
      <c r="A230" s="167" t="s">
        <v>262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263</v>
      </c>
      <c r="O230" s="74">
        <v>2165620</v>
      </c>
    </row>
    <row r="231" spans="1:21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261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215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261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261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279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279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279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279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279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279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279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279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279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 x14ac:dyDescent="0.3">
      <c r="A243" s="167" t="s">
        <v>265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263</v>
      </c>
      <c r="O243" s="74">
        <v>991010</v>
      </c>
    </row>
    <row r="244" spans="1:15" ht="18" customHeight="1" x14ac:dyDescent="0.3">
      <c r="A244" s="168" t="s">
        <v>251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266</v>
      </c>
      <c r="O244" s="82">
        <f>IFERROR(O230+O243,"")</f>
        <v>3156630</v>
      </c>
    </row>
    <row r="245" spans="1:15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261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220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261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261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261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261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280</v>
      </c>
      <c r="O249" s="81"/>
    </row>
    <row r="250" spans="1:15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261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261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261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261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261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261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261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 x14ac:dyDescent="0.3">
      <c r="A257" s="167" t="s">
        <v>262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263</v>
      </c>
      <c r="O257" s="74">
        <v>2149680</v>
      </c>
    </row>
    <row r="258" spans="1:15" ht="15" customHeight="1" x14ac:dyDescent="0.3">
      <c r="A258" s="18">
        <v>46244</v>
      </c>
      <c r="B258" s="68">
        <v>0.83333333333333304</v>
      </c>
      <c r="C258" s="70" t="s">
        <v>54</v>
      </c>
      <c r="D258" s="75" t="s">
        <v>281</v>
      </c>
      <c r="E258" s="75" t="s">
        <v>261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 x14ac:dyDescent="0.3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281</v>
      </c>
      <c r="E259" s="75" t="s">
        <v>261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 x14ac:dyDescent="0.3">
      <c r="A260" s="18">
        <v>46244</v>
      </c>
      <c r="B260" s="68">
        <f t="shared" si="58"/>
        <v>0.9166666666666663</v>
      </c>
      <c r="C260" s="70" t="s">
        <v>54</v>
      </c>
      <c r="D260" s="75" t="s">
        <v>281</v>
      </c>
      <c r="E260" s="75" t="s">
        <v>261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 x14ac:dyDescent="0.3">
      <c r="A261" s="59">
        <v>46244</v>
      </c>
      <c r="B261" s="60">
        <f t="shared" si="58"/>
        <v>0.95833333333333293</v>
      </c>
      <c r="C261" s="70" t="s">
        <v>54</v>
      </c>
      <c r="D261" s="75" t="s">
        <v>281</v>
      </c>
      <c r="E261" s="75" t="s">
        <v>261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 x14ac:dyDescent="0.3">
      <c r="A262" s="18">
        <v>46244</v>
      </c>
      <c r="B262" s="68">
        <f t="shared" si="58"/>
        <v>0.99999999999999956</v>
      </c>
      <c r="C262" s="70" t="s">
        <v>54</v>
      </c>
      <c r="D262" s="75" t="s">
        <v>281</v>
      </c>
      <c r="E262" s="75" t="s">
        <v>261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 x14ac:dyDescent="0.3">
      <c r="A263" s="59">
        <v>46244</v>
      </c>
      <c r="B263" s="60">
        <f t="shared" si="58"/>
        <v>1.0416666666666663</v>
      </c>
      <c r="C263" s="70" t="s">
        <v>54</v>
      </c>
      <c r="D263" s="75" t="s">
        <v>281</v>
      </c>
      <c r="E263" s="75" t="s">
        <v>261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 x14ac:dyDescent="0.3">
      <c r="A264" s="18">
        <v>46244</v>
      </c>
      <c r="B264" s="68">
        <f t="shared" si="58"/>
        <v>1.083333333333333</v>
      </c>
      <c r="C264" s="70" t="s">
        <v>54</v>
      </c>
      <c r="D264" s="75" t="s">
        <v>281</v>
      </c>
      <c r="E264" s="75" t="s">
        <v>261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 x14ac:dyDescent="0.3">
      <c r="A265" s="59">
        <v>46244</v>
      </c>
      <c r="B265" s="60">
        <f t="shared" si="58"/>
        <v>1.1249999999999998</v>
      </c>
      <c r="C265" s="70" t="s">
        <v>54</v>
      </c>
      <c r="D265" s="75" t="s">
        <v>281</v>
      </c>
      <c r="E265" s="75" t="s">
        <v>261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 x14ac:dyDescent="0.3">
      <c r="A266" s="18">
        <v>46244</v>
      </c>
      <c r="B266" s="68">
        <f t="shared" si="58"/>
        <v>1.1666666666666665</v>
      </c>
      <c r="C266" s="70" t="s">
        <v>54</v>
      </c>
      <c r="D266" s="75" t="s">
        <v>281</v>
      </c>
      <c r="E266" s="75" t="s">
        <v>261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 x14ac:dyDescent="0.3">
      <c r="A267" s="59">
        <v>46244</v>
      </c>
      <c r="B267" s="60">
        <f t="shared" si="58"/>
        <v>1.2083333333333333</v>
      </c>
      <c r="C267" s="70" t="s">
        <v>54</v>
      </c>
      <c r="D267" s="75" t="s">
        <v>281</v>
      </c>
      <c r="E267" s="75" t="s">
        <v>261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 x14ac:dyDescent="0.3">
      <c r="A268" s="18">
        <v>46244</v>
      </c>
      <c r="B268" s="68">
        <f t="shared" si="58"/>
        <v>1.25</v>
      </c>
      <c r="C268" s="70" t="s">
        <v>54</v>
      </c>
      <c r="D268" s="75" t="s">
        <v>281</v>
      </c>
      <c r="E268" s="75" t="s">
        <v>261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 x14ac:dyDescent="0.3">
      <c r="A269" s="59">
        <v>46244</v>
      </c>
      <c r="B269" s="60">
        <f t="shared" si="58"/>
        <v>1.2916666666666667</v>
      </c>
      <c r="C269" s="70" t="s">
        <v>54</v>
      </c>
      <c r="D269" s="75" t="s">
        <v>281</v>
      </c>
      <c r="E269" s="75" t="s">
        <v>261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 x14ac:dyDescent="0.3">
      <c r="A270" s="167" t="s">
        <v>265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263</v>
      </c>
      <c r="O270" s="74">
        <v>1544700</v>
      </c>
    </row>
    <row r="271" spans="1:15" ht="18" customHeight="1" x14ac:dyDescent="0.3">
      <c r="A271" s="168" t="s">
        <v>251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266</v>
      </c>
      <c r="O271" s="82">
        <f>IFERROR(O257+O270,"")</f>
        <v>3694380</v>
      </c>
    </row>
    <row r="272" spans="1:15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281</v>
      </c>
      <c r="E272" s="62" t="s">
        <v>261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 x14ac:dyDescent="0.3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281</v>
      </c>
      <c r="E273" s="62" t="s">
        <v>261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 x14ac:dyDescent="0.3">
      <c r="A274" s="59">
        <v>46245</v>
      </c>
      <c r="B274" s="60">
        <f t="shared" si="60"/>
        <v>0.41666666666666635</v>
      </c>
      <c r="C274" s="61" t="s">
        <v>38</v>
      </c>
      <c r="D274" s="62" t="s">
        <v>281</v>
      </c>
      <c r="E274" s="62" t="s">
        <v>261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 x14ac:dyDescent="0.3">
      <c r="A275" s="18">
        <v>46245</v>
      </c>
      <c r="B275" s="68">
        <f t="shared" si="60"/>
        <v>0.45833333333333304</v>
      </c>
      <c r="C275" s="61" t="s">
        <v>38</v>
      </c>
      <c r="D275" s="62" t="s">
        <v>281</v>
      </c>
      <c r="E275" s="62" t="s">
        <v>261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220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 x14ac:dyDescent="0.3">
      <c r="A276" s="59">
        <v>46245</v>
      </c>
      <c r="B276" s="60">
        <f t="shared" si="60"/>
        <v>0.49999999999999972</v>
      </c>
      <c r="C276" s="61" t="s">
        <v>38</v>
      </c>
      <c r="D276" s="62" t="s">
        <v>281</v>
      </c>
      <c r="E276" s="62" t="s">
        <v>261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 x14ac:dyDescent="0.3">
      <c r="A277" s="18">
        <v>46245</v>
      </c>
      <c r="B277" s="68">
        <f t="shared" si="60"/>
        <v>0.54166666666666641</v>
      </c>
      <c r="C277" s="61" t="s">
        <v>38</v>
      </c>
      <c r="D277" s="62" t="s">
        <v>281</v>
      </c>
      <c r="E277" s="62" t="s">
        <v>261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282</v>
      </c>
      <c r="O277" s="81"/>
    </row>
    <row r="278" spans="1:15" ht="15" customHeight="1" x14ac:dyDescent="0.3">
      <c r="A278" s="59">
        <v>46245</v>
      </c>
      <c r="B278" s="60">
        <f t="shared" si="60"/>
        <v>0.58333333333333304</v>
      </c>
      <c r="C278" s="61" t="s">
        <v>38</v>
      </c>
      <c r="D278" s="62" t="s">
        <v>281</v>
      </c>
      <c r="E278" s="62" t="s">
        <v>261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 x14ac:dyDescent="0.3">
      <c r="A279" s="18">
        <v>46245</v>
      </c>
      <c r="B279" s="68">
        <f t="shared" si="60"/>
        <v>0.62499999999999967</v>
      </c>
      <c r="C279" s="61" t="s">
        <v>38</v>
      </c>
      <c r="D279" s="62" t="s">
        <v>281</v>
      </c>
      <c r="E279" s="62" t="s">
        <v>261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 x14ac:dyDescent="0.3">
      <c r="A280" s="59">
        <v>46245</v>
      </c>
      <c r="B280" s="60">
        <f t="shared" si="60"/>
        <v>0.6666666666666663</v>
      </c>
      <c r="C280" s="61" t="s">
        <v>38</v>
      </c>
      <c r="D280" s="62" t="s">
        <v>281</v>
      </c>
      <c r="E280" s="62" t="s">
        <v>261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 x14ac:dyDescent="0.3">
      <c r="A281" s="18">
        <v>46245</v>
      </c>
      <c r="B281" s="68">
        <f t="shared" si="60"/>
        <v>0.70833333333333293</v>
      </c>
      <c r="C281" s="61" t="s">
        <v>38</v>
      </c>
      <c r="D281" s="62" t="s">
        <v>281</v>
      </c>
      <c r="E281" s="62" t="s">
        <v>261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 x14ac:dyDescent="0.3">
      <c r="A282" s="59">
        <v>46245</v>
      </c>
      <c r="B282" s="60">
        <f t="shared" si="60"/>
        <v>0.74999999999999956</v>
      </c>
      <c r="C282" s="61" t="s">
        <v>38</v>
      </c>
      <c r="D282" s="62" t="s">
        <v>281</v>
      </c>
      <c r="E282" s="62" t="s">
        <v>261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 x14ac:dyDescent="0.3">
      <c r="A283" s="18">
        <v>46245</v>
      </c>
      <c r="B283" s="68">
        <f t="shared" si="60"/>
        <v>0.79166666666666619</v>
      </c>
      <c r="C283" s="61" t="s">
        <v>38</v>
      </c>
      <c r="D283" s="62" t="s">
        <v>281</v>
      </c>
      <c r="E283" s="62" t="s">
        <v>261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 x14ac:dyDescent="0.3">
      <c r="A284" s="167" t="s">
        <v>262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263</v>
      </c>
      <c r="O284" s="74">
        <v>1583020</v>
      </c>
    </row>
    <row r="285" spans="1:15" ht="15" customHeight="1" x14ac:dyDescent="0.3">
      <c r="A285" s="18">
        <v>46245</v>
      </c>
      <c r="B285" s="68">
        <v>0.83333333333333304</v>
      </c>
      <c r="C285" s="70" t="s">
        <v>54</v>
      </c>
      <c r="D285" s="75" t="s">
        <v>281</v>
      </c>
      <c r="E285" s="75" t="s">
        <v>276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 x14ac:dyDescent="0.3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281</v>
      </c>
      <c r="E286" s="75" t="s">
        <v>276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 x14ac:dyDescent="0.3">
      <c r="A287" s="18">
        <v>46245</v>
      </c>
      <c r="B287" s="68">
        <f t="shared" si="62"/>
        <v>0.9166666666666663</v>
      </c>
      <c r="C287" s="70" t="s">
        <v>54</v>
      </c>
      <c r="D287" s="75" t="s">
        <v>281</v>
      </c>
      <c r="E287" s="75" t="s">
        <v>276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 x14ac:dyDescent="0.3">
      <c r="A288" s="59">
        <v>46245</v>
      </c>
      <c r="B288" s="60">
        <f t="shared" si="62"/>
        <v>0.95833333333333293</v>
      </c>
      <c r="C288" s="70" t="s">
        <v>54</v>
      </c>
      <c r="D288" s="75" t="s">
        <v>281</v>
      </c>
      <c r="E288" s="75" t="s">
        <v>276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 x14ac:dyDescent="0.3">
      <c r="A289" s="18">
        <v>46245</v>
      </c>
      <c r="B289" s="68">
        <f t="shared" si="62"/>
        <v>0.99999999999999956</v>
      </c>
      <c r="C289" s="70" t="s">
        <v>54</v>
      </c>
      <c r="D289" s="75" t="s">
        <v>281</v>
      </c>
      <c r="E289" s="75" t="s">
        <v>276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 x14ac:dyDescent="0.3">
      <c r="A290" s="59">
        <v>46245</v>
      </c>
      <c r="B290" s="60">
        <f t="shared" si="62"/>
        <v>1.0416666666666663</v>
      </c>
      <c r="C290" s="70" t="s">
        <v>54</v>
      </c>
      <c r="D290" s="75" t="s">
        <v>281</v>
      </c>
      <c r="E290" s="75" t="s">
        <v>276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 x14ac:dyDescent="0.3">
      <c r="A291" s="18">
        <v>46245</v>
      </c>
      <c r="B291" s="68">
        <f t="shared" si="62"/>
        <v>1.083333333333333</v>
      </c>
      <c r="C291" s="70" t="s">
        <v>54</v>
      </c>
      <c r="D291" s="75" t="s">
        <v>281</v>
      </c>
      <c r="E291" s="75" t="s">
        <v>276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 x14ac:dyDescent="0.3">
      <c r="A292" s="59">
        <v>46245</v>
      </c>
      <c r="B292" s="60">
        <f t="shared" si="62"/>
        <v>1.1249999999999998</v>
      </c>
      <c r="C292" s="70" t="s">
        <v>54</v>
      </c>
      <c r="D292" s="75" t="s">
        <v>281</v>
      </c>
      <c r="E292" s="75" t="s">
        <v>276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 x14ac:dyDescent="0.3">
      <c r="A293" s="18">
        <v>46245</v>
      </c>
      <c r="B293" s="68">
        <f t="shared" si="62"/>
        <v>1.1666666666666665</v>
      </c>
      <c r="C293" s="70" t="s">
        <v>54</v>
      </c>
      <c r="D293" s="75" t="s">
        <v>281</v>
      </c>
      <c r="E293" s="75" t="s">
        <v>276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 x14ac:dyDescent="0.3">
      <c r="A294" s="59">
        <v>46245</v>
      </c>
      <c r="B294" s="60">
        <f t="shared" si="62"/>
        <v>1.2083333333333333</v>
      </c>
      <c r="C294" s="70" t="s">
        <v>54</v>
      </c>
      <c r="D294" s="75" t="s">
        <v>281</v>
      </c>
      <c r="E294" s="75" t="s">
        <v>276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 x14ac:dyDescent="0.3">
      <c r="A295" s="18">
        <v>46245</v>
      </c>
      <c r="B295" s="68">
        <f t="shared" si="62"/>
        <v>1.25</v>
      </c>
      <c r="C295" s="70" t="s">
        <v>54</v>
      </c>
      <c r="D295" s="75" t="s">
        <v>281</v>
      </c>
      <c r="E295" s="75" t="s">
        <v>276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 x14ac:dyDescent="0.3">
      <c r="A296" s="59">
        <v>46245</v>
      </c>
      <c r="B296" s="60">
        <f t="shared" si="62"/>
        <v>1.2916666666666667</v>
      </c>
      <c r="C296" s="70" t="s">
        <v>54</v>
      </c>
      <c r="D296" s="75" t="s">
        <v>281</v>
      </c>
      <c r="E296" s="75" t="s">
        <v>276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 x14ac:dyDescent="0.3">
      <c r="A297" s="167" t="s">
        <v>265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263</v>
      </c>
      <c r="O297" s="74">
        <v>1715230</v>
      </c>
    </row>
    <row r="298" spans="1:15" ht="18" customHeight="1" x14ac:dyDescent="0.3">
      <c r="A298" s="168" t="s">
        <v>251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266</v>
      </c>
      <c r="O298" s="82">
        <f>IFERROR(O284+O297,"")</f>
        <v>3298250</v>
      </c>
    </row>
    <row r="299" spans="1:15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261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238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 x14ac:dyDescent="0.3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261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 x14ac:dyDescent="0.3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261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 x14ac:dyDescent="0.3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261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283</v>
      </c>
      <c r="M302" s="66" t="str">
        <f t="shared" ca="1" si="63"/>
        <v/>
      </c>
      <c r="N302" s="80"/>
      <c r="O302" s="81"/>
    </row>
    <row r="303" spans="1:15" ht="15" customHeight="1" x14ac:dyDescent="0.3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261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 x14ac:dyDescent="0.3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261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 x14ac:dyDescent="0.3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261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 x14ac:dyDescent="0.3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261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 x14ac:dyDescent="0.3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261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 x14ac:dyDescent="0.3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261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 x14ac:dyDescent="0.3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261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 x14ac:dyDescent="0.3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261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 x14ac:dyDescent="0.3">
      <c r="A311" s="167" t="s">
        <v>262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263</v>
      </c>
      <c r="O311" s="74">
        <v>2631530</v>
      </c>
    </row>
    <row r="312" spans="1:15" ht="15" customHeight="1" x14ac:dyDescent="0.3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261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 x14ac:dyDescent="0.3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261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 x14ac:dyDescent="0.3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261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 x14ac:dyDescent="0.3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261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 x14ac:dyDescent="0.3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261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 x14ac:dyDescent="0.3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261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 x14ac:dyDescent="0.3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261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 x14ac:dyDescent="0.3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261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 x14ac:dyDescent="0.3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261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 x14ac:dyDescent="0.3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261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 x14ac:dyDescent="0.3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261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 x14ac:dyDescent="0.3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261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 x14ac:dyDescent="0.3">
      <c r="A324" s="167" t="s">
        <v>265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263</v>
      </c>
      <c r="O324" s="74">
        <v>2216340</v>
      </c>
    </row>
    <row r="325" spans="1:15" ht="18" customHeight="1" x14ac:dyDescent="0.3">
      <c r="A325" s="168" t="s">
        <v>251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266</v>
      </c>
      <c r="O325" s="82">
        <f>IFERROR(O311+O324,"")</f>
        <v>4847870</v>
      </c>
    </row>
    <row r="326" spans="1:15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 x14ac:dyDescent="0.3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215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 x14ac:dyDescent="0.3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284</v>
      </c>
      <c r="O328" s="81"/>
    </row>
    <row r="329" spans="1:15" ht="15" customHeight="1" x14ac:dyDescent="0.3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 x14ac:dyDescent="0.3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 x14ac:dyDescent="0.3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261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 x14ac:dyDescent="0.3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261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 x14ac:dyDescent="0.3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261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285</v>
      </c>
      <c r="O333" s="81"/>
    </row>
    <row r="334" spans="1:15" ht="15" customHeight="1" x14ac:dyDescent="0.3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261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 x14ac:dyDescent="0.3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261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 x14ac:dyDescent="0.3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261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 x14ac:dyDescent="0.3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261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 x14ac:dyDescent="0.3">
      <c r="A338" s="167" t="s">
        <v>262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263</v>
      </c>
      <c r="O338" s="74">
        <v>1925790</v>
      </c>
    </row>
    <row r="339" spans="1:15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261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 x14ac:dyDescent="0.3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261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 x14ac:dyDescent="0.3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261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 x14ac:dyDescent="0.3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261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 x14ac:dyDescent="0.3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261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 x14ac:dyDescent="0.3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261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 x14ac:dyDescent="0.3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261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 x14ac:dyDescent="0.3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261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 x14ac:dyDescent="0.3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261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 x14ac:dyDescent="0.3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261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 x14ac:dyDescent="0.3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261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 x14ac:dyDescent="0.3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261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 x14ac:dyDescent="0.3">
      <c r="A351" s="167" t="s">
        <v>265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263</v>
      </c>
      <c r="O351" s="74">
        <v>2154990</v>
      </c>
    </row>
    <row r="352" spans="1:15" ht="18" customHeight="1" x14ac:dyDescent="0.3">
      <c r="A352" s="168" t="s">
        <v>251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266</v>
      </c>
      <c r="O352" s="82">
        <f>IFERROR(O338+O351,"")</f>
        <v>4080780</v>
      </c>
    </row>
    <row r="353" spans="1:15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261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 x14ac:dyDescent="0.3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261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 x14ac:dyDescent="0.3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261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 x14ac:dyDescent="0.3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261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 x14ac:dyDescent="0.3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261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 x14ac:dyDescent="0.3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261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 x14ac:dyDescent="0.3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276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 x14ac:dyDescent="0.3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261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 x14ac:dyDescent="0.3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261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 x14ac:dyDescent="0.3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261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 x14ac:dyDescent="0.3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261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 x14ac:dyDescent="0.3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261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 x14ac:dyDescent="0.3">
      <c r="A365" s="167" t="s">
        <v>262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263</v>
      </c>
      <c r="O365" s="74">
        <v>2315280</v>
      </c>
    </row>
    <row r="366" spans="1:15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261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 x14ac:dyDescent="0.3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261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 x14ac:dyDescent="0.3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261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 x14ac:dyDescent="0.3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261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 x14ac:dyDescent="0.3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261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 x14ac:dyDescent="0.3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261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 x14ac:dyDescent="0.3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261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 x14ac:dyDescent="0.3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261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 x14ac:dyDescent="0.3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261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 x14ac:dyDescent="0.3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261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 x14ac:dyDescent="0.3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261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 x14ac:dyDescent="0.3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261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 x14ac:dyDescent="0.3">
      <c r="A378" s="167" t="s">
        <v>265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263</v>
      </c>
      <c r="O378" s="74">
        <v>2614830</v>
      </c>
    </row>
    <row r="379" spans="1:15" ht="18" customHeight="1" x14ac:dyDescent="0.3">
      <c r="A379" s="168" t="s">
        <v>251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266</v>
      </c>
      <c r="O379" s="82">
        <f>IFERROR(O365+O378,"")</f>
        <v>4930110</v>
      </c>
    </row>
    <row r="380" spans="1:15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261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 x14ac:dyDescent="0.3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261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 x14ac:dyDescent="0.3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261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 x14ac:dyDescent="0.3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261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 x14ac:dyDescent="0.3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261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 x14ac:dyDescent="0.3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261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 x14ac:dyDescent="0.3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261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 x14ac:dyDescent="0.3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261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 x14ac:dyDescent="0.3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261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 x14ac:dyDescent="0.3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261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 x14ac:dyDescent="0.3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261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 x14ac:dyDescent="0.3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261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 x14ac:dyDescent="0.3">
      <c r="A392" s="167" t="s">
        <v>262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263</v>
      </c>
      <c r="O392" s="74">
        <v>2491620</v>
      </c>
    </row>
    <row r="393" spans="1:15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261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286</v>
      </c>
    </row>
    <row r="394" spans="1:15" ht="15" customHeight="1" x14ac:dyDescent="0.3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261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 x14ac:dyDescent="0.3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261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 x14ac:dyDescent="0.3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261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 x14ac:dyDescent="0.3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261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 x14ac:dyDescent="0.3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261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 x14ac:dyDescent="0.3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261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 x14ac:dyDescent="0.3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261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 x14ac:dyDescent="0.3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261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 x14ac:dyDescent="0.3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261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 x14ac:dyDescent="0.3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261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 x14ac:dyDescent="0.3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261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 x14ac:dyDescent="0.3">
      <c r="A405" s="167" t="s">
        <v>265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263</v>
      </c>
      <c r="O405" s="74">
        <v>2612000</v>
      </c>
    </row>
    <row r="406" spans="1:15" ht="18" customHeight="1" x14ac:dyDescent="0.3">
      <c r="A406" s="168" t="s">
        <v>251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266</v>
      </c>
      <c r="O406" s="82">
        <f>IFERROR(O392+O405,"")</f>
        <v>5103620</v>
      </c>
    </row>
    <row r="407" spans="1:15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261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 x14ac:dyDescent="0.3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261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 x14ac:dyDescent="0.3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261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 x14ac:dyDescent="0.3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261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 x14ac:dyDescent="0.3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261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 x14ac:dyDescent="0.3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261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 x14ac:dyDescent="0.3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261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 x14ac:dyDescent="0.3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261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 x14ac:dyDescent="0.3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261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 x14ac:dyDescent="0.3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261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 x14ac:dyDescent="0.3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261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 x14ac:dyDescent="0.3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261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 x14ac:dyDescent="0.3">
      <c r="A419" s="167" t="s">
        <v>262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263</v>
      </c>
      <c r="O419" s="74">
        <v>1195500</v>
      </c>
    </row>
    <row r="420" spans="1:15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261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232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 x14ac:dyDescent="0.3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261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287</v>
      </c>
      <c r="O421" s="81"/>
    </row>
    <row r="422" spans="1:15" ht="15" customHeight="1" x14ac:dyDescent="0.3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261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287</v>
      </c>
      <c r="O422" s="81"/>
    </row>
    <row r="423" spans="1:15" ht="15" customHeight="1" x14ac:dyDescent="0.3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261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 x14ac:dyDescent="0.3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261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 x14ac:dyDescent="0.3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261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 x14ac:dyDescent="0.3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261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 x14ac:dyDescent="0.3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261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 x14ac:dyDescent="0.3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261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 x14ac:dyDescent="0.3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261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 x14ac:dyDescent="0.3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261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 x14ac:dyDescent="0.3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261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 x14ac:dyDescent="0.3">
      <c r="A432" s="167" t="s">
        <v>265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263</v>
      </c>
      <c r="O432" s="74">
        <v>2266710</v>
      </c>
    </row>
    <row r="433" spans="1:15" ht="18" customHeight="1" x14ac:dyDescent="0.3">
      <c r="A433" s="168" t="s">
        <v>251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266</v>
      </c>
      <c r="O433" s="82">
        <f>IFERROR(O419+O432,"")</f>
        <v>3462210</v>
      </c>
    </row>
    <row r="434" spans="1:15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261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 x14ac:dyDescent="0.3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261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 x14ac:dyDescent="0.3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261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 x14ac:dyDescent="0.3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261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 x14ac:dyDescent="0.3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261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 x14ac:dyDescent="0.3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261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 x14ac:dyDescent="0.3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261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 x14ac:dyDescent="0.3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261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 x14ac:dyDescent="0.3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261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 x14ac:dyDescent="0.3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261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 x14ac:dyDescent="0.3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261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 x14ac:dyDescent="0.3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261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 x14ac:dyDescent="0.3">
      <c r="A446" s="167" t="s">
        <v>262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263</v>
      </c>
      <c r="O446" s="74">
        <v>1619380</v>
      </c>
    </row>
    <row r="447" spans="1:15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261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288</v>
      </c>
      <c r="O447" s="81"/>
    </row>
    <row r="448" spans="1:15" ht="15" customHeight="1" x14ac:dyDescent="0.3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261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289</v>
      </c>
      <c r="O448" s="81"/>
    </row>
    <row r="449" spans="1:15" ht="15" customHeight="1" x14ac:dyDescent="0.3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261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 x14ac:dyDescent="0.3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261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 x14ac:dyDescent="0.3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261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 x14ac:dyDescent="0.3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261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290</v>
      </c>
      <c r="O452" s="81"/>
    </row>
    <row r="453" spans="1:15" ht="15" customHeight="1" x14ac:dyDescent="0.3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261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291</v>
      </c>
      <c r="O453" s="81"/>
    </row>
    <row r="454" spans="1:15" ht="15" customHeight="1" x14ac:dyDescent="0.3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261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292</v>
      </c>
      <c r="O454" s="81"/>
    </row>
    <row r="455" spans="1:15" ht="15" customHeight="1" x14ac:dyDescent="0.3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261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 x14ac:dyDescent="0.3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261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 x14ac:dyDescent="0.3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261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 x14ac:dyDescent="0.3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261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 x14ac:dyDescent="0.3">
      <c r="A459" s="167" t="s">
        <v>265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263</v>
      </c>
      <c r="O459" s="74">
        <v>2361680</v>
      </c>
    </row>
    <row r="460" spans="1:15" ht="18" customHeight="1" x14ac:dyDescent="0.3">
      <c r="A460" s="168" t="s">
        <v>251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266</v>
      </c>
      <c r="O460" s="82">
        <f>IFERROR(O446+O459,"")</f>
        <v>3981060</v>
      </c>
    </row>
    <row r="461" spans="1:15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261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293</v>
      </c>
      <c r="O461" s="81"/>
    </row>
    <row r="462" spans="1:15" ht="15" customHeight="1" x14ac:dyDescent="0.3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261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 x14ac:dyDescent="0.3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261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 x14ac:dyDescent="0.3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261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 x14ac:dyDescent="0.3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261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 x14ac:dyDescent="0.3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261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 x14ac:dyDescent="0.3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261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 x14ac:dyDescent="0.3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261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 x14ac:dyDescent="0.3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261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 x14ac:dyDescent="0.3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261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 x14ac:dyDescent="0.3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261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 x14ac:dyDescent="0.3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261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 x14ac:dyDescent="0.3">
      <c r="A473" s="167" t="s">
        <v>262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263</v>
      </c>
      <c r="O473" s="74">
        <v>2284390</v>
      </c>
    </row>
    <row r="474" spans="1:15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261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 x14ac:dyDescent="0.3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261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 x14ac:dyDescent="0.3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261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294</v>
      </c>
      <c r="O476" s="81"/>
    </row>
    <row r="477" spans="1:15" ht="15" customHeight="1" x14ac:dyDescent="0.3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261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 x14ac:dyDescent="0.3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261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 x14ac:dyDescent="0.3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261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 x14ac:dyDescent="0.3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261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 x14ac:dyDescent="0.3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261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 x14ac:dyDescent="0.3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261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 x14ac:dyDescent="0.3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261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 x14ac:dyDescent="0.3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261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 x14ac:dyDescent="0.3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261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 x14ac:dyDescent="0.3">
      <c r="A486" s="167" t="s">
        <v>265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263</v>
      </c>
      <c r="O486" s="74">
        <v>1798670</v>
      </c>
    </row>
    <row r="487" spans="1:15" ht="18" customHeight="1" x14ac:dyDescent="0.3">
      <c r="A487" s="168" t="s">
        <v>251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266</v>
      </c>
      <c r="O487" s="82">
        <f>IFERROR(O473+O486,"")</f>
        <v>4083060</v>
      </c>
    </row>
    <row r="488" spans="1:15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261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 x14ac:dyDescent="0.3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261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295</v>
      </c>
      <c r="O489" s="81"/>
    </row>
    <row r="490" spans="1:15" ht="15" customHeight="1" x14ac:dyDescent="0.3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261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 x14ac:dyDescent="0.3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261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 x14ac:dyDescent="0.3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261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 x14ac:dyDescent="0.3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261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 x14ac:dyDescent="0.3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261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 x14ac:dyDescent="0.3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261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 x14ac:dyDescent="0.3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261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 x14ac:dyDescent="0.3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261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 x14ac:dyDescent="0.3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261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 x14ac:dyDescent="0.3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261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 x14ac:dyDescent="0.3">
      <c r="A500" s="167" t="s">
        <v>262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263</v>
      </c>
      <c r="O500" s="74">
        <v>1474930</v>
      </c>
    </row>
    <row r="501" spans="1:15" ht="15" customHeight="1" x14ac:dyDescent="0.3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261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 x14ac:dyDescent="0.3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261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296</v>
      </c>
      <c r="O502" s="81"/>
    </row>
    <row r="503" spans="1:15" ht="15" customHeight="1" x14ac:dyDescent="0.3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261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 x14ac:dyDescent="0.3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261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 x14ac:dyDescent="0.3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261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 x14ac:dyDescent="0.3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261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 x14ac:dyDescent="0.3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261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 x14ac:dyDescent="0.3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261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 x14ac:dyDescent="0.3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261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 x14ac:dyDescent="0.3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261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 x14ac:dyDescent="0.3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261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 x14ac:dyDescent="0.3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276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 x14ac:dyDescent="0.3">
      <c r="A513" s="167" t="s">
        <v>265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263</v>
      </c>
      <c r="O513" s="74">
        <v>2435830</v>
      </c>
    </row>
    <row r="514" spans="1:15" ht="18" customHeight="1" x14ac:dyDescent="0.3">
      <c r="A514" s="168" t="s">
        <v>251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266</v>
      </c>
      <c r="O514" s="82">
        <f>IFERROR(O500+O513,"")</f>
        <v>3910760</v>
      </c>
    </row>
    <row r="515" spans="1:15" ht="15" customHeight="1" x14ac:dyDescent="0.3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261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 x14ac:dyDescent="0.3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261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 x14ac:dyDescent="0.3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261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 x14ac:dyDescent="0.3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261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 x14ac:dyDescent="0.3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261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 x14ac:dyDescent="0.3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276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 x14ac:dyDescent="0.3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276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 x14ac:dyDescent="0.3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276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 x14ac:dyDescent="0.3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276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 x14ac:dyDescent="0.3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276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 x14ac:dyDescent="0.3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276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 x14ac:dyDescent="0.3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276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 x14ac:dyDescent="0.3">
      <c r="A527" s="167" t="s">
        <v>262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263</v>
      </c>
      <c r="O527" s="74">
        <v>1573200</v>
      </c>
    </row>
    <row r="528" spans="1:15" ht="15" customHeight="1" x14ac:dyDescent="0.3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261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297</v>
      </c>
      <c r="O528" s="81"/>
    </row>
    <row r="529" spans="1:15" ht="15" customHeight="1" x14ac:dyDescent="0.3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261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 x14ac:dyDescent="0.3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261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 x14ac:dyDescent="0.3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261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 x14ac:dyDescent="0.3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261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 x14ac:dyDescent="0.3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261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 x14ac:dyDescent="0.3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261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 x14ac:dyDescent="0.3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261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 x14ac:dyDescent="0.3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261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 x14ac:dyDescent="0.3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261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 x14ac:dyDescent="0.3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261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 x14ac:dyDescent="0.3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261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 x14ac:dyDescent="0.3">
      <c r="A540" s="167" t="s">
        <v>265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263</v>
      </c>
      <c r="O540" s="74">
        <v>667100</v>
      </c>
    </row>
    <row r="541" spans="1:15" ht="18" customHeight="1" x14ac:dyDescent="0.3">
      <c r="A541" s="168" t="s">
        <v>251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266</v>
      </c>
      <c r="O541" s="82">
        <f>IFERROR(O527+O540,"")</f>
        <v>2240300</v>
      </c>
    </row>
    <row r="542" spans="1:15" ht="15" customHeight="1" x14ac:dyDescent="0.3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298</v>
      </c>
      <c r="O542" s="81"/>
    </row>
    <row r="543" spans="1:15" ht="15" customHeight="1" x14ac:dyDescent="0.3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 x14ac:dyDescent="0.3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 x14ac:dyDescent="0.3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 x14ac:dyDescent="0.3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 x14ac:dyDescent="0.3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 x14ac:dyDescent="0.3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 x14ac:dyDescent="0.3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 x14ac:dyDescent="0.3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 x14ac:dyDescent="0.3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 x14ac:dyDescent="0.3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 x14ac:dyDescent="0.3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 x14ac:dyDescent="0.3">
      <c r="A554" s="167" t="s">
        <v>262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263</v>
      </c>
      <c r="O554" s="74">
        <v>0</v>
      </c>
    </row>
    <row r="555" spans="1:15" ht="15" customHeight="1" x14ac:dyDescent="0.3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261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298</v>
      </c>
      <c r="O555" s="81"/>
    </row>
    <row r="556" spans="1:15" ht="15" customHeight="1" x14ac:dyDescent="0.3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261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264</v>
      </c>
      <c r="O556" s="81"/>
    </row>
    <row r="557" spans="1:15" ht="15" customHeight="1" x14ac:dyDescent="0.3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261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299</v>
      </c>
      <c r="O557" s="81"/>
    </row>
    <row r="558" spans="1:15" ht="15" customHeight="1" x14ac:dyDescent="0.3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261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 x14ac:dyDescent="0.3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261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300</v>
      </c>
      <c r="O559" s="81"/>
    </row>
    <row r="560" spans="1:15" ht="15" customHeight="1" x14ac:dyDescent="0.3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261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 x14ac:dyDescent="0.3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261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301</v>
      </c>
      <c r="O561" s="81"/>
    </row>
    <row r="562" spans="1:15" ht="15" customHeight="1" x14ac:dyDescent="0.3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261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 x14ac:dyDescent="0.3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261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 x14ac:dyDescent="0.3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261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 x14ac:dyDescent="0.3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261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 x14ac:dyDescent="0.3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261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 x14ac:dyDescent="0.3">
      <c r="A567" s="167" t="s">
        <v>265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263</v>
      </c>
      <c r="O567" s="74">
        <v>1031030</v>
      </c>
    </row>
    <row r="568" spans="1:15" ht="18" customHeight="1" x14ac:dyDescent="0.3">
      <c r="A568" s="168" t="s">
        <v>251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266</v>
      </c>
      <c r="O568" s="82">
        <f>IFERROR(O554+O567,"")</f>
        <v>1031030</v>
      </c>
    </row>
    <row r="569" spans="1:15" ht="15" customHeight="1" x14ac:dyDescent="0.3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261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 x14ac:dyDescent="0.3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261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 x14ac:dyDescent="0.3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261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216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302</v>
      </c>
      <c r="O571" s="81"/>
    </row>
    <row r="572" spans="1:15" ht="15" customHeight="1" x14ac:dyDescent="0.3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261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 x14ac:dyDescent="0.3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261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 x14ac:dyDescent="0.3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261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 x14ac:dyDescent="0.3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261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 x14ac:dyDescent="0.3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261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 x14ac:dyDescent="0.3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261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 x14ac:dyDescent="0.3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261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 x14ac:dyDescent="0.3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261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 x14ac:dyDescent="0.3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261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 x14ac:dyDescent="0.3">
      <c r="A581" s="167" t="s">
        <v>262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263</v>
      </c>
      <c r="O581" s="74">
        <v>2640170</v>
      </c>
    </row>
    <row r="582" spans="1:15" ht="15" customHeight="1" x14ac:dyDescent="0.3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261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303</v>
      </c>
      <c r="O582" s="81"/>
    </row>
    <row r="583" spans="1:15" ht="15" customHeight="1" x14ac:dyDescent="0.3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261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304</v>
      </c>
      <c r="O583" s="81"/>
    </row>
    <row r="584" spans="1:15" ht="15" customHeight="1" x14ac:dyDescent="0.3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261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 x14ac:dyDescent="0.3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261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 x14ac:dyDescent="0.3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261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 x14ac:dyDescent="0.3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261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 x14ac:dyDescent="0.3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261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 x14ac:dyDescent="0.3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261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 x14ac:dyDescent="0.3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261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 x14ac:dyDescent="0.3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261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 x14ac:dyDescent="0.3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261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 x14ac:dyDescent="0.3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261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 x14ac:dyDescent="0.3">
      <c r="A594" s="167" t="s">
        <v>265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263</v>
      </c>
      <c r="O594" s="74">
        <v>2100270</v>
      </c>
    </row>
    <row r="595" spans="1:15" ht="18" customHeight="1" x14ac:dyDescent="0.3">
      <c r="A595" s="168" t="s">
        <v>251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266</v>
      </c>
      <c r="O595" s="82">
        <f>IFERROR(O581+O594,"")</f>
        <v>4740440</v>
      </c>
    </row>
    <row r="596" spans="1:15" ht="15" customHeight="1" x14ac:dyDescent="0.3">
      <c r="A596" s="59">
        <v>46257</v>
      </c>
      <c r="B596" s="60">
        <v>0.33333333333333298</v>
      </c>
      <c r="C596" s="61" t="s">
        <v>30</v>
      </c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 x14ac:dyDescent="0.3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/>
      <c r="E597" s="62"/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/>
      <c r="M597" s="71">
        <f t="shared" ca="1" si="129"/>
        <v>0.3382042824086966</v>
      </c>
      <c r="N597" s="80"/>
      <c r="O597" s="81"/>
    </row>
    <row r="598" spans="1:15" ht="15" customHeight="1" x14ac:dyDescent="0.3">
      <c r="A598" s="59">
        <v>46257</v>
      </c>
      <c r="B598" s="60">
        <f t="shared" si="130"/>
        <v>0.41666666666666635</v>
      </c>
      <c r="C598" s="61" t="s">
        <v>30</v>
      </c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 x14ac:dyDescent="0.3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261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 x14ac:dyDescent="0.3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261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 x14ac:dyDescent="0.3">
      <c r="A601" s="18">
        <v>46257</v>
      </c>
      <c r="B601" s="68">
        <f t="shared" si="130"/>
        <v>0.54166666666666641</v>
      </c>
      <c r="C601" s="61" t="s">
        <v>30</v>
      </c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 x14ac:dyDescent="0.3">
      <c r="A602" s="59">
        <v>46257</v>
      </c>
      <c r="B602" s="60">
        <f t="shared" si="130"/>
        <v>0.58333333333333304</v>
      </c>
      <c r="C602" s="61" t="s">
        <v>30</v>
      </c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 x14ac:dyDescent="0.3">
      <c r="A603" s="18">
        <v>46257</v>
      </c>
      <c r="B603" s="68">
        <f t="shared" si="130"/>
        <v>0.62499999999999967</v>
      </c>
      <c r="C603" s="61" t="s">
        <v>30</v>
      </c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 x14ac:dyDescent="0.3">
      <c r="A604" s="59">
        <v>46257</v>
      </c>
      <c r="B604" s="60">
        <f t="shared" si="130"/>
        <v>0.6666666666666663</v>
      </c>
      <c r="C604" s="61" t="s">
        <v>30</v>
      </c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 x14ac:dyDescent="0.3">
      <c r="A605" s="18">
        <v>46257</v>
      </c>
      <c r="B605" s="68">
        <f t="shared" si="130"/>
        <v>0.70833333333333293</v>
      </c>
      <c r="C605" s="61" t="s">
        <v>30</v>
      </c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 x14ac:dyDescent="0.3">
      <c r="A606" s="59">
        <v>46257</v>
      </c>
      <c r="B606" s="60">
        <f t="shared" si="130"/>
        <v>0.74999999999999956</v>
      </c>
      <c r="C606" s="61" t="s">
        <v>30</v>
      </c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 x14ac:dyDescent="0.3">
      <c r="A607" s="18">
        <v>46257</v>
      </c>
      <c r="B607" s="68">
        <f t="shared" si="130"/>
        <v>0.79166666666666619</v>
      </c>
      <c r="C607" s="61" t="s">
        <v>30</v>
      </c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 x14ac:dyDescent="0.3">
      <c r="A608" s="167" t="s">
        <v>262</v>
      </c>
      <c r="B608" s="167"/>
      <c r="C608" s="167"/>
      <c r="D608" s="167"/>
      <c r="E608" s="167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0.49931539351980769</v>
      </c>
      <c r="N608" s="2" t="s">
        <v>263</v>
      </c>
      <c r="O608" s="74">
        <f>18310+1107750</f>
        <v>1126060</v>
      </c>
    </row>
    <row r="609" spans="1:15" ht="15" customHeight="1" x14ac:dyDescent="0.3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 x14ac:dyDescent="0.3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 x14ac:dyDescent="0.3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 x14ac:dyDescent="0.3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 x14ac:dyDescent="0.3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 x14ac:dyDescent="0.3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 x14ac:dyDescent="0.3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 x14ac:dyDescent="0.3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 x14ac:dyDescent="0.3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 x14ac:dyDescent="0.3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 x14ac:dyDescent="0.3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 x14ac:dyDescent="0.3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 x14ac:dyDescent="0.3">
      <c r="A621" s="167" t="s">
        <v>265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263</v>
      </c>
      <c r="O621" s="74"/>
    </row>
    <row r="622" spans="1:15" ht="18" customHeight="1" x14ac:dyDescent="0.3">
      <c r="A622" s="168" t="s">
        <v>251</v>
      </c>
      <c r="B622" s="168"/>
      <c r="C622" s="168"/>
      <c r="D622" s="168"/>
      <c r="E622" s="168"/>
      <c r="F622" s="1">
        <f>F608+F621</f>
        <v>43</v>
      </c>
      <c r="G622" s="1">
        <f>G608+G621</f>
        <v>215</v>
      </c>
      <c r="H622" s="76"/>
      <c r="I622" s="76"/>
      <c r="J622" s="76"/>
      <c r="K622" s="76"/>
      <c r="L622" s="76"/>
      <c r="M622" s="77">
        <f ca="1">IFERROR(M608+M621,"")</f>
        <v>0.49931539351980769</v>
      </c>
      <c r="N622" s="1" t="s">
        <v>266</v>
      </c>
      <c r="O622" s="82">
        <f>IFERROR(O608+O621,"")</f>
        <v>1126060</v>
      </c>
    </row>
    <row r="623" spans="1:15" ht="15" customHeight="1" x14ac:dyDescent="0.3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 x14ac:dyDescent="0.3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 x14ac:dyDescent="0.3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 x14ac:dyDescent="0.3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 x14ac:dyDescent="0.3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 x14ac:dyDescent="0.3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 x14ac:dyDescent="0.3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 x14ac:dyDescent="0.3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 x14ac:dyDescent="0.3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 x14ac:dyDescent="0.3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 x14ac:dyDescent="0.3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 x14ac:dyDescent="0.3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 x14ac:dyDescent="0.3">
      <c r="A635" s="167" t="s">
        <v>262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263</v>
      </c>
      <c r="O635" s="74"/>
    </row>
    <row r="636" spans="1:15" ht="15" customHeight="1" x14ac:dyDescent="0.3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 x14ac:dyDescent="0.3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 x14ac:dyDescent="0.3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 x14ac:dyDescent="0.3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 x14ac:dyDescent="0.3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 x14ac:dyDescent="0.3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 x14ac:dyDescent="0.3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 x14ac:dyDescent="0.3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 x14ac:dyDescent="0.3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 x14ac:dyDescent="0.3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 x14ac:dyDescent="0.3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 x14ac:dyDescent="0.3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 x14ac:dyDescent="0.3">
      <c r="A648" s="167" t="s">
        <v>265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263</v>
      </c>
      <c r="O648" s="74"/>
    </row>
    <row r="649" spans="1:15" ht="18" customHeight="1" x14ac:dyDescent="0.3">
      <c r="A649" s="168" t="s">
        <v>251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266</v>
      </c>
      <c r="O649" s="82">
        <f>IFERROR(O635+O648,"")</f>
        <v>0</v>
      </c>
    </row>
    <row r="650" spans="1:15" ht="15" customHeight="1" x14ac:dyDescent="0.3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 x14ac:dyDescent="0.3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 x14ac:dyDescent="0.3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 x14ac:dyDescent="0.3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 x14ac:dyDescent="0.3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 x14ac:dyDescent="0.3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 x14ac:dyDescent="0.3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 x14ac:dyDescent="0.3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 x14ac:dyDescent="0.3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 x14ac:dyDescent="0.3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 x14ac:dyDescent="0.3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 x14ac:dyDescent="0.3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 x14ac:dyDescent="0.3">
      <c r="A662" s="167" t="s">
        <v>262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263</v>
      </c>
      <c r="O662" s="74"/>
    </row>
    <row r="663" spans="1:15" ht="15" customHeight="1" x14ac:dyDescent="0.3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 x14ac:dyDescent="0.3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 x14ac:dyDescent="0.3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 x14ac:dyDescent="0.3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 x14ac:dyDescent="0.3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 x14ac:dyDescent="0.3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 x14ac:dyDescent="0.3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 x14ac:dyDescent="0.3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 x14ac:dyDescent="0.3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 x14ac:dyDescent="0.3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 x14ac:dyDescent="0.3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 x14ac:dyDescent="0.3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 x14ac:dyDescent="0.3">
      <c r="A675" s="167" t="s">
        <v>265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263</v>
      </c>
      <c r="O675" s="74"/>
    </row>
    <row r="676" spans="1:15" ht="18" customHeight="1" x14ac:dyDescent="0.3">
      <c r="A676" s="168" t="s">
        <v>251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266</v>
      </c>
      <c r="O676" s="82">
        <f>IFERROR(O662+O675,"")</f>
        <v>0</v>
      </c>
    </row>
    <row r="677" spans="1:15" ht="15" customHeight="1" x14ac:dyDescent="0.3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 x14ac:dyDescent="0.3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 x14ac:dyDescent="0.3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 x14ac:dyDescent="0.3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 x14ac:dyDescent="0.3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 x14ac:dyDescent="0.3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 x14ac:dyDescent="0.3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 x14ac:dyDescent="0.3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 x14ac:dyDescent="0.3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 x14ac:dyDescent="0.3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 x14ac:dyDescent="0.3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 x14ac:dyDescent="0.3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 x14ac:dyDescent="0.3">
      <c r="A689" s="167" t="s">
        <v>262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263</v>
      </c>
      <c r="O689" s="74"/>
    </row>
    <row r="690" spans="1:15" ht="15" customHeight="1" x14ac:dyDescent="0.3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 x14ac:dyDescent="0.3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 x14ac:dyDescent="0.3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 x14ac:dyDescent="0.3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 x14ac:dyDescent="0.3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 x14ac:dyDescent="0.3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 x14ac:dyDescent="0.3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 x14ac:dyDescent="0.3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 x14ac:dyDescent="0.3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 x14ac:dyDescent="0.3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 x14ac:dyDescent="0.3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 x14ac:dyDescent="0.3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 x14ac:dyDescent="0.3">
      <c r="A702" s="167" t="s">
        <v>265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263</v>
      </c>
      <c r="O702" s="74"/>
    </row>
    <row r="703" spans="1:15" ht="18" customHeight="1" x14ac:dyDescent="0.3">
      <c r="A703" s="168" t="s">
        <v>251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266</v>
      </c>
      <c r="O703" s="82">
        <f>IFERROR(O689+O702,"")</f>
        <v>0</v>
      </c>
    </row>
    <row r="704" spans="1:15" ht="15" customHeight="1" x14ac:dyDescent="0.3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 x14ac:dyDescent="0.3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 x14ac:dyDescent="0.3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 x14ac:dyDescent="0.3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 x14ac:dyDescent="0.3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 x14ac:dyDescent="0.3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 x14ac:dyDescent="0.3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 x14ac:dyDescent="0.3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 x14ac:dyDescent="0.3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 x14ac:dyDescent="0.3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 x14ac:dyDescent="0.3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 x14ac:dyDescent="0.3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 x14ac:dyDescent="0.3">
      <c r="A716" s="167" t="s">
        <v>262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263</v>
      </c>
      <c r="O716" s="74"/>
    </row>
    <row r="717" spans="1:15" ht="15" customHeight="1" x14ac:dyDescent="0.3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 x14ac:dyDescent="0.3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 x14ac:dyDescent="0.3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 x14ac:dyDescent="0.3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 x14ac:dyDescent="0.3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 x14ac:dyDescent="0.3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 x14ac:dyDescent="0.3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 x14ac:dyDescent="0.3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 x14ac:dyDescent="0.3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 x14ac:dyDescent="0.3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 x14ac:dyDescent="0.3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 x14ac:dyDescent="0.3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 x14ac:dyDescent="0.3">
      <c r="A729" s="167" t="s">
        <v>265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263</v>
      </c>
      <c r="O729" s="74"/>
    </row>
    <row r="730" spans="1:15" ht="18" customHeight="1" x14ac:dyDescent="0.3">
      <c r="A730" s="168" t="s">
        <v>251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266</v>
      </c>
      <c r="O730" s="82">
        <f>IFERROR(O716+O729,"")</f>
        <v>0</v>
      </c>
    </row>
    <row r="731" spans="1:15" ht="15" customHeight="1" x14ac:dyDescent="0.3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 x14ac:dyDescent="0.3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 x14ac:dyDescent="0.3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 x14ac:dyDescent="0.3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 x14ac:dyDescent="0.3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 x14ac:dyDescent="0.3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 x14ac:dyDescent="0.3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 x14ac:dyDescent="0.3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 x14ac:dyDescent="0.3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 x14ac:dyDescent="0.3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 x14ac:dyDescent="0.3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 x14ac:dyDescent="0.3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 x14ac:dyDescent="0.3">
      <c r="A743" s="167" t="s">
        <v>262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263</v>
      </c>
      <c r="O743" s="74"/>
    </row>
    <row r="744" spans="1:15" ht="15" customHeight="1" x14ac:dyDescent="0.3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 x14ac:dyDescent="0.3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 x14ac:dyDescent="0.3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 x14ac:dyDescent="0.3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 x14ac:dyDescent="0.3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 x14ac:dyDescent="0.3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 x14ac:dyDescent="0.3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 x14ac:dyDescent="0.3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 x14ac:dyDescent="0.3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 x14ac:dyDescent="0.3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 x14ac:dyDescent="0.3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 x14ac:dyDescent="0.3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 x14ac:dyDescent="0.3">
      <c r="A756" s="167" t="s">
        <v>265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263</v>
      </c>
      <c r="O756" s="74"/>
    </row>
    <row r="757" spans="1:15" ht="18" customHeight="1" x14ac:dyDescent="0.3">
      <c r="A757" s="168" t="s">
        <v>251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266</v>
      </c>
      <c r="O757" s="82">
        <f>IFERROR(O743+O756,"")</f>
        <v>0</v>
      </c>
    </row>
    <row r="758" spans="1:15" ht="15" customHeight="1" x14ac:dyDescent="0.3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 x14ac:dyDescent="0.3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 x14ac:dyDescent="0.3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 x14ac:dyDescent="0.3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 x14ac:dyDescent="0.3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 x14ac:dyDescent="0.3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 x14ac:dyDescent="0.3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 x14ac:dyDescent="0.3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 x14ac:dyDescent="0.3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 x14ac:dyDescent="0.3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 x14ac:dyDescent="0.3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 x14ac:dyDescent="0.3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 x14ac:dyDescent="0.3">
      <c r="A770" s="167" t="s">
        <v>262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263</v>
      </c>
      <c r="O770" s="74"/>
    </row>
    <row r="771" spans="1:15" ht="15" customHeight="1" x14ac:dyDescent="0.3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 x14ac:dyDescent="0.3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 x14ac:dyDescent="0.3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 x14ac:dyDescent="0.3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 x14ac:dyDescent="0.3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 x14ac:dyDescent="0.3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 x14ac:dyDescent="0.3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 x14ac:dyDescent="0.3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 x14ac:dyDescent="0.3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 x14ac:dyDescent="0.3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 x14ac:dyDescent="0.3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 x14ac:dyDescent="0.3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 x14ac:dyDescent="0.3">
      <c r="A783" s="167" t="s">
        <v>265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263</v>
      </c>
      <c r="O783" s="74"/>
    </row>
    <row r="784" spans="1:15" ht="18" customHeight="1" x14ac:dyDescent="0.3">
      <c r="A784" s="168" t="s">
        <v>251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266</v>
      </c>
      <c r="O784" s="82">
        <f>IFERROR(O770+O783,"")</f>
        <v>0</v>
      </c>
    </row>
    <row r="785" spans="1:15" ht="15" customHeight="1" x14ac:dyDescent="0.3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 x14ac:dyDescent="0.3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 x14ac:dyDescent="0.3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 x14ac:dyDescent="0.3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 x14ac:dyDescent="0.3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 x14ac:dyDescent="0.3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 x14ac:dyDescent="0.3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 x14ac:dyDescent="0.3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 x14ac:dyDescent="0.3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 x14ac:dyDescent="0.3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 x14ac:dyDescent="0.3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 x14ac:dyDescent="0.3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 x14ac:dyDescent="0.3">
      <c r="A797" s="167" t="s">
        <v>262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263</v>
      </c>
      <c r="O797" s="74"/>
    </row>
    <row r="798" spans="1:15" ht="15" customHeight="1" x14ac:dyDescent="0.3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 x14ac:dyDescent="0.3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 x14ac:dyDescent="0.3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 x14ac:dyDescent="0.3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 x14ac:dyDescent="0.3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 x14ac:dyDescent="0.3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 x14ac:dyDescent="0.3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 x14ac:dyDescent="0.3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 x14ac:dyDescent="0.3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 x14ac:dyDescent="0.3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 x14ac:dyDescent="0.3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 x14ac:dyDescent="0.3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 x14ac:dyDescent="0.3">
      <c r="A810" s="167" t="s">
        <v>265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263</v>
      </c>
      <c r="O810" s="74"/>
    </row>
    <row r="811" spans="1:15" ht="18" customHeight="1" x14ac:dyDescent="0.3">
      <c r="A811" s="168" t="s">
        <v>251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266</v>
      </c>
      <c r="O811" s="30">
        <f>IFERROR(O797+O810,"")</f>
        <v>0</v>
      </c>
    </row>
    <row r="812" spans="1:15" ht="15" customHeight="1" x14ac:dyDescent="0.3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 x14ac:dyDescent="0.3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 x14ac:dyDescent="0.3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 x14ac:dyDescent="0.3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 x14ac:dyDescent="0.3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 x14ac:dyDescent="0.3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 x14ac:dyDescent="0.3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 x14ac:dyDescent="0.3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 x14ac:dyDescent="0.3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 x14ac:dyDescent="0.3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 x14ac:dyDescent="0.3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 x14ac:dyDescent="0.3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 x14ac:dyDescent="0.3">
      <c r="A824" s="167" t="s">
        <v>262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263</v>
      </c>
      <c r="O824" s="74"/>
    </row>
    <row r="825" spans="1:15" ht="15" customHeight="1" x14ac:dyDescent="0.3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 x14ac:dyDescent="0.3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 x14ac:dyDescent="0.3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 x14ac:dyDescent="0.3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 x14ac:dyDescent="0.3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 x14ac:dyDescent="0.3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 x14ac:dyDescent="0.3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 x14ac:dyDescent="0.3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 x14ac:dyDescent="0.3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 x14ac:dyDescent="0.3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 x14ac:dyDescent="0.3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 x14ac:dyDescent="0.3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 x14ac:dyDescent="0.3">
      <c r="A837" s="167" t="s">
        <v>265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263</v>
      </c>
      <c r="O837" s="74"/>
    </row>
    <row r="838" spans="1:15" ht="18" customHeight="1" x14ac:dyDescent="0.3">
      <c r="A838" s="168" t="s">
        <v>251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266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opLeftCell="G1" zoomScale="80" zoomScaleNormal="80" workbookViewId="0">
      <pane ySplit="1" topLeftCell="A585" activePane="bottomLeft" state="frozen"/>
      <selection pane="bottomLeft" activeCell="S609" sqref="S609"/>
    </sheetView>
  </sheetViews>
  <sheetFormatPr defaultColWidth="8.5546875" defaultRowHeight="14.4" x14ac:dyDescent="0.3"/>
  <cols>
    <col min="1" max="1" width="15.5546875" style="85" customWidth="1"/>
    <col min="2" max="2" width="9" style="54" customWidth="1"/>
    <col min="3" max="3" width="14" style="54" customWidth="1"/>
    <col min="4" max="5" width="16.109375" style="54" customWidth="1"/>
    <col min="6" max="6" width="13.88671875" style="54" hidden="1" customWidth="1"/>
    <col min="7" max="7" width="13" style="54" customWidth="1"/>
    <col min="8" max="8" width="15.88671875" style="54" hidden="1" customWidth="1"/>
    <col min="9" max="9" width="16.109375" style="54" hidden="1" customWidth="1"/>
    <col min="10" max="10" width="13.88671875" style="54" hidden="1" customWidth="1"/>
    <col min="11" max="11" width="14" style="54" customWidth="1"/>
    <col min="12" max="12" width="31.109375" style="54" customWidth="1"/>
    <col min="13" max="13" width="29.109375" style="54" customWidth="1"/>
    <col min="14" max="14" width="48.5546875" style="54" customWidth="1"/>
    <col min="15" max="15" width="15.44140625" style="54" customWidth="1"/>
    <col min="16" max="16" width="12" style="55" customWidth="1"/>
    <col min="17" max="17" width="15.5546875" style="54" customWidth="1"/>
    <col min="18" max="18" width="48.5546875" style="54" customWidth="1"/>
    <col min="19" max="19" width="29.88671875" customWidth="1"/>
    <col min="20" max="20" width="14.88671875" hidden="1" customWidth="1"/>
  </cols>
  <sheetData>
    <row r="1" spans="1:20" ht="37.5" customHeight="1" x14ac:dyDescent="0.3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 x14ac:dyDescent="0.3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307</v>
      </c>
      <c r="S2" s="67"/>
    </row>
    <row r="3" spans="1:20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308</v>
      </c>
      <c r="S5" s="67"/>
    </row>
    <row r="6" spans="1:20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309</v>
      </c>
      <c r="S6" s="67"/>
    </row>
    <row r="7" spans="1:20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 x14ac:dyDescent="0.3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 x14ac:dyDescent="0.3">
      <c r="A14" s="158" t="s">
        <v>262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263</v>
      </c>
      <c r="S14" s="74">
        <v>481280</v>
      </c>
      <c r="T14" s="99"/>
    </row>
    <row r="15" spans="1:20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276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276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276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276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310</v>
      </c>
      <c r="S19" s="67"/>
    </row>
    <row r="20" spans="1:20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276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311</v>
      </c>
      <c r="S20" s="67"/>
    </row>
    <row r="21" spans="1:20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276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276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276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276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276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276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 x14ac:dyDescent="0.3">
      <c r="A27" s="158" t="s">
        <v>265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263</v>
      </c>
      <c r="S27" s="74">
        <v>549860</v>
      </c>
      <c r="T27" s="99"/>
    </row>
    <row r="28" spans="1:20" ht="18" customHeight="1" x14ac:dyDescent="0.3">
      <c r="A28" s="159" t="s">
        <v>251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266</v>
      </c>
      <c r="S28" s="30">
        <f>S14+S27</f>
        <v>1031140</v>
      </c>
      <c r="T28" s="31">
        <f>IFERROR(J28,"")</f>
        <v>0</v>
      </c>
    </row>
    <row r="29" spans="1:20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 x14ac:dyDescent="0.3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 x14ac:dyDescent="0.3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 x14ac:dyDescent="0.3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 x14ac:dyDescent="0.3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 x14ac:dyDescent="0.3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 x14ac:dyDescent="0.3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 x14ac:dyDescent="0.3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 x14ac:dyDescent="0.3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 x14ac:dyDescent="0.3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 x14ac:dyDescent="0.3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 x14ac:dyDescent="0.3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 x14ac:dyDescent="0.3">
      <c r="A41" s="158" t="s">
        <v>262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263</v>
      </c>
      <c r="S41" s="113">
        <v>311070</v>
      </c>
      <c r="T41" s="114"/>
    </row>
    <row r="42" spans="1:20" ht="15" customHeight="1" x14ac:dyDescent="0.3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312</v>
      </c>
      <c r="S48" s="67"/>
    </row>
    <row r="49" spans="1:20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313</v>
      </c>
      <c r="S49" s="67"/>
    </row>
    <row r="50" spans="1:20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314</v>
      </c>
      <c r="S52" s="67"/>
    </row>
    <row r="53" spans="1:20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0.72014872684667353</v>
      </c>
      <c r="R53" s="80" t="s">
        <v>315</v>
      </c>
      <c r="S53" s="67"/>
    </row>
    <row r="54" spans="1:20" ht="15.75" customHeight="1" x14ac:dyDescent="0.3">
      <c r="A54" s="158" t="s">
        <v>265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0.85903761573556126</v>
      </c>
      <c r="R54" s="2" t="s">
        <v>263</v>
      </c>
      <c r="S54" s="113">
        <v>352430</v>
      </c>
      <c r="T54" s="114"/>
    </row>
    <row r="55" spans="1:20" ht="18" customHeight="1" x14ac:dyDescent="0.3">
      <c r="A55" s="159" t="s">
        <v>251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0.94375983795778406</v>
      </c>
      <c r="R55" s="1" t="s">
        <v>266</v>
      </c>
      <c r="S55" s="30">
        <f>IFERROR(S41+S54,"")</f>
        <v>663500</v>
      </c>
      <c r="T55" s="31">
        <f>IFERROR(J55,"")</f>
        <v>0</v>
      </c>
    </row>
    <row r="56" spans="1:20" ht="15" customHeight="1" x14ac:dyDescent="0.3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 x14ac:dyDescent="0.3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 x14ac:dyDescent="0.3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 x14ac:dyDescent="0.3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 x14ac:dyDescent="0.3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 x14ac:dyDescent="0.3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 x14ac:dyDescent="0.3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 x14ac:dyDescent="0.3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307</v>
      </c>
      <c r="S63" s="67"/>
    </row>
    <row r="64" spans="1:20" ht="15" customHeight="1" x14ac:dyDescent="0.3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 x14ac:dyDescent="0.3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 x14ac:dyDescent="0.3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 x14ac:dyDescent="0.3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 x14ac:dyDescent="0.4">
      <c r="A68" s="158" t="s">
        <v>262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263</v>
      </c>
      <c r="S68" s="115">
        <v>565230</v>
      </c>
      <c r="T68" s="116"/>
    </row>
    <row r="69" spans="1:20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198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 x14ac:dyDescent="0.3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 x14ac:dyDescent="0.3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 x14ac:dyDescent="0.3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 x14ac:dyDescent="0.3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 x14ac:dyDescent="0.3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 x14ac:dyDescent="0.3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 x14ac:dyDescent="0.3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213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316</v>
      </c>
      <c r="S76" s="67"/>
    </row>
    <row r="77" spans="1:20" ht="15" customHeight="1" x14ac:dyDescent="0.3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 x14ac:dyDescent="0.3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 x14ac:dyDescent="0.3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 x14ac:dyDescent="0.3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276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 x14ac:dyDescent="0.4">
      <c r="A81" s="158" t="s">
        <v>265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263</v>
      </c>
      <c r="S81" s="115">
        <v>634210</v>
      </c>
      <c r="T81" s="116"/>
    </row>
    <row r="82" spans="1:20" ht="18" customHeight="1" x14ac:dyDescent="0.3">
      <c r="A82" s="159" t="s">
        <v>251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266</v>
      </c>
      <c r="S82" s="30">
        <f>IFERROR(S68+S81,"")</f>
        <v>1199440</v>
      </c>
      <c r="T82" s="31">
        <f>IFERROR(J82,"")</f>
        <v>0</v>
      </c>
    </row>
    <row r="83" spans="1:20" ht="15" customHeight="1" x14ac:dyDescent="0.3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276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225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 x14ac:dyDescent="0.4">
      <c r="A95" s="158" t="s">
        <v>262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263</v>
      </c>
      <c r="S95" s="115">
        <v>449600</v>
      </c>
      <c r="T95" s="116"/>
    </row>
    <row r="96" spans="1:20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317</v>
      </c>
      <c r="Q96" s="66" t="str">
        <f t="shared" ref="Q96:Q107" ca="1" si="22">IFERROR(IF(O96="","",IF(P96="",MOD(NOW()-O96,1),IF(P96&gt;=O96,P96-O96,P96+1-O96))),"")</f>
        <v/>
      </c>
      <c r="R96" s="80" t="s">
        <v>318</v>
      </c>
      <c r="S96" s="67"/>
    </row>
    <row r="97" spans="1:20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264</v>
      </c>
      <c r="S97" s="67"/>
    </row>
    <row r="98" spans="1:20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319</v>
      </c>
      <c r="S98" s="67"/>
    </row>
    <row r="99" spans="1:20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196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320</v>
      </c>
      <c r="S99" s="67"/>
    </row>
    <row r="100" spans="1:20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264</v>
      </c>
      <c r="S100" s="67"/>
    </row>
    <row r="101" spans="1:20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 x14ac:dyDescent="0.4">
      <c r="A108" s="158" t="s">
        <v>265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263</v>
      </c>
      <c r="S108" s="115">
        <v>456830</v>
      </c>
      <c r="T108" s="116"/>
    </row>
    <row r="109" spans="1:20" ht="18" customHeight="1" x14ac:dyDescent="0.3">
      <c r="A109" s="159" t="s">
        <v>251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266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321</v>
      </c>
      <c r="S111" s="67"/>
    </row>
    <row r="112" spans="1:20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 x14ac:dyDescent="0.4">
      <c r="A122" s="158" t="s">
        <v>262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263</v>
      </c>
      <c r="S122" s="115">
        <v>791070</v>
      </c>
      <c r="T122" s="116"/>
    </row>
    <row r="123" spans="1:20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 x14ac:dyDescent="0.3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 x14ac:dyDescent="0.3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 x14ac:dyDescent="0.3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 x14ac:dyDescent="0.3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 x14ac:dyDescent="0.3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 x14ac:dyDescent="0.3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 x14ac:dyDescent="0.3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 x14ac:dyDescent="0.3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 x14ac:dyDescent="0.3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 x14ac:dyDescent="0.3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 x14ac:dyDescent="0.3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 x14ac:dyDescent="0.4">
      <c r="A135" s="158" t="s">
        <v>265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263</v>
      </c>
      <c r="S135" s="115">
        <v>756720</v>
      </c>
      <c r="T135" s="116"/>
    </row>
    <row r="136" spans="1:20" ht="18" customHeight="1" x14ac:dyDescent="0.3">
      <c r="A136" s="159" t="s">
        <v>251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266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322</v>
      </c>
      <c r="S139" s="67"/>
    </row>
    <row r="140" spans="1:20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323</v>
      </c>
      <c r="S141" s="67"/>
    </row>
    <row r="142" spans="1:20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324</v>
      </c>
      <c r="S145" s="67"/>
    </row>
    <row r="146" spans="1:20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 x14ac:dyDescent="0.4">
      <c r="A149" s="158" t="s">
        <v>262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263</v>
      </c>
      <c r="S149" s="115">
        <v>533860</v>
      </c>
      <c r="T149" s="116"/>
    </row>
    <row r="150" spans="1:20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325</v>
      </c>
      <c r="S151" s="67"/>
    </row>
    <row r="152" spans="1:20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 x14ac:dyDescent="0.4">
      <c r="A162" s="158" t="s">
        <v>265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263</v>
      </c>
      <c r="S162" s="115">
        <v>501750</v>
      </c>
      <c r="T162" s="116"/>
    </row>
    <row r="163" spans="1:20" ht="18" customHeight="1" x14ac:dyDescent="0.3">
      <c r="A163" s="159" t="s">
        <v>251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266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276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276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276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276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276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276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276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276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276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276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 x14ac:dyDescent="0.3">
      <c r="A176" s="158" t="s">
        <v>262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263</v>
      </c>
      <c r="S176" s="74">
        <v>366290</v>
      </c>
      <c r="T176" s="99"/>
    </row>
    <row r="177" spans="1:20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276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276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326</v>
      </c>
      <c r="S181" s="67"/>
    </row>
    <row r="182" spans="1:20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276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323</v>
      </c>
      <c r="S182" s="67"/>
    </row>
    <row r="183" spans="1:20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327</v>
      </c>
      <c r="S183" s="67"/>
    </row>
    <row r="184" spans="1:20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276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 x14ac:dyDescent="0.3">
      <c r="A189" s="158" t="s">
        <v>265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263</v>
      </c>
      <c r="S189" s="74">
        <v>362530</v>
      </c>
      <c r="T189" s="99"/>
    </row>
    <row r="190" spans="1:20" ht="18" customHeight="1" x14ac:dyDescent="0.3">
      <c r="A190" s="159" t="s">
        <v>251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266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328</v>
      </c>
      <c r="S191" s="67"/>
    </row>
    <row r="192" spans="1:20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194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194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321</v>
      </c>
      <c r="S195" s="67"/>
    </row>
    <row r="196" spans="1:20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 x14ac:dyDescent="0.3">
      <c r="A203" s="158" t="s">
        <v>262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263</v>
      </c>
      <c r="S203" s="74">
        <v>601390</v>
      </c>
      <c r="T203" s="99"/>
    </row>
    <row r="204" spans="1:20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 x14ac:dyDescent="0.3">
      <c r="A216" s="158" t="s">
        <v>265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263</v>
      </c>
      <c r="S216" s="74">
        <v>609740</v>
      </c>
      <c r="T216" s="99"/>
    </row>
    <row r="217" spans="1:20" ht="18" customHeight="1" x14ac:dyDescent="0.3">
      <c r="A217" s="159" t="s">
        <v>251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266</v>
      </c>
      <c r="S217" s="82">
        <f>IFERROR(S203+S216,"")</f>
        <v>1211130</v>
      </c>
      <c r="T217" s="118">
        <f>IFERROR(J217,"")</f>
        <v>0</v>
      </c>
    </row>
    <row r="218" spans="1:20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183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316</v>
      </c>
      <c r="S218" s="81"/>
    </row>
    <row r="219" spans="1:20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264</v>
      </c>
      <c r="S220" s="81"/>
    </row>
    <row r="221" spans="1:20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329</v>
      </c>
      <c r="S221" s="81"/>
    </row>
    <row r="222" spans="1:20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330</v>
      </c>
      <c r="S223" s="81"/>
    </row>
    <row r="224" spans="1:20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331</v>
      </c>
      <c r="S224" s="81"/>
    </row>
    <row r="225" spans="1:20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 x14ac:dyDescent="0.3">
      <c r="A230" s="158" t="s">
        <v>262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263</v>
      </c>
      <c r="S230" s="74">
        <v>503310</v>
      </c>
      <c r="T230" s="99"/>
    </row>
    <row r="231" spans="1:20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264</v>
      </c>
      <c r="S231" s="81"/>
    </row>
    <row r="232" spans="1:20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 x14ac:dyDescent="0.3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263</v>
      </c>
      <c r="S243" s="74">
        <v>825930</v>
      </c>
      <c r="T243" s="99"/>
    </row>
    <row r="244" spans="1:20" ht="18" customHeight="1" x14ac:dyDescent="0.3">
      <c r="A244" s="159" t="s">
        <v>251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266</v>
      </c>
      <c r="S244" s="82">
        <f>IFERROR(S230+S243,"")</f>
        <v>1329240</v>
      </c>
      <c r="T244" s="118">
        <f>IFERROR(J244,"")</f>
        <v>0</v>
      </c>
    </row>
    <row r="245" spans="1:20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 x14ac:dyDescent="0.3">
      <c r="A257" s="158" t="s">
        <v>262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263</v>
      </c>
      <c r="S257" s="74">
        <v>898190</v>
      </c>
      <c r="T257" s="99"/>
    </row>
    <row r="258" spans="1:20" ht="15" customHeight="1" x14ac:dyDescent="0.3">
      <c r="A258" s="18">
        <v>46244</v>
      </c>
      <c r="B258" s="68">
        <v>0.83333333333333304</v>
      </c>
      <c r="C258" s="70"/>
      <c r="D258" s="75" t="s">
        <v>39</v>
      </c>
      <c r="E258" s="75" t="s">
        <v>276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 x14ac:dyDescent="0.3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276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 x14ac:dyDescent="0.3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276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 x14ac:dyDescent="0.3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276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 x14ac:dyDescent="0.3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276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 x14ac:dyDescent="0.3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276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 x14ac:dyDescent="0.3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276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 x14ac:dyDescent="0.3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276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 x14ac:dyDescent="0.3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276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 x14ac:dyDescent="0.3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276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 x14ac:dyDescent="0.3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276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 x14ac:dyDescent="0.3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276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 x14ac:dyDescent="0.3">
      <c r="A270" s="158" t="s">
        <v>265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732130</v>
      </c>
      <c r="T270" s="99"/>
    </row>
    <row r="271" spans="1:20" ht="18" customHeight="1" x14ac:dyDescent="0.3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266</v>
      </c>
      <c r="S271" s="82">
        <f>IFERROR(S257+S270,"")</f>
        <v>1630320</v>
      </c>
      <c r="T271" s="118">
        <f>IFERROR(J271,"")</f>
        <v>0</v>
      </c>
    </row>
    <row r="272" spans="1:20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 x14ac:dyDescent="0.3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 x14ac:dyDescent="0.3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 x14ac:dyDescent="0.3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 x14ac:dyDescent="0.3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 x14ac:dyDescent="0.3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 x14ac:dyDescent="0.3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276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 x14ac:dyDescent="0.3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276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 x14ac:dyDescent="0.3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276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 x14ac:dyDescent="0.3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276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 x14ac:dyDescent="0.3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261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 x14ac:dyDescent="0.3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276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 x14ac:dyDescent="0.3">
      <c r="A284" s="158" t="s">
        <v>262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571950</v>
      </c>
      <c r="T284" s="99"/>
    </row>
    <row r="285" spans="1:20" ht="15" customHeight="1" x14ac:dyDescent="0.3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261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 x14ac:dyDescent="0.3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261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 x14ac:dyDescent="0.3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276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 x14ac:dyDescent="0.3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276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 x14ac:dyDescent="0.3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261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 x14ac:dyDescent="0.3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261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 x14ac:dyDescent="0.3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261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 x14ac:dyDescent="0.3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261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 x14ac:dyDescent="0.3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 x14ac:dyDescent="0.3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 x14ac:dyDescent="0.3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261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 x14ac:dyDescent="0.3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 x14ac:dyDescent="0.3">
      <c r="A297" s="158" t="s">
        <v>265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990260</v>
      </c>
      <c r="T297" s="99"/>
    </row>
    <row r="298" spans="1:20" ht="18" customHeight="1" x14ac:dyDescent="0.3">
      <c r="A298" s="159" t="s">
        <v>251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1562210</v>
      </c>
      <c r="T298" s="118">
        <f>IFERROR(J298,"")</f>
        <v>0</v>
      </c>
    </row>
    <row r="299" spans="1:20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276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 x14ac:dyDescent="0.3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276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 x14ac:dyDescent="0.3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276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 x14ac:dyDescent="0.3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276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 x14ac:dyDescent="0.3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276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 x14ac:dyDescent="0.3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276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 x14ac:dyDescent="0.3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276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 x14ac:dyDescent="0.3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276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 x14ac:dyDescent="0.3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276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 x14ac:dyDescent="0.3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276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 x14ac:dyDescent="0.3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276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 x14ac:dyDescent="0.3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276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 x14ac:dyDescent="0.3">
      <c r="A311" s="158" t="s">
        <v>262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263</v>
      </c>
      <c r="S311" s="74">
        <v>754870</v>
      </c>
      <c r="T311" s="99">
        <f>IFERROR(J311,"")</f>
        <v>129.92697372781066</v>
      </c>
    </row>
    <row r="312" spans="1:20" ht="15" customHeight="1" x14ac:dyDescent="0.3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276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 x14ac:dyDescent="0.3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276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 x14ac:dyDescent="0.3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276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 x14ac:dyDescent="0.3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 x14ac:dyDescent="0.3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 x14ac:dyDescent="0.3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276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 x14ac:dyDescent="0.3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276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 x14ac:dyDescent="0.3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276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 x14ac:dyDescent="0.3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276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 x14ac:dyDescent="0.3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276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 x14ac:dyDescent="0.3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276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 x14ac:dyDescent="0.3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276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 x14ac:dyDescent="0.3">
      <c r="A324" s="158" t="s">
        <v>265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263</v>
      </c>
      <c r="S324" s="74">
        <v>725030</v>
      </c>
      <c r="T324" s="99">
        <f>IFERROR(J324,"")</f>
        <v>104.40432</v>
      </c>
    </row>
    <row r="325" spans="1:20" ht="18" customHeight="1" x14ac:dyDescent="0.3">
      <c r="A325" s="159" t="s">
        <v>251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266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332</v>
      </c>
      <c r="S326" s="81"/>
    </row>
    <row r="327" spans="1:20" ht="15" customHeight="1" x14ac:dyDescent="0.3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 x14ac:dyDescent="0.3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333</v>
      </c>
      <c r="S328" s="81"/>
    </row>
    <row r="329" spans="1:20" ht="15" customHeight="1" x14ac:dyDescent="0.3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334</v>
      </c>
      <c r="S329" s="81"/>
    </row>
    <row r="330" spans="1:20" ht="15" customHeight="1" x14ac:dyDescent="0.3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 x14ac:dyDescent="0.3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335</v>
      </c>
      <c r="S331" s="81"/>
    </row>
    <row r="332" spans="1:20" ht="15" customHeight="1" x14ac:dyDescent="0.3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183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336</v>
      </c>
      <c r="S332" s="81"/>
    </row>
    <row r="333" spans="1:20" ht="15" customHeight="1" x14ac:dyDescent="0.3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 x14ac:dyDescent="0.3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 x14ac:dyDescent="0.3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 x14ac:dyDescent="0.3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 x14ac:dyDescent="0.3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 x14ac:dyDescent="0.3">
      <c r="A338" s="158" t="s">
        <v>262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263</v>
      </c>
      <c r="S338" s="74">
        <v>186890</v>
      </c>
      <c r="T338" s="99">
        <f>IFERROR(J338,"")</f>
        <v>39.246899999999989</v>
      </c>
    </row>
    <row r="339" spans="1:20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 x14ac:dyDescent="0.3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 x14ac:dyDescent="0.3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328</v>
      </c>
      <c r="S341" s="81"/>
    </row>
    <row r="342" spans="1:20" ht="15" customHeight="1" x14ac:dyDescent="0.3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 x14ac:dyDescent="0.3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209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323</v>
      </c>
      <c r="S343" s="81"/>
    </row>
    <row r="344" spans="1:20" ht="15" customHeight="1" x14ac:dyDescent="0.3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 x14ac:dyDescent="0.3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 x14ac:dyDescent="0.3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 x14ac:dyDescent="0.3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 x14ac:dyDescent="0.3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 x14ac:dyDescent="0.3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 x14ac:dyDescent="0.3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 x14ac:dyDescent="0.3">
      <c r="A351" s="158" t="s">
        <v>265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263</v>
      </c>
      <c r="S351" s="74">
        <v>712170</v>
      </c>
      <c r="T351" s="99">
        <f>IFERROR(J351,"")</f>
        <v>149.5557</v>
      </c>
    </row>
    <row r="352" spans="1:20" ht="18" customHeight="1" x14ac:dyDescent="0.3">
      <c r="A352" s="159" t="s">
        <v>251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266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316</v>
      </c>
      <c r="S353" s="81"/>
    </row>
    <row r="354" spans="1:20" ht="15" customHeight="1" x14ac:dyDescent="0.3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 x14ac:dyDescent="0.3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 x14ac:dyDescent="0.3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 x14ac:dyDescent="0.3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 x14ac:dyDescent="0.3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 x14ac:dyDescent="0.3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 x14ac:dyDescent="0.3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 x14ac:dyDescent="0.3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 x14ac:dyDescent="0.3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 x14ac:dyDescent="0.3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 x14ac:dyDescent="0.3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 x14ac:dyDescent="0.3">
      <c r="A365" s="158" t="s">
        <v>262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263</v>
      </c>
      <c r="S365" s="74">
        <v>622270</v>
      </c>
      <c r="T365" s="99">
        <f>IFERROR(J365,"")</f>
        <v>130.67669999999998</v>
      </c>
    </row>
    <row r="366" spans="1:20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 x14ac:dyDescent="0.3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337</v>
      </c>
      <c r="S367" s="81"/>
    </row>
    <row r="368" spans="1:20" ht="15" customHeight="1" x14ac:dyDescent="0.3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 x14ac:dyDescent="0.3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 x14ac:dyDescent="0.3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 x14ac:dyDescent="0.3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 x14ac:dyDescent="0.3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 x14ac:dyDescent="0.3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 x14ac:dyDescent="0.3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 x14ac:dyDescent="0.3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 x14ac:dyDescent="0.3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 x14ac:dyDescent="0.3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 x14ac:dyDescent="0.3">
      <c r="A378" s="158" t="s">
        <v>265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263</v>
      </c>
      <c r="S378" s="74">
        <v>806300</v>
      </c>
      <c r="T378" s="99">
        <f>IFERROR(J378,"")</f>
        <v>169.32299999999998</v>
      </c>
    </row>
    <row r="379" spans="1:20" ht="18" customHeight="1" x14ac:dyDescent="0.3">
      <c r="A379" s="159" t="s">
        <v>251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266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276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 x14ac:dyDescent="0.3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276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 x14ac:dyDescent="0.3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 x14ac:dyDescent="0.3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 x14ac:dyDescent="0.3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 x14ac:dyDescent="0.3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338</v>
      </c>
      <c r="S385" s="81"/>
    </row>
    <row r="386" spans="1:20" ht="15" customHeight="1" x14ac:dyDescent="0.3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 x14ac:dyDescent="0.3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 x14ac:dyDescent="0.3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 x14ac:dyDescent="0.3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 x14ac:dyDescent="0.3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 x14ac:dyDescent="0.3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 x14ac:dyDescent="0.3">
      <c r="A392" s="158" t="s">
        <v>262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263</v>
      </c>
      <c r="S392" s="74">
        <v>820320</v>
      </c>
      <c r="T392" s="99">
        <f>IFERROR(J392,"")</f>
        <v>162.80881156626504</v>
      </c>
    </row>
    <row r="393" spans="1:20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 x14ac:dyDescent="0.3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 x14ac:dyDescent="0.3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 x14ac:dyDescent="0.3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339</v>
      </c>
      <c r="S396" s="81"/>
    </row>
    <row r="397" spans="1:20" ht="15" customHeight="1" x14ac:dyDescent="0.3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 x14ac:dyDescent="0.3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 x14ac:dyDescent="0.3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 x14ac:dyDescent="0.3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 x14ac:dyDescent="0.3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 x14ac:dyDescent="0.3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 x14ac:dyDescent="0.3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 x14ac:dyDescent="0.3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 x14ac:dyDescent="0.3">
      <c r="A405" s="158" t="s">
        <v>265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263</v>
      </c>
      <c r="S405" s="74">
        <v>774540</v>
      </c>
      <c r="T405" s="99">
        <f>IFERROR(J405,"")</f>
        <v>156.22852721311477</v>
      </c>
    </row>
    <row r="406" spans="1:20" ht="18" customHeight="1" x14ac:dyDescent="0.3">
      <c r="A406" s="159" t="s">
        <v>251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266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 x14ac:dyDescent="0.3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 x14ac:dyDescent="0.3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 x14ac:dyDescent="0.3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 x14ac:dyDescent="0.3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 x14ac:dyDescent="0.3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 x14ac:dyDescent="0.3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 x14ac:dyDescent="0.3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 x14ac:dyDescent="0.3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 x14ac:dyDescent="0.3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 x14ac:dyDescent="0.3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 x14ac:dyDescent="0.3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 x14ac:dyDescent="0.3">
      <c r="A419" s="158" t="s">
        <v>262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263</v>
      </c>
      <c r="S419" s="74">
        <v>590830</v>
      </c>
      <c r="T419" s="99">
        <f>IFERROR(J419,"")</f>
        <v>85.079520000000002</v>
      </c>
    </row>
    <row r="420" spans="1:20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340</v>
      </c>
      <c r="S420" s="81"/>
    </row>
    <row r="421" spans="1:20" ht="15" customHeight="1" x14ac:dyDescent="0.3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 x14ac:dyDescent="0.3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 x14ac:dyDescent="0.3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 x14ac:dyDescent="0.3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 x14ac:dyDescent="0.3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 x14ac:dyDescent="0.3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 x14ac:dyDescent="0.3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 x14ac:dyDescent="0.3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 x14ac:dyDescent="0.3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 x14ac:dyDescent="0.3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 x14ac:dyDescent="0.3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 x14ac:dyDescent="0.3">
      <c r="A432" s="120" t="s">
        <v>265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263</v>
      </c>
      <c r="S432" s="74">
        <v>698420</v>
      </c>
      <c r="T432" s="99">
        <f>IFERROR(J432,"")</f>
        <v>100.57248</v>
      </c>
    </row>
    <row r="433" spans="1:20" ht="18" customHeight="1" x14ac:dyDescent="0.3">
      <c r="A433" s="122" t="s">
        <v>251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266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341</v>
      </c>
      <c r="S434" s="81"/>
    </row>
    <row r="435" spans="1:20" ht="15" customHeight="1" x14ac:dyDescent="0.3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 x14ac:dyDescent="0.3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 x14ac:dyDescent="0.3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 x14ac:dyDescent="0.3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 x14ac:dyDescent="0.3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 x14ac:dyDescent="0.3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276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 x14ac:dyDescent="0.3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 x14ac:dyDescent="0.3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 x14ac:dyDescent="0.3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 x14ac:dyDescent="0.3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 x14ac:dyDescent="0.3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 x14ac:dyDescent="0.3">
      <c r="A446" s="158" t="s">
        <v>262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263</v>
      </c>
      <c r="S446" s="74">
        <v>449020</v>
      </c>
      <c r="T446" s="99">
        <f>IFERROR(J446,"")</f>
        <v>91.118987142857137</v>
      </c>
    </row>
    <row r="447" spans="1:20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 x14ac:dyDescent="0.3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222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 x14ac:dyDescent="0.3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 x14ac:dyDescent="0.3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261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 x14ac:dyDescent="0.3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 x14ac:dyDescent="0.3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342</v>
      </c>
      <c r="S452" s="81"/>
    </row>
    <row r="453" spans="1:20" ht="15" customHeight="1" x14ac:dyDescent="0.3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343</v>
      </c>
      <c r="S453" s="81"/>
    </row>
    <row r="454" spans="1:20" ht="15" customHeight="1" x14ac:dyDescent="0.3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 x14ac:dyDescent="0.3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 x14ac:dyDescent="0.3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 x14ac:dyDescent="0.3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 x14ac:dyDescent="0.3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 x14ac:dyDescent="0.3">
      <c r="A459" s="158" t="s">
        <v>265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263</v>
      </c>
      <c r="S459" s="74">
        <v>738730</v>
      </c>
      <c r="T459" s="99">
        <f>IFERROR(J459,"")</f>
        <v>144.10511642857142</v>
      </c>
    </row>
    <row r="460" spans="1:20" ht="18" customHeight="1" x14ac:dyDescent="0.3">
      <c r="A460" s="159" t="s">
        <v>251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266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 x14ac:dyDescent="0.3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 x14ac:dyDescent="0.3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 x14ac:dyDescent="0.3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 x14ac:dyDescent="0.3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344</v>
      </c>
      <c r="S465" s="81"/>
    </row>
    <row r="466" spans="1:20" ht="15" customHeight="1" x14ac:dyDescent="0.3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 x14ac:dyDescent="0.3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 x14ac:dyDescent="0.3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 x14ac:dyDescent="0.3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 x14ac:dyDescent="0.3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 x14ac:dyDescent="0.3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 x14ac:dyDescent="0.3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 x14ac:dyDescent="0.3">
      <c r="A473" s="158" t="s">
        <v>262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263</v>
      </c>
      <c r="S473" s="74">
        <v>824760</v>
      </c>
      <c r="T473" s="99">
        <f>IFERROR(J473,"")</f>
        <v>118.76543999999998</v>
      </c>
    </row>
    <row r="474" spans="1:20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 x14ac:dyDescent="0.3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 x14ac:dyDescent="0.3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345</v>
      </c>
      <c r="S476" s="81"/>
    </row>
    <row r="477" spans="1:20" ht="15" customHeight="1" x14ac:dyDescent="0.3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 x14ac:dyDescent="0.3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195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 x14ac:dyDescent="0.3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346</v>
      </c>
      <c r="S479" s="81"/>
    </row>
    <row r="480" spans="1:20" ht="15" customHeight="1" x14ac:dyDescent="0.3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 x14ac:dyDescent="0.3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 x14ac:dyDescent="0.3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219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 x14ac:dyDescent="0.3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 x14ac:dyDescent="0.3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 x14ac:dyDescent="0.3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 x14ac:dyDescent="0.3">
      <c r="A486" s="158" t="s">
        <v>265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263</v>
      </c>
      <c r="S486" s="74">
        <v>617620</v>
      </c>
      <c r="T486" s="99">
        <f>IFERROR(J486,"")</f>
        <v>88.937280000000001</v>
      </c>
    </row>
    <row r="487" spans="1:20" ht="18" customHeight="1" x14ac:dyDescent="0.3">
      <c r="A487" s="159" t="s">
        <v>251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266</v>
      </c>
      <c r="S487" s="82">
        <f>IFERROR(S473+S486,"")</f>
        <v>1442380</v>
      </c>
      <c r="T487" s="118">
        <f>IFERROR(J487,"")</f>
        <v>207.70272</v>
      </c>
    </row>
    <row r="488" spans="1:20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184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323</v>
      </c>
      <c r="S488" s="81"/>
    </row>
    <row r="489" spans="1:20" ht="15" customHeight="1" x14ac:dyDescent="0.3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 x14ac:dyDescent="0.3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 x14ac:dyDescent="0.3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 x14ac:dyDescent="0.3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293</v>
      </c>
      <c r="S492" s="81"/>
    </row>
    <row r="493" spans="1:20" ht="15" customHeight="1" x14ac:dyDescent="0.3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 x14ac:dyDescent="0.3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 x14ac:dyDescent="0.3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 x14ac:dyDescent="0.3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 x14ac:dyDescent="0.3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 x14ac:dyDescent="0.3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 x14ac:dyDescent="0.3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 x14ac:dyDescent="0.3">
      <c r="A500" s="158" t="s">
        <v>262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263</v>
      </c>
      <c r="S500" s="74">
        <v>598340</v>
      </c>
      <c r="T500" s="99">
        <f>IFERROR(J500,"")</f>
        <v>86.160960000000003</v>
      </c>
    </row>
    <row r="501" spans="1:20" ht="15" customHeight="1" x14ac:dyDescent="0.3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 x14ac:dyDescent="0.3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 x14ac:dyDescent="0.3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 x14ac:dyDescent="0.3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 x14ac:dyDescent="0.3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219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 x14ac:dyDescent="0.3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 x14ac:dyDescent="0.3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 x14ac:dyDescent="0.3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 x14ac:dyDescent="0.3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 x14ac:dyDescent="0.3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 x14ac:dyDescent="0.3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 x14ac:dyDescent="0.3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 x14ac:dyDescent="0.3">
      <c r="A513" s="120" t="s">
        <v>265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263</v>
      </c>
      <c r="S513" s="74">
        <v>534790</v>
      </c>
      <c r="T513" s="99">
        <f>IFERROR(J513,"")</f>
        <v>91.764703770491792</v>
      </c>
    </row>
    <row r="514" spans="1:20" ht="18" customHeight="1" x14ac:dyDescent="0.3">
      <c r="A514" s="122" t="s">
        <v>251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266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 x14ac:dyDescent="0.3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 x14ac:dyDescent="0.3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 x14ac:dyDescent="0.3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 x14ac:dyDescent="0.3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 x14ac:dyDescent="0.3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 x14ac:dyDescent="0.3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 x14ac:dyDescent="0.3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 x14ac:dyDescent="0.3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 x14ac:dyDescent="0.3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 x14ac:dyDescent="0.3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 x14ac:dyDescent="0.3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 x14ac:dyDescent="0.3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 x14ac:dyDescent="0.3">
      <c r="A527" s="158" t="s">
        <v>262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263</v>
      </c>
      <c r="S527" s="74">
        <v>742390</v>
      </c>
      <c r="T527" s="99">
        <f>IFERROR(J527,"")</f>
        <v>155.90189999999996</v>
      </c>
    </row>
    <row r="528" spans="1:20" ht="15" customHeight="1" x14ac:dyDescent="0.3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 x14ac:dyDescent="0.3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 x14ac:dyDescent="0.3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 x14ac:dyDescent="0.3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 x14ac:dyDescent="0.3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 x14ac:dyDescent="0.3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 x14ac:dyDescent="0.3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347</v>
      </c>
      <c r="S534" s="81"/>
    </row>
    <row r="535" spans="1:20" ht="15" customHeight="1" x14ac:dyDescent="0.3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348</v>
      </c>
      <c r="S535" s="81"/>
    </row>
    <row r="536" spans="1:20" ht="15" customHeight="1" x14ac:dyDescent="0.3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 x14ac:dyDescent="0.3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 x14ac:dyDescent="0.3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 x14ac:dyDescent="0.3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 x14ac:dyDescent="0.3">
      <c r="A540" s="158" t="s">
        <v>265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263</v>
      </c>
      <c r="S540" s="74">
        <v>399600</v>
      </c>
      <c r="T540" s="99">
        <f>IFERROR(J540,"")</f>
        <v>64.532992771084338</v>
      </c>
    </row>
    <row r="541" spans="1:20" ht="18" customHeight="1" x14ac:dyDescent="0.3">
      <c r="A541" s="159" t="s">
        <v>251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266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 x14ac:dyDescent="0.3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 x14ac:dyDescent="0.3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 x14ac:dyDescent="0.3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 x14ac:dyDescent="0.3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 x14ac:dyDescent="0.3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 x14ac:dyDescent="0.3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 x14ac:dyDescent="0.3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 x14ac:dyDescent="0.3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 x14ac:dyDescent="0.3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 x14ac:dyDescent="0.3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 x14ac:dyDescent="0.3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 x14ac:dyDescent="0.3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 x14ac:dyDescent="0.3">
      <c r="A554" s="158" t="s">
        <v>262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263</v>
      </c>
      <c r="S554" s="74">
        <v>216930</v>
      </c>
      <c r="T554" s="99">
        <f>IFERROR(J554,"")</f>
        <v>31.237919999999999</v>
      </c>
    </row>
    <row r="555" spans="1:20" ht="15" customHeight="1" x14ac:dyDescent="0.3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349</v>
      </c>
      <c r="S555" s="81"/>
    </row>
    <row r="556" spans="1:20" ht="15" customHeight="1" x14ac:dyDescent="0.3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276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 x14ac:dyDescent="0.3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 x14ac:dyDescent="0.3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 x14ac:dyDescent="0.3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 x14ac:dyDescent="0.3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 x14ac:dyDescent="0.3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 x14ac:dyDescent="0.3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 x14ac:dyDescent="0.3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 x14ac:dyDescent="0.3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 x14ac:dyDescent="0.3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 x14ac:dyDescent="0.3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 x14ac:dyDescent="0.3">
      <c r="A567" s="158" t="s">
        <v>265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263</v>
      </c>
      <c r="S567" s="74">
        <v>0</v>
      </c>
      <c r="T567" s="99">
        <f>IFERROR(J567,"")</f>
        <v>0</v>
      </c>
    </row>
    <row r="568" spans="1:20" ht="18" customHeight="1" x14ac:dyDescent="0.3">
      <c r="A568" s="159" t="s">
        <v>251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266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 x14ac:dyDescent="0.3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 x14ac:dyDescent="0.3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 x14ac:dyDescent="0.3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 x14ac:dyDescent="0.3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 x14ac:dyDescent="0.3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276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 x14ac:dyDescent="0.3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 x14ac:dyDescent="0.3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 x14ac:dyDescent="0.3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 x14ac:dyDescent="0.3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 x14ac:dyDescent="0.3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 x14ac:dyDescent="0.3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 x14ac:dyDescent="0.3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 x14ac:dyDescent="0.3">
      <c r="A581" s="158" t="s">
        <v>262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263</v>
      </c>
      <c r="S581" s="74">
        <v>175540</v>
      </c>
      <c r="T581" s="99">
        <f>IFERROR(J581,"")</f>
        <v>36.863399999999999</v>
      </c>
    </row>
    <row r="582" spans="1:20" ht="15" customHeight="1" x14ac:dyDescent="0.3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23.705806451612901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4.9782193548387088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 x14ac:dyDescent="0.3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23.705806451612901</v>
      </c>
      <c r="I583" s="90">
        <f>IFERROR(IF($D583="","",VLOOKUP($D583,Cadastro!$C$4:$G$7,5,FALSE())),"")</f>
        <v>0.6</v>
      </c>
      <c r="J583" s="91">
        <f t="shared" si="150"/>
        <v>4.9782193548387088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 x14ac:dyDescent="0.3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136.30838709677417</v>
      </c>
      <c r="I584" s="90">
        <f>IFERROR(IF($D584="","",VLOOKUP($D584,Cadastro!$C$4:$G$7,5,FALSE())),"")</f>
        <v>0.6</v>
      </c>
      <c r="J584" s="91">
        <f t="shared" si="150"/>
        <v>28.624761290322571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 x14ac:dyDescent="0.3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53.33806451612903</v>
      </c>
      <c r="I585" s="90">
        <f>IFERROR(IF($D585="","",VLOOKUP($D585,Cadastro!$C$4:$G$7,5,FALSE())),"")</f>
        <v>0.6</v>
      </c>
      <c r="J585" s="91">
        <f t="shared" si="150"/>
        <v>11.200993548387096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350</v>
      </c>
      <c r="S585" s="81"/>
    </row>
    <row r="586" spans="1:20" ht="15" customHeight="1" x14ac:dyDescent="0.3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23.705806451612901</v>
      </c>
      <c r="I586" s="90">
        <f>IFERROR(IF($D586="","",VLOOKUP($D586,Cadastro!$C$4:$G$7,5,FALSE())),"")</f>
        <v>0.6</v>
      </c>
      <c r="J586" s="91">
        <f t="shared" si="150"/>
        <v>4.9782193548387088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 x14ac:dyDescent="0.3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23.705806451612901</v>
      </c>
      <c r="I587" s="90">
        <f>IFERROR(IF($D587="","",VLOOKUP($D587,Cadastro!$C$4:$G$7,5,FALSE())),"")</f>
        <v>0.6</v>
      </c>
      <c r="J587" s="91">
        <f t="shared" si="150"/>
        <v>4.9782193548387088</v>
      </c>
      <c r="K587" s="69">
        <f t="shared" si="151"/>
        <v>16.8</v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 x14ac:dyDescent="0.3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35.558709677419358</v>
      </c>
      <c r="I588" s="90">
        <f>IFERROR(IF($D588="","",VLOOKUP($D588,Cadastro!$C$4:$G$7,5,FALSE())),"")</f>
        <v>0.6</v>
      </c>
      <c r="J588" s="91">
        <f t="shared" si="150"/>
        <v>7.4673290322580641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 x14ac:dyDescent="0.3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118.52903225806452</v>
      </c>
      <c r="I589" s="90">
        <f>IFERROR(IF($D589="","",VLOOKUP($D589,Cadastro!$C$4:$G$7,5,FALSE())),"")</f>
        <v>0.6</v>
      </c>
      <c r="J589" s="91">
        <f t="shared" si="150"/>
        <v>24.891096774193546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 x14ac:dyDescent="0.3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261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59.264516129032259</v>
      </c>
      <c r="I590" s="90">
        <f>IFERROR(IF($D590="","",VLOOKUP($D590,Cadastro!$C$4:$G$7,5,FALSE())),"")</f>
        <v>0.6</v>
      </c>
      <c r="J590" s="91">
        <f t="shared" si="150"/>
        <v>12.445548387096773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 x14ac:dyDescent="0.3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35.558709677419358</v>
      </c>
      <c r="I591" s="90">
        <f>IFERROR(IF($D591="","",VLOOKUP($D591,Cadastro!$C$4:$G$7,5,FALSE())),"")</f>
        <v>0.6</v>
      </c>
      <c r="J591" s="91">
        <f t="shared" si="150"/>
        <v>7.4673290322580641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 x14ac:dyDescent="0.3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17.779354838709679</v>
      </c>
      <c r="I592" s="90">
        <f>IFERROR(IF($D592="","",VLOOKUP($D592,Cadastro!$C$4:$G$7,5,FALSE())),"")</f>
        <v>0.6</v>
      </c>
      <c r="J592" s="91">
        <f t="shared" si="150"/>
        <v>3.7336645161290321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 x14ac:dyDescent="0.3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 x14ac:dyDescent="0.3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551.15999999999985</v>
      </c>
      <c r="I594" s="106"/>
      <c r="J594" s="107">
        <f>IFERROR(SUM(J582:J593),"")</f>
        <v>115.74359999999999</v>
      </c>
      <c r="K594" s="2">
        <f>SUM(K582:K593)</f>
        <v>398.60000000000008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263</v>
      </c>
      <c r="S594" s="74">
        <v>551160</v>
      </c>
      <c r="T594" s="99">
        <f>IFERROR(J594,"")</f>
        <v>115.74359999999999</v>
      </c>
    </row>
    <row r="595" spans="1:20" ht="18" customHeight="1" x14ac:dyDescent="0.3">
      <c r="A595" s="159" t="s">
        <v>251</v>
      </c>
      <c r="B595" s="159"/>
      <c r="C595" s="159"/>
      <c r="D595" s="159"/>
      <c r="E595" s="159"/>
      <c r="F595" s="108"/>
      <c r="G595" s="109">
        <f>G581+G594</f>
        <v>142</v>
      </c>
      <c r="H595" s="108">
        <f>IFERROR(H581+H594,"")</f>
        <v>726.69999999999982</v>
      </c>
      <c r="I595" s="110"/>
      <c r="J595" s="111">
        <f>IFERROR(J581+J594,"")</f>
        <v>152.60699999999997</v>
      </c>
      <c r="K595" s="1">
        <f>K581+K594</f>
        <v>604.40000000000009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266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 x14ac:dyDescent="0.3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 x14ac:dyDescent="0.3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209</v>
      </c>
      <c r="O597" s="65">
        <v>0.50694444444444442</v>
      </c>
      <c r="P597" s="65"/>
      <c r="Q597" s="71">
        <f t="shared" ca="1" si="156"/>
        <v>0.33473206018243218</v>
      </c>
      <c r="R597" s="80"/>
      <c r="S597" s="81"/>
    </row>
    <row r="598" spans="1:20" ht="15" customHeight="1" x14ac:dyDescent="0.3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 x14ac:dyDescent="0.3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 x14ac:dyDescent="0.3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 x14ac:dyDescent="0.3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 x14ac:dyDescent="0.3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 x14ac:dyDescent="0.3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 x14ac:dyDescent="0.3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 x14ac:dyDescent="0.3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 x14ac:dyDescent="0.3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 x14ac:dyDescent="0.3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 x14ac:dyDescent="0.3">
      <c r="A608" s="158" t="s">
        <v>262</v>
      </c>
      <c r="B608" s="158"/>
      <c r="C608" s="158"/>
      <c r="D608" s="158"/>
      <c r="E608" s="158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0.35000983796020996</v>
      </c>
      <c r="R608" s="2" t="s">
        <v>263</v>
      </c>
      <c r="S608" s="74">
        <f>981900-413630+137530</f>
        <v>705800</v>
      </c>
      <c r="T608" s="99">
        <f>IFERROR(J608,"")</f>
        <v>148.21799999999999</v>
      </c>
    </row>
    <row r="609" spans="1:20" ht="15" customHeight="1" x14ac:dyDescent="0.3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 x14ac:dyDescent="0.3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 x14ac:dyDescent="0.3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 x14ac:dyDescent="0.3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 x14ac:dyDescent="0.3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 x14ac:dyDescent="0.3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 x14ac:dyDescent="0.3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 x14ac:dyDescent="0.3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 x14ac:dyDescent="0.3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 x14ac:dyDescent="0.3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 x14ac:dyDescent="0.3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 x14ac:dyDescent="0.3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 x14ac:dyDescent="0.3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 x14ac:dyDescent="0.3">
      <c r="A622" s="159" t="s">
        <v>251</v>
      </c>
      <c r="B622" s="159"/>
      <c r="C622" s="159"/>
      <c r="D622" s="159"/>
      <c r="E622" s="159"/>
      <c r="F622" s="108"/>
      <c r="G622" s="109">
        <f>G608+G621</f>
        <v>56</v>
      </c>
      <c r="H622" s="108">
        <f>IFERROR(H608+H621,"")</f>
        <v>705.80000000000007</v>
      </c>
      <c r="I622" s="110"/>
      <c r="J622" s="111">
        <f>IFERROR(J608+J621,"")</f>
        <v>148.21799999999999</v>
      </c>
      <c r="K622" s="1">
        <f>K608+K621</f>
        <v>235.2</v>
      </c>
      <c r="L622" s="76"/>
      <c r="M622" s="76"/>
      <c r="N622" s="76"/>
      <c r="O622" s="76"/>
      <c r="P622" s="76"/>
      <c r="Q622" s="77">
        <f ca="1">IFERROR(Q608+Q621,"")</f>
        <v>0.35000983796020996</v>
      </c>
      <c r="R622" s="1" t="s">
        <v>266</v>
      </c>
      <c r="S622" s="82">
        <f>S608+S621</f>
        <v>705800</v>
      </c>
      <c r="T622" s="118">
        <f>IFERROR(J622,"")</f>
        <v>148.21799999999999</v>
      </c>
    </row>
    <row r="623" spans="1:20" ht="15" customHeight="1" x14ac:dyDescent="0.3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 x14ac:dyDescent="0.3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 x14ac:dyDescent="0.3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 x14ac:dyDescent="0.3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 x14ac:dyDescent="0.3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 x14ac:dyDescent="0.3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 x14ac:dyDescent="0.3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 x14ac:dyDescent="0.3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 x14ac:dyDescent="0.3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 x14ac:dyDescent="0.3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 x14ac:dyDescent="0.3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 x14ac:dyDescent="0.3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 x14ac:dyDescent="0.3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 x14ac:dyDescent="0.3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 x14ac:dyDescent="0.3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 x14ac:dyDescent="0.3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 x14ac:dyDescent="0.3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 x14ac:dyDescent="0.3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 x14ac:dyDescent="0.3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 x14ac:dyDescent="0.3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 x14ac:dyDescent="0.3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 x14ac:dyDescent="0.3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 x14ac:dyDescent="0.3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 x14ac:dyDescent="0.3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 x14ac:dyDescent="0.3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 x14ac:dyDescent="0.3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 x14ac:dyDescent="0.3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S635+S648</f>
        <v>0</v>
      </c>
      <c r="T649" s="118">
        <f>IFERROR(J649,"")</f>
        <v>0</v>
      </c>
    </row>
    <row r="650" spans="1:20" ht="15" customHeight="1" x14ac:dyDescent="0.3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 x14ac:dyDescent="0.3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 x14ac:dyDescent="0.3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 x14ac:dyDescent="0.3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 x14ac:dyDescent="0.3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 x14ac:dyDescent="0.3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 x14ac:dyDescent="0.3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 x14ac:dyDescent="0.3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 x14ac:dyDescent="0.3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 x14ac:dyDescent="0.3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 x14ac:dyDescent="0.3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 x14ac:dyDescent="0.3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 x14ac:dyDescent="0.3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 x14ac:dyDescent="0.3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 x14ac:dyDescent="0.3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 x14ac:dyDescent="0.3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 x14ac:dyDescent="0.3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 x14ac:dyDescent="0.3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 x14ac:dyDescent="0.3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 x14ac:dyDescent="0.3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 x14ac:dyDescent="0.3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 x14ac:dyDescent="0.3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 x14ac:dyDescent="0.3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 x14ac:dyDescent="0.3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 x14ac:dyDescent="0.3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 x14ac:dyDescent="0.3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 x14ac:dyDescent="0.3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 x14ac:dyDescent="0.3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 x14ac:dyDescent="0.3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 x14ac:dyDescent="0.3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 x14ac:dyDescent="0.3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 x14ac:dyDescent="0.3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 x14ac:dyDescent="0.3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 x14ac:dyDescent="0.3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 x14ac:dyDescent="0.3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 x14ac:dyDescent="0.3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 x14ac:dyDescent="0.3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 x14ac:dyDescent="0.3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 x14ac:dyDescent="0.3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 x14ac:dyDescent="0.3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 x14ac:dyDescent="0.3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 x14ac:dyDescent="0.3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 x14ac:dyDescent="0.3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 x14ac:dyDescent="0.3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 x14ac:dyDescent="0.3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 x14ac:dyDescent="0.3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 x14ac:dyDescent="0.3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 x14ac:dyDescent="0.3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 x14ac:dyDescent="0.3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 x14ac:dyDescent="0.3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 x14ac:dyDescent="0.3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 x14ac:dyDescent="0.3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 x14ac:dyDescent="0.3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 x14ac:dyDescent="0.3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 x14ac:dyDescent="0.3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 x14ac:dyDescent="0.3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 x14ac:dyDescent="0.3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 x14ac:dyDescent="0.3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 x14ac:dyDescent="0.3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 x14ac:dyDescent="0.3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 x14ac:dyDescent="0.3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 x14ac:dyDescent="0.3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 x14ac:dyDescent="0.3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 x14ac:dyDescent="0.3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 x14ac:dyDescent="0.3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 x14ac:dyDescent="0.3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 x14ac:dyDescent="0.3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 x14ac:dyDescent="0.3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 x14ac:dyDescent="0.3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 x14ac:dyDescent="0.3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 x14ac:dyDescent="0.3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 x14ac:dyDescent="0.3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 x14ac:dyDescent="0.3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 x14ac:dyDescent="0.3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 x14ac:dyDescent="0.3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 x14ac:dyDescent="0.3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 x14ac:dyDescent="0.3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 x14ac:dyDescent="0.3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 x14ac:dyDescent="0.3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 x14ac:dyDescent="0.3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 x14ac:dyDescent="0.3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 x14ac:dyDescent="0.3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 x14ac:dyDescent="0.3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 x14ac:dyDescent="0.3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 x14ac:dyDescent="0.3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 x14ac:dyDescent="0.3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 x14ac:dyDescent="0.3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 x14ac:dyDescent="0.3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 x14ac:dyDescent="0.3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 x14ac:dyDescent="0.3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 x14ac:dyDescent="0.3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 x14ac:dyDescent="0.3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 x14ac:dyDescent="0.3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 x14ac:dyDescent="0.3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 x14ac:dyDescent="0.3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 x14ac:dyDescent="0.3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 x14ac:dyDescent="0.3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 x14ac:dyDescent="0.3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 x14ac:dyDescent="0.3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 x14ac:dyDescent="0.3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 x14ac:dyDescent="0.3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 x14ac:dyDescent="0.3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 x14ac:dyDescent="0.3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 x14ac:dyDescent="0.3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 x14ac:dyDescent="0.3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 x14ac:dyDescent="0.3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 x14ac:dyDescent="0.3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 x14ac:dyDescent="0.3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 x14ac:dyDescent="0.3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 x14ac:dyDescent="0.3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 x14ac:dyDescent="0.3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 x14ac:dyDescent="0.3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 x14ac:dyDescent="0.3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 x14ac:dyDescent="0.3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 x14ac:dyDescent="0.3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 x14ac:dyDescent="0.3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 x14ac:dyDescent="0.3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 x14ac:dyDescent="0.3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 x14ac:dyDescent="0.3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 x14ac:dyDescent="0.3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 x14ac:dyDescent="0.3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 x14ac:dyDescent="0.3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 x14ac:dyDescent="0.3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 x14ac:dyDescent="0.3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 x14ac:dyDescent="0.3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 x14ac:dyDescent="0.3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 x14ac:dyDescent="0.3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 x14ac:dyDescent="0.3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 x14ac:dyDescent="0.3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 x14ac:dyDescent="0.3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 x14ac:dyDescent="0.3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 x14ac:dyDescent="0.3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 x14ac:dyDescent="0.3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 x14ac:dyDescent="0.3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 x14ac:dyDescent="0.3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 x14ac:dyDescent="0.3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 x14ac:dyDescent="0.3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 x14ac:dyDescent="0.3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 x14ac:dyDescent="0.3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 x14ac:dyDescent="0.3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 x14ac:dyDescent="0.3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 x14ac:dyDescent="0.3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 x14ac:dyDescent="0.3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 x14ac:dyDescent="0.3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 x14ac:dyDescent="0.3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 x14ac:dyDescent="0.3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 x14ac:dyDescent="0.3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 x14ac:dyDescent="0.3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 x14ac:dyDescent="0.3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 x14ac:dyDescent="0.3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 x14ac:dyDescent="0.3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 x14ac:dyDescent="0.3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 x14ac:dyDescent="0.3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 x14ac:dyDescent="0.3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 x14ac:dyDescent="0.3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 x14ac:dyDescent="0.3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 x14ac:dyDescent="0.3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 x14ac:dyDescent="0.3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 x14ac:dyDescent="0.3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 x14ac:dyDescent="0.3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 x14ac:dyDescent="0.3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 x14ac:dyDescent="0.3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 x14ac:dyDescent="0.3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 x14ac:dyDescent="0.3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 x14ac:dyDescent="0.3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 x14ac:dyDescent="0.3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 x14ac:dyDescent="0.3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 x14ac:dyDescent="0.3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 x14ac:dyDescent="0.3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113"/>
      <c r="T824" s="114">
        <f>IFERROR(J824,"")</f>
        <v>0</v>
      </c>
    </row>
    <row r="825" spans="1:20" ht="15" customHeight="1" x14ac:dyDescent="0.3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 x14ac:dyDescent="0.3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 x14ac:dyDescent="0.3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 x14ac:dyDescent="0.3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 x14ac:dyDescent="0.3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 x14ac:dyDescent="0.3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 x14ac:dyDescent="0.3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 x14ac:dyDescent="0.3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 x14ac:dyDescent="0.3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 x14ac:dyDescent="0.3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 x14ac:dyDescent="0.3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 x14ac:dyDescent="0.3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 x14ac:dyDescent="0.3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113"/>
      <c r="T837" s="114">
        <f>IFERROR(J837,"")</f>
        <v>0</v>
      </c>
    </row>
    <row r="838" spans="1:20" ht="18" customHeight="1" x14ac:dyDescent="0.3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K1" zoomScale="80" zoomScaleNormal="80" workbookViewId="0">
      <pane ySplit="1" topLeftCell="A586" activePane="bottomLeft" state="frozen"/>
      <selection pane="bottomLeft" activeCell="S609" sqref="S609"/>
    </sheetView>
  </sheetViews>
  <sheetFormatPr defaultColWidth="8.5546875" defaultRowHeight="14.4" x14ac:dyDescent="0.3"/>
  <cols>
    <col min="1" max="1" width="15.44140625" style="85" customWidth="1"/>
    <col min="2" max="2" width="9" style="54" customWidth="1"/>
    <col min="3" max="3" width="14" style="54" customWidth="1"/>
    <col min="4" max="5" width="16" style="54" customWidth="1"/>
    <col min="6" max="6" width="13.88671875" style="54" hidden="1" customWidth="1"/>
    <col min="7" max="7" width="13" style="54" customWidth="1"/>
    <col min="8" max="8" width="15.88671875" style="54" hidden="1" customWidth="1"/>
    <col min="9" max="10" width="13.88671875" style="54" hidden="1" customWidth="1"/>
    <col min="11" max="11" width="14" style="54" customWidth="1"/>
    <col min="12" max="12" width="32.88671875" style="54" customWidth="1"/>
    <col min="13" max="13" width="30.44140625" style="54" customWidth="1"/>
    <col min="14" max="14" width="46.44140625" style="54" customWidth="1"/>
    <col min="15" max="15" width="12" style="54" customWidth="1"/>
    <col min="16" max="16" width="16.44140625" style="55" customWidth="1"/>
    <col min="17" max="17" width="14" style="54" customWidth="1"/>
    <col min="18" max="18" width="56.5546875" style="54" customWidth="1"/>
    <col min="19" max="19" width="31.5546875" customWidth="1"/>
    <col min="20" max="20" width="14.88671875" hidden="1" customWidth="1"/>
  </cols>
  <sheetData>
    <row r="1" spans="1:20" ht="37.5" customHeight="1" x14ac:dyDescent="0.3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 x14ac:dyDescent="0.3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 x14ac:dyDescent="0.3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 x14ac:dyDescent="0.3">
      <c r="A14" s="158" t="s">
        <v>262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263</v>
      </c>
      <c r="S14" s="74">
        <v>326520</v>
      </c>
      <c r="T14" s="99">
        <f>IFERROR(J14,"")</f>
        <v>0</v>
      </c>
    </row>
    <row r="15" spans="1:20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351</v>
      </c>
      <c r="S15" s="67"/>
    </row>
    <row r="16" spans="1:20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310</v>
      </c>
      <c r="S18" s="67"/>
    </row>
    <row r="19" spans="1:20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352</v>
      </c>
      <c r="S19" s="67"/>
    </row>
    <row r="20" spans="1:20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276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276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 x14ac:dyDescent="0.3">
      <c r="A27" s="158" t="s">
        <v>265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263</v>
      </c>
      <c r="S27" s="74">
        <v>358000</v>
      </c>
      <c r="T27" s="99">
        <f>IFERROR(J27,"")</f>
        <v>0</v>
      </c>
    </row>
    <row r="28" spans="1:20" ht="18" customHeight="1" x14ac:dyDescent="0.3">
      <c r="A28" s="159" t="s">
        <v>251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266</v>
      </c>
      <c r="S28" s="30">
        <f>IFERROR(S14+S27,"")</f>
        <v>684520</v>
      </c>
      <c r="T28" s="31">
        <f>IFERROR(J28,"")</f>
        <v>0</v>
      </c>
    </row>
    <row r="29" spans="1:20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 x14ac:dyDescent="0.3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 x14ac:dyDescent="0.3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 x14ac:dyDescent="0.3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 x14ac:dyDescent="0.3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 x14ac:dyDescent="0.3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 x14ac:dyDescent="0.3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 x14ac:dyDescent="0.3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 x14ac:dyDescent="0.3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 x14ac:dyDescent="0.3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 x14ac:dyDescent="0.3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 x14ac:dyDescent="0.3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 x14ac:dyDescent="0.3">
      <c r="A41" s="158" t="s">
        <v>262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263</v>
      </c>
      <c r="S41" s="74">
        <v>237080</v>
      </c>
      <c r="T41" s="99">
        <f>IFERROR(J41,"")</f>
        <v>0</v>
      </c>
    </row>
    <row r="42" spans="1:20" ht="15" customHeight="1" x14ac:dyDescent="0.3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316</v>
      </c>
      <c r="S42" s="67"/>
    </row>
    <row r="43" spans="1:20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351</v>
      </c>
      <c r="S43" s="67"/>
    </row>
    <row r="44" spans="1:20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351</v>
      </c>
      <c r="S50" s="67"/>
    </row>
    <row r="51" spans="1:20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 x14ac:dyDescent="0.3">
      <c r="A54" s="158" t="s">
        <v>265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263</v>
      </c>
      <c r="S54" s="74">
        <v>279980</v>
      </c>
      <c r="T54" s="99">
        <f>IFERROR(J54,"")</f>
        <v>0</v>
      </c>
    </row>
    <row r="55" spans="1:20" ht="18" customHeight="1" x14ac:dyDescent="0.3">
      <c r="A55" s="159" t="s">
        <v>251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266</v>
      </c>
      <c r="S55" s="30">
        <f>IFERROR(S41+S54,"")</f>
        <v>517060</v>
      </c>
      <c r="T55" s="31">
        <f>IFERROR(J55,"")</f>
        <v>0</v>
      </c>
    </row>
    <row r="56" spans="1:20" ht="15" customHeight="1" x14ac:dyDescent="0.3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 x14ac:dyDescent="0.3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276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 x14ac:dyDescent="0.3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 x14ac:dyDescent="0.3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276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 x14ac:dyDescent="0.3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276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 x14ac:dyDescent="0.3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276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 x14ac:dyDescent="0.3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276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353</v>
      </c>
      <c r="S62" s="67"/>
    </row>
    <row r="63" spans="1:20" ht="15" customHeight="1" x14ac:dyDescent="0.3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276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 x14ac:dyDescent="0.3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276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 x14ac:dyDescent="0.3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276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 x14ac:dyDescent="0.3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 x14ac:dyDescent="0.3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276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 x14ac:dyDescent="0.3">
      <c r="A68" s="158" t="s">
        <v>262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263</v>
      </c>
      <c r="S68" s="74">
        <v>221380</v>
      </c>
      <c r="T68" s="99">
        <f>IFERROR(J68,"")</f>
        <v>0</v>
      </c>
    </row>
    <row r="69" spans="1:20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354</v>
      </c>
      <c r="S69" s="67"/>
    </row>
    <row r="70" spans="1:20" ht="15" customHeight="1" x14ac:dyDescent="0.3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198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 x14ac:dyDescent="0.3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 x14ac:dyDescent="0.3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 x14ac:dyDescent="0.3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 x14ac:dyDescent="0.3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 x14ac:dyDescent="0.3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 x14ac:dyDescent="0.3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 x14ac:dyDescent="0.3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 x14ac:dyDescent="0.3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 x14ac:dyDescent="0.3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 x14ac:dyDescent="0.3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 x14ac:dyDescent="0.3">
      <c r="A81" s="158" t="s">
        <v>265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263</v>
      </c>
      <c r="S81" s="74">
        <v>185920</v>
      </c>
      <c r="T81" s="99">
        <f>IFERROR(J81,"")</f>
        <v>0</v>
      </c>
    </row>
    <row r="82" spans="1:20" ht="18" customHeight="1" x14ac:dyDescent="0.3">
      <c r="A82" s="159" t="s">
        <v>251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266</v>
      </c>
      <c r="S82" s="30">
        <f>IFERROR(S68+S81,"")</f>
        <v>407300</v>
      </c>
      <c r="T82" s="31">
        <f>IFERROR(J82,"")</f>
        <v>0</v>
      </c>
    </row>
    <row r="83" spans="1:20" ht="15" customHeight="1" x14ac:dyDescent="0.3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355</v>
      </c>
      <c r="S83" s="67"/>
    </row>
    <row r="84" spans="1:20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356</v>
      </c>
      <c r="S84" s="67"/>
    </row>
    <row r="85" spans="1:20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 x14ac:dyDescent="0.3">
      <c r="A95" s="158" t="s">
        <v>262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263</v>
      </c>
      <c r="S95" s="74">
        <v>204160</v>
      </c>
      <c r="T95" s="99">
        <f>IFERROR(J95,"")</f>
        <v>0</v>
      </c>
    </row>
    <row r="96" spans="1:20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357</v>
      </c>
      <c r="S97" s="67"/>
    </row>
    <row r="98" spans="1:20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 x14ac:dyDescent="0.3">
      <c r="A108" s="158" t="s">
        <v>265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263</v>
      </c>
      <c r="S108" s="74">
        <v>434370</v>
      </c>
      <c r="T108" s="99">
        <f>IFERROR(J108,"")</f>
        <v>0</v>
      </c>
    </row>
    <row r="109" spans="1:20" ht="18" customHeight="1" x14ac:dyDescent="0.3">
      <c r="A109" s="159" t="s">
        <v>251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266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 x14ac:dyDescent="0.3">
      <c r="A122" s="158" t="s">
        <v>262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263</v>
      </c>
      <c r="S122" s="74">
        <v>320370</v>
      </c>
      <c r="T122" s="99">
        <f>IFERROR(J122,"")</f>
        <v>0</v>
      </c>
    </row>
    <row r="123" spans="1:20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 x14ac:dyDescent="0.3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 x14ac:dyDescent="0.3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358</v>
      </c>
      <c r="S125" s="67"/>
    </row>
    <row r="126" spans="1:20" ht="15" customHeight="1" x14ac:dyDescent="0.3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 x14ac:dyDescent="0.3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 x14ac:dyDescent="0.3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 x14ac:dyDescent="0.3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 x14ac:dyDescent="0.3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 x14ac:dyDescent="0.3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211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 x14ac:dyDescent="0.3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 x14ac:dyDescent="0.3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 x14ac:dyDescent="0.3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 x14ac:dyDescent="0.3">
      <c r="A135" s="158" t="s">
        <v>265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263</v>
      </c>
      <c r="S135" s="74">
        <v>416350</v>
      </c>
      <c r="T135" s="99">
        <f>IFERROR(J135,"")</f>
        <v>0</v>
      </c>
    </row>
    <row r="136" spans="1:20" ht="18" customHeight="1" x14ac:dyDescent="0.3">
      <c r="A136" s="159" t="s">
        <v>251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266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359</v>
      </c>
      <c r="S137" s="67"/>
    </row>
    <row r="138" spans="1:20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217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324</v>
      </c>
      <c r="S144" s="67"/>
    </row>
    <row r="145" spans="1:20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3">
      <c r="A149" s="158" t="s">
        <v>262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263</v>
      </c>
      <c r="S149" s="74">
        <v>138890</v>
      </c>
      <c r="T149" s="99">
        <f>IFERROR(J149,"")</f>
        <v>0</v>
      </c>
    </row>
    <row r="150" spans="1:20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316</v>
      </c>
      <c r="S153" s="67"/>
    </row>
    <row r="154" spans="1:20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3">
      <c r="A162" s="158" t="s">
        <v>265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263</v>
      </c>
      <c r="S162" s="74">
        <v>169760</v>
      </c>
      <c r="T162" s="99">
        <f>IFERROR(J162,"")</f>
        <v>0</v>
      </c>
    </row>
    <row r="163" spans="1:20" ht="18" customHeight="1" x14ac:dyDescent="0.3">
      <c r="A163" s="159" t="s">
        <v>251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266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360</v>
      </c>
      <c r="S166" s="67"/>
    </row>
    <row r="167" spans="1:20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3">
      <c r="A176" s="158" t="s">
        <v>262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263</v>
      </c>
      <c r="S176" s="74">
        <v>271350</v>
      </c>
      <c r="T176" s="99">
        <f>IFERROR(J176,"")</f>
        <v>0</v>
      </c>
    </row>
    <row r="177" spans="1:20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361</v>
      </c>
      <c r="S179" s="67"/>
    </row>
    <row r="180" spans="1:20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327</v>
      </c>
      <c r="S182" s="67"/>
    </row>
    <row r="183" spans="1:20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327</v>
      </c>
      <c r="S185" s="67"/>
    </row>
    <row r="186" spans="1:20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3">
      <c r="A189" s="158" t="s">
        <v>265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263</v>
      </c>
      <c r="S189" s="74">
        <v>72220</v>
      </c>
      <c r="T189" s="99">
        <f>IFERROR(J189,"")</f>
        <v>0</v>
      </c>
    </row>
    <row r="190" spans="1:20" ht="18" customHeight="1" x14ac:dyDescent="0.3">
      <c r="A190" s="159" t="s">
        <v>251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266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194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194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3">
      <c r="A203" s="158" t="s">
        <v>262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263</v>
      </c>
      <c r="S203" s="74">
        <v>92510</v>
      </c>
      <c r="T203" s="99">
        <f>IFERROR(J203,"")</f>
        <v>0</v>
      </c>
    </row>
    <row r="204" spans="1:20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362</v>
      </c>
      <c r="S205" s="81"/>
    </row>
    <row r="206" spans="1:20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 x14ac:dyDescent="0.3">
      <c r="A216" s="158" t="s">
        <v>265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263</v>
      </c>
      <c r="S216" s="74">
        <v>148720</v>
      </c>
      <c r="T216" s="99">
        <f>IFERROR(J216,"")</f>
        <v>0</v>
      </c>
    </row>
    <row r="217" spans="1:20" ht="18" customHeight="1" x14ac:dyDescent="0.3">
      <c r="A217" s="159" t="s">
        <v>251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266</v>
      </c>
      <c r="S217" s="82">
        <f>IFERROR(S203+S216,"")</f>
        <v>241230</v>
      </c>
      <c r="T217" s="118">
        <f>IFERROR(J217,"")</f>
        <v>0</v>
      </c>
    </row>
    <row r="218" spans="1:20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363</v>
      </c>
      <c r="S221" s="81"/>
    </row>
    <row r="222" spans="1:20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364</v>
      </c>
      <c r="Q222" s="66" t="str">
        <f t="shared" ca="1" si="49"/>
        <v/>
      </c>
      <c r="R222" s="63" t="s">
        <v>365</v>
      </c>
      <c r="S222" s="81"/>
    </row>
    <row r="223" spans="1:20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 x14ac:dyDescent="0.3">
      <c r="A230" s="158" t="s">
        <v>262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263</v>
      </c>
      <c r="S230" s="74">
        <v>329640</v>
      </c>
      <c r="T230" s="99">
        <f>IFERROR(J230,"")</f>
        <v>0</v>
      </c>
    </row>
    <row r="231" spans="1:20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 x14ac:dyDescent="0.3">
      <c r="A243" s="158" t="s">
        <v>265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263</v>
      </c>
      <c r="S243" s="74">
        <v>352720</v>
      </c>
      <c r="T243" s="99">
        <f>IFERROR(J243,"")</f>
        <v>0</v>
      </c>
    </row>
    <row r="244" spans="1:20" ht="18" customHeight="1" x14ac:dyDescent="0.3">
      <c r="A244" s="159" t="s">
        <v>251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266</v>
      </c>
      <c r="S244" s="82">
        <f>IFERROR(S230+S243,"")</f>
        <v>682360</v>
      </c>
      <c r="T244" s="118">
        <f>IFERROR(J244,"")</f>
        <v>0</v>
      </c>
    </row>
    <row r="245" spans="1:20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366</v>
      </c>
      <c r="S245" s="81"/>
    </row>
    <row r="246" spans="1:20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261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261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 x14ac:dyDescent="0.3">
      <c r="A257" s="158" t="s">
        <v>262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263</v>
      </c>
      <c r="S257" s="74">
        <v>549440</v>
      </c>
      <c r="T257" s="99">
        <f>IFERROR(J257,"")</f>
        <v>0</v>
      </c>
    </row>
    <row r="258" spans="1:20" ht="15" customHeight="1" x14ac:dyDescent="0.3">
      <c r="A258" s="18">
        <v>46244</v>
      </c>
      <c r="B258" s="68">
        <v>0.83333333333333304</v>
      </c>
      <c r="C258" s="70"/>
      <c r="D258" s="75" t="s">
        <v>47</v>
      </c>
      <c r="E258" s="54" t="s">
        <v>276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 x14ac:dyDescent="0.3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276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 x14ac:dyDescent="0.3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276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 x14ac:dyDescent="0.3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276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 x14ac:dyDescent="0.3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276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 x14ac:dyDescent="0.3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276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 x14ac:dyDescent="0.3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276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 x14ac:dyDescent="0.3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276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 x14ac:dyDescent="0.3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276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 x14ac:dyDescent="0.3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276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 x14ac:dyDescent="0.3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276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 x14ac:dyDescent="0.3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276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 x14ac:dyDescent="0.3">
      <c r="A270" s="158" t="s">
        <v>265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327900</v>
      </c>
      <c r="T270" s="99">
        <f>IFERROR(J270,"")</f>
        <v>0</v>
      </c>
    </row>
    <row r="271" spans="1:20" ht="18" customHeight="1" x14ac:dyDescent="0.3">
      <c r="A271" s="159" t="s">
        <v>251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266</v>
      </c>
      <c r="S271" s="82">
        <f>IFERROR(S257+S270,"")</f>
        <v>877340</v>
      </c>
      <c r="T271" s="118">
        <f>IFERROR(J271,"")</f>
        <v>0</v>
      </c>
    </row>
    <row r="272" spans="1:20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 x14ac:dyDescent="0.3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 x14ac:dyDescent="0.3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 x14ac:dyDescent="0.3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 x14ac:dyDescent="0.3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 x14ac:dyDescent="0.3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 x14ac:dyDescent="0.3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 x14ac:dyDescent="0.3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 x14ac:dyDescent="0.3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 x14ac:dyDescent="0.3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 x14ac:dyDescent="0.3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261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 x14ac:dyDescent="0.3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 x14ac:dyDescent="0.3">
      <c r="A284" s="158" t="s">
        <v>262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373120</v>
      </c>
      <c r="T284" s="99">
        <f>IFERROR(J284,"")</f>
        <v>0</v>
      </c>
    </row>
    <row r="285" spans="1:20" ht="15" customHeight="1" x14ac:dyDescent="0.3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 x14ac:dyDescent="0.3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 x14ac:dyDescent="0.3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 x14ac:dyDescent="0.3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 x14ac:dyDescent="0.3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 x14ac:dyDescent="0.3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 x14ac:dyDescent="0.3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 x14ac:dyDescent="0.3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 x14ac:dyDescent="0.3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 x14ac:dyDescent="0.3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 x14ac:dyDescent="0.3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 x14ac:dyDescent="0.3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 x14ac:dyDescent="0.3">
      <c r="A297" s="158" t="s">
        <v>265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462190</v>
      </c>
      <c r="T297" s="99">
        <f>IFERROR(J297,"")</f>
        <v>0</v>
      </c>
    </row>
    <row r="298" spans="1:20" ht="18" customHeight="1" x14ac:dyDescent="0.3">
      <c r="A298" s="159" t="s">
        <v>251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835310</v>
      </c>
      <c r="T298" s="118">
        <f>IFERROR(J298,"")</f>
        <v>0</v>
      </c>
    </row>
    <row r="299" spans="1:20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211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 x14ac:dyDescent="0.3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211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 x14ac:dyDescent="0.3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196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 x14ac:dyDescent="0.3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 x14ac:dyDescent="0.3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 x14ac:dyDescent="0.3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 x14ac:dyDescent="0.3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 x14ac:dyDescent="0.3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 x14ac:dyDescent="0.3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 x14ac:dyDescent="0.3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 x14ac:dyDescent="0.3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 x14ac:dyDescent="0.3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 x14ac:dyDescent="0.3">
      <c r="A311" s="158" t="s">
        <v>262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263</v>
      </c>
      <c r="S311" s="74">
        <v>567440</v>
      </c>
      <c r="T311" s="99">
        <f>IFERROR(J311,"")</f>
        <v>96.630879999999991</v>
      </c>
    </row>
    <row r="312" spans="1:20" ht="15" customHeight="1" x14ac:dyDescent="0.3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 x14ac:dyDescent="0.3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 x14ac:dyDescent="0.3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 x14ac:dyDescent="0.3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 x14ac:dyDescent="0.3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 x14ac:dyDescent="0.3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 x14ac:dyDescent="0.3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 x14ac:dyDescent="0.3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 x14ac:dyDescent="0.3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 x14ac:dyDescent="0.3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 x14ac:dyDescent="0.3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 x14ac:dyDescent="0.3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 x14ac:dyDescent="0.3">
      <c r="A324" s="158" t="s">
        <v>265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263</v>
      </c>
      <c r="S324" s="74">
        <v>289490</v>
      </c>
      <c r="T324" s="99">
        <f>IFERROR(J324,"")</f>
        <v>41.68656</v>
      </c>
    </row>
    <row r="325" spans="1:20" ht="18" customHeight="1" x14ac:dyDescent="0.3">
      <c r="A325" s="159" t="s">
        <v>251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266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334</v>
      </c>
      <c r="S326" s="81"/>
    </row>
    <row r="327" spans="1:20" ht="15" customHeight="1" x14ac:dyDescent="0.3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367</v>
      </c>
      <c r="S327" s="81"/>
    </row>
    <row r="328" spans="1:20" ht="15" customHeight="1" x14ac:dyDescent="0.3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 x14ac:dyDescent="0.3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335</v>
      </c>
      <c r="S329" s="81"/>
    </row>
    <row r="330" spans="1:20" ht="15" customHeight="1" x14ac:dyDescent="0.3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 x14ac:dyDescent="0.3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276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 x14ac:dyDescent="0.3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 x14ac:dyDescent="0.3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 x14ac:dyDescent="0.3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 x14ac:dyDescent="0.3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 x14ac:dyDescent="0.3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 x14ac:dyDescent="0.3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 x14ac:dyDescent="0.3">
      <c r="A338" s="158" t="s">
        <v>262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263</v>
      </c>
      <c r="S338" s="74">
        <v>387310</v>
      </c>
      <c r="T338" s="99">
        <f>IFERROR(J338,"")</f>
        <v>81.335099999999983</v>
      </c>
    </row>
    <row r="339" spans="1:20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 x14ac:dyDescent="0.3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 x14ac:dyDescent="0.3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 x14ac:dyDescent="0.3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 x14ac:dyDescent="0.3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 x14ac:dyDescent="0.3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 x14ac:dyDescent="0.3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 x14ac:dyDescent="0.3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 x14ac:dyDescent="0.3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 x14ac:dyDescent="0.3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 x14ac:dyDescent="0.3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 x14ac:dyDescent="0.3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 x14ac:dyDescent="0.3">
      <c r="A351" s="158" t="s">
        <v>265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263</v>
      </c>
      <c r="S351" s="74">
        <v>256170</v>
      </c>
      <c r="T351" s="99">
        <f>IFERROR(J351,"")</f>
        <v>53.795699999999997</v>
      </c>
    </row>
    <row r="352" spans="1:20" ht="18" customHeight="1" x14ac:dyDescent="0.3">
      <c r="A352" s="159" t="s">
        <v>251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266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 x14ac:dyDescent="0.3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316</v>
      </c>
      <c r="S354" s="81"/>
    </row>
    <row r="355" spans="1:20" ht="15" customHeight="1" x14ac:dyDescent="0.3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 x14ac:dyDescent="0.3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 x14ac:dyDescent="0.3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 x14ac:dyDescent="0.3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 x14ac:dyDescent="0.3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 x14ac:dyDescent="0.3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 x14ac:dyDescent="0.3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 x14ac:dyDescent="0.3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 x14ac:dyDescent="0.3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 x14ac:dyDescent="0.3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 x14ac:dyDescent="0.3">
      <c r="A365" s="158" t="s">
        <v>262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263</v>
      </c>
      <c r="S365" s="74">
        <v>332130</v>
      </c>
      <c r="T365" s="99">
        <f>IFERROR(J365,"")</f>
        <v>69.747299999999981</v>
      </c>
    </row>
    <row r="366" spans="1:20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 x14ac:dyDescent="0.3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 x14ac:dyDescent="0.3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217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 x14ac:dyDescent="0.3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 x14ac:dyDescent="0.3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 x14ac:dyDescent="0.3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 x14ac:dyDescent="0.3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 x14ac:dyDescent="0.3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 x14ac:dyDescent="0.3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 x14ac:dyDescent="0.3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 x14ac:dyDescent="0.3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 x14ac:dyDescent="0.3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 x14ac:dyDescent="0.3">
      <c r="A378" s="158" t="s">
        <v>265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263</v>
      </c>
      <c r="S378" s="74">
        <v>360560</v>
      </c>
      <c r="T378" s="99">
        <f>IFERROR(J378,"")</f>
        <v>75.71759999999999</v>
      </c>
    </row>
    <row r="379" spans="1:20" ht="18" customHeight="1" x14ac:dyDescent="0.3">
      <c r="A379" s="159" t="s">
        <v>251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266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 x14ac:dyDescent="0.3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 x14ac:dyDescent="0.3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 x14ac:dyDescent="0.3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368</v>
      </c>
      <c r="S383" s="81"/>
    </row>
    <row r="384" spans="1:20" ht="15" customHeight="1" x14ac:dyDescent="0.3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338</v>
      </c>
      <c r="S384" s="81"/>
    </row>
    <row r="385" spans="1:20" ht="15" customHeight="1" x14ac:dyDescent="0.3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 x14ac:dyDescent="0.3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 x14ac:dyDescent="0.3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 x14ac:dyDescent="0.3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 x14ac:dyDescent="0.3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 x14ac:dyDescent="0.3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 x14ac:dyDescent="0.3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 x14ac:dyDescent="0.3">
      <c r="A392" s="158" t="s">
        <v>262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263</v>
      </c>
      <c r="S392" s="74">
        <v>479620</v>
      </c>
      <c r="T392" s="99">
        <f>IFERROR(J392,"")</f>
        <v>100.72019999999998</v>
      </c>
    </row>
    <row r="393" spans="1:20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 x14ac:dyDescent="0.3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 x14ac:dyDescent="0.3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 x14ac:dyDescent="0.3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 x14ac:dyDescent="0.3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 x14ac:dyDescent="0.3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 x14ac:dyDescent="0.3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 x14ac:dyDescent="0.3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 x14ac:dyDescent="0.3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 x14ac:dyDescent="0.3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 x14ac:dyDescent="0.3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 x14ac:dyDescent="0.3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 x14ac:dyDescent="0.3">
      <c r="A405" s="158" t="s">
        <v>265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263</v>
      </c>
      <c r="S405" s="74">
        <v>489360</v>
      </c>
      <c r="T405" s="99">
        <f>IFERROR(J405,"")</f>
        <v>99.305125714285708</v>
      </c>
    </row>
    <row r="406" spans="1:20" ht="18" customHeight="1" x14ac:dyDescent="0.3">
      <c r="A406" s="159" t="s">
        <v>251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266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 x14ac:dyDescent="0.3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369</v>
      </c>
      <c r="S408" s="81"/>
    </row>
    <row r="409" spans="1:20" ht="15" customHeight="1" x14ac:dyDescent="0.3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 x14ac:dyDescent="0.3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 x14ac:dyDescent="0.3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 x14ac:dyDescent="0.3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 x14ac:dyDescent="0.3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 x14ac:dyDescent="0.3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 x14ac:dyDescent="0.3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 x14ac:dyDescent="0.3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 x14ac:dyDescent="0.3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 x14ac:dyDescent="0.3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 x14ac:dyDescent="0.3">
      <c r="A419" s="158" t="s">
        <v>262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263</v>
      </c>
      <c r="S419" s="74">
        <v>447620</v>
      </c>
      <c r="T419" s="99">
        <f>IFERROR(J419,"")</f>
        <v>64.457279999999997</v>
      </c>
    </row>
    <row r="420" spans="1:20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370</v>
      </c>
    </row>
    <row r="421" spans="1:20" ht="15" customHeight="1" x14ac:dyDescent="0.3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 x14ac:dyDescent="0.3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 x14ac:dyDescent="0.3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 x14ac:dyDescent="0.3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 x14ac:dyDescent="0.3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 x14ac:dyDescent="0.3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 x14ac:dyDescent="0.3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 x14ac:dyDescent="0.3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 x14ac:dyDescent="0.3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 x14ac:dyDescent="0.3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 x14ac:dyDescent="0.3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 x14ac:dyDescent="0.3">
      <c r="A432" s="158" t="s">
        <v>265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263</v>
      </c>
      <c r="S432" s="74">
        <v>180150</v>
      </c>
      <c r="T432" s="99">
        <f>IFERROR(J432,"")</f>
        <v>25.941599999999998</v>
      </c>
    </row>
    <row r="433" spans="1:20" ht="18" customHeight="1" x14ac:dyDescent="0.3">
      <c r="A433" s="159" t="s">
        <v>251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266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371</v>
      </c>
      <c r="S434" s="81"/>
    </row>
    <row r="435" spans="1:20" ht="15" customHeight="1" x14ac:dyDescent="0.3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 x14ac:dyDescent="0.3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371</v>
      </c>
      <c r="S436" s="81"/>
    </row>
    <row r="437" spans="1:20" ht="15" customHeight="1" x14ac:dyDescent="0.3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 x14ac:dyDescent="0.3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 x14ac:dyDescent="0.3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 x14ac:dyDescent="0.3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 x14ac:dyDescent="0.3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 x14ac:dyDescent="0.3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 x14ac:dyDescent="0.3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 x14ac:dyDescent="0.3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 x14ac:dyDescent="0.3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 x14ac:dyDescent="0.3">
      <c r="A446" s="158" t="s">
        <v>262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263</v>
      </c>
      <c r="S446" s="74">
        <v>389280</v>
      </c>
      <c r="T446" s="99">
        <f>IFERROR(J446,"")</f>
        <v>74.494452705882338</v>
      </c>
    </row>
    <row r="447" spans="1:20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222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 x14ac:dyDescent="0.3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 x14ac:dyDescent="0.3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211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372</v>
      </c>
      <c r="S449" s="81"/>
    </row>
    <row r="450" spans="1:20" ht="15" customHeight="1" x14ac:dyDescent="0.3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 x14ac:dyDescent="0.3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 x14ac:dyDescent="0.3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 x14ac:dyDescent="0.3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 x14ac:dyDescent="0.3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 x14ac:dyDescent="0.3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 x14ac:dyDescent="0.3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 x14ac:dyDescent="0.3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 x14ac:dyDescent="0.3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 x14ac:dyDescent="0.3">
      <c r="A459" s="158" t="s">
        <v>265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263</v>
      </c>
      <c r="S459" s="74">
        <v>471910</v>
      </c>
      <c r="T459" s="99">
        <f>IFERROR(J459,"")</f>
        <v>92.928007027027007</v>
      </c>
    </row>
    <row r="460" spans="1:20" ht="18" customHeight="1" x14ac:dyDescent="0.3">
      <c r="A460" s="159" t="s">
        <v>251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266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 x14ac:dyDescent="0.3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 x14ac:dyDescent="0.3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 x14ac:dyDescent="0.3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 x14ac:dyDescent="0.3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 x14ac:dyDescent="0.3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 x14ac:dyDescent="0.3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 x14ac:dyDescent="0.3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 x14ac:dyDescent="0.3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 x14ac:dyDescent="0.3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 x14ac:dyDescent="0.3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 x14ac:dyDescent="0.3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 x14ac:dyDescent="0.3">
      <c r="A473" s="158" t="s">
        <v>262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263</v>
      </c>
      <c r="S473" s="74">
        <v>353640</v>
      </c>
      <c r="T473" s="99">
        <f>IFERROR(J473,"")</f>
        <v>50.924159999999993</v>
      </c>
    </row>
    <row r="474" spans="1:20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316</v>
      </c>
      <c r="S474" s="81"/>
    </row>
    <row r="475" spans="1:20" ht="15" customHeight="1" x14ac:dyDescent="0.3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195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 x14ac:dyDescent="0.3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 x14ac:dyDescent="0.3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373</v>
      </c>
      <c r="S477" s="81"/>
    </row>
    <row r="478" spans="1:20" ht="15" customHeight="1" x14ac:dyDescent="0.3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 x14ac:dyDescent="0.3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 x14ac:dyDescent="0.3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 x14ac:dyDescent="0.3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 x14ac:dyDescent="0.3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 x14ac:dyDescent="0.3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 x14ac:dyDescent="0.3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 x14ac:dyDescent="0.3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 x14ac:dyDescent="0.3">
      <c r="A486" s="158" t="s">
        <v>265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263</v>
      </c>
      <c r="S486" s="74">
        <v>261400</v>
      </c>
      <c r="T486" s="99">
        <f>IFERROR(J486,"")</f>
        <v>37.641599999999997</v>
      </c>
    </row>
    <row r="487" spans="1:20" ht="18" customHeight="1" x14ac:dyDescent="0.3">
      <c r="A487" s="159" t="s">
        <v>251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266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 x14ac:dyDescent="0.3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 x14ac:dyDescent="0.3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 x14ac:dyDescent="0.3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 x14ac:dyDescent="0.3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 x14ac:dyDescent="0.3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276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 x14ac:dyDescent="0.3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 x14ac:dyDescent="0.3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 x14ac:dyDescent="0.3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 x14ac:dyDescent="0.3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358</v>
      </c>
      <c r="S497" s="81"/>
    </row>
    <row r="498" spans="1:20" ht="15" customHeight="1" x14ac:dyDescent="0.3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 x14ac:dyDescent="0.3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 x14ac:dyDescent="0.3">
      <c r="A500" s="158" t="s">
        <v>262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263</v>
      </c>
      <c r="S500" s="74">
        <v>372250</v>
      </c>
      <c r="T500" s="99">
        <f>IFERROR(J500,"")</f>
        <v>53.603999999999992</v>
      </c>
    </row>
    <row r="501" spans="1:20" ht="15" customHeight="1" x14ac:dyDescent="0.3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374</v>
      </c>
      <c r="S501" s="81"/>
    </row>
    <row r="502" spans="1:20" ht="15" customHeight="1" x14ac:dyDescent="0.3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 x14ac:dyDescent="0.3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 x14ac:dyDescent="0.3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211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 x14ac:dyDescent="0.3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375</v>
      </c>
      <c r="S505" s="81"/>
    </row>
    <row r="506" spans="1:20" ht="15" customHeight="1" x14ac:dyDescent="0.3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 x14ac:dyDescent="0.3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 x14ac:dyDescent="0.3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 x14ac:dyDescent="0.3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 x14ac:dyDescent="0.3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 x14ac:dyDescent="0.3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 x14ac:dyDescent="0.3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 x14ac:dyDescent="0.3">
      <c r="A513" s="158" t="s">
        <v>265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263</v>
      </c>
      <c r="S513" s="74">
        <v>357140</v>
      </c>
      <c r="T513" s="99">
        <f>IFERROR(J513,"")</f>
        <v>61.810729999999992</v>
      </c>
    </row>
    <row r="514" spans="1:20" ht="18" customHeight="1" x14ac:dyDescent="0.3">
      <c r="A514" s="159" t="s">
        <v>251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266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 x14ac:dyDescent="0.3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 x14ac:dyDescent="0.3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 x14ac:dyDescent="0.3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376</v>
      </c>
      <c r="S517" s="81"/>
    </row>
    <row r="518" spans="1:20" ht="15" customHeight="1" x14ac:dyDescent="0.3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 x14ac:dyDescent="0.3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 x14ac:dyDescent="0.3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 x14ac:dyDescent="0.3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 x14ac:dyDescent="0.3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 x14ac:dyDescent="0.3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 x14ac:dyDescent="0.3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 x14ac:dyDescent="0.3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 x14ac:dyDescent="0.3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 x14ac:dyDescent="0.3">
      <c r="A527" s="158" t="s">
        <v>262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263</v>
      </c>
      <c r="S527" s="74">
        <v>393130</v>
      </c>
      <c r="T527" s="99">
        <f>IFERROR(J527,"")</f>
        <v>82.557299999999998</v>
      </c>
    </row>
    <row r="528" spans="1:20" ht="15" customHeight="1" x14ac:dyDescent="0.3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 x14ac:dyDescent="0.3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 x14ac:dyDescent="0.3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 x14ac:dyDescent="0.3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316</v>
      </c>
      <c r="S531" s="81"/>
    </row>
    <row r="532" spans="1:20" ht="15" customHeight="1" x14ac:dyDescent="0.3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 x14ac:dyDescent="0.3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377</v>
      </c>
      <c r="S533" s="81"/>
    </row>
    <row r="534" spans="1:20" ht="15" customHeight="1" x14ac:dyDescent="0.3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 x14ac:dyDescent="0.3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 x14ac:dyDescent="0.3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 x14ac:dyDescent="0.3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 x14ac:dyDescent="0.3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 x14ac:dyDescent="0.3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 x14ac:dyDescent="0.3">
      <c r="A540" s="158" t="s">
        <v>265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263</v>
      </c>
      <c r="S540" s="74">
        <v>270460</v>
      </c>
      <c r="T540" s="99">
        <f>IFERROR(J540,"")</f>
        <v>46.847219016393439</v>
      </c>
    </row>
    <row r="541" spans="1:20" ht="18" customHeight="1" x14ac:dyDescent="0.3">
      <c r="A541" s="159" t="s">
        <v>251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266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 x14ac:dyDescent="0.3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378</v>
      </c>
      <c r="S542" s="81"/>
    </row>
    <row r="543" spans="1:20" ht="15" customHeight="1" x14ac:dyDescent="0.3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224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 x14ac:dyDescent="0.3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 x14ac:dyDescent="0.3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 x14ac:dyDescent="0.3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 x14ac:dyDescent="0.3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 x14ac:dyDescent="0.3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 x14ac:dyDescent="0.3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 x14ac:dyDescent="0.3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 x14ac:dyDescent="0.3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 x14ac:dyDescent="0.3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 x14ac:dyDescent="0.3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 x14ac:dyDescent="0.3">
      <c r="A554" s="158" t="s">
        <v>262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263</v>
      </c>
      <c r="S554" s="74">
        <v>39890</v>
      </c>
      <c r="T554" s="99">
        <f>IFERROR(J554,"")</f>
        <v>5.7441599999999999</v>
      </c>
    </row>
    <row r="555" spans="1:20" ht="15" customHeight="1" x14ac:dyDescent="0.3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 x14ac:dyDescent="0.3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211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 x14ac:dyDescent="0.3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211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 x14ac:dyDescent="0.3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 x14ac:dyDescent="0.3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219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316</v>
      </c>
      <c r="S559" s="81"/>
    </row>
    <row r="560" spans="1:20" ht="15" customHeight="1" x14ac:dyDescent="0.3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209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 x14ac:dyDescent="0.3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 x14ac:dyDescent="0.3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211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 x14ac:dyDescent="0.3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 x14ac:dyDescent="0.3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379</v>
      </c>
      <c r="S564" s="81"/>
    </row>
    <row r="565" spans="1:20" ht="15" customHeight="1" x14ac:dyDescent="0.3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261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351</v>
      </c>
      <c r="S565" s="81"/>
    </row>
    <row r="566" spans="1:20" ht="15" customHeight="1" x14ac:dyDescent="0.3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261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 x14ac:dyDescent="0.3">
      <c r="A567" s="158" t="s">
        <v>265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263</v>
      </c>
      <c r="S567" s="74">
        <v>524080</v>
      </c>
      <c r="T567" s="99">
        <f>IFERROR(J567,"")</f>
        <v>75.467519999999979</v>
      </c>
    </row>
    <row r="568" spans="1:20" ht="18" customHeight="1" x14ac:dyDescent="0.3">
      <c r="A568" s="159" t="s">
        <v>251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266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 x14ac:dyDescent="0.3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316</v>
      </c>
      <c r="S569" s="81"/>
    </row>
    <row r="570" spans="1:20" ht="15" customHeight="1" x14ac:dyDescent="0.3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 x14ac:dyDescent="0.3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 x14ac:dyDescent="0.3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 x14ac:dyDescent="0.3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 x14ac:dyDescent="0.3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 x14ac:dyDescent="0.3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 x14ac:dyDescent="0.3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 x14ac:dyDescent="0.3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 x14ac:dyDescent="0.3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 x14ac:dyDescent="0.3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 x14ac:dyDescent="0.3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 x14ac:dyDescent="0.3">
      <c r="A581" s="158" t="s">
        <v>262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263</v>
      </c>
      <c r="S581" s="74">
        <v>631330</v>
      </c>
      <c r="T581" s="99">
        <f>IFERROR(J581,"")</f>
        <v>132.57929999999996</v>
      </c>
    </row>
    <row r="582" spans="1:20" ht="15" customHeight="1" x14ac:dyDescent="0.3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 x14ac:dyDescent="0.3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374</v>
      </c>
      <c r="S583" s="81"/>
    </row>
    <row r="584" spans="1:20" ht="15" customHeight="1" x14ac:dyDescent="0.3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 x14ac:dyDescent="0.3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 x14ac:dyDescent="0.3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 x14ac:dyDescent="0.3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 x14ac:dyDescent="0.3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 x14ac:dyDescent="0.3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 x14ac:dyDescent="0.3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 x14ac:dyDescent="0.3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 x14ac:dyDescent="0.3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261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 x14ac:dyDescent="0.3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 x14ac:dyDescent="0.3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263</v>
      </c>
      <c r="S594" s="74">
        <v>456490</v>
      </c>
      <c r="T594" s="99">
        <f>IFERROR(J594,"")</f>
        <v>95.862899999999996</v>
      </c>
    </row>
    <row r="595" spans="1:20" ht="18" customHeight="1" x14ac:dyDescent="0.3">
      <c r="A595" s="159" t="s">
        <v>251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266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 x14ac:dyDescent="0.3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 x14ac:dyDescent="0.3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 x14ac:dyDescent="0.3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 x14ac:dyDescent="0.3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316</v>
      </c>
      <c r="S599" s="81"/>
    </row>
    <row r="600" spans="1:20" ht="15" customHeight="1" x14ac:dyDescent="0.3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 x14ac:dyDescent="0.3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 x14ac:dyDescent="0.3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 x14ac:dyDescent="0.3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 x14ac:dyDescent="0.3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 x14ac:dyDescent="0.3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 x14ac:dyDescent="0.3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 x14ac:dyDescent="0.3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 x14ac:dyDescent="0.3">
      <c r="A608" s="158" t="s">
        <v>262</v>
      </c>
      <c r="B608" s="158"/>
      <c r="C608" s="158"/>
      <c r="D608" s="158"/>
      <c r="E608" s="158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263</v>
      </c>
      <c r="S608" s="74">
        <f>736040-425430+31060</f>
        <v>341670</v>
      </c>
      <c r="T608" s="99">
        <f>IFERROR(J608,"")</f>
        <v>71.750699999999995</v>
      </c>
    </row>
    <row r="609" spans="1:20" ht="15" customHeight="1" x14ac:dyDescent="0.3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 x14ac:dyDescent="0.3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 x14ac:dyDescent="0.3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 x14ac:dyDescent="0.3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 x14ac:dyDescent="0.3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 x14ac:dyDescent="0.3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 x14ac:dyDescent="0.3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 x14ac:dyDescent="0.3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 x14ac:dyDescent="0.3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 x14ac:dyDescent="0.3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 x14ac:dyDescent="0.3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 x14ac:dyDescent="0.3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 x14ac:dyDescent="0.3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 x14ac:dyDescent="0.3">
      <c r="A622" s="159" t="s">
        <v>251</v>
      </c>
      <c r="B622" s="159"/>
      <c r="C622" s="159"/>
      <c r="D622" s="159"/>
      <c r="E622" s="159"/>
      <c r="F622" s="108"/>
      <c r="G622" s="109">
        <f>G608+G621</f>
        <v>25</v>
      </c>
      <c r="H622" s="108">
        <f>IFERROR(H608+H621,"")</f>
        <v>341.66999999999996</v>
      </c>
      <c r="I622" s="110"/>
      <c r="J622" s="111">
        <f>IFERROR(J608+J621,"")</f>
        <v>71.750699999999995</v>
      </c>
      <c r="K622" s="1">
        <f>K608+K621</f>
        <v>105</v>
      </c>
      <c r="L622" s="76"/>
      <c r="M622" s="76"/>
      <c r="N622" s="76"/>
      <c r="O622" s="76"/>
      <c r="P622" s="76"/>
      <c r="Q622" s="77">
        <f ca="1">IFERROR(Q608+Q621,"")</f>
        <v>9.3749999999999944E-2</v>
      </c>
      <c r="R622" s="1" t="s">
        <v>266</v>
      </c>
      <c r="S622" s="82">
        <f>IFERROR(S608+S621,"")</f>
        <v>341670</v>
      </c>
      <c r="T622" s="118">
        <f>IFERROR(J622,"")</f>
        <v>71.750699999999995</v>
      </c>
    </row>
    <row r="623" spans="1:20" ht="15" customHeight="1" x14ac:dyDescent="0.3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 x14ac:dyDescent="0.3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 x14ac:dyDescent="0.3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 x14ac:dyDescent="0.3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 x14ac:dyDescent="0.3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 x14ac:dyDescent="0.3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 x14ac:dyDescent="0.3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 x14ac:dyDescent="0.3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 x14ac:dyDescent="0.3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 x14ac:dyDescent="0.3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 x14ac:dyDescent="0.3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 x14ac:dyDescent="0.3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 x14ac:dyDescent="0.3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 x14ac:dyDescent="0.3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 x14ac:dyDescent="0.3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 x14ac:dyDescent="0.3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 x14ac:dyDescent="0.3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 x14ac:dyDescent="0.3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 x14ac:dyDescent="0.3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 x14ac:dyDescent="0.3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 x14ac:dyDescent="0.3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 x14ac:dyDescent="0.3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 x14ac:dyDescent="0.3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 x14ac:dyDescent="0.3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 x14ac:dyDescent="0.3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 x14ac:dyDescent="0.3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 x14ac:dyDescent="0.3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 x14ac:dyDescent="0.3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 x14ac:dyDescent="0.3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 x14ac:dyDescent="0.3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 x14ac:dyDescent="0.3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 x14ac:dyDescent="0.3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 x14ac:dyDescent="0.3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 x14ac:dyDescent="0.3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 x14ac:dyDescent="0.3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 x14ac:dyDescent="0.3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 x14ac:dyDescent="0.3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 x14ac:dyDescent="0.3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 x14ac:dyDescent="0.3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 x14ac:dyDescent="0.3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 x14ac:dyDescent="0.3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 x14ac:dyDescent="0.3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 x14ac:dyDescent="0.3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 x14ac:dyDescent="0.3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 x14ac:dyDescent="0.3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 x14ac:dyDescent="0.3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 x14ac:dyDescent="0.3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 x14ac:dyDescent="0.3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 x14ac:dyDescent="0.3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 x14ac:dyDescent="0.3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 x14ac:dyDescent="0.3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 x14ac:dyDescent="0.3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 x14ac:dyDescent="0.3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 x14ac:dyDescent="0.3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 x14ac:dyDescent="0.3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 x14ac:dyDescent="0.3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 x14ac:dyDescent="0.3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 x14ac:dyDescent="0.3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 x14ac:dyDescent="0.3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 x14ac:dyDescent="0.3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 x14ac:dyDescent="0.3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 x14ac:dyDescent="0.3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 x14ac:dyDescent="0.3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 x14ac:dyDescent="0.3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 x14ac:dyDescent="0.3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 x14ac:dyDescent="0.3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 x14ac:dyDescent="0.3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 x14ac:dyDescent="0.3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 x14ac:dyDescent="0.3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 x14ac:dyDescent="0.3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 x14ac:dyDescent="0.3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 x14ac:dyDescent="0.3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 x14ac:dyDescent="0.3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 x14ac:dyDescent="0.3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 x14ac:dyDescent="0.3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 x14ac:dyDescent="0.3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 x14ac:dyDescent="0.3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 x14ac:dyDescent="0.3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 x14ac:dyDescent="0.3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 x14ac:dyDescent="0.3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 x14ac:dyDescent="0.3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 x14ac:dyDescent="0.3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 x14ac:dyDescent="0.3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 x14ac:dyDescent="0.3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 x14ac:dyDescent="0.3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 x14ac:dyDescent="0.3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 x14ac:dyDescent="0.3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 x14ac:dyDescent="0.3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 x14ac:dyDescent="0.3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 x14ac:dyDescent="0.3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 x14ac:dyDescent="0.3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 x14ac:dyDescent="0.3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 x14ac:dyDescent="0.3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 x14ac:dyDescent="0.3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 x14ac:dyDescent="0.3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 x14ac:dyDescent="0.3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 x14ac:dyDescent="0.3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 x14ac:dyDescent="0.3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 x14ac:dyDescent="0.3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 x14ac:dyDescent="0.3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 x14ac:dyDescent="0.3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 x14ac:dyDescent="0.3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 x14ac:dyDescent="0.3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 x14ac:dyDescent="0.3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 x14ac:dyDescent="0.3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 x14ac:dyDescent="0.3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 x14ac:dyDescent="0.3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 x14ac:dyDescent="0.3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 x14ac:dyDescent="0.3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 x14ac:dyDescent="0.3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 x14ac:dyDescent="0.3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 x14ac:dyDescent="0.3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 x14ac:dyDescent="0.3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 x14ac:dyDescent="0.3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 x14ac:dyDescent="0.3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 x14ac:dyDescent="0.3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 x14ac:dyDescent="0.3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 x14ac:dyDescent="0.3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 x14ac:dyDescent="0.3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 x14ac:dyDescent="0.3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 x14ac:dyDescent="0.3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 x14ac:dyDescent="0.3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 x14ac:dyDescent="0.3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 x14ac:dyDescent="0.3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 x14ac:dyDescent="0.3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 x14ac:dyDescent="0.3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 x14ac:dyDescent="0.3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 x14ac:dyDescent="0.3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 x14ac:dyDescent="0.3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 x14ac:dyDescent="0.3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 x14ac:dyDescent="0.3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 x14ac:dyDescent="0.3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 x14ac:dyDescent="0.3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 x14ac:dyDescent="0.3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 x14ac:dyDescent="0.3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 x14ac:dyDescent="0.3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 x14ac:dyDescent="0.3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 x14ac:dyDescent="0.3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 x14ac:dyDescent="0.3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 x14ac:dyDescent="0.3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 x14ac:dyDescent="0.3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 x14ac:dyDescent="0.3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 x14ac:dyDescent="0.3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 x14ac:dyDescent="0.3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 x14ac:dyDescent="0.3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 x14ac:dyDescent="0.3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 x14ac:dyDescent="0.3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 x14ac:dyDescent="0.3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 x14ac:dyDescent="0.3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 x14ac:dyDescent="0.3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 x14ac:dyDescent="0.3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 x14ac:dyDescent="0.3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 x14ac:dyDescent="0.3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 x14ac:dyDescent="0.3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 x14ac:dyDescent="0.3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 x14ac:dyDescent="0.3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 x14ac:dyDescent="0.3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 x14ac:dyDescent="0.3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 x14ac:dyDescent="0.3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 x14ac:dyDescent="0.3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 x14ac:dyDescent="0.3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 x14ac:dyDescent="0.3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 x14ac:dyDescent="0.3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 x14ac:dyDescent="0.3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 x14ac:dyDescent="0.3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 x14ac:dyDescent="0.3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 x14ac:dyDescent="0.3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 x14ac:dyDescent="0.3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 x14ac:dyDescent="0.3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 x14ac:dyDescent="0.3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 x14ac:dyDescent="0.3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 x14ac:dyDescent="0.3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 x14ac:dyDescent="0.3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 x14ac:dyDescent="0.3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 x14ac:dyDescent="0.3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 x14ac:dyDescent="0.3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 x14ac:dyDescent="0.3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 x14ac:dyDescent="0.3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 x14ac:dyDescent="0.3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 x14ac:dyDescent="0.3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 x14ac:dyDescent="0.3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 x14ac:dyDescent="0.3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 x14ac:dyDescent="0.3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 x14ac:dyDescent="0.3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 x14ac:dyDescent="0.3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 x14ac:dyDescent="0.3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 x14ac:dyDescent="0.3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 x14ac:dyDescent="0.3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 x14ac:dyDescent="0.3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 x14ac:dyDescent="0.3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 x14ac:dyDescent="0.3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 x14ac:dyDescent="0.3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 x14ac:dyDescent="0.3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 x14ac:dyDescent="0.3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 x14ac:dyDescent="0.3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 x14ac:dyDescent="0.3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 x14ac:dyDescent="0.3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 x14ac:dyDescent="0.3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 x14ac:dyDescent="0.3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 x14ac:dyDescent="0.3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 x14ac:dyDescent="0.3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 x14ac:dyDescent="0.3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 x14ac:dyDescent="0.3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 x14ac:dyDescent="0.3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 x14ac:dyDescent="0.3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 x14ac:dyDescent="0.3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 x14ac:dyDescent="0.3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 x14ac:dyDescent="0.3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 x14ac:dyDescent="0.3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 x14ac:dyDescent="0.3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opLeftCell="L1" zoomScale="81" zoomScaleNormal="81" workbookViewId="0">
      <pane ySplit="1" topLeftCell="A590" activePane="bottomLeft" state="frozen"/>
      <selection pane="bottomLeft" activeCell="S609" sqref="S609"/>
    </sheetView>
  </sheetViews>
  <sheetFormatPr defaultColWidth="8.5546875" defaultRowHeight="14.4" x14ac:dyDescent="0.3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8671875" style="131" hidden="1" customWidth="1"/>
    <col min="7" max="7" width="13" style="131" customWidth="1"/>
    <col min="8" max="8" width="15.88671875" style="131" hidden="1" customWidth="1"/>
    <col min="9" max="10" width="13.88671875" style="131" hidden="1" customWidth="1"/>
    <col min="11" max="11" width="14" style="131" customWidth="1"/>
    <col min="12" max="12" width="36" style="131" customWidth="1"/>
    <col min="13" max="13" width="25.109375" style="131" customWidth="1"/>
    <col min="14" max="14" width="42.109375" style="131" customWidth="1"/>
    <col min="15" max="15" width="18.44140625" style="131" customWidth="1"/>
    <col min="16" max="16" width="14" style="132" customWidth="1"/>
    <col min="17" max="17" width="14" style="131" customWidth="1"/>
    <col min="18" max="18" width="64.88671875" style="131" customWidth="1"/>
    <col min="19" max="19" width="25.5546875" customWidth="1"/>
    <col min="20" max="20" width="14.88671875" hidden="1" customWidth="1"/>
  </cols>
  <sheetData>
    <row r="1" spans="1:20" ht="37.5" customHeight="1" x14ac:dyDescent="0.3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 x14ac:dyDescent="0.3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 x14ac:dyDescent="0.3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 x14ac:dyDescent="0.3">
      <c r="A14" s="158" t="s">
        <v>262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263</v>
      </c>
      <c r="S14" s="74">
        <v>561420</v>
      </c>
      <c r="T14" s="99">
        <f>IFERROR(J14,"")</f>
        <v>0</v>
      </c>
    </row>
    <row r="15" spans="1:20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276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380</v>
      </c>
      <c r="S16" s="133"/>
    </row>
    <row r="17" spans="1:20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313</v>
      </c>
      <c r="S17" s="133"/>
    </row>
    <row r="18" spans="1:20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351</v>
      </c>
      <c r="S18" s="133"/>
    </row>
    <row r="19" spans="1:20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381</v>
      </c>
      <c r="S19" s="133"/>
    </row>
    <row r="20" spans="1:20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382</v>
      </c>
      <c r="S22" s="133"/>
    </row>
    <row r="23" spans="1:20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276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276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 x14ac:dyDescent="0.3">
      <c r="A27" s="158" t="s">
        <v>265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263</v>
      </c>
      <c r="S27" s="74">
        <v>491520</v>
      </c>
      <c r="T27" s="99">
        <f>IFERROR(J27,"")</f>
        <v>0</v>
      </c>
    </row>
    <row r="28" spans="1:20" ht="18" customHeight="1" x14ac:dyDescent="0.3">
      <c r="A28" s="159" t="s">
        <v>251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266</v>
      </c>
      <c r="S28" s="82">
        <f>IFERROR(S14+S27,"")</f>
        <v>1052940</v>
      </c>
      <c r="T28" s="118">
        <f>IFERROR(J28,"")</f>
        <v>0</v>
      </c>
    </row>
    <row r="29" spans="1:20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276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 x14ac:dyDescent="0.3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 x14ac:dyDescent="0.3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276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 x14ac:dyDescent="0.3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276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 x14ac:dyDescent="0.3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276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 x14ac:dyDescent="0.3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276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 x14ac:dyDescent="0.3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276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 x14ac:dyDescent="0.3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276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 x14ac:dyDescent="0.3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276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 x14ac:dyDescent="0.3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276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 x14ac:dyDescent="0.3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276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 x14ac:dyDescent="0.3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276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 x14ac:dyDescent="0.3">
      <c r="A41" s="158" t="s">
        <v>262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263</v>
      </c>
      <c r="S41" s="74">
        <v>766800</v>
      </c>
      <c r="T41" s="99">
        <f>IFERROR(J41,"")</f>
        <v>0</v>
      </c>
    </row>
    <row r="42" spans="1:20" ht="15" customHeight="1" x14ac:dyDescent="0.3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383</v>
      </c>
      <c r="S45" s="133"/>
    </row>
    <row r="46" spans="1:20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 x14ac:dyDescent="0.3">
      <c r="A54" s="158" t="s">
        <v>265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263</v>
      </c>
      <c r="S54" s="74">
        <v>352430</v>
      </c>
      <c r="T54" s="99">
        <f>IFERROR(J54,"")</f>
        <v>0</v>
      </c>
    </row>
    <row r="55" spans="1:20" ht="18" customHeight="1" x14ac:dyDescent="0.3">
      <c r="A55" s="159" t="s">
        <v>251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266</v>
      </c>
      <c r="S55" s="82">
        <f>IFERROR(S41+S54,"")</f>
        <v>1119230</v>
      </c>
      <c r="T55" s="118">
        <f>IFERROR(J55,"")</f>
        <v>0</v>
      </c>
    </row>
    <row r="56" spans="1:20" ht="15" customHeight="1" x14ac:dyDescent="0.3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 x14ac:dyDescent="0.3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 x14ac:dyDescent="0.3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219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 x14ac:dyDescent="0.3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384</v>
      </c>
      <c r="S59" s="133"/>
    </row>
    <row r="60" spans="1:20" ht="15" customHeight="1" x14ac:dyDescent="0.3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385</v>
      </c>
      <c r="S60" s="133"/>
    </row>
    <row r="61" spans="1:20" ht="15" customHeight="1" x14ac:dyDescent="0.3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 x14ac:dyDescent="0.3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 x14ac:dyDescent="0.3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 x14ac:dyDescent="0.3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 x14ac:dyDescent="0.3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 x14ac:dyDescent="0.3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 x14ac:dyDescent="0.3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 x14ac:dyDescent="0.3">
      <c r="A68" s="158" t="s">
        <v>262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263</v>
      </c>
      <c r="S68" s="74">
        <v>477090</v>
      </c>
      <c r="T68" s="99">
        <f>IFERROR(J68,"")</f>
        <v>0</v>
      </c>
    </row>
    <row r="69" spans="1:20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232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386</v>
      </c>
      <c r="S69" s="133"/>
    </row>
    <row r="70" spans="1:20" ht="15" customHeight="1" x14ac:dyDescent="0.3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 x14ac:dyDescent="0.3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 x14ac:dyDescent="0.3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351</v>
      </c>
      <c r="S72" s="133"/>
    </row>
    <row r="73" spans="1:20" ht="15" customHeight="1" x14ac:dyDescent="0.3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 x14ac:dyDescent="0.3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219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 x14ac:dyDescent="0.3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 x14ac:dyDescent="0.3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 x14ac:dyDescent="0.3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 x14ac:dyDescent="0.3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 x14ac:dyDescent="0.3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 x14ac:dyDescent="0.3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 x14ac:dyDescent="0.3">
      <c r="A81" s="158" t="s">
        <v>265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263</v>
      </c>
      <c r="S81" s="74">
        <v>612410</v>
      </c>
      <c r="T81" s="99">
        <f>IFERROR(J81,"")</f>
        <v>0</v>
      </c>
    </row>
    <row r="82" spans="1:20" ht="18" customHeight="1" x14ac:dyDescent="0.3">
      <c r="A82" s="159" t="s">
        <v>251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266</v>
      </c>
      <c r="S82" s="82">
        <f>IFERROR(S68+S81,"")</f>
        <v>1089500</v>
      </c>
      <c r="T82" s="118">
        <f>IFERROR(J82,"")</f>
        <v>0</v>
      </c>
    </row>
    <row r="83" spans="1:20" ht="15" customHeight="1" x14ac:dyDescent="0.3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 x14ac:dyDescent="0.3">
      <c r="A95" s="158" t="s">
        <v>262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263</v>
      </c>
      <c r="S95" s="74">
        <v>786700</v>
      </c>
      <c r="T95" s="99">
        <f>IFERROR(J95,"")</f>
        <v>0</v>
      </c>
    </row>
    <row r="96" spans="1:20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351</v>
      </c>
      <c r="S97" s="133"/>
    </row>
    <row r="98" spans="1:20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 x14ac:dyDescent="0.3">
      <c r="A108" s="158" t="s">
        <v>265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263</v>
      </c>
      <c r="S108" s="74">
        <v>956070</v>
      </c>
      <c r="T108" s="99">
        <f>IFERROR(J108,"")</f>
        <v>0</v>
      </c>
    </row>
    <row r="109" spans="1:20" ht="18" customHeight="1" x14ac:dyDescent="0.3">
      <c r="A109" s="159" t="s">
        <v>251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266</v>
      </c>
      <c r="S109" s="82">
        <f>IFERROR(S95+S108,"")</f>
        <v>1742770</v>
      </c>
      <c r="T109" s="118">
        <f>IFERROR(J109,"")</f>
        <v>0</v>
      </c>
    </row>
    <row r="110" spans="1:20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232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237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237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387</v>
      </c>
      <c r="S114" s="133"/>
    </row>
    <row r="115" spans="1:20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 x14ac:dyDescent="0.3">
      <c r="A122" s="158" t="s">
        <v>262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263</v>
      </c>
      <c r="S122" s="74">
        <v>811580</v>
      </c>
      <c r="T122" s="99">
        <f>IFERROR(J122,"")</f>
        <v>0</v>
      </c>
    </row>
    <row r="123" spans="1:20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219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 x14ac:dyDescent="0.3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388</v>
      </c>
      <c r="S124" s="133"/>
    </row>
    <row r="125" spans="1:20" ht="15" customHeight="1" x14ac:dyDescent="0.3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 x14ac:dyDescent="0.3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 x14ac:dyDescent="0.3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 x14ac:dyDescent="0.3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 x14ac:dyDescent="0.3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351</v>
      </c>
      <c r="S129" s="133"/>
    </row>
    <row r="130" spans="1:22" ht="15" customHeight="1" x14ac:dyDescent="0.3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 x14ac:dyDescent="0.3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 x14ac:dyDescent="0.3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 x14ac:dyDescent="0.3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 x14ac:dyDescent="0.3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 x14ac:dyDescent="0.3">
      <c r="A135" s="158" t="s">
        <v>265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263</v>
      </c>
      <c r="S135" s="74">
        <v>912240</v>
      </c>
      <c r="T135" s="99">
        <f>IFERROR(J135,"")</f>
        <v>0</v>
      </c>
    </row>
    <row r="136" spans="1:22" ht="18" customHeight="1" x14ac:dyDescent="0.3">
      <c r="A136" s="159" t="s">
        <v>251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266</v>
      </c>
      <c r="S136" s="82">
        <f>IFERROR(S122+S135,"")</f>
        <v>1723820</v>
      </c>
      <c r="T136" s="118">
        <f>IFERROR(J136,"")</f>
        <v>0</v>
      </c>
    </row>
    <row r="137" spans="1:22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389</v>
      </c>
      <c r="S138" s="67"/>
    </row>
    <row r="139" spans="1:22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390</v>
      </c>
      <c r="S139" s="67"/>
    </row>
    <row r="140" spans="1:22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324</v>
      </c>
      <c r="S146" s="67"/>
    </row>
    <row r="147" spans="1:20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3">
      <c r="A149" s="120" t="s">
        <v>262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263</v>
      </c>
      <c r="S149" s="74">
        <v>797860</v>
      </c>
      <c r="T149" s="99">
        <f>IFERROR(J149,"")</f>
        <v>0</v>
      </c>
    </row>
    <row r="150" spans="1:20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391</v>
      </c>
      <c r="S150" s="67"/>
    </row>
    <row r="151" spans="1:20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392</v>
      </c>
      <c r="S151" s="67"/>
    </row>
    <row r="152" spans="1:20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3">
      <c r="A162" s="158" t="s">
        <v>265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263</v>
      </c>
      <c r="S162" s="74">
        <v>573230</v>
      </c>
      <c r="T162" s="99">
        <f>IFERROR(J162,"")</f>
        <v>0</v>
      </c>
    </row>
    <row r="163" spans="1:20" ht="18" customHeight="1" x14ac:dyDescent="0.3">
      <c r="A163" s="159" t="s">
        <v>251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266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196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393</v>
      </c>
      <c r="S170" s="67"/>
    </row>
    <row r="171" spans="1:20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3">
      <c r="A176" s="158" t="s">
        <v>262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263</v>
      </c>
      <c r="S176" s="74">
        <v>659400</v>
      </c>
      <c r="T176" s="99">
        <f>IFERROR(J176,"")</f>
        <v>0</v>
      </c>
    </row>
    <row r="177" spans="1:20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394</v>
      </c>
      <c r="S177" s="67"/>
    </row>
    <row r="178" spans="1:20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3">
      <c r="A189" s="158" t="s">
        <v>265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263</v>
      </c>
      <c r="S189" s="74">
        <v>692750</v>
      </c>
      <c r="T189" s="99">
        <f>IFERROR(J189,"")</f>
        <v>0</v>
      </c>
    </row>
    <row r="190" spans="1:20" ht="18" customHeight="1" x14ac:dyDescent="0.3">
      <c r="A190" s="159" t="s">
        <v>251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266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395</v>
      </c>
      <c r="S192" s="67"/>
    </row>
    <row r="193" spans="1:20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3">
      <c r="A203" s="158" t="s">
        <v>262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263</v>
      </c>
      <c r="S203" s="74">
        <v>790070</v>
      </c>
      <c r="T203" s="99">
        <f>IFERROR(J203,"")</f>
        <v>0</v>
      </c>
    </row>
    <row r="204" spans="1:20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396</v>
      </c>
      <c r="S204" s="133"/>
    </row>
    <row r="205" spans="1:20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398</v>
      </c>
      <c r="S206" s="133"/>
    </row>
    <row r="207" spans="1:20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 x14ac:dyDescent="0.3">
      <c r="A216" s="158" t="s">
        <v>265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263</v>
      </c>
      <c r="S216" s="74">
        <v>607180</v>
      </c>
      <c r="T216" s="99">
        <f>IFERROR(J216,"")</f>
        <v>0</v>
      </c>
    </row>
    <row r="217" spans="1:20" ht="18" customHeight="1" x14ac:dyDescent="0.3">
      <c r="A217" s="159" t="s">
        <v>251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266</v>
      </c>
      <c r="S217" s="82">
        <f>IFERROR(S203+S216,"")</f>
        <v>1397250</v>
      </c>
      <c r="T217" s="118">
        <f>IFERROR(J217,"")</f>
        <v>0</v>
      </c>
    </row>
    <row r="218" spans="1:20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399</v>
      </c>
      <c r="S220" s="133"/>
    </row>
    <row r="221" spans="1:20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400</v>
      </c>
      <c r="S221" s="133"/>
    </row>
    <row r="222" spans="1:20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 x14ac:dyDescent="0.3">
      <c r="A230" s="158" t="s">
        <v>262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263</v>
      </c>
      <c r="S230" s="74">
        <v>755220</v>
      </c>
      <c r="T230" s="99">
        <f>IFERROR(J230,"")</f>
        <v>0</v>
      </c>
    </row>
    <row r="231" spans="1:20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401</v>
      </c>
      <c r="S231" s="133"/>
    </row>
    <row r="232" spans="1:20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402</v>
      </c>
      <c r="S232" s="133"/>
    </row>
    <row r="233" spans="1:20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 x14ac:dyDescent="0.3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263</v>
      </c>
      <c r="S243" s="74">
        <v>795250</v>
      </c>
      <c r="T243" s="99">
        <f>IFERROR(J243,"")</f>
        <v>0</v>
      </c>
    </row>
    <row r="244" spans="1:20" ht="18" customHeight="1" x14ac:dyDescent="0.3">
      <c r="A244" s="159" t="s">
        <v>251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266</v>
      </c>
      <c r="S244" s="82">
        <f>IFERROR(S230+S243,"")</f>
        <v>1550470</v>
      </c>
      <c r="T244" s="118">
        <f>IFERROR(J244,"")</f>
        <v>0</v>
      </c>
    </row>
    <row r="245" spans="1:20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 t="s">
        <v>286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403</v>
      </c>
      <c r="S249" s="133"/>
    </row>
    <row r="250" spans="1:20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 x14ac:dyDescent="0.3">
      <c r="A257" s="158" t="s">
        <v>262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263</v>
      </c>
      <c r="S257" s="74">
        <v>803560</v>
      </c>
      <c r="T257" s="99">
        <f>IFERROR(J257,"")</f>
        <v>0</v>
      </c>
    </row>
    <row r="258" spans="1:20" ht="15" customHeight="1" x14ac:dyDescent="0.3">
      <c r="A258" s="18">
        <v>46244</v>
      </c>
      <c r="B258" s="68">
        <v>0.83333333333333304</v>
      </c>
      <c r="C258" s="70"/>
      <c r="D258" s="75" t="s">
        <v>47</v>
      </c>
      <c r="E258" s="100" t="s">
        <v>276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 x14ac:dyDescent="0.3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276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 x14ac:dyDescent="0.3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276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 x14ac:dyDescent="0.3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276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 x14ac:dyDescent="0.3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276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 x14ac:dyDescent="0.3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276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 x14ac:dyDescent="0.3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276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 x14ac:dyDescent="0.3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276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 x14ac:dyDescent="0.3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276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 x14ac:dyDescent="0.3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276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 x14ac:dyDescent="0.3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276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 x14ac:dyDescent="0.3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276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 x14ac:dyDescent="0.3">
      <c r="A270" s="158" t="s">
        <v>265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263</v>
      </c>
      <c r="S270" s="74">
        <v>683360</v>
      </c>
      <c r="T270" s="99">
        <f>IFERROR(J270,"")</f>
        <v>0</v>
      </c>
    </row>
    <row r="271" spans="1:20" ht="18" customHeight="1" x14ac:dyDescent="0.3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266</v>
      </c>
      <c r="S271" s="82">
        <f>IFERROR(S257+S270,"")</f>
        <v>1486920</v>
      </c>
      <c r="T271" s="118">
        <f>IFERROR(J271,"")</f>
        <v>0</v>
      </c>
    </row>
    <row r="272" spans="1:20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 x14ac:dyDescent="0.3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 x14ac:dyDescent="0.3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 x14ac:dyDescent="0.3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 x14ac:dyDescent="0.3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 x14ac:dyDescent="0.3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 x14ac:dyDescent="0.3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 x14ac:dyDescent="0.3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 x14ac:dyDescent="0.3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 x14ac:dyDescent="0.3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 x14ac:dyDescent="0.3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276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 x14ac:dyDescent="0.3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 x14ac:dyDescent="0.3">
      <c r="A284" s="158" t="s">
        <v>262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263</v>
      </c>
      <c r="S284" s="74">
        <v>762600</v>
      </c>
      <c r="T284" s="99">
        <f>IFERROR(J284,"")</f>
        <v>0</v>
      </c>
    </row>
    <row r="285" spans="1:20" ht="15" customHeight="1" x14ac:dyDescent="0.3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 x14ac:dyDescent="0.3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 x14ac:dyDescent="0.3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 x14ac:dyDescent="0.3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 x14ac:dyDescent="0.3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 x14ac:dyDescent="0.3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 x14ac:dyDescent="0.3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 x14ac:dyDescent="0.3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 x14ac:dyDescent="0.3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 x14ac:dyDescent="0.3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 x14ac:dyDescent="0.3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 x14ac:dyDescent="0.3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 x14ac:dyDescent="0.3">
      <c r="A297" s="158" t="s">
        <v>265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263</v>
      </c>
      <c r="S297" s="74">
        <v>904710</v>
      </c>
      <c r="T297" s="99">
        <f>IFERROR(J297,"")</f>
        <v>0</v>
      </c>
    </row>
    <row r="298" spans="1:20" ht="18" customHeight="1" x14ac:dyDescent="0.3">
      <c r="A298" s="159" t="s">
        <v>251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266</v>
      </c>
      <c r="S298" s="82">
        <f>IFERROR(S284+S297,"")</f>
        <v>1667310</v>
      </c>
      <c r="T298" s="118">
        <f>IFERROR(J298,"")</f>
        <v>0</v>
      </c>
    </row>
    <row r="299" spans="1:20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196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 x14ac:dyDescent="0.3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 x14ac:dyDescent="0.3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 x14ac:dyDescent="0.3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 x14ac:dyDescent="0.3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 x14ac:dyDescent="0.3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 x14ac:dyDescent="0.3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 x14ac:dyDescent="0.3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 x14ac:dyDescent="0.3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 x14ac:dyDescent="0.3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 x14ac:dyDescent="0.3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 x14ac:dyDescent="0.3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 x14ac:dyDescent="0.3">
      <c r="A311" s="158" t="s">
        <v>262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263</v>
      </c>
      <c r="S311" s="74">
        <v>948950</v>
      </c>
      <c r="T311" s="99">
        <f>IFERROR(J311,"")</f>
        <v>159.15670781249997</v>
      </c>
    </row>
    <row r="312" spans="1:20" ht="15" customHeight="1" x14ac:dyDescent="0.3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 x14ac:dyDescent="0.3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 x14ac:dyDescent="0.3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 x14ac:dyDescent="0.3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 x14ac:dyDescent="0.3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 x14ac:dyDescent="0.3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 x14ac:dyDescent="0.3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 x14ac:dyDescent="0.3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 x14ac:dyDescent="0.3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 x14ac:dyDescent="0.3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 x14ac:dyDescent="0.3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 x14ac:dyDescent="0.3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 x14ac:dyDescent="0.3">
      <c r="A324" s="158" t="s">
        <v>265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263</v>
      </c>
      <c r="S324" s="74">
        <v>1049720</v>
      </c>
      <c r="T324" s="99">
        <f>IFERROR(J324,"")</f>
        <v>151.15967999999998</v>
      </c>
    </row>
    <row r="325" spans="1:20" ht="18" customHeight="1" x14ac:dyDescent="0.3">
      <c r="A325" s="159" t="s">
        <v>251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266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 x14ac:dyDescent="0.3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 x14ac:dyDescent="0.3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 x14ac:dyDescent="0.3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 x14ac:dyDescent="0.3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276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 x14ac:dyDescent="0.3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 x14ac:dyDescent="0.3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 x14ac:dyDescent="0.3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 x14ac:dyDescent="0.3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 x14ac:dyDescent="0.3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 x14ac:dyDescent="0.3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 x14ac:dyDescent="0.3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 x14ac:dyDescent="0.3">
      <c r="A338" s="158" t="s">
        <v>262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263</v>
      </c>
      <c r="S338" s="74">
        <v>1211360</v>
      </c>
      <c r="T338" s="99">
        <f>IFERROR(J338,"")</f>
        <v>254.38559999999993</v>
      </c>
    </row>
    <row r="339" spans="1:20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 x14ac:dyDescent="0.3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 x14ac:dyDescent="0.3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 x14ac:dyDescent="0.3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 x14ac:dyDescent="0.3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 x14ac:dyDescent="0.3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 x14ac:dyDescent="0.3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 x14ac:dyDescent="0.3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404</v>
      </c>
      <c r="S346" s="133"/>
    </row>
    <row r="347" spans="1:20" ht="15" customHeight="1" x14ac:dyDescent="0.3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405</v>
      </c>
      <c r="S347" s="133"/>
    </row>
    <row r="348" spans="1:20" ht="15" customHeight="1" x14ac:dyDescent="0.3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 x14ac:dyDescent="0.3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 x14ac:dyDescent="0.3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 x14ac:dyDescent="0.3">
      <c r="A351" s="158" t="s">
        <v>265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263</v>
      </c>
      <c r="S351" s="74">
        <v>1058130</v>
      </c>
      <c r="T351" s="99">
        <f>IFERROR(J351,"")</f>
        <v>222.20729999999995</v>
      </c>
    </row>
    <row r="352" spans="1:20" ht="18" customHeight="1" x14ac:dyDescent="0.3">
      <c r="A352" s="159" t="s">
        <v>251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266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 x14ac:dyDescent="0.3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 x14ac:dyDescent="0.3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 x14ac:dyDescent="0.3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406</v>
      </c>
      <c r="S356" s="133"/>
    </row>
    <row r="357" spans="1:20" ht="15" customHeight="1" x14ac:dyDescent="0.3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 x14ac:dyDescent="0.3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407</v>
      </c>
      <c r="S358" s="133"/>
    </row>
    <row r="359" spans="1:20" ht="15" customHeight="1" x14ac:dyDescent="0.3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 x14ac:dyDescent="0.3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 x14ac:dyDescent="0.3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 x14ac:dyDescent="0.3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 x14ac:dyDescent="0.3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 x14ac:dyDescent="0.3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 x14ac:dyDescent="0.3">
      <c r="A365" s="120" t="s">
        <v>262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263</v>
      </c>
      <c r="S365" s="74">
        <v>885120</v>
      </c>
      <c r="T365" s="99">
        <f>IFERROR(J365,"")</f>
        <v>185.87519999999998</v>
      </c>
    </row>
    <row r="366" spans="1:20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 x14ac:dyDescent="0.3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 x14ac:dyDescent="0.3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 x14ac:dyDescent="0.3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 x14ac:dyDescent="0.3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 x14ac:dyDescent="0.3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 x14ac:dyDescent="0.3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408</v>
      </c>
      <c r="S372" s="133"/>
    </row>
    <row r="373" spans="1:20" ht="15" customHeight="1" x14ac:dyDescent="0.3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 x14ac:dyDescent="0.3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 x14ac:dyDescent="0.3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 x14ac:dyDescent="0.3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 x14ac:dyDescent="0.3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 x14ac:dyDescent="0.3">
      <c r="A378" s="158" t="s">
        <v>265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263</v>
      </c>
      <c r="S378" s="74">
        <v>1137080</v>
      </c>
      <c r="T378" s="99">
        <f>IFERROR(J378,"")</f>
        <v>238.78679999999994</v>
      </c>
    </row>
    <row r="379" spans="1:20" ht="18" customHeight="1" x14ac:dyDescent="0.3">
      <c r="A379" s="159" t="s">
        <v>251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266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 x14ac:dyDescent="0.3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276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 x14ac:dyDescent="0.3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 x14ac:dyDescent="0.3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 x14ac:dyDescent="0.3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338</v>
      </c>
      <c r="S384" s="133"/>
    </row>
    <row r="385" spans="1:20" ht="15" customHeight="1" x14ac:dyDescent="0.3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409</v>
      </c>
      <c r="S385" s="133"/>
    </row>
    <row r="386" spans="1:20" ht="15" customHeight="1" x14ac:dyDescent="0.3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 x14ac:dyDescent="0.3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 x14ac:dyDescent="0.3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 x14ac:dyDescent="0.3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 x14ac:dyDescent="0.3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 x14ac:dyDescent="0.3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 x14ac:dyDescent="0.3">
      <c r="A392" s="158" t="s">
        <v>262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263</v>
      </c>
      <c r="S392" s="74">
        <v>675670</v>
      </c>
      <c r="T392" s="99">
        <f>IFERROR(J392,"")</f>
        <v>141.89069999999998</v>
      </c>
    </row>
    <row r="393" spans="1:20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232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 x14ac:dyDescent="0.3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410</v>
      </c>
      <c r="S394" s="133"/>
    </row>
    <row r="395" spans="1:20" ht="15" customHeight="1" x14ac:dyDescent="0.3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 x14ac:dyDescent="0.3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 x14ac:dyDescent="0.3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 x14ac:dyDescent="0.3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 x14ac:dyDescent="0.3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 x14ac:dyDescent="0.3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 x14ac:dyDescent="0.3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 x14ac:dyDescent="0.3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 x14ac:dyDescent="0.3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 x14ac:dyDescent="0.3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 x14ac:dyDescent="0.3">
      <c r="A405" s="158" t="s">
        <v>265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263</v>
      </c>
      <c r="S405" s="74">
        <v>989450</v>
      </c>
      <c r="T405" s="99">
        <f>IFERROR(J405,"")</f>
        <v>195.72390675675675</v>
      </c>
    </row>
    <row r="406" spans="1:20" ht="18" customHeight="1" x14ac:dyDescent="0.3">
      <c r="A406" s="159" t="s">
        <v>251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266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239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411</v>
      </c>
      <c r="S407" s="133"/>
    </row>
    <row r="408" spans="1:20" ht="15" customHeight="1" x14ac:dyDescent="0.3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 x14ac:dyDescent="0.3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 x14ac:dyDescent="0.3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 x14ac:dyDescent="0.3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 x14ac:dyDescent="0.3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 x14ac:dyDescent="0.3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 x14ac:dyDescent="0.3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 x14ac:dyDescent="0.3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 x14ac:dyDescent="0.3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 x14ac:dyDescent="0.3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 x14ac:dyDescent="0.3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 x14ac:dyDescent="0.3">
      <c r="A419" s="158" t="s">
        <v>262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263</v>
      </c>
      <c r="S419" s="74">
        <v>627410</v>
      </c>
      <c r="T419" s="99">
        <f>IFERROR(J419,"")</f>
        <v>90.347039999999993</v>
      </c>
    </row>
    <row r="420" spans="1:20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 x14ac:dyDescent="0.3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 x14ac:dyDescent="0.3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 x14ac:dyDescent="0.3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412</v>
      </c>
      <c r="S423" s="133"/>
    </row>
    <row r="424" spans="1:20" ht="15" customHeight="1" x14ac:dyDescent="0.3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 x14ac:dyDescent="0.3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 x14ac:dyDescent="0.3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 x14ac:dyDescent="0.3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 x14ac:dyDescent="0.3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 x14ac:dyDescent="0.3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 x14ac:dyDescent="0.3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 x14ac:dyDescent="0.3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 x14ac:dyDescent="0.3">
      <c r="A432" s="158" t="s">
        <v>265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263</v>
      </c>
      <c r="S432" s="74">
        <v>766030</v>
      </c>
      <c r="T432" s="99">
        <f>IFERROR(J432,"")</f>
        <v>110.30832000000001</v>
      </c>
    </row>
    <row r="433" spans="1:21" ht="18" customHeight="1" x14ac:dyDescent="0.3">
      <c r="A433" s="159" t="s">
        <v>251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266</v>
      </c>
      <c r="S433" s="82">
        <f>IFERROR(S419+S432,"")</f>
        <v>1393440</v>
      </c>
      <c r="T433" s="118">
        <f>IFERROR(J433,"")</f>
        <v>200.65536</v>
      </c>
    </row>
    <row r="434" spans="1:21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276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 x14ac:dyDescent="0.3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 x14ac:dyDescent="0.3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 x14ac:dyDescent="0.3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 x14ac:dyDescent="0.3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 x14ac:dyDescent="0.3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 x14ac:dyDescent="0.3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 x14ac:dyDescent="0.3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 x14ac:dyDescent="0.3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 x14ac:dyDescent="0.3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 x14ac:dyDescent="0.3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 x14ac:dyDescent="0.3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 x14ac:dyDescent="0.3">
      <c r="A446" s="158" t="s">
        <v>262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263</v>
      </c>
      <c r="S446" s="74">
        <v>833920</v>
      </c>
      <c r="T446" s="99">
        <f>IFERROR(J446,"")</f>
        <v>161.58908852459015</v>
      </c>
    </row>
    <row r="447" spans="1:21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413</v>
      </c>
      <c r="S447" s="133"/>
    </row>
    <row r="448" spans="1:21" ht="15" customHeight="1" x14ac:dyDescent="0.3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 x14ac:dyDescent="0.3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 x14ac:dyDescent="0.3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 x14ac:dyDescent="0.3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213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407</v>
      </c>
      <c r="S451" s="133"/>
    </row>
    <row r="452" spans="1:20" ht="15" customHeight="1" x14ac:dyDescent="0.3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 x14ac:dyDescent="0.3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 x14ac:dyDescent="0.3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 x14ac:dyDescent="0.3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 x14ac:dyDescent="0.3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 x14ac:dyDescent="0.3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 x14ac:dyDescent="0.3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 x14ac:dyDescent="0.3">
      <c r="A459" s="158" t="s">
        <v>265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263</v>
      </c>
      <c r="S459" s="74">
        <v>1024280</v>
      </c>
      <c r="T459" s="99">
        <f>IFERROR(J459,"")</f>
        <v>202.88866044052861</v>
      </c>
    </row>
    <row r="460" spans="1:20" ht="18" customHeight="1" x14ac:dyDescent="0.3">
      <c r="A460" s="159" t="s">
        <v>251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266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 x14ac:dyDescent="0.3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 x14ac:dyDescent="0.3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 x14ac:dyDescent="0.3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 x14ac:dyDescent="0.3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 x14ac:dyDescent="0.3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 x14ac:dyDescent="0.3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 x14ac:dyDescent="0.3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 x14ac:dyDescent="0.3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 x14ac:dyDescent="0.3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 x14ac:dyDescent="0.3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 x14ac:dyDescent="0.3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 x14ac:dyDescent="0.3">
      <c r="A473" s="158" t="s">
        <v>262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263</v>
      </c>
      <c r="S473" s="74">
        <v>738810</v>
      </c>
      <c r="T473" s="99">
        <f>IFERROR(J473,"")</f>
        <v>106.38864000000001</v>
      </c>
    </row>
    <row r="474" spans="1:20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 x14ac:dyDescent="0.3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 x14ac:dyDescent="0.3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414</v>
      </c>
      <c r="S476" s="133"/>
    </row>
    <row r="477" spans="1:20" ht="15" customHeight="1" x14ac:dyDescent="0.3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 x14ac:dyDescent="0.3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 x14ac:dyDescent="0.3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373</v>
      </c>
      <c r="S479" s="133"/>
    </row>
    <row r="480" spans="1:20" ht="15" customHeight="1" x14ac:dyDescent="0.3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 x14ac:dyDescent="0.3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 x14ac:dyDescent="0.3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 x14ac:dyDescent="0.3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 x14ac:dyDescent="0.3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 x14ac:dyDescent="0.3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 x14ac:dyDescent="0.3">
      <c r="A486" s="158" t="s">
        <v>265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263</v>
      </c>
      <c r="S486" s="74">
        <v>616050</v>
      </c>
      <c r="T486" s="99">
        <f>IFERROR(J486,"")</f>
        <v>88.711199999999977</v>
      </c>
    </row>
    <row r="487" spans="1:20" ht="18" customHeight="1" x14ac:dyDescent="0.3">
      <c r="A487" s="159" t="s">
        <v>251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266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 x14ac:dyDescent="0.3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 x14ac:dyDescent="0.3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 x14ac:dyDescent="0.3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 x14ac:dyDescent="0.3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 x14ac:dyDescent="0.3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 x14ac:dyDescent="0.3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 x14ac:dyDescent="0.3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 x14ac:dyDescent="0.3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 x14ac:dyDescent="0.3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 x14ac:dyDescent="0.3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 x14ac:dyDescent="0.3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 x14ac:dyDescent="0.3">
      <c r="A500" s="158" t="s">
        <v>262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263</v>
      </c>
      <c r="S500" s="74">
        <v>864280</v>
      </c>
      <c r="T500" s="99">
        <f>IFERROR(J500,"")</f>
        <v>124.45631999999999</v>
      </c>
    </row>
    <row r="501" spans="1:20" ht="15" customHeight="1" x14ac:dyDescent="0.3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 x14ac:dyDescent="0.3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210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 x14ac:dyDescent="0.3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 x14ac:dyDescent="0.3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415</v>
      </c>
      <c r="S504" s="133"/>
    </row>
    <row r="505" spans="1:20" ht="15" customHeight="1" x14ac:dyDescent="0.3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 x14ac:dyDescent="0.3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 x14ac:dyDescent="0.3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276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 x14ac:dyDescent="0.3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 x14ac:dyDescent="0.3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 x14ac:dyDescent="0.3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 x14ac:dyDescent="0.3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 x14ac:dyDescent="0.3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 x14ac:dyDescent="0.3">
      <c r="A513" s="158" t="s">
        <v>265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263</v>
      </c>
      <c r="S513" s="74">
        <v>727700</v>
      </c>
      <c r="T513" s="99">
        <f>IFERROR(J513,"")</f>
        <v>123.69990375</v>
      </c>
    </row>
    <row r="514" spans="1:20" ht="18" customHeight="1" x14ac:dyDescent="0.3">
      <c r="A514" s="159" t="s">
        <v>251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266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 x14ac:dyDescent="0.3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 x14ac:dyDescent="0.3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 x14ac:dyDescent="0.3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 x14ac:dyDescent="0.3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 x14ac:dyDescent="0.3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 x14ac:dyDescent="0.3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 x14ac:dyDescent="0.3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 x14ac:dyDescent="0.3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 x14ac:dyDescent="0.3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 x14ac:dyDescent="0.3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 x14ac:dyDescent="0.3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 x14ac:dyDescent="0.3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 x14ac:dyDescent="0.3">
      <c r="A527" s="158" t="s">
        <v>262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263</v>
      </c>
      <c r="S527" s="74">
        <v>963090</v>
      </c>
      <c r="T527" s="99">
        <f>IFERROR(J527,"")</f>
        <v>202.24889999999996</v>
      </c>
    </row>
    <row r="528" spans="1:20" ht="15" customHeight="1" x14ac:dyDescent="0.3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 x14ac:dyDescent="0.3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261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 x14ac:dyDescent="0.3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276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 x14ac:dyDescent="0.3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 x14ac:dyDescent="0.3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 x14ac:dyDescent="0.3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 x14ac:dyDescent="0.3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 x14ac:dyDescent="0.3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 x14ac:dyDescent="0.3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 x14ac:dyDescent="0.3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 x14ac:dyDescent="0.3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 x14ac:dyDescent="0.3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 x14ac:dyDescent="0.3">
      <c r="A540" s="158" t="s">
        <v>265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263</v>
      </c>
      <c r="S540" s="74">
        <v>746110</v>
      </c>
      <c r="T540" s="99">
        <f>IFERROR(J540,"")</f>
        <v>126.60637832335328</v>
      </c>
    </row>
    <row r="541" spans="1:20" ht="18" customHeight="1" x14ac:dyDescent="0.3">
      <c r="A541" s="159" t="s">
        <v>251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266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 x14ac:dyDescent="0.3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 x14ac:dyDescent="0.3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 x14ac:dyDescent="0.3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 x14ac:dyDescent="0.3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 x14ac:dyDescent="0.3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 x14ac:dyDescent="0.3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416</v>
      </c>
      <c r="S547" s="133"/>
    </row>
    <row r="548" spans="1:20" ht="15" customHeight="1" x14ac:dyDescent="0.3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 x14ac:dyDescent="0.3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 x14ac:dyDescent="0.3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 x14ac:dyDescent="0.3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 x14ac:dyDescent="0.3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417</v>
      </c>
      <c r="S552" s="133"/>
    </row>
    <row r="553" spans="1:20" ht="15" customHeight="1" x14ac:dyDescent="0.3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 x14ac:dyDescent="0.3">
      <c r="A554" s="158" t="s">
        <v>262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263</v>
      </c>
      <c r="S554" s="74">
        <v>766150</v>
      </c>
      <c r="T554" s="99">
        <f>IFERROR(J554,"")</f>
        <v>110.32559999999999</v>
      </c>
    </row>
    <row r="555" spans="1:20" ht="15" customHeight="1" x14ac:dyDescent="0.3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418</v>
      </c>
      <c r="S555" s="133"/>
    </row>
    <row r="556" spans="1:20" ht="15" customHeight="1" x14ac:dyDescent="0.3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419</v>
      </c>
      <c r="S556" s="133"/>
    </row>
    <row r="557" spans="1:20" ht="15" customHeight="1" x14ac:dyDescent="0.3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 x14ac:dyDescent="0.3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 x14ac:dyDescent="0.3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 x14ac:dyDescent="0.3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211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420</v>
      </c>
      <c r="S560" s="133"/>
    </row>
    <row r="561" spans="1:20" ht="15" customHeight="1" x14ac:dyDescent="0.3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421</v>
      </c>
      <c r="S561" s="133"/>
    </row>
    <row r="562" spans="1:20" ht="15" customHeight="1" x14ac:dyDescent="0.3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422</v>
      </c>
      <c r="S562" s="133"/>
    </row>
    <row r="563" spans="1:20" ht="15" customHeight="1" x14ac:dyDescent="0.3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 x14ac:dyDescent="0.3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423</v>
      </c>
      <c r="S564" s="133"/>
    </row>
    <row r="565" spans="1:20" ht="15" customHeight="1" x14ac:dyDescent="0.3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406</v>
      </c>
      <c r="S565" s="133"/>
    </row>
    <row r="566" spans="1:20" ht="15" customHeight="1" x14ac:dyDescent="0.3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 x14ac:dyDescent="0.3">
      <c r="A567" s="158" t="s">
        <v>265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263</v>
      </c>
      <c r="S567" s="74">
        <v>486090</v>
      </c>
      <c r="T567" s="99">
        <f>IFERROR(J567,"")</f>
        <v>69.996959999999987</v>
      </c>
    </row>
    <row r="568" spans="1:20" ht="18" customHeight="1" x14ac:dyDescent="0.3">
      <c r="A568" s="159" t="s">
        <v>251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266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 x14ac:dyDescent="0.3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 x14ac:dyDescent="0.3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 x14ac:dyDescent="0.3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407</v>
      </c>
      <c r="S571" s="133"/>
    </row>
    <row r="572" spans="1:20" ht="15" customHeight="1" x14ac:dyDescent="0.3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 x14ac:dyDescent="0.3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424</v>
      </c>
      <c r="S573" s="133"/>
    </row>
    <row r="574" spans="1:20" ht="15" customHeight="1" x14ac:dyDescent="0.3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 x14ac:dyDescent="0.3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 x14ac:dyDescent="0.3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 x14ac:dyDescent="0.3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 x14ac:dyDescent="0.3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 x14ac:dyDescent="0.3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 x14ac:dyDescent="0.3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 x14ac:dyDescent="0.3">
      <c r="A581" s="158" t="s">
        <v>262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263</v>
      </c>
      <c r="S581" s="74">
        <v>759800</v>
      </c>
      <c r="T581" s="99">
        <f>IFERROR(J581,"")</f>
        <v>159.55799999999996</v>
      </c>
    </row>
    <row r="582" spans="1:20" ht="15" customHeight="1" x14ac:dyDescent="0.3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 x14ac:dyDescent="0.3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425</v>
      </c>
      <c r="S583" s="133"/>
    </row>
    <row r="584" spans="1:20" ht="15" customHeight="1" x14ac:dyDescent="0.3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426</v>
      </c>
      <c r="S584" s="133"/>
    </row>
    <row r="585" spans="1:20" ht="15" customHeight="1" x14ac:dyDescent="0.3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 x14ac:dyDescent="0.3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 x14ac:dyDescent="0.3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373</v>
      </c>
      <c r="S587" s="133"/>
    </row>
    <row r="588" spans="1:20" ht="15" customHeight="1" x14ac:dyDescent="0.3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 x14ac:dyDescent="0.3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 x14ac:dyDescent="0.3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 x14ac:dyDescent="0.3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 x14ac:dyDescent="0.3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 x14ac:dyDescent="0.3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 x14ac:dyDescent="0.3">
      <c r="A594" s="158" t="s">
        <v>265</v>
      </c>
      <c r="B594" s="158"/>
      <c r="C594" s="158"/>
      <c r="D594" s="158"/>
      <c r="E594" s="158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263</v>
      </c>
      <c r="S594" s="74">
        <v>985680</v>
      </c>
      <c r="T594" s="99">
        <f>IFERROR(J594,"")</f>
        <v>206.99279999999996</v>
      </c>
    </row>
    <row r="595" spans="1:20" ht="18" customHeight="1" x14ac:dyDescent="0.3">
      <c r="A595" s="159" t="s">
        <v>251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266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 x14ac:dyDescent="0.3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427</v>
      </c>
      <c r="S596" s="133"/>
    </row>
    <row r="597" spans="1:20" ht="15" customHeight="1" x14ac:dyDescent="0.3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 x14ac:dyDescent="0.3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 x14ac:dyDescent="0.3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 x14ac:dyDescent="0.3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 x14ac:dyDescent="0.3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 x14ac:dyDescent="0.3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 x14ac:dyDescent="0.3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 x14ac:dyDescent="0.3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 x14ac:dyDescent="0.3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 x14ac:dyDescent="0.3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 x14ac:dyDescent="0.3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 x14ac:dyDescent="0.3">
      <c r="A608" s="158" t="s">
        <v>262</v>
      </c>
      <c r="B608" s="158"/>
      <c r="C608" s="158"/>
      <c r="D608" s="158"/>
      <c r="E608" s="158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263</v>
      </c>
      <c r="S608" s="74">
        <f>1545300-910510+75170</f>
        <v>709960</v>
      </c>
      <c r="T608" s="99">
        <f>IFERROR(J608,"")</f>
        <v>149.09159999999997</v>
      </c>
    </row>
    <row r="609" spans="1:20" ht="15" customHeight="1" x14ac:dyDescent="0.3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 x14ac:dyDescent="0.3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 x14ac:dyDescent="0.3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 x14ac:dyDescent="0.3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 x14ac:dyDescent="0.3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 x14ac:dyDescent="0.3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 x14ac:dyDescent="0.3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 x14ac:dyDescent="0.3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 x14ac:dyDescent="0.3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 x14ac:dyDescent="0.3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 x14ac:dyDescent="0.3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 x14ac:dyDescent="0.3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 x14ac:dyDescent="0.3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 x14ac:dyDescent="0.3">
      <c r="A622" s="159" t="s">
        <v>251</v>
      </c>
      <c r="B622" s="159"/>
      <c r="C622" s="159"/>
      <c r="D622" s="159"/>
      <c r="E622" s="159"/>
      <c r="F622" s="108"/>
      <c r="G622" s="109">
        <f>G608+G621</f>
        <v>60</v>
      </c>
      <c r="H622" s="108">
        <f>IFERROR(H608+H621,"")</f>
        <v>709.95999999999992</v>
      </c>
      <c r="I622" s="110"/>
      <c r="J622" s="111">
        <f>IFERROR(J608+J621,"")</f>
        <v>149.09159999999997</v>
      </c>
      <c r="K622" s="1">
        <f>K608+K621</f>
        <v>252</v>
      </c>
      <c r="L622" s="76"/>
      <c r="M622" s="76"/>
      <c r="N622" s="76"/>
      <c r="O622" s="135"/>
      <c r="P622" s="135"/>
      <c r="Q622" s="77">
        <f ca="1">IFERROR(Q608+Q621,"")</f>
        <v>2.0833333333333315E-2</v>
      </c>
      <c r="R622" s="1" t="s">
        <v>266</v>
      </c>
      <c r="S622" s="82">
        <f>IFERROR(S608+S621,"")</f>
        <v>709960</v>
      </c>
      <c r="T622" s="118">
        <f>IFERROR(J622,"")</f>
        <v>149.09159999999997</v>
      </c>
    </row>
    <row r="623" spans="1:20" ht="15" customHeight="1" x14ac:dyDescent="0.3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 x14ac:dyDescent="0.3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 x14ac:dyDescent="0.3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 x14ac:dyDescent="0.3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 x14ac:dyDescent="0.3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 x14ac:dyDescent="0.3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 x14ac:dyDescent="0.3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 x14ac:dyDescent="0.3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 x14ac:dyDescent="0.3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 x14ac:dyDescent="0.3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 x14ac:dyDescent="0.3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 x14ac:dyDescent="0.3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 x14ac:dyDescent="0.3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 x14ac:dyDescent="0.3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 x14ac:dyDescent="0.3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 x14ac:dyDescent="0.3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 x14ac:dyDescent="0.3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 x14ac:dyDescent="0.3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 x14ac:dyDescent="0.3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 x14ac:dyDescent="0.3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 x14ac:dyDescent="0.3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 x14ac:dyDescent="0.3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 x14ac:dyDescent="0.3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 x14ac:dyDescent="0.3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 x14ac:dyDescent="0.3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 x14ac:dyDescent="0.3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 x14ac:dyDescent="0.3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 x14ac:dyDescent="0.3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 x14ac:dyDescent="0.3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 x14ac:dyDescent="0.3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 x14ac:dyDescent="0.3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 x14ac:dyDescent="0.3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 x14ac:dyDescent="0.3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 x14ac:dyDescent="0.3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 x14ac:dyDescent="0.3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 x14ac:dyDescent="0.3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 x14ac:dyDescent="0.3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 x14ac:dyDescent="0.3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 x14ac:dyDescent="0.3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 x14ac:dyDescent="0.3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 x14ac:dyDescent="0.3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 x14ac:dyDescent="0.3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 x14ac:dyDescent="0.3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 x14ac:dyDescent="0.3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 x14ac:dyDescent="0.3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 x14ac:dyDescent="0.3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 x14ac:dyDescent="0.3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 x14ac:dyDescent="0.3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 x14ac:dyDescent="0.3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 x14ac:dyDescent="0.3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 x14ac:dyDescent="0.3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 x14ac:dyDescent="0.3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 x14ac:dyDescent="0.3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 x14ac:dyDescent="0.3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 x14ac:dyDescent="0.3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 x14ac:dyDescent="0.3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 x14ac:dyDescent="0.3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 x14ac:dyDescent="0.3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 x14ac:dyDescent="0.3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 x14ac:dyDescent="0.3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 x14ac:dyDescent="0.3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 x14ac:dyDescent="0.3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 x14ac:dyDescent="0.3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 x14ac:dyDescent="0.3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 x14ac:dyDescent="0.3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 x14ac:dyDescent="0.3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 x14ac:dyDescent="0.3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 x14ac:dyDescent="0.3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 x14ac:dyDescent="0.3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 x14ac:dyDescent="0.3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 x14ac:dyDescent="0.3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 x14ac:dyDescent="0.3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 x14ac:dyDescent="0.3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 x14ac:dyDescent="0.3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 x14ac:dyDescent="0.3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 x14ac:dyDescent="0.3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 x14ac:dyDescent="0.3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 x14ac:dyDescent="0.3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 x14ac:dyDescent="0.3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 x14ac:dyDescent="0.3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 x14ac:dyDescent="0.3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 x14ac:dyDescent="0.3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 x14ac:dyDescent="0.3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 x14ac:dyDescent="0.3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 x14ac:dyDescent="0.3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 x14ac:dyDescent="0.3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 x14ac:dyDescent="0.3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 x14ac:dyDescent="0.3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 x14ac:dyDescent="0.3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 x14ac:dyDescent="0.3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 x14ac:dyDescent="0.3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 x14ac:dyDescent="0.3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 x14ac:dyDescent="0.3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 x14ac:dyDescent="0.3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 x14ac:dyDescent="0.3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 x14ac:dyDescent="0.3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 x14ac:dyDescent="0.3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 x14ac:dyDescent="0.3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 x14ac:dyDescent="0.3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 x14ac:dyDescent="0.3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 x14ac:dyDescent="0.3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 x14ac:dyDescent="0.3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 x14ac:dyDescent="0.3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 x14ac:dyDescent="0.3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 x14ac:dyDescent="0.3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 x14ac:dyDescent="0.3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 x14ac:dyDescent="0.3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 x14ac:dyDescent="0.3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 x14ac:dyDescent="0.3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 x14ac:dyDescent="0.3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 x14ac:dyDescent="0.3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 x14ac:dyDescent="0.3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 x14ac:dyDescent="0.3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 x14ac:dyDescent="0.3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 x14ac:dyDescent="0.3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 x14ac:dyDescent="0.3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 x14ac:dyDescent="0.3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 x14ac:dyDescent="0.3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 x14ac:dyDescent="0.3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 x14ac:dyDescent="0.3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 x14ac:dyDescent="0.3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 x14ac:dyDescent="0.3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 x14ac:dyDescent="0.3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 x14ac:dyDescent="0.3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 x14ac:dyDescent="0.3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 x14ac:dyDescent="0.3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 x14ac:dyDescent="0.3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 x14ac:dyDescent="0.3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 x14ac:dyDescent="0.3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 x14ac:dyDescent="0.3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 x14ac:dyDescent="0.3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 x14ac:dyDescent="0.3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 x14ac:dyDescent="0.3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 x14ac:dyDescent="0.3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 x14ac:dyDescent="0.3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 x14ac:dyDescent="0.3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 x14ac:dyDescent="0.3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 x14ac:dyDescent="0.3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 x14ac:dyDescent="0.3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 x14ac:dyDescent="0.3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 x14ac:dyDescent="0.3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 x14ac:dyDescent="0.3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 x14ac:dyDescent="0.3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 x14ac:dyDescent="0.3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 x14ac:dyDescent="0.3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 x14ac:dyDescent="0.3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 x14ac:dyDescent="0.3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 x14ac:dyDescent="0.3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 x14ac:dyDescent="0.3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 x14ac:dyDescent="0.3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 x14ac:dyDescent="0.3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 x14ac:dyDescent="0.3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 x14ac:dyDescent="0.3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 x14ac:dyDescent="0.3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 x14ac:dyDescent="0.3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 x14ac:dyDescent="0.3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 x14ac:dyDescent="0.3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 x14ac:dyDescent="0.3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 x14ac:dyDescent="0.3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 x14ac:dyDescent="0.3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 x14ac:dyDescent="0.3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 x14ac:dyDescent="0.3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 x14ac:dyDescent="0.3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 x14ac:dyDescent="0.3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 x14ac:dyDescent="0.3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 x14ac:dyDescent="0.3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 x14ac:dyDescent="0.3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 x14ac:dyDescent="0.3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 x14ac:dyDescent="0.3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 x14ac:dyDescent="0.3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 x14ac:dyDescent="0.3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 x14ac:dyDescent="0.3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 x14ac:dyDescent="0.3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 x14ac:dyDescent="0.3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 x14ac:dyDescent="0.3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 x14ac:dyDescent="0.3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 x14ac:dyDescent="0.3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 x14ac:dyDescent="0.3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 x14ac:dyDescent="0.3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 x14ac:dyDescent="0.3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 x14ac:dyDescent="0.3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 x14ac:dyDescent="0.3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 x14ac:dyDescent="0.3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 x14ac:dyDescent="0.3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 x14ac:dyDescent="0.3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 x14ac:dyDescent="0.3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 x14ac:dyDescent="0.3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 x14ac:dyDescent="0.3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 x14ac:dyDescent="0.3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 x14ac:dyDescent="0.3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 x14ac:dyDescent="0.3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 x14ac:dyDescent="0.3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 x14ac:dyDescent="0.3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 x14ac:dyDescent="0.3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 x14ac:dyDescent="0.3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 x14ac:dyDescent="0.3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 x14ac:dyDescent="0.3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 x14ac:dyDescent="0.3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 x14ac:dyDescent="0.3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 x14ac:dyDescent="0.3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 x14ac:dyDescent="0.3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 x14ac:dyDescent="0.3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 x14ac:dyDescent="0.3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 x14ac:dyDescent="0.3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 x14ac:dyDescent="0.3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 x14ac:dyDescent="0.3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 x14ac:dyDescent="0.3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 x14ac:dyDescent="0.3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 x14ac:dyDescent="0.3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 x14ac:dyDescent="0.3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266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2B1A3CF-5FC7-4FEA-8536-053612F4F612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6</vt:i4>
      </vt:variant>
    </vt:vector>
  </HeadingPairs>
  <TitlesOfParts>
    <vt:vector size="13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2026-08-24T00:12:06Z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