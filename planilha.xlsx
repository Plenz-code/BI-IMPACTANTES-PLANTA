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2" documentId="8_{C51EB6CB-002B-4D6B-B68F-DDEBDB4460C0}" xr6:coauthVersionLast="47" xr6:coauthVersionMax="47" xr10:uidLastSave="{CB52B3E7-BFA4-48C2-ABAC-A906D4D8DB4E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<sst xmlns="http://schemas.openxmlformats.org/spreadsheetml/2006/main" count="1211" uniqueCount="237">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</sst>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/>
      <c r="I2" s="26"/>
      <c r="J2" s="26"/>
      <c r="K2" s="29"/>
      <c r="L2" s="29"/>
      <c r="M2" s="30" t="str">
        <f ca="1">IFERROR(IF(K2="","",IF(L2="",MOD(NOW()-K2,1),IF(L2&gt;=K2,L2-K2,L2+1-K2))),"")</f>
        <v/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146</v>
      </c>
      <c r="G14" s="36">
        <f>SUM(G2:G13)</f>
        <v>730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146</v>
      </c>
      <c r="G28" s="40">
        <f>G14+G27</f>
        <v>730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G11" sqref="G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31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28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87</v>
      </c>
      <c r="G14" s="36">
        <f>SUM(G2:G13)</f>
        <v>365.40000000000003</v>
      </c>
      <c r="H14" s="37"/>
      <c r="I14" s="37"/>
      <c r="J14" s="37"/>
      <c r="K14" s="37"/>
      <c r="L14" s="37"/>
      <c r="M14" s="38">
        <f ca="1">IFERROR(SUM(M2:M13),"")</f>
        <v>0.15902777777777771</v>
      </c>
      <c r="N14" s="36" t="s">
        <v>229</v>
      </c>
      <c r="O14" s="77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87</v>
      </c>
      <c r="G28" s="40">
        <f>G14+G27</f>
        <v>365.40000000000003</v>
      </c>
      <c r="H28" s="41"/>
      <c r="I28" s="41"/>
      <c r="J28" s="41"/>
      <c r="K28" s="41"/>
      <c r="L28" s="41"/>
      <c r="M28" s="42">
        <f ca="1">IFERROR(M14+M27,"")</f>
        <v>0.15902777777777771</v>
      </c>
      <c r="N28" s="40" t="s">
        <v>232</v>
      </c>
      <c r="O28" s="82">
        <f>O14+O27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1" sqref="F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64</v>
      </c>
      <c r="G14" s="36">
        <f>SUM(G2:G13)</f>
        <v>268.8</v>
      </c>
      <c r="H14" s="37"/>
      <c r="I14" s="37"/>
      <c r="J14" s="37"/>
      <c r="K14" s="37"/>
      <c r="L14" s="37"/>
      <c r="M14" s="38">
        <f ca="1">IFERROR(SUM(M2:M13),"")</f>
        <v>3.4722222222222099E-3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64</v>
      </c>
      <c r="G28" s="40">
        <f>G14+G27</f>
        <v>268.8</v>
      </c>
      <c r="H28" s="41"/>
      <c r="I28" s="41"/>
      <c r="J28" s="41"/>
      <c r="K28" s="41"/>
      <c r="L28" s="41"/>
      <c r="M28" s="42">
        <f ca="1">IFERROR(M14+M27,"")</f>
        <v>3.4722222222222099E-3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98</v>
      </c>
      <c r="G14" s="36">
        <f>SUM(G2:G13)</f>
        <v>411.6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98</v>
      </c>
      <c r="G28" s="40">
        <f>G14+G27</f>
        <v>411.6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2026-08-01T20:03:58Z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