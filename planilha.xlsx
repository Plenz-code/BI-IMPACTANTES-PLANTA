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13" documentId="8_{C51EB6CB-002B-4D6B-B68F-DDEBDB4460C0}" xr6:coauthVersionLast="47" xr6:coauthVersionMax="47" xr10:uidLastSave="{76E29C9B-6236-406F-A950-89D7286BA82C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<sst xmlns="http://schemas.openxmlformats.org/spreadsheetml/2006/main" count="3473" uniqueCount="287">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</sst>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F155" sqref="F1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20</v>
      </c>
      <c r="I153" s="33" t="s">
        <v>23</v>
      </c>
      <c r="J153" s="33" t="s">
        <v>133</v>
      </c>
      <c r="K153" s="29">
        <v>0.99513888888888891</v>
      </c>
      <c r="L153" s="29"/>
      <c r="M153" s="35">
        <f t="shared" ca="1" si="34"/>
        <v>3.858333333482733E-2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41</v>
      </c>
      <c r="G162" s="36">
        <f>SUM(G150:G161)</f>
        <v>205</v>
      </c>
      <c r="H162" s="37"/>
      <c r="I162" s="37"/>
      <c r="J162" s="37"/>
      <c r="K162" s="37"/>
      <c r="L162" s="37"/>
      <c r="M162" s="38">
        <f ca="1">IFERROR(SUM(M150:M161),"")</f>
        <v>0.12886111111260512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330</v>
      </c>
      <c r="G163" s="40">
        <f>G149+G162</f>
        <v>1650</v>
      </c>
      <c r="H163" s="41"/>
      <c r="I163" s="41"/>
      <c r="J163" s="41"/>
      <c r="K163" s="41"/>
      <c r="L163" s="41"/>
      <c r="M163" s="42">
        <f ca="1">IFERROR(M149+M162,"")</f>
        <v>0.22747222222371627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55" sqref="F1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0.91219444444141118</v>
      </c>
      <c r="N53" s="46" t="s">
        <v>254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1.0510833333303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1.1358055555525224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55</v>
      </c>
      <c r="G162" s="36">
        <f>SUM(G150:G161)</f>
        <v>231.00000000000003</v>
      </c>
      <c r="H162" s="37"/>
      <c r="I162" s="37"/>
      <c r="J162" s="37"/>
      <c r="K162" s="37"/>
      <c r="L162" s="37"/>
      <c r="M162" s="38">
        <f ca="1">IFERROR(SUM(M150:M161),"")</f>
        <v>4.5833333333333504E-2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195</v>
      </c>
      <c r="G163" s="40">
        <f>G149+G162</f>
        <v>819</v>
      </c>
      <c r="H163" s="41"/>
      <c r="I163" s="41"/>
      <c r="J163" s="41"/>
      <c r="K163" s="41"/>
      <c r="L163" s="41"/>
      <c r="M163" s="42">
        <f ca="1">IFERROR(M149+M162,"")</f>
        <v>0.22152777777777793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23" zoomScale="50" zoomScaleNormal="50" workbookViewId="0">
      <selection activeCell="L153" sqref="L1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22</v>
      </c>
      <c r="G162" s="36">
        <f>SUM(G150:G161)</f>
        <v>92.4</v>
      </c>
      <c r="H162" s="37"/>
      <c r="I162" s="37"/>
      <c r="J162" s="37"/>
      <c r="K162" s="37"/>
      <c r="L162" s="37"/>
      <c r="M162" s="38">
        <f ca="1">IFERROR(SUM(M150:M161),"")</f>
        <v>8.4027777777777757E-2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55</v>
      </c>
      <c r="G163" s="40">
        <f>G149+G162</f>
        <v>231</v>
      </c>
      <c r="H163" s="41"/>
      <c r="I163" s="41"/>
      <c r="J163" s="41"/>
      <c r="K163" s="41"/>
      <c r="L163" s="41"/>
      <c r="M163" s="42">
        <f ca="1">IFERROR(M149+M162,"")</f>
        <v>0.23749999999999993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5" sqref="F15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48</v>
      </c>
      <c r="G162" s="36">
        <f>SUM(G150:G161)</f>
        <v>201.6</v>
      </c>
      <c r="H162" s="37"/>
      <c r="I162" s="37"/>
      <c r="J162" s="37"/>
      <c r="K162" s="61"/>
      <c r="L162" s="61"/>
      <c r="M162" s="38">
        <f ca="1">IFERROR(SUM(M150:M161),"")</f>
        <v>6.8055555555555647E-2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230</v>
      </c>
      <c r="G163" s="40">
        <f>G149+G162</f>
        <v>966.00000000000011</v>
      </c>
      <c r="H163" s="41"/>
      <c r="I163" s="41"/>
      <c r="J163" s="41"/>
      <c r="K163" s="63"/>
      <c r="L163" s="63"/>
      <c r="M163" s="42">
        <f ca="1">IFERROR(M149+M162,"")</f>
        <v>0.16250000000000003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2026-08-07T04:49:05Z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