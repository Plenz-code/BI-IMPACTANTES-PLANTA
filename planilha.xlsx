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03" documentId="13_ncr:1_{0A10D8D4-8450-4366-8075-B53B08E6B7EA}" xr6:coauthVersionLast="47" xr6:coauthVersionMax="47" xr10:uidLastSave="{891DA8DB-F223-4735-B8C2-4CF2FFA91CE8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63" i="5" s="1"/>
  <c r="J363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1" i="4" l="1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<sst xmlns="http://schemas.openxmlformats.org/spreadsheetml/2006/main" count="6364" uniqueCount="348">
  <si>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</si>
  <si>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</si>
  <si>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</si>
  <si>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</si>
  <si>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</si>
  <si>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</si>
  <si>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</si>
  <si>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</si>
  <si>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</si>
  <si>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</si>
  <si>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</si>
  <si>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</si>
  <si>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</si>
  <si>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</si>
  <si>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</si>
  <si>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</si>
  <si>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</si>
  <si>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</si>
  <si>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</si>
  <si>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</si>
  <si>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</si>
  <si>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</si>
  <si>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</si>
  <si>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</si>
  <si>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</si>
  <si>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</si>
  <si>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</si>
  <si>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</si>
  <si>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</si>
  <si>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</si>
  <si>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</si>
  <si>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</si>
  <si>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</si>
  <si>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</si>
  <si>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</si>
  <si>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</si>
  <si>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</si>
  <si>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</si>
  <si>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</si>
  <si>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</si>
  <si>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</si>
  <si>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</si>
  <si>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</si>
  <si>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</si>
  <si>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</si>
  <si>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</si>
  <si>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</si>
  <si>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</si>
  <si>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</si>
  <si>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</si>
  <si>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</si>
  <si>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</si>
  <si>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</si>
  <si>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</si>
  <si>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</si>
  <si>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</si>
  <si>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</si>
  <si>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</si>
  <si>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</si>
  <si>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</si>
  <si>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</si>
  <si>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</si>
  <si>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</si>
  <si>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</si>
  <si>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</si>
  <si>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</si>
  <si>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</si>
  <si>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</si>
  <si>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</si>
  <si>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</si>
  <si>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</si>
  <si>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</si>
  <si>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</si>
  <si>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</si>
  <si>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</si>
  <si>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</si>
  <si>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</si>
  <si>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</si>
  <si>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</si>
  <si>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</si>
  <si>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</si>
  <si>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</si>
  <si>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</si>
  <si>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</si>
  <si>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</si>
  <si>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</si>
  <si>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</si>
  <si>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</si>
  <si>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</si>
  <si>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</si>
  <si>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</si>
  <si>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</si>
  <si>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</si>
  <si>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</si>
  <si>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</si>
  <si>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</si>
  <si>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</si>
  <si>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</si>
  <si>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</si>
  <si>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</si>
  <si>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</si>
  <si>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</si>
  <si>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</si>
  <si>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</si>
  <si>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</si>
  <si>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</si>
  <si>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</si>
  <si>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</si>
  <si>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</si>
  <si>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</si>
  <si>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</si>
  <si>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</si>
  <si>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</si>
  <si>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</si>
  <si>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</si>
  <si>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</si>
  <si>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</si>
  <si>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</si>
  <si>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</si>
  <si>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</si>
  <si>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</si>
  <si>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</si>
  <si>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</si>
  <si>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</si>
  <si>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</si>
  <si>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</si>
  <si>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</si>
  <si>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</si>
  <si>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</si>
  <si>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</si>
  <si>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</si>
  <si>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</si>
  <si>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</si>
  <si>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</si>
  <si>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</si>
  <si>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</si>
  <si>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</si>
  <si>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</si>
  <si>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</si>
  <si>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</si>
  <si>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</si>
  <si>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</si>
  <si>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</si>
  <si>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</si>
  <si>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</si>
  <si>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</si>
  <si>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</si>
  <si>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</si>
  <si>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</si>
  <si>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</si>
  <si>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</si>
  <si>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</si>
  <si>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</si>
  <si>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</si>
  <si>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</si>
  <si>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</si>
  <si>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</si>
  <si>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</si>
  <si>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</si>
  <si>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</si>
  <si>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</si>
  <si>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</si>
  <si>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</si>
  <si>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</si>
  <si>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</si>
  <si>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</si>
  <si>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</si>
  <si>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</si>
  <si>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</si>
  <si>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</si>
  <si>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</si>
  <si>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</si>
  <si>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</si>
  <si>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</si>
  <si>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</si>
  <si>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</si>
  <si>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</si>
  <si>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</si>
  <si>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</si>
  <si>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</si>
  <si>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</si>
  <si>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</si>
  <si>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</si>
  <si>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</si>
  <si>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</si>
  <si>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</si>
  <si>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</si>
  <si>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</si>
  <si>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</si>
  <si>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</si>
  <si>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</si>
  <si>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</si>
  <si>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</si>
  <si>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</si>
  <si>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</si>
  <si>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</si>
  <si>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</si>
  <si>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</si>
  <si>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</si>
  <si>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</si>
  <si>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</si>
  <si>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</si>
  <si>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</si>
  <si>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</si>
  <si>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</si>
  <si>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</si>
  <si>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</si>
  <si>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</si>
  <si>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</si>
  <si>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</si>
  <si>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</si>
  <si>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</si>
  <si>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</si>
  <si>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</si>
  <si>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</si>
  <si>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</si>
  <si>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</si>
  <si>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</si>
  <si>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</si>
  <si>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</si>
  <si>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</si>
  <si>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</si>
  <si>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</si>
  <si>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</si>
  <si>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</si>
  <si>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</si>
  <si>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</si>
  <si>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</si>
  <si>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</si>
  <si>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</si>
  <si>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</si>
  <si>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</si>
  <si>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</si>
  <si>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</si>
  <si>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</si>
  <si>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</si>
  <si>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</si>
  <si>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</si>
  <si>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</si>
  <si>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</si>
  <si>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</si>
  <si>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</si>
  <si>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</si>
  <si>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</si>
  <si>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</si>
  <si>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</si>
  <si>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</si>
  <si>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</si>
  <si>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</si>
  <si>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</si>
  <si>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</si>
  <si>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</si>
  <si>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</si>
  <si>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</si>
  <si>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</si>
  <si>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</si>
  <si>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</si>
  <si>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</si>
  <si>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</si>
  <si>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</si>
  <si>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</si>
  <si>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</si>
  <si>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</si>
  <si>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</si>
  <si>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</si>
  <si>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</si>
  <si>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</si>
  <si>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</si>
  <si>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</si>
  <si>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</si>
  <si>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</si>
  <si>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</si>
  <si>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</si>
  <si>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</si>
  <si>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</si>
  <si>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</si>
  <si>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</si>
  <si>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</si>
  <si>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</si>
  <si>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</si>
  <si>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</si>
  <si>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</si>
  <si>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</si>
  <si>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</si>
  <si>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</si>
  <si>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</si>
  <si>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</si>
  <si>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</si>
  <si>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</si>
  <si>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</si>
  <si>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</si>
  <si>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</si>
  <si>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</si>
  <si>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</si>
  <si>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</si>
  <si>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</si>
  <si>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</si>
  <si>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</si>
  <si>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</si>
  <si>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</si>
  <si>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</si>
  <si>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</si>
  <si>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</si>
  <si>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</si>
  <si>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</si>
  <si>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</si>
  <si>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</si>
  <si>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</si>
  <si>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</si>
  <si>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</si>
  <si>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</si>
  <si>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</si>
  <si>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</si>
  <si>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</si>
  <si>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</si>
  <si>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</si>
  <si>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</si>
  <si>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</si>
  <si>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15;44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</si>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</sst>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3" sqref="F36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41</v>
      </c>
      <c r="G362" s="28">
        <f t="shared" si="73"/>
        <v>205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340</v>
      </c>
      <c r="G365" s="36">
        <f>SUM(G353:G364)</f>
        <v>1666.4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340</v>
      </c>
      <c r="G379" s="40">
        <f>G365+G378</f>
        <v>1666.4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63" sqref="G3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0.65141226851847023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0.79030115740735907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0.87502337962958143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0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432.6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432.6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R355" sqref="R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144</v>
      </c>
      <c r="O357" s="29" t="s">
        <v>318</v>
      </c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0"/>
        <v>0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327.60000000000008</v>
      </c>
      <c r="L365" s="37"/>
      <c r="M365" s="37"/>
      <c r="N365" s="37"/>
      <c r="O365" s="37"/>
      <c r="P365" s="37"/>
      <c r="Q365" s="38">
        <f ca="1">IFERROR(SUM(Q353:Q364),"")</f>
        <v>5.9027777777777735E-2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327.60000000000008</v>
      </c>
      <c r="L379" s="41"/>
      <c r="M379" s="41"/>
      <c r="N379" s="41"/>
      <c r="O379" s="41"/>
      <c r="P379" s="41"/>
      <c r="Q379" s="42">
        <f ca="1">IFERROR(Q365+Q378,"")</f>
        <v>5.9027777777777735E-2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R359" sqref="R35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180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756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180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756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2026-08-14T22:33:33Z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