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80" documentId="13_ncr:1_{A6DBCFB4-28D9-4249-9038-216934055CA6}" xr6:coauthVersionLast="47" xr6:coauthVersionMax="47" xr10:uidLastSave="{0DEC0A6F-45E6-4EC4-B0AC-8B48527FB110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<sst xmlns="http://schemas.openxmlformats.org/spreadsheetml/2006/main" count="10679" uniqueCount="439">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</sst>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45" sqref="F645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307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311</v>
      </c>
      <c r="G648" s="2">
        <f>SUM(G636:G647)</f>
        <v>1555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717</v>
      </c>
      <c r="G649" s="1">
        <f>G635+G648</f>
        <v>3585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N639" sqref="N639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263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266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59" t="s">
        <v>252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263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7.8528124999138527E-2</v>
      </c>
      <c r="R53" s="80" t="s">
        <v>318</v>
      </c>
      <c r="S53" s="67"/>
    </row>
    <row r="54" spans="1:20" ht="15.75" customHeight="1">
      <c r="A54" s="160" t="s">
        <v>266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0.21741701388802626</v>
      </c>
      <c r="R54" s="2" t="s">
        <v>264</v>
      </c>
      <c r="S54" s="113">
        <v>352430</v>
      </c>
      <c r="T54" s="114"/>
    </row>
    <row r="55" spans="1:20" ht="18" customHeight="1">
      <c r="A55" s="159" t="s">
        <v>252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0.30213923611024907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263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266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59" t="s">
        <v>252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263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320</v>
      </c>
      <c r="Q96" s="66" t="str">
        <f t="shared" ref="Q96:Q107" ca="1" si="22">IFERROR(IF(O96="","",IF(P96="",MOD(NOW()-O96,1),IF(P96&gt;=O96,P96-O96,P96+1-O96))),"")</f>
        <v/>
      </c>
      <c r="R96" s="80" t="s">
        <v>321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266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59" t="s">
        <v>252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263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266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59" t="s">
        <v>252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263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266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59" t="s">
        <v>252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263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266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59" t="s">
        <v>252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263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266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59" t="s">
        <v>252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263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266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59" t="s">
        <v>252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263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266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59" t="s">
        <v>252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263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266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59" t="s">
        <v>252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263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266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252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263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266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252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263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266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252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263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266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252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263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263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266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252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263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266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252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263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263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266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252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263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266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59" t="s">
        <v>252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263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353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266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252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263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354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266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252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326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263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/>
      <c r="Q639" s="71">
        <f t="shared" ca="1" si="168"/>
        <v>7.5034722249256447E-4</v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84</v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6"/>
        <v>0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0</v>
      </c>
      <c r="I644" s="90">
        <f>IFERROR(IF($D644="","",VLOOKUP($D644,Cadastro!$C$4:$G$7,5,FALSE())),"")</f>
        <v>0.6</v>
      </c>
      <c r="J644" s="91">
        <f t="shared" si="166"/>
        <v>0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266</v>
      </c>
      <c r="B648" s="160"/>
      <c r="C648" s="160"/>
      <c r="D648" s="160"/>
      <c r="E648" s="160"/>
      <c r="F648" s="105"/>
      <c r="G648" s="96">
        <f>SUM(G636:G647)</f>
        <v>127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542.20000000000005</v>
      </c>
      <c r="L648" s="72"/>
      <c r="M648" s="72"/>
      <c r="N648" s="72"/>
      <c r="O648" s="72"/>
      <c r="P648" s="72"/>
      <c r="Q648" s="73">
        <f ca="1">IFERROR(SUM(Q636:Q647),"")</f>
        <v>5.5611458333603647E-2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59" t="s">
        <v>252</v>
      </c>
      <c r="B649" s="159"/>
      <c r="C649" s="159"/>
      <c r="D649" s="159"/>
      <c r="E649" s="159"/>
      <c r="F649" s="108"/>
      <c r="G649" s="109">
        <f>G635+G648</f>
        <v>289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1222.6000000000001</v>
      </c>
      <c r="L649" s="76"/>
      <c r="M649" s="76"/>
      <c r="N649" s="76"/>
      <c r="O649" s="76"/>
      <c r="P649" s="76"/>
      <c r="Q649" s="77">
        <f ca="1">IFERROR(Q635+Q648,"")</f>
        <v>0.12644479166693712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263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266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59" t="s">
        <v>252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263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266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59" t="s">
        <v>252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263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266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59" t="s">
        <v>252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263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266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59" t="s">
        <v>252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263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266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59" t="s">
        <v>252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263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266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59" t="s">
        <v>252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263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266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59" t="s">
        <v>252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5" sqref="G645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263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355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266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59" t="s">
        <v>252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263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355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355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266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59" t="s">
        <v>252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357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263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358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266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59" t="s">
        <v>252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359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360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263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361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266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59" t="s">
        <v>252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263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362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266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59" t="s">
        <v>252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363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263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266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59" t="s">
        <v>252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364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263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365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266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59" t="s">
        <v>252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263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366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266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59" t="s">
        <v>252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368</v>
      </c>
      <c r="Q222" s="66" t="str">
        <f t="shared" ca="1" si="49"/>
        <v/>
      </c>
      <c r="R222" s="63" t="s">
        <v>369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263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266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59" t="s">
        <v>252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370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263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266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59" t="s">
        <v>252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263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266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59" t="s">
        <v>252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263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266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252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371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263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266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252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263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266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252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372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263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266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252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373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263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374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266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252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375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375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263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376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266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252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263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377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266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252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362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263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378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379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266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252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380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263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381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266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252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382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263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319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383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355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266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252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319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263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378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266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252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319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263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375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384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384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384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266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252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360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263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385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3"/>
        <v>0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3"/>
        <v>0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3"/>
        <v>0</v>
      </c>
      <c r="K643" s="69">
        <f t="shared" si="164"/>
        <v>21</v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0</v>
      </c>
      <c r="I644" s="90">
        <f>IFERROR(IF($D644="","",VLOOKUP($D644,Cadastro!$C$4:$G$7,5,FALSE())),"")</f>
        <v>0.6</v>
      </c>
      <c r="J644" s="91">
        <f t="shared" si="163"/>
        <v>0</v>
      </c>
      <c r="K644" s="64">
        <f t="shared" si="164"/>
        <v>12.600000000000001</v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266</v>
      </c>
      <c r="B648" s="160"/>
      <c r="C648" s="160"/>
      <c r="D648" s="160"/>
      <c r="E648" s="160"/>
      <c r="F648" s="105"/>
      <c r="G648" s="96">
        <f>SUM(G636:G647)</f>
        <v>59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257.40000000000003</v>
      </c>
      <c r="L648" s="72"/>
      <c r="M648" s="72"/>
      <c r="N648" s="72"/>
      <c r="O648" s="72"/>
      <c r="P648" s="72"/>
      <c r="Q648" s="73">
        <f ca="1">IFERROR(SUM(Q636:Q647),"")</f>
        <v>7.3611111111111141E-2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59" t="s">
        <v>252</v>
      </c>
      <c r="B649" s="159"/>
      <c r="C649" s="159"/>
      <c r="D649" s="159"/>
      <c r="E649" s="159"/>
      <c r="F649" s="108"/>
      <c r="G649" s="109">
        <f>G635+G648</f>
        <v>131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559.80000000000007</v>
      </c>
      <c r="L649" s="76"/>
      <c r="M649" s="76"/>
      <c r="N649" s="76"/>
      <c r="O649" s="76"/>
      <c r="P649" s="76"/>
      <c r="Q649" s="77">
        <f ca="1">IFERROR(Q635+Q648,"")</f>
        <v>0.12708333333333333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263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266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59" t="s">
        <v>252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263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266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59" t="s">
        <v>252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263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266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59" t="s">
        <v>252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263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266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59" t="s">
        <v>252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263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266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59" t="s">
        <v>252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263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266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59" t="s">
        <v>252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263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266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59" t="s">
        <v>252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44" sqref="G644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263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355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266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59" t="s">
        <v>252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263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266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59" t="s">
        <v>252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263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355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266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59" t="s">
        <v>252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263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355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266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59" t="s">
        <v>252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263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355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266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59" t="s">
        <v>252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266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59" t="s">
        <v>252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263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266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59" t="s">
        <v>252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263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266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59" t="s">
        <v>252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263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266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59" t="s">
        <v>252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263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266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59" t="s">
        <v>252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263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266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59" t="s">
        <v>252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263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266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252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263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266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252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266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252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263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266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252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263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266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252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263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266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252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263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377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266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252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263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266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252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263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266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252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263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266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252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263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377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266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252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433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263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377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412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434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429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266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252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435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263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436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437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438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84</v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6"/>
        <v>0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266</v>
      </c>
      <c r="B648" s="160"/>
      <c r="C648" s="160"/>
      <c r="D648" s="160"/>
      <c r="E648" s="160"/>
      <c r="F648" s="105"/>
      <c r="G648" s="96">
        <f>SUM(G636:G647)</f>
        <v>128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549.6</v>
      </c>
      <c r="L648" s="72"/>
      <c r="M648" s="72"/>
      <c r="N648" s="72"/>
      <c r="O648" s="134"/>
      <c r="P648" s="134"/>
      <c r="Q648" s="73">
        <f ca="1">IFERROR(SUM(Q636:Q647),"")</f>
        <v>0.2013888888888889</v>
      </c>
      <c r="R648" s="2" t="s">
        <v>264</v>
      </c>
      <c r="S648" s="74"/>
      <c r="T648" s="99">
        <f>IFERROR(J648,"")</f>
        <v>0</v>
      </c>
    </row>
    <row r="649" spans="1:20" ht="18" customHeight="1">
      <c r="A649" s="159" t="s">
        <v>252</v>
      </c>
      <c r="B649" s="159"/>
      <c r="C649" s="159"/>
      <c r="D649" s="159"/>
      <c r="E649" s="159"/>
      <c r="F649" s="108"/>
      <c r="G649" s="109">
        <f>G635+G648</f>
        <v>369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1561.8000000000002</v>
      </c>
      <c r="L649" s="76"/>
      <c r="M649" s="76"/>
      <c r="N649" s="76"/>
      <c r="O649" s="135"/>
      <c r="P649" s="135"/>
      <c r="Q649" s="77">
        <f ca="1">IFERROR(Q635+Q648,"")</f>
        <v>0.27083333333333331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263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266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59" t="s">
        <v>252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263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266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59" t="s">
        <v>252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263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266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59" t="s">
        <v>252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263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266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59" t="s">
        <v>252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263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266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59" t="s">
        <v>252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263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266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59" t="s">
        <v>252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263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266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59" t="s">
        <v>252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2026-08-25T08:49:35Z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