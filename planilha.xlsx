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93" documentId="8_{C51EB6CB-002B-4D6B-B68F-DDEBDB4460C0}" xr6:coauthVersionLast="47" xr6:coauthVersionMax="47" xr10:uidLastSave="{861EAE07-A102-44CF-A8B3-86102D9EEF79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<sst xmlns="http://schemas.openxmlformats.org/spreadsheetml/2006/main" count="5630" uniqueCount="336">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</sst>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L300" sqref="L30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103</v>
      </c>
      <c r="G311" s="90">
        <f>SUM(G299:G310)</f>
        <v>515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103</v>
      </c>
      <c r="G325" s="40">
        <f>G311+G324</f>
        <v>515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8" activePane="bottomLeft" state="frozen"/>
      <selection pane="bottomLeft" activeCell="F302" sqref="F30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0.31432210647471948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0.45321099536360837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0.53793321758583068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49</v>
      </c>
      <c r="G311" s="36">
        <f>SUM(G299:G310)</f>
        <v>205.8</v>
      </c>
      <c r="H311" s="37"/>
      <c r="I311" s="37"/>
      <c r="J311" s="37"/>
      <c r="K311" s="37"/>
      <c r="L311" s="37"/>
      <c r="M311" s="38">
        <f ca="1">IFERROR(SUM(M299:M310),"")</f>
        <v>6.9444444444444198E-4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49</v>
      </c>
      <c r="G325" s="40">
        <f>G311+G324</f>
        <v>205.8</v>
      </c>
      <c r="H325" s="41"/>
      <c r="I325" s="41"/>
      <c r="J325" s="41"/>
      <c r="K325" s="41"/>
      <c r="L325" s="41"/>
      <c r="M325" s="42">
        <f ca="1">IFERROR(M311+M324,"")</f>
        <v>6.9444444444444198E-4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02" sqref="F30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0.24140543981047813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0.30321099536603369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0.36432210647714486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32</v>
      </c>
      <c r="G311" s="36">
        <f>SUM(G299:G310)</f>
        <v>134.4</v>
      </c>
      <c r="H311" s="37"/>
      <c r="I311" s="37"/>
      <c r="J311" s="37"/>
      <c r="K311" s="37"/>
      <c r="L311" s="37"/>
      <c r="M311" s="38">
        <f ca="1">IFERROR(SUM(M299:M310),"")</f>
        <v>3.4722222222222099E-3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</v>
      </c>
      <c r="G325" s="40">
        <f>G311+G324</f>
        <v>134.4</v>
      </c>
      <c r="H325" s="41"/>
      <c r="I325" s="41"/>
      <c r="J325" s="41"/>
      <c r="K325" s="41"/>
      <c r="L325" s="41"/>
      <c r="M325" s="42">
        <f ca="1">IFERROR(M311+M324,"")</f>
        <v>3.4722222222222099E-3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K300" sqref="K30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/>
      <c r="I299" s="33"/>
      <c r="J299" s="33"/>
      <c r="K299" s="29">
        <v>0.43541666666666667</v>
      </c>
      <c r="L299" s="29"/>
      <c r="M299" s="35">
        <f t="shared" ref="M299:M310" ca="1" si="67">IFERROR(IF(K299="","",IF(L299="",MOD(NOW()-K299,1),IF(L299&gt;=K299,L299-K299,L299+1-K299))),"")</f>
        <v>4.3321758857928216E-4</v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54</v>
      </c>
      <c r="G311" s="36">
        <f>SUM(G299:G310)</f>
        <v>226.8</v>
      </c>
      <c r="H311" s="37"/>
      <c r="I311" s="37"/>
      <c r="J311" s="37"/>
      <c r="K311" s="61"/>
      <c r="L311" s="61"/>
      <c r="M311" s="38">
        <f ca="1">IFERROR(SUM(M299:M310),"")</f>
        <v>4.3321758857928216E-4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54</v>
      </c>
      <c r="G325" s="40">
        <f>G311+G324</f>
        <v>226.8</v>
      </c>
      <c r="H325" s="41"/>
      <c r="I325" s="41"/>
      <c r="J325" s="41"/>
      <c r="K325" s="63"/>
      <c r="L325" s="63"/>
      <c r="M325" s="42">
        <f ca="1">IFERROR(M311+M324,"")</f>
        <v>4.3321758857928216E-4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2026-08-12T14:28:08Z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