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35" documentId="13_ncr:1_{0A10D8D4-8450-4366-8075-B53B08E6B7EA}" xr6:coauthVersionLast="47" xr6:coauthVersionMax="47" xr10:uidLastSave="{048A4616-6E33-49F0-A60B-B93DF160C176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9" i="6" s="1"/>
  <c r="J349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9" i="5" s="1"/>
  <c r="J349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9" i="4" s="1"/>
  <c r="J349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7" i="6" l="1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<sst xmlns="http://schemas.openxmlformats.org/spreadsheetml/2006/main" count="6153" uniqueCount="342">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</sst>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9" sqref="F34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265</v>
      </c>
      <c r="G351" s="36">
        <f>SUM(G339:G350)</f>
        <v>1325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497</v>
      </c>
      <c r="G352" s="40">
        <f>G338+G351</f>
        <v>2485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G350" sqref="G3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0.12992175925319316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0.26881064814208205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0.35353287036430436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0</v>
      </c>
      <c r="I349" s="135">
        <f>IFERROR(IF($D349="","",VLOOKUP($D349,Cadastro!$C$4:$G$7,5,FALSE)),"")</f>
        <v>0.6</v>
      </c>
      <c r="J349" s="136">
        <f t="shared" si="78"/>
        <v>0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160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672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197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845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50" sqref="G3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0</v>
      </c>
      <c r="I349" s="135">
        <f>IFERROR(IF($D349="","",VLOOKUP($D349,Cadastro!$C$4:$G$7,5,FALSE)),"")</f>
        <v>0.6</v>
      </c>
      <c r="J349" s="136">
        <f t="shared" si="76"/>
        <v>0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56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235.20000000000005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117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532.20000000000005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G350" sqref="G3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0</v>
      </c>
      <c r="I349" s="135">
        <f>IFERROR(IF($D349="","",VLOOKUP($D349,Cadastro!$C$4:$G$7,5,FALSE)),"")</f>
        <v>0.6</v>
      </c>
      <c r="J349" s="136">
        <f t="shared" si="78"/>
        <v>0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222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932.4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439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1900.6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2026-08-14T10:02:13Z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