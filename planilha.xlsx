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871" documentId="8_{AF585B22-221D-4780-BB9C-493D365A6A02}" xr6:coauthVersionLast="47" xr6:coauthVersionMax="47" xr10:uidLastSave="{3C7483E6-BCAE-422B-9638-89EC7B84BE0E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<sst xmlns="http://schemas.openxmlformats.org/spreadsheetml/2006/main" count="7819" uniqueCount="352">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</sst>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4" sqref="G2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8" activePane="bottomLeft" state="frozen"/>
      <selection pane="bottomLeft" activeCell="L489" sqref="L48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6.9444444444444753E-3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6.9444444444444753E-3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63" activePane="bottomLeft" state="frozen"/>
      <selection pane="bottomLeft" activeCell="I475" sqref="I4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0.20349166666710516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0.36113055555599405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0.47085277777821621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0.18196388889191439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0.35279722222524779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0.49793611111413666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32</v>
      </c>
      <c r="G500" s="36">
        <f>SUM(G488:G499)</f>
        <v>160</v>
      </c>
      <c r="H500" s="37"/>
      <c r="I500" s="37"/>
      <c r="J500" s="37"/>
      <c r="K500" s="37"/>
      <c r="L500" s="37"/>
      <c r="M500" s="38">
        <f ca="1">IFERROR(SUM(M488:M499),"")</f>
        <v>3.2638888888888939E-2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32</v>
      </c>
      <c r="G514" s="40">
        <f>G500+G513</f>
        <v>160</v>
      </c>
      <c r="H514" s="41"/>
      <c r="I514" s="41"/>
      <c r="J514" s="41"/>
      <c r="K514" s="41"/>
      <c r="L514" s="41"/>
      <c r="M514" s="42">
        <f ca="1">IFERROR(M500+M513,"")</f>
        <v>3.2638888888888939E-2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68" zoomScale="50" zoomScaleNormal="50" workbookViewId="0">
      <selection activeCell="F491" sqref="F49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</v>
      </c>
      <c r="G500" s="36">
        <f>SUM(G488:G499)</f>
        <v>75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15</v>
      </c>
      <c r="G514" s="40">
        <f>G500+G513</f>
        <v>75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69" activePane="bottomLeft" state="frozen"/>
      <selection pane="bottomLeft" activeCell="K490" sqref="K49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0.19376944444957189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0.39307500000512752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0.76043611111623854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/>
      <c r="I489" s="33"/>
      <c r="J489" s="33"/>
      <c r="K489" s="29">
        <v>0.44236111111111109</v>
      </c>
      <c r="L489" s="29"/>
      <c r="M489" s="35">
        <f ca="1">IFERROR(IF(K489="","",IF(L489="",MOD(NOW()-K489,1),IF(L489&gt;=K489,L489-K489,L489+1-K489))),"")</f>
        <v>7.1388889045920223E-4</v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42</v>
      </c>
      <c r="G500" s="36">
        <f>SUM(G488:G499)</f>
        <v>210</v>
      </c>
      <c r="H500" s="37"/>
      <c r="I500" s="37"/>
      <c r="J500" s="37"/>
      <c r="K500" s="61"/>
      <c r="L500" s="61"/>
      <c r="M500" s="38">
        <f ca="1">IFERROR(SUM(M488:M499),"")</f>
        <v>2.7972222237925282E-3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42</v>
      </c>
      <c r="G514" s="40">
        <f>G500+G513</f>
        <v>210</v>
      </c>
      <c r="H514" s="41"/>
      <c r="I514" s="41"/>
      <c r="J514" s="41"/>
      <c r="K514" s="63"/>
      <c r="L514" s="63"/>
      <c r="M514" s="42">
        <f ca="1">IFERROR(M500+M513,"")</f>
        <v>2.7972222237925282E-3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2026-07-19T14:40:04Z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