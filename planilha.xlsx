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71" documentId="8_{AF585B22-221D-4780-BB9C-493D365A6A02}" xr6:coauthVersionLast="47" xr6:coauthVersionMax="47" xr10:uidLastSave="{29112FFD-0C77-4614-AE13-5C4146E51621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<sst xmlns="http://schemas.openxmlformats.org/spreadsheetml/2006/main" count="11136" uniqueCount="414">
  <si>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</si>
  <si>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</si>
  <si>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</si>
  <si>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</si>
  <si>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</si>
  <si>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</si>
  <si>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</si>
  <si>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</si>
  <si>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</si>
  <si>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</si>
  <si>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</si>
  <si>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</si>
  <si>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</si>
  <si>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</si>
  <si>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</si>
  <si>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</si>
  <si>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</si>
  <si>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</si>
  <si>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</si>
  <si>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</si>
  <si>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</si>
  <si>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</si>
  <si>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</si>
  <si>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</si>
  <si>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</si>
  <si>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</si>
  <si>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</si>
  <si>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</si>
  <si>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</si>
  <si>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</si>
  <si>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</si>
  <si>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</si>
  <si>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</si>
  <si>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</si>
  <si>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</si>
  <si>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</si>
  <si>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</si>
  <si>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</si>
  <si>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</si>
  <si>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</si>
  <si>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</si>
  <si>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</si>
  <si>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</si>
  <si>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</si>
  <si>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</si>
  <si>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</si>
  <si>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</si>
  <si>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</si>
  <si>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</si>
  <si>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</si>
  <si>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</si>
  <si>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</si>
  <si>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</si>
  <si>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</si>
  <si>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</si>
  <si>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</si>
  <si>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</si>
  <si>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</si>
  <si>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</si>
  <si>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</si>
  <si>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</si>
  <si>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</si>
  <si>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</si>
  <si>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</si>
  <si>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</si>
  <si>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</si>
  <si>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</si>
  <si>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</si>
  <si>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</si>
  <si>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</si>
  <si>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</si>
  <si>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</si>
  <si>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</si>
  <si>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</si>
  <si>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</si>
  <si>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</si>
  <si>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</si>
  <si>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</si>
  <si>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</si>
  <si>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</si>
  <si>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</si>
  <si>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</si>
  <si>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</si>
  <si>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</si>
  <si>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</si>
  <si>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</si>
  <si>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</si>
  <si>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</si>
  <si>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</si>
  <si>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</si>
  <si>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</si>
  <si>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</si>
  <si>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</si>
  <si>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</si>
  <si>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</si>
  <si>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</si>
  <si>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</si>
  <si>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</si>
  <si>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</si>
  <si>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</si>
  <si>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</si>
  <si>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</si>
  <si>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</si>
  <si>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</si>
  <si>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</si>
  <si>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</si>
  <si>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</si>
  <si>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</si>
  <si>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</si>
  <si>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</si>
  <si>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</si>
  <si>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</si>
  <si>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</si>
  <si>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</si>
  <si>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</si>
  <si>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</si>
  <si>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</si>
  <si>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</si>
  <si>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</si>
  <si>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</si>
  <si>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</si>
  <si>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</si>
  <si>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</si>
  <si>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</si>
  <si>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</si>
  <si>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</si>
  <si>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</si>
  <si>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</si>
  <si>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</si>
  <si>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</si>
  <si>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</si>
  <si>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</si>
  <si>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</si>
  <si>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</si>
  <si>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</si>
  <si>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</si>
  <si>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</si>
  <si>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</si>
  <si>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</si>
  <si>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</si>
  <si>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</si>
  <si>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</si>
  <si>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</si>
  <si>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</si>
  <si>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</si>
  <si>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</si>
  <si>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</si>
  <si>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</si>
  <si>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</si>
  <si>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</si>
  <si>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</si>
  <si>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</si>
  <si>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</si>
  <si>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</si>
  <si>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</si>
  <si>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</si>
  <si>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</si>
  <si>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</si>
  <si>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</si>
  <si>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</si>
  <si>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</si>
  <si>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</si>
  <si>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</si>
  <si>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</si>
  <si>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</si>
  <si>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</si>
  <si>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</si>
  <si>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</si>
  <si>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</si>
  <si>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</si>
  <si>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</si>
  <si>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</si>
  <si>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</si>
  <si>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</si>
  <si>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</si>
  <si>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</si>
  <si>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</si>
  <si>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</si>
  <si>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</si>
  <si>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</si>
  <si>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</si>
  <si>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</si>
  <si>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</si>
  <si>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</si>
  <si>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</si>
  <si>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</si>
  <si>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</si>
  <si>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</si>
  <si>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</si>
  <si>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</si>
  <si>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</si>
  <si>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</si>
  <si>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</si>
  <si>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</si>
  <si>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</si>
  <si>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</si>
  <si>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</si>
  <si>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</si>
  <si>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</si>
  <si>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</si>
  <si>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</si>
  <si>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</si>
  <si>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</si>
  <si>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</si>
  <si>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</si>
  <si>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</si>
  <si>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</si>
  <si>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</si>
  <si>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</si>
  <si>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</si>
  <si>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</si>
  <si>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</si>
  <si>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</si>
  <si>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</si>
  <si>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</si>
  <si>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</si>
  <si>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</si>
  <si>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</si>
  <si>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</si>
  <si>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</si>
  <si>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</si>
  <si>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</si>
  <si>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</si>
  <si>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</si>
  <si>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</si>
  <si>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</si>
  <si>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</si>
  <si>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</si>
  <si>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</si>
  <si>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</si>
  <si>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</si>
  <si>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</si>
  <si>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</si>
  <si>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</si>
  <si>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</si>
  <si>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</si>
  <si>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</si>
  <si>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</si>
  <si>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</si>
  <si>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</si>
  <si>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</si>
  <si>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</si>
  <si>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</si>
  <si>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</si>
  <si>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</si>
  <si>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</si>
  <si>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</si>
  <si>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</si>
  <si>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</si>
  <si>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</si>
  <si>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</si>
  <si>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</si>
  <si>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</si>
  <si>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</si>
  <si>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</si>
  <si>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</si>
  <si>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</si>
  <si>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</si>
  <si>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</si>
  <si>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</si>
  <si>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</si>
  <si>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</si>
  <si>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</si>
  <si>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</si>
  <si>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</si>
  <si>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</si>
  <si>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</si>
  <si>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</si>
  <si>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</si>
  <si>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</si>
  <si>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</si>
  <si>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</si>
  <si>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</si>
  <si>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</si>
  <si>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</si>
  <si>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</si>
  <si>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</si>
  <si>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</si>
  <si>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</si>
  <si>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</si>
  <si>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</si>
  <si>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</si>
  <si>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</si>
  <si>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</si>
  <si>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</si>
  <si>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</si>
  <si>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</si>
  <si>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</si>
  <si>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</si>
  <si>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</si>
  <si>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</si>
  <si>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</si>
  <si>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</si>
  <si>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</si>
  <si>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</si>
  <si>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</si>
  <si>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</si>
  <si>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</si>
  <si>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</si>
  <si>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</si>
  <si>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</si>
  <si>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</si>
  <si>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</si>
  <si>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</si>
  <si>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</si>
  <si>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</si>
  <si>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</si>
  <si>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</si>
  <si>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</si>
  <si>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</si>
  <si>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</si>
  <si>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</si>
  <si>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</si>
  <si>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</si>
  <si>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</si>
  <si>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</si>
  <si>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</si>
  <si>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</si>
  <si>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</si>
  <si>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</si>
  <si>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</si>
  <si>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</si>
  <si>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</si>
  <si>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</si>
  <si>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</si>
  <si>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</si>
  <si>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</si>
  <si>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</si>
  <si>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</si>
  <si>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</si>
  <si>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troca de martelos mm 1 e 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</si>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</sst>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5" sqref="E7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119</v>
      </c>
      <c r="G743" s="36">
        <f>SUM(G731:G742)</f>
        <v>595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119</v>
      </c>
      <c r="G757" s="40">
        <f>G743+G756</f>
        <v>595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17" activePane="bottomLeft" state="frozen"/>
      <selection pane="bottomLeft" activeCell="L733" sqref="L7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0.33974050925462507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0.49737939814351395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0.60710162036573612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0.3182127314794343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0.48904606481276769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0.63418495370165662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 t="s">
        <v>330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/>
      <c r="M733" s="35">
        <f t="shared" ca="1" si="163"/>
        <v>3.7657175926142372E-2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66</v>
      </c>
      <c r="G743" s="36">
        <f>SUM(G731:G742)</f>
        <v>277.20000000000005</v>
      </c>
      <c r="H743" s="37"/>
      <c r="I743" s="37"/>
      <c r="J743" s="37"/>
      <c r="K743" s="37"/>
      <c r="L743" s="37"/>
      <c r="M743" s="38">
        <f ca="1">IFERROR(SUM(M731:M742),"")</f>
        <v>5.9879398148364515E-2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66</v>
      </c>
      <c r="G757" s="40">
        <f>G743+G756</f>
        <v>277.20000000000005</v>
      </c>
      <c r="H757" s="41"/>
      <c r="I757" s="41"/>
      <c r="J757" s="41"/>
      <c r="K757" s="41"/>
      <c r="L757" s="41"/>
      <c r="M757" s="42">
        <f ca="1">IFERROR(M743+M756,"")</f>
        <v>5.9879398148364515E-2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E732" sqref="E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339</v>
      </c>
      <c r="N166" s="27" t="s">
        <v>340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>
        <v>0</v>
      </c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30</v>
      </c>
      <c r="G743" s="36">
        <f>SUM(G731:G742)</f>
        <v>4.2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30</v>
      </c>
      <c r="G757" s="40">
        <f>G743+G756</f>
        <v>4.2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36" sqref="F7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365</v>
      </c>
      <c r="L58" s="29">
        <v>0.54097222222222219</v>
      </c>
      <c r="M58" s="30" t="str">
        <f t="shared" ca="1" si="13"/>
        <v/>
      </c>
      <c r="N58" s="27" t="s">
        <v>366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0.3300182870370918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0.52932384259264742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0.89668495370375845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61</v>
      </c>
      <c r="G743" s="36">
        <f>SUM(G731:G742)</f>
        <v>256.2</v>
      </c>
      <c r="H743" s="37"/>
      <c r="I743" s="37"/>
      <c r="J743" s="37"/>
      <c r="K743" s="61"/>
      <c r="L743" s="61"/>
      <c r="M743" s="38">
        <f ca="1">IFERROR(SUM(M731:M742),"")</f>
        <v>8.6805555555555525E-2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61</v>
      </c>
      <c r="G757" s="40">
        <f>G743+G756</f>
        <v>256.2</v>
      </c>
      <c r="H757" s="41"/>
      <c r="I757" s="41"/>
      <c r="J757" s="41"/>
      <c r="K757" s="63"/>
      <c r="L757" s="63"/>
      <c r="M757" s="42">
        <f ca="1">IFERROR(M743+M756,"")</f>
        <v>8.6805555555555525E-2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2026-07-28T17:54:15Z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