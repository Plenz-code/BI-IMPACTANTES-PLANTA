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260" documentId="13_ncr:1_{A6DBCFB4-28D9-4249-9038-216934055CA6}" xr6:coauthVersionLast="47" xr6:coauthVersionMax="47" xr10:uidLastSave="{F268491D-A0DB-4BE0-BB1F-93E153612EA3}"/>
  <bookViews>
    <workbookView xWindow="-108" yWindow="-108" windowWidth="23256" windowHeight="12456" tabRatio="500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35" i="1" l="1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K554" i="5" l="1"/>
  <c r="K568" i="5" s="1"/>
  <c r="Q567" i="5"/>
  <c r="Q122" i="6"/>
  <c r="Q473" i="6"/>
  <c r="Q567" i="6"/>
  <c r="Q621" i="6"/>
  <c r="F61" i="7"/>
  <c r="L23" i="1" s="1"/>
  <c r="Q243" i="4"/>
  <c r="Q473" i="4"/>
  <c r="Q365" i="5"/>
  <c r="M500" i="3"/>
  <c r="Q689" i="5"/>
  <c r="Q216" i="4"/>
  <c r="Q459" i="4"/>
  <c r="M581" i="3"/>
  <c r="M824" i="3"/>
  <c r="Q351" i="5"/>
  <c r="Q432" i="5"/>
  <c r="Q770" i="5"/>
  <c r="Q581" i="6"/>
  <c r="Q27" i="4"/>
  <c r="Q824" i="4"/>
  <c r="Q203" i="6"/>
  <c r="M176" i="3"/>
  <c r="Q446" i="5"/>
  <c r="Q513" i="6"/>
  <c r="Q527" i="5"/>
  <c r="Q149" i="6"/>
  <c r="Q162" i="4"/>
  <c r="M257" i="3"/>
  <c r="Q324" i="6"/>
  <c r="Q500" i="6"/>
  <c r="M378" i="3"/>
  <c r="Q729" i="6"/>
  <c r="Q108" i="4"/>
  <c r="Q284" i="4"/>
  <c r="Q203" i="5"/>
  <c r="Q419" i="5"/>
  <c r="Q162" i="6"/>
  <c r="Q405" i="6"/>
  <c r="Q527" i="4"/>
  <c r="Q108" i="5"/>
  <c r="Q486" i="6"/>
  <c r="Q338" i="4"/>
  <c r="M446" i="3"/>
  <c r="Q689" i="4"/>
  <c r="M203" i="3"/>
  <c r="Q68" i="6"/>
  <c r="Q716" i="6"/>
  <c r="Q189" i="5"/>
  <c r="Q432" i="6"/>
  <c r="Q108" i="6"/>
  <c r="Q257" i="6"/>
  <c r="Q230" i="4"/>
  <c r="Q14" i="6"/>
  <c r="M459" i="3"/>
  <c r="Q284" i="5"/>
  <c r="Q176" i="4"/>
  <c r="Q297" i="4"/>
  <c r="Q824" i="6"/>
  <c r="Q419" i="4"/>
  <c r="M405" i="3"/>
  <c r="Q27" i="6"/>
  <c r="Q500" i="4"/>
  <c r="Q297" i="5"/>
  <c r="Q473" i="5"/>
  <c r="Q837" i="5"/>
  <c r="Q81" i="6"/>
  <c r="Q230" i="6"/>
  <c r="Q459" i="6"/>
  <c r="M554" i="3"/>
  <c r="Q608" i="6"/>
  <c r="Q81" i="4"/>
  <c r="M419" i="3"/>
  <c r="Q311" i="4"/>
  <c r="Q729" i="4"/>
  <c r="M351" i="3"/>
  <c r="Q324" i="5"/>
  <c r="Q702" i="5"/>
  <c r="M756" i="3"/>
  <c r="Q68" i="4"/>
  <c r="Q405" i="4"/>
  <c r="Q743" i="4"/>
  <c r="Q716" i="5"/>
  <c r="Q797" i="5"/>
  <c r="Q135" i="6"/>
  <c r="Q284" i="6"/>
  <c r="Q810" i="6"/>
  <c r="Q378" i="5"/>
  <c r="Q527" i="6"/>
  <c r="Q648" i="4"/>
  <c r="Q189" i="6"/>
  <c r="Q446" i="6"/>
  <c r="Q203" i="4"/>
  <c r="Q392" i="4"/>
  <c r="M41" i="3"/>
  <c r="M108" i="3"/>
  <c r="Q783" i="5"/>
  <c r="Q41" i="6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Q595" i="4" s="1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M595" i="3" s="1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757" i="5" s="1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433" i="3" l="1"/>
  <c r="Q379" i="6"/>
  <c r="Q325" i="5"/>
  <c r="Q82" i="4"/>
  <c r="J568" i="6"/>
  <c r="T568" i="6" s="1"/>
  <c r="Q433" i="6"/>
  <c r="Q622" i="6"/>
  <c r="Q487" i="4"/>
  <c r="Q190" i="5"/>
  <c r="Q244" i="4"/>
  <c r="Q568" i="6"/>
  <c r="M730" i="3"/>
  <c r="M190" i="3"/>
  <c r="Q109" i="4"/>
  <c r="Q784" i="5"/>
  <c r="Q217" i="5"/>
  <c r="Q325" i="6"/>
  <c r="M838" i="3"/>
  <c r="M55" i="3"/>
  <c r="M784" i="3"/>
  <c r="Q568" i="5"/>
  <c r="M325" i="3"/>
  <c r="Q190" i="4"/>
  <c r="Q460" i="6"/>
  <c r="M109" i="3"/>
  <c r="M514" i="3"/>
  <c r="Q271" i="5"/>
  <c r="M757" i="3"/>
  <c r="Q406" i="5"/>
  <c r="Q28" i="4"/>
  <c r="Q487" i="6"/>
  <c r="Q136" i="6"/>
  <c r="Q433" i="5"/>
  <c r="Q406" i="6"/>
  <c r="Q730" i="5"/>
  <c r="Q595" i="6"/>
  <c r="Q568" i="4"/>
  <c r="Q433" i="4"/>
  <c r="Q109" i="5"/>
  <c r="M379" i="3"/>
  <c r="Q838" i="6"/>
  <c r="Q730" i="4"/>
  <c r="Q325" i="4"/>
  <c r="Q622" i="4"/>
  <c r="Q703" i="6"/>
  <c r="Q730" i="6"/>
  <c r="Q163" i="4"/>
  <c r="Q82" i="6"/>
  <c r="Q136" i="5"/>
  <c r="Q541" i="4"/>
  <c r="Q271" i="6"/>
  <c r="Q55" i="6"/>
  <c r="M271" i="3"/>
  <c r="Q109" i="6"/>
  <c r="Q784" i="4"/>
  <c r="M460" i="3"/>
  <c r="M406" i="3"/>
  <c r="Q757" i="4"/>
  <c r="Q838" i="4"/>
  <c r="Q811" i="5"/>
  <c r="M352" i="3"/>
  <c r="M163" i="3"/>
  <c r="Q217" i="6"/>
  <c r="Q676" i="4"/>
  <c r="Q487" i="5"/>
  <c r="Q352" i="5"/>
  <c r="M811" i="3"/>
  <c r="Q352" i="4"/>
  <c r="Q649" i="6"/>
  <c r="Q244" i="6"/>
  <c r="Q541" i="6"/>
  <c r="Q460" i="5"/>
  <c r="M136" i="3"/>
  <c r="M568" i="3"/>
  <c r="M298" i="3"/>
  <c r="Q649" i="4"/>
  <c r="Q703" i="4"/>
  <c r="Q298" i="4"/>
  <c r="M217" i="3"/>
  <c r="Q811" i="6"/>
  <c r="Q28" i="6"/>
  <c r="Q298" i="6"/>
  <c r="Q649" i="5"/>
  <c r="Q757" i="6"/>
  <c r="Q379" i="4"/>
  <c r="M541" i="3"/>
  <c r="Q460" i="4"/>
  <c r="Q595" i="5"/>
  <c r="Q379" i="5"/>
  <c r="Q703" i="5"/>
  <c r="Q514" i="4"/>
  <c r="Q406" i="4"/>
  <c r="Q541" i="5"/>
  <c r="Q190" i="6"/>
  <c r="Q298" i="5"/>
  <c r="Q514" i="6"/>
  <c r="Q838" i="5"/>
  <c r="M244" i="3"/>
  <c r="Q217" i="4"/>
  <c r="Q163" i="6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<sst xmlns="http://schemas.openxmlformats.org/spreadsheetml/2006/main" count="9201" uniqueCount="404">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</sst>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abSelected="1" topLeftCell="C1" zoomScaleNormal="100" workbookViewId="0">
      <pane ySplit="3" topLeftCell="A26" activePane="bottomLeft" state="frozen"/>
      <selection activeCell="B1" sqref="B1"/>
      <selection pane="bottomLeft" activeCell="R6" sqref="R6"/>
    </sheetView>
  </sheetViews>
  <sheetFormatPr defaultColWidth="8.5546875" defaultRowHeight="14.4" x14ac:dyDescent="0.3"/>
  <cols>
    <col min="1" max="1" width="17.5546875" customWidth="1"/>
    <col min="2" max="2" width="21" style="3" customWidth="1"/>
    <col min="3" max="3" width="25.5546875" customWidth="1"/>
    <col min="4" max="4" width="23.5546875" customWidth="1"/>
    <col min="5" max="5" width="26" customWidth="1"/>
    <col min="6" max="6" width="18.6640625" customWidth="1"/>
    <col min="7" max="7" width="18.44140625" customWidth="1"/>
    <col min="8" max="8" width="19" hidden="1" customWidth="1"/>
    <col min="9" max="9" width="18.5546875" hidden="1" customWidth="1"/>
    <col min="10" max="10" width="13.109375" hidden="1" customWidth="1"/>
    <col min="11" max="11" width="22.109375" hidden="1" customWidth="1"/>
    <col min="12" max="12" width="16.6640625" customWidth="1"/>
  </cols>
  <sheetData>
    <row r="1" spans="1:12" ht="31.5" customHeight="1" x14ac:dyDescent="0.3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 x14ac:dyDescent="0.3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3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3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 x14ac:dyDescent="0.3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 x14ac:dyDescent="0.3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 x14ac:dyDescent="0.3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 x14ac:dyDescent="0.3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 x14ac:dyDescent="0.3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 x14ac:dyDescent="0.3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 x14ac:dyDescent="0.3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 x14ac:dyDescent="0.3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 x14ac:dyDescent="0.3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 x14ac:dyDescent="0.3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 x14ac:dyDescent="0.3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3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 x14ac:dyDescent="0.3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 x14ac:dyDescent="0.3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 x14ac:dyDescent="0.3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 x14ac:dyDescent="0.3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 x14ac:dyDescent="0.3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 x14ac:dyDescent="0.3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 x14ac:dyDescent="0.3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 x14ac:dyDescent="0.3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 x14ac:dyDescent="0.3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 x14ac:dyDescent="0.3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 x14ac:dyDescent="0.3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 x14ac:dyDescent="0.3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 x14ac:dyDescent="0.3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 x14ac:dyDescent="0.3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 x14ac:dyDescent="0.3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 x14ac:dyDescent="0.3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 x14ac:dyDescent="0.3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 x14ac:dyDescent="0.3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 x14ac:dyDescent="0.3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24442520</v>
      </c>
      <c r="E35" s="30">
        <f t="shared" si="2"/>
        <v>12931650</v>
      </c>
      <c r="F35" s="30">
        <f t="shared" si="2"/>
        <v>31416610</v>
      </c>
      <c r="G35" s="30">
        <f t="shared" si="2"/>
        <v>68790780</v>
      </c>
      <c r="H35" s="31">
        <f t="shared" si="2"/>
        <v>6165.6854726915117</v>
      </c>
      <c r="I35" s="31">
        <f t="shared" si="2"/>
        <v>4967.05</v>
      </c>
      <c r="J35" s="32">
        <f>I35/H35</f>
        <v>0.80559574795042699</v>
      </c>
      <c r="K35" s="33">
        <f>SUM(K4:K34)</f>
        <v>450.78</v>
      </c>
      <c r="L35" s="34">
        <f>IFERROR(SUM(L4:L34),"")</f>
        <v>6042.6</v>
      </c>
    </row>
    <row r="36" spans="1:12" ht="15" customHeight="1" x14ac:dyDescent="0.3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 x14ac:dyDescent="0.3">
      <c r="M2" s="162"/>
    </row>
    <row r="3" spans="1:18" ht="25.5" customHeight="1" x14ac:dyDescent="0.3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3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3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3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3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3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 x14ac:dyDescent="0.3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 x14ac:dyDescent="0.3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 x14ac:dyDescent="0.3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 x14ac:dyDescent="0.3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 x14ac:dyDescent="0.3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 x14ac:dyDescent="0.3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 x14ac:dyDescent="0.3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 x14ac:dyDescent="0.3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 x14ac:dyDescent="0.3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 x14ac:dyDescent="0.3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 x14ac:dyDescent="0.3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 x14ac:dyDescent="0.3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 x14ac:dyDescent="0.3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 x14ac:dyDescent="0.3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 x14ac:dyDescent="0.3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 x14ac:dyDescent="0.3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 x14ac:dyDescent="0.3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 x14ac:dyDescent="0.3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 x14ac:dyDescent="0.3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 x14ac:dyDescent="0.3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 x14ac:dyDescent="0.3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 x14ac:dyDescent="0.3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 x14ac:dyDescent="0.3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 x14ac:dyDescent="0.3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 x14ac:dyDescent="0.3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 x14ac:dyDescent="0.3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 x14ac:dyDescent="0.3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 x14ac:dyDescent="0.3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 x14ac:dyDescent="0.3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 x14ac:dyDescent="0.3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 x14ac:dyDescent="0.3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 x14ac:dyDescent="0.3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 x14ac:dyDescent="0.3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 x14ac:dyDescent="0.3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 x14ac:dyDescent="0.3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 x14ac:dyDescent="0.3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 x14ac:dyDescent="0.3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 x14ac:dyDescent="0.3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 x14ac:dyDescent="0.3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 x14ac:dyDescent="0.3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 x14ac:dyDescent="0.3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 x14ac:dyDescent="0.3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 x14ac:dyDescent="0.3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 x14ac:dyDescent="0.3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 x14ac:dyDescent="0.3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 x14ac:dyDescent="0.3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 x14ac:dyDescent="0.3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 x14ac:dyDescent="0.3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 x14ac:dyDescent="0.3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 x14ac:dyDescent="0.3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 x14ac:dyDescent="0.3">
      <c r="M59" s="162"/>
      <c r="N59" s="40"/>
      <c r="O59" s="40"/>
      <c r="P59" s="40" t="s">
        <v>222</v>
      </c>
      <c r="Q59" s="40"/>
      <c r="R59" s="40"/>
    </row>
    <row r="60" spans="1:18" ht="15" customHeight="1" x14ac:dyDescent="0.3">
      <c r="M60" s="162"/>
      <c r="N60" s="37"/>
      <c r="O60" s="37"/>
      <c r="P60" s="53" t="s">
        <v>114</v>
      </c>
      <c r="Q60" s="37"/>
      <c r="R60" s="37"/>
    </row>
    <row r="61" spans="1:18" ht="15" customHeight="1" x14ac:dyDescent="0.3">
      <c r="M61" s="162"/>
      <c r="N61" s="40"/>
      <c r="O61" s="40"/>
      <c r="P61" s="40" t="s">
        <v>223</v>
      </c>
      <c r="Q61" s="40"/>
      <c r="R61" s="40"/>
    </row>
    <row r="62" spans="1:18" ht="15" customHeight="1" x14ac:dyDescent="0.3">
      <c r="M62" s="162"/>
      <c r="N62" s="37"/>
      <c r="O62" s="37"/>
      <c r="P62" s="37" t="s">
        <v>224</v>
      </c>
      <c r="Q62" s="37"/>
      <c r="R62" s="37"/>
    </row>
    <row r="63" spans="1:18" ht="15" customHeight="1" x14ac:dyDescent="0.3">
      <c r="M63" s="162"/>
      <c r="N63" s="40"/>
      <c r="O63" s="40"/>
      <c r="P63" s="40" t="s">
        <v>225</v>
      </c>
      <c r="Q63" s="40"/>
      <c r="R63" s="40"/>
    </row>
    <row r="64" spans="1:18" ht="15" customHeight="1" x14ac:dyDescent="0.3">
      <c r="M64" s="162"/>
      <c r="N64" s="37"/>
      <c r="O64" s="37"/>
      <c r="P64" s="37" t="s">
        <v>226</v>
      </c>
      <c r="Q64" s="37"/>
      <c r="R64" s="37"/>
    </row>
    <row r="65" spans="13:18" ht="15" customHeight="1" x14ac:dyDescent="0.3">
      <c r="M65" s="162"/>
      <c r="N65" s="40"/>
      <c r="O65" s="40"/>
      <c r="P65" s="40" t="s">
        <v>227</v>
      </c>
      <c r="Q65" s="40"/>
      <c r="R65" s="40"/>
    </row>
    <row r="66" spans="13:18" ht="15" customHeight="1" x14ac:dyDescent="0.3">
      <c r="M66" s="162"/>
      <c r="N66" s="37"/>
      <c r="O66" s="37"/>
      <c r="P66" s="37" t="s">
        <v>228</v>
      </c>
      <c r="Q66" s="37"/>
      <c r="R66" s="37"/>
    </row>
    <row r="67" spans="13:18" ht="15" customHeight="1" x14ac:dyDescent="0.3">
      <c r="M67" s="162"/>
      <c r="N67" s="40"/>
      <c r="O67" s="40"/>
      <c r="P67" s="40" t="s">
        <v>229</v>
      </c>
      <c r="Q67" s="40"/>
      <c r="R67" s="40"/>
    </row>
    <row r="68" spans="13:18" ht="15" customHeight="1" x14ac:dyDescent="0.3">
      <c r="M68" s="162"/>
      <c r="N68" s="37"/>
      <c r="O68" s="37"/>
      <c r="P68" s="37" t="s">
        <v>230</v>
      </c>
      <c r="Q68" s="37"/>
      <c r="R68" s="37"/>
    </row>
    <row r="69" spans="13:18" ht="15" customHeight="1" x14ac:dyDescent="0.3">
      <c r="M69" s="162"/>
      <c r="N69" s="40"/>
      <c r="O69" s="40"/>
      <c r="P69" s="40" t="s">
        <v>231</v>
      </c>
      <c r="Q69" s="40"/>
      <c r="R69" s="40"/>
    </row>
    <row r="70" spans="13:18" ht="15" customHeight="1" x14ac:dyDescent="0.3">
      <c r="M70" s="162"/>
      <c r="N70" s="37"/>
      <c r="O70" s="37"/>
      <c r="P70" s="37" t="s">
        <v>232</v>
      </c>
      <c r="Q70" s="37"/>
      <c r="R70" s="37"/>
    </row>
    <row r="71" spans="13:18" ht="15" customHeight="1" x14ac:dyDescent="0.3">
      <c r="M71" s="162"/>
      <c r="N71" s="40"/>
      <c r="O71" s="40"/>
      <c r="P71" s="40" t="s">
        <v>233</v>
      </c>
      <c r="Q71" s="40"/>
      <c r="R71" s="40"/>
    </row>
    <row r="72" spans="13:18" ht="15" customHeight="1" x14ac:dyDescent="0.3">
      <c r="M72" s="162"/>
      <c r="N72" s="37"/>
      <c r="O72" s="37"/>
      <c r="P72" s="37" t="s">
        <v>234</v>
      </c>
      <c r="Q72" s="37"/>
      <c r="R72" s="37"/>
    </row>
    <row r="73" spans="13:18" ht="15" customHeight="1" x14ac:dyDescent="0.3">
      <c r="M73" s="162"/>
      <c r="N73" s="40"/>
      <c r="O73" s="40"/>
      <c r="P73" s="40" t="s">
        <v>235</v>
      </c>
      <c r="Q73" s="40"/>
      <c r="R73" s="40"/>
    </row>
    <row r="74" spans="13:18" ht="15" customHeight="1" x14ac:dyDescent="0.3">
      <c r="M74" s="162"/>
      <c r="N74" s="37"/>
      <c r="O74" s="37"/>
      <c r="P74" s="37" t="s">
        <v>236</v>
      </c>
      <c r="Q74" s="37"/>
      <c r="R74" s="37"/>
    </row>
    <row r="75" spans="13:18" ht="15" customHeight="1" x14ac:dyDescent="0.3">
      <c r="M75" s="162"/>
      <c r="N75" s="40"/>
      <c r="O75" s="40"/>
      <c r="P75" s="40" t="s">
        <v>237</v>
      </c>
      <c r="Q75" s="40"/>
      <c r="R75" s="40"/>
    </row>
    <row r="76" spans="13:18" ht="15" customHeight="1" x14ac:dyDescent="0.3"/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6" activePane="bottomLeft" state="frozen"/>
      <selection pane="bottomLeft" activeCell="L55" sqref="L55"/>
    </sheetView>
  </sheetViews>
  <sheetFormatPr defaultColWidth="8.5546875" defaultRowHeight="14.4" x14ac:dyDescent="0.3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3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 x14ac:dyDescent="0.3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 x14ac:dyDescent="0.3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 x14ac:dyDescent="0.3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 x14ac:dyDescent="0.3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 x14ac:dyDescent="0.3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 x14ac:dyDescent="0.3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 x14ac:dyDescent="0.3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 x14ac:dyDescent="0.3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 x14ac:dyDescent="0.3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 x14ac:dyDescent="0.3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 x14ac:dyDescent="0.3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 x14ac:dyDescent="0.3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 x14ac:dyDescent="0.3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 x14ac:dyDescent="0.3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 x14ac:dyDescent="0.3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 x14ac:dyDescent="0.3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 x14ac:dyDescent="0.3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 x14ac:dyDescent="0.3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 x14ac:dyDescent="0.3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 x14ac:dyDescent="0.3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 x14ac:dyDescent="0.3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 x14ac:dyDescent="0.3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 x14ac:dyDescent="0.3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 x14ac:dyDescent="0.3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 x14ac:dyDescent="0.3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 x14ac:dyDescent="0.3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 x14ac:dyDescent="0.3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 x14ac:dyDescent="0.3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 x14ac:dyDescent="0.3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 x14ac:dyDescent="0.3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 x14ac:dyDescent="0.3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 x14ac:dyDescent="0.3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 x14ac:dyDescent="0.3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 x14ac:dyDescent="0.3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 x14ac:dyDescent="0.3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 x14ac:dyDescent="0.3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 x14ac:dyDescent="0.3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 x14ac:dyDescent="0.3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 x14ac:dyDescent="0.3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 x14ac:dyDescent="0.3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 x14ac:dyDescent="0.3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 x14ac:dyDescent="0.3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 x14ac:dyDescent="0.3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 x14ac:dyDescent="0.3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 x14ac:dyDescent="0.3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 x14ac:dyDescent="0.3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 x14ac:dyDescent="0.3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 x14ac:dyDescent="0.3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 x14ac:dyDescent="0.3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 x14ac:dyDescent="0.3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 x14ac:dyDescent="0.3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 x14ac:dyDescent="0.3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 x14ac:dyDescent="0.3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 x14ac:dyDescent="0.3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 x14ac:dyDescent="0.3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 x14ac:dyDescent="0.3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 x14ac:dyDescent="0.3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 x14ac:dyDescent="0.3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 x14ac:dyDescent="0.3">
      <c r="A60" s="144">
        <v>46254</v>
      </c>
      <c r="B60" s="145" t="s">
        <v>248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 x14ac:dyDescent="0.3">
      <c r="A61" s="164" t="s">
        <v>249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 x14ac:dyDescent="0.3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 x14ac:dyDescent="0.3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 x14ac:dyDescent="0.3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 x14ac:dyDescent="0.3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 x14ac:dyDescent="0.3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 x14ac:dyDescent="0.3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 x14ac:dyDescent="0.3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 x14ac:dyDescent="0.3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 x14ac:dyDescent="0.3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 x14ac:dyDescent="0.3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 x14ac:dyDescent="0.3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 x14ac:dyDescent="0.3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 x14ac:dyDescent="0.3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 x14ac:dyDescent="0.3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 x14ac:dyDescent="0.3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 x14ac:dyDescent="0.3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 x14ac:dyDescent="0.3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 x14ac:dyDescent="0.3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 x14ac:dyDescent="0.3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 x14ac:dyDescent="0.3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 x14ac:dyDescent="0.3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 x14ac:dyDescent="0.3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 x14ac:dyDescent="0.3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 x14ac:dyDescent="0.3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 x14ac:dyDescent="0.3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 x14ac:dyDescent="0.3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 x14ac:dyDescent="0.3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 x14ac:dyDescent="0.3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 x14ac:dyDescent="0.3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 x14ac:dyDescent="0.3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 x14ac:dyDescent="0.3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 x14ac:dyDescent="0.3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 x14ac:dyDescent="0.3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0" activePane="bottomLeft" state="frozen"/>
      <selection pane="bottomLeft" activeCell="J536" sqref="J536"/>
    </sheetView>
  </sheetViews>
  <sheetFormatPr defaultColWidth="8.5546875" defaultRowHeight="14.4" x14ac:dyDescent="0.3"/>
  <cols>
    <col min="1" max="1" width="18.10937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8671875" style="54" customWidth="1"/>
    <col min="8" max="8" width="33.109375" style="54" customWidth="1"/>
    <col min="9" max="9" width="23.44140625" style="54" customWidth="1"/>
    <col min="10" max="10" width="43.109375" style="54" customWidth="1"/>
    <col min="11" max="11" width="14" style="54" customWidth="1"/>
    <col min="12" max="12" width="13.109375" style="55" customWidth="1"/>
    <col min="13" max="13" width="14" style="54" customWidth="1"/>
    <col min="14" max="14" width="37.33203125" style="54" customWidth="1"/>
    <col min="15" max="15" width="19.88671875" customWidth="1"/>
  </cols>
  <sheetData>
    <row r="1" spans="1:15" ht="37.5" customHeight="1" x14ac:dyDescent="0.3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 x14ac:dyDescent="0.3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 x14ac:dyDescent="0.3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 x14ac:dyDescent="0.3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 x14ac:dyDescent="0.3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 x14ac:dyDescent="0.3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 x14ac:dyDescent="0.3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 x14ac:dyDescent="0.3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 x14ac:dyDescent="0.3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 x14ac:dyDescent="0.3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 x14ac:dyDescent="0.3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 x14ac:dyDescent="0.3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 x14ac:dyDescent="0.3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 x14ac:dyDescent="0.3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 x14ac:dyDescent="0.3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 x14ac:dyDescent="0.3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 x14ac:dyDescent="0.3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 x14ac:dyDescent="0.3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 x14ac:dyDescent="0.3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 x14ac:dyDescent="0.3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 x14ac:dyDescent="0.3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3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 x14ac:dyDescent="0.3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 x14ac:dyDescent="0.3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 x14ac:dyDescent="0.3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 x14ac:dyDescent="0.3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 x14ac:dyDescent="0.3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 x14ac:dyDescent="0.3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 x14ac:dyDescent="0.3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 x14ac:dyDescent="0.3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 x14ac:dyDescent="0.3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 x14ac:dyDescent="0.3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 x14ac:dyDescent="0.3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 x14ac:dyDescent="0.3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 x14ac:dyDescent="0.3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 x14ac:dyDescent="0.3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 x14ac:dyDescent="0.3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 x14ac:dyDescent="0.3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 x14ac:dyDescent="0.3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 x14ac:dyDescent="0.3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 x14ac:dyDescent="0.3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 x14ac:dyDescent="0.3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 x14ac:dyDescent="0.3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 x14ac:dyDescent="0.3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 x14ac:dyDescent="0.3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 x14ac:dyDescent="0.3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 x14ac:dyDescent="0.3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3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 x14ac:dyDescent="0.3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 x14ac:dyDescent="0.3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 x14ac:dyDescent="0.3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 x14ac:dyDescent="0.3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 x14ac:dyDescent="0.3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 x14ac:dyDescent="0.3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 x14ac:dyDescent="0.3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 x14ac:dyDescent="0.3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 x14ac:dyDescent="0.3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 x14ac:dyDescent="0.3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 x14ac:dyDescent="0.3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 x14ac:dyDescent="0.3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 x14ac:dyDescent="0.3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 x14ac:dyDescent="0.3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 x14ac:dyDescent="0.3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 x14ac:dyDescent="0.3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 x14ac:dyDescent="0.3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 x14ac:dyDescent="0.35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 x14ac:dyDescent="0.35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 x14ac:dyDescent="0.3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 x14ac:dyDescent="0.3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 x14ac:dyDescent="0.3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 x14ac:dyDescent="0.3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 x14ac:dyDescent="0.3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 x14ac:dyDescent="0.3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 x14ac:dyDescent="0.3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 x14ac:dyDescent="0.3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 x14ac:dyDescent="0.3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 x14ac:dyDescent="0.3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 x14ac:dyDescent="0.3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 x14ac:dyDescent="0.3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 x14ac:dyDescent="0.3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 x14ac:dyDescent="0.3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 x14ac:dyDescent="0.3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 x14ac:dyDescent="0.3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 x14ac:dyDescent="0.3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 x14ac:dyDescent="0.3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 x14ac:dyDescent="0.3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 x14ac:dyDescent="0.3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 x14ac:dyDescent="0.3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 x14ac:dyDescent="0.3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 x14ac:dyDescent="0.3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 x14ac:dyDescent="0.3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 x14ac:dyDescent="0.3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 x14ac:dyDescent="0.3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 x14ac:dyDescent="0.3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 x14ac:dyDescent="0.3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 x14ac:dyDescent="0.3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 x14ac:dyDescent="0.3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 x14ac:dyDescent="0.3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 x14ac:dyDescent="0.3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 x14ac:dyDescent="0.3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 x14ac:dyDescent="0.3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 x14ac:dyDescent="0.3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 x14ac:dyDescent="0.3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 x14ac:dyDescent="0.3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 x14ac:dyDescent="0.3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 x14ac:dyDescent="0.3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 x14ac:dyDescent="0.3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 x14ac:dyDescent="0.3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 x14ac:dyDescent="0.3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 x14ac:dyDescent="0.3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 x14ac:dyDescent="0.3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 x14ac:dyDescent="0.3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 x14ac:dyDescent="0.3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 x14ac:dyDescent="0.3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 x14ac:dyDescent="0.3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 x14ac:dyDescent="0.3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 x14ac:dyDescent="0.3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 x14ac:dyDescent="0.3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 x14ac:dyDescent="0.3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 x14ac:dyDescent="0.3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 x14ac:dyDescent="0.3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 x14ac:dyDescent="0.3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 x14ac:dyDescent="0.3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 x14ac:dyDescent="0.3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 x14ac:dyDescent="0.3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 x14ac:dyDescent="0.3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 x14ac:dyDescent="0.3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 x14ac:dyDescent="0.3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 x14ac:dyDescent="0.3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 x14ac:dyDescent="0.3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 x14ac:dyDescent="0.3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 x14ac:dyDescent="0.3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 x14ac:dyDescent="0.3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 x14ac:dyDescent="0.3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 x14ac:dyDescent="0.3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 x14ac:dyDescent="0.3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 x14ac:dyDescent="0.3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 x14ac:dyDescent="0.3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 x14ac:dyDescent="0.3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 x14ac:dyDescent="0.3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 x14ac:dyDescent="0.3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 x14ac:dyDescent="0.3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 x14ac:dyDescent="0.3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 x14ac:dyDescent="0.3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 x14ac:dyDescent="0.3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 x14ac:dyDescent="0.3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 x14ac:dyDescent="0.3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 x14ac:dyDescent="0.3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 x14ac:dyDescent="0.3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 x14ac:dyDescent="0.3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 x14ac:dyDescent="0.3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 x14ac:dyDescent="0.3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 x14ac:dyDescent="0.3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 x14ac:dyDescent="0.3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 x14ac:dyDescent="0.3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 x14ac:dyDescent="0.3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 x14ac:dyDescent="0.3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 x14ac:dyDescent="0.3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 x14ac:dyDescent="0.3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 x14ac:dyDescent="0.3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 x14ac:dyDescent="0.3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 x14ac:dyDescent="0.3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 x14ac:dyDescent="0.3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 x14ac:dyDescent="0.3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 x14ac:dyDescent="0.3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 x14ac:dyDescent="0.3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 x14ac:dyDescent="0.3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 x14ac:dyDescent="0.3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 x14ac:dyDescent="0.3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 x14ac:dyDescent="0.3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 x14ac:dyDescent="0.3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 x14ac:dyDescent="0.3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 x14ac:dyDescent="0.3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 x14ac:dyDescent="0.3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 x14ac:dyDescent="0.3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 x14ac:dyDescent="0.3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 x14ac:dyDescent="0.3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 x14ac:dyDescent="0.3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 x14ac:dyDescent="0.3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 x14ac:dyDescent="0.3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 x14ac:dyDescent="0.3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 x14ac:dyDescent="0.3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 x14ac:dyDescent="0.3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 x14ac:dyDescent="0.3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 x14ac:dyDescent="0.3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 x14ac:dyDescent="0.3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 x14ac:dyDescent="0.3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 x14ac:dyDescent="0.3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 x14ac:dyDescent="0.3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 x14ac:dyDescent="0.3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 x14ac:dyDescent="0.3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 x14ac:dyDescent="0.3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 x14ac:dyDescent="0.3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 x14ac:dyDescent="0.3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 x14ac:dyDescent="0.3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 x14ac:dyDescent="0.3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 x14ac:dyDescent="0.3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 x14ac:dyDescent="0.3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 x14ac:dyDescent="0.3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 x14ac:dyDescent="0.3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 x14ac:dyDescent="0.3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 x14ac:dyDescent="0.3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 x14ac:dyDescent="0.3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 x14ac:dyDescent="0.3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 x14ac:dyDescent="0.3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 x14ac:dyDescent="0.3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 x14ac:dyDescent="0.3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 x14ac:dyDescent="0.3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 x14ac:dyDescent="0.3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 x14ac:dyDescent="0.3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 x14ac:dyDescent="0.3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 x14ac:dyDescent="0.3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 x14ac:dyDescent="0.3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 x14ac:dyDescent="0.3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 x14ac:dyDescent="0.3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 x14ac:dyDescent="0.3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 x14ac:dyDescent="0.3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 x14ac:dyDescent="0.3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 x14ac:dyDescent="0.3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 x14ac:dyDescent="0.3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 x14ac:dyDescent="0.3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 x14ac:dyDescent="0.3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 x14ac:dyDescent="0.3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 x14ac:dyDescent="0.3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 x14ac:dyDescent="0.3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 x14ac:dyDescent="0.3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 x14ac:dyDescent="0.3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 x14ac:dyDescent="0.3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 x14ac:dyDescent="0.3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 x14ac:dyDescent="0.3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 x14ac:dyDescent="0.3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 x14ac:dyDescent="0.3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 x14ac:dyDescent="0.3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 x14ac:dyDescent="0.3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 x14ac:dyDescent="0.3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 x14ac:dyDescent="0.3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 x14ac:dyDescent="0.3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 x14ac:dyDescent="0.3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 x14ac:dyDescent="0.3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 x14ac:dyDescent="0.3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 x14ac:dyDescent="0.3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 x14ac:dyDescent="0.3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 x14ac:dyDescent="0.3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 x14ac:dyDescent="0.3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 x14ac:dyDescent="0.3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 x14ac:dyDescent="0.3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 x14ac:dyDescent="0.3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 x14ac:dyDescent="0.3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 x14ac:dyDescent="0.3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 x14ac:dyDescent="0.3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 x14ac:dyDescent="0.3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 x14ac:dyDescent="0.3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 x14ac:dyDescent="0.3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 x14ac:dyDescent="0.3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 x14ac:dyDescent="0.3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 x14ac:dyDescent="0.3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 x14ac:dyDescent="0.3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 x14ac:dyDescent="0.3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 x14ac:dyDescent="0.3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 x14ac:dyDescent="0.3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 x14ac:dyDescent="0.3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 x14ac:dyDescent="0.3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 x14ac:dyDescent="0.3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 x14ac:dyDescent="0.3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 x14ac:dyDescent="0.3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 x14ac:dyDescent="0.3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 x14ac:dyDescent="0.3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 x14ac:dyDescent="0.3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 x14ac:dyDescent="0.3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 x14ac:dyDescent="0.3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 x14ac:dyDescent="0.3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 x14ac:dyDescent="0.3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 x14ac:dyDescent="0.3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 x14ac:dyDescent="0.3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 x14ac:dyDescent="0.3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 x14ac:dyDescent="0.3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 x14ac:dyDescent="0.3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 x14ac:dyDescent="0.3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 x14ac:dyDescent="0.3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 x14ac:dyDescent="0.3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 x14ac:dyDescent="0.3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 x14ac:dyDescent="0.3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 x14ac:dyDescent="0.3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 x14ac:dyDescent="0.3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 x14ac:dyDescent="0.3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 x14ac:dyDescent="0.3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 x14ac:dyDescent="0.3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 x14ac:dyDescent="0.3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 x14ac:dyDescent="0.3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 x14ac:dyDescent="0.3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 x14ac:dyDescent="0.3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 x14ac:dyDescent="0.3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 x14ac:dyDescent="0.3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 x14ac:dyDescent="0.3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 x14ac:dyDescent="0.3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 x14ac:dyDescent="0.3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 x14ac:dyDescent="0.3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 x14ac:dyDescent="0.3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 x14ac:dyDescent="0.3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 x14ac:dyDescent="0.3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 x14ac:dyDescent="0.3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 x14ac:dyDescent="0.3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 x14ac:dyDescent="0.3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 x14ac:dyDescent="0.3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 x14ac:dyDescent="0.3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 x14ac:dyDescent="0.3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 x14ac:dyDescent="0.3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 x14ac:dyDescent="0.3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 x14ac:dyDescent="0.3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 x14ac:dyDescent="0.3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 x14ac:dyDescent="0.3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 x14ac:dyDescent="0.3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 x14ac:dyDescent="0.3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 x14ac:dyDescent="0.3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 x14ac:dyDescent="0.3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 x14ac:dyDescent="0.3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 x14ac:dyDescent="0.3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 x14ac:dyDescent="0.3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 x14ac:dyDescent="0.3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 x14ac:dyDescent="0.3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 x14ac:dyDescent="0.3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 x14ac:dyDescent="0.3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 x14ac:dyDescent="0.3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 x14ac:dyDescent="0.3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 x14ac:dyDescent="0.3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 x14ac:dyDescent="0.3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 x14ac:dyDescent="0.3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 x14ac:dyDescent="0.3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 x14ac:dyDescent="0.3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 x14ac:dyDescent="0.3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 x14ac:dyDescent="0.3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 x14ac:dyDescent="0.3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 x14ac:dyDescent="0.3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 x14ac:dyDescent="0.3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 x14ac:dyDescent="0.3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 x14ac:dyDescent="0.3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 x14ac:dyDescent="0.3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 x14ac:dyDescent="0.3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 x14ac:dyDescent="0.3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 x14ac:dyDescent="0.3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259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 x14ac:dyDescent="0.3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259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 x14ac:dyDescent="0.3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259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 x14ac:dyDescent="0.3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259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 x14ac:dyDescent="0.3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261</v>
      </c>
      <c r="O540" s="74">
        <v>667100</v>
      </c>
    </row>
    <row r="541" spans="1:15" ht="18" customHeight="1" x14ac:dyDescent="0.3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264</v>
      </c>
      <c r="O541" s="82">
        <f>IFERROR(O527+O540,"")</f>
        <v>2240300</v>
      </c>
    </row>
    <row r="542" spans="1:15" ht="15" customHeight="1" x14ac:dyDescent="0.3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 x14ac:dyDescent="0.3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 x14ac:dyDescent="0.3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 x14ac:dyDescent="0.3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 x14ac:dyDescent="0.3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 x14ac:dyDescent="0.3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 x14ac:dyDescent="0.3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 x14ac:dyDescent="0.3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 x14ac:dyDescent="0.3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 x14ac:dyDescent="0.3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 x14ac:dyDescent="0.3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 x14ac:dyDescent="0.3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 x14ac:dyDescent="0.3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 x14ac:dyDescent="0.3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 x14ac:dyDescent="0.3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 x14ac:dyDescent="0.3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 x14ac:dyDescent="0.3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 x14ac:dyDescent="0.3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 x14ac:dyDescent="0.3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 x14ac:dyDescent="0.3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 x14ac:dyDescent="0.3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 x14ac:dyDescent="0.3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 x14ac:dyDescent="0.3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 x14ac:dyDescent="0.3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 x14ac:dyDescent="0.3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 x14ac:dyDescent="0.3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 x14ac:dyDescent="0.3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 x14ac:dyDescent="0.3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 x14ac:dyDescent="0.3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 x14ac:dyDescent="0.3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 x14ac:dyDescent="0.3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 x14ac:dyDescent="0.3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 x14ac:dyDescent="0.3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 x14ac:dyDescent="0.3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 x14ac:dyDescent="0.3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 x14ac:dyDescent="0.3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 x14ac:dyDescent="0.3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 x14ac:dyDescent="0.3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 x14ac:dyDescent="0.3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 x14ac:dyDescent="0.3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 x14ac:dyDescent="0.3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 x14ac:dyDescent="0.3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 x14ac:dyDescent="0.3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 x14ac:dyDescent="0.3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 x14ac:dyDescent="0.3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 x14ac:dyDescent="0.3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 x14ac:dyDescent="0.3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 x14ac:dyDescent="0.3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 x14ac:dyDescent="0.3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 x14ac:dyDescent="0.3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 x14ac:dyDescent="0.3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 x14ac:dyDescent="0.3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 x14ac:dyDescent="0.3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 x14ac:dyDescent="0.3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 x14ac:dyDescent="0.3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 x14ac:dyDescent="0.3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 x14ac:dyDescent="0.3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 x14ac:dyDescent="0.3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 x14ac:dyDescent="0.3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 x14ac:dyDescent="0.3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 x14ac:dyDescent="0.3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 x14ac:dyDescent="0.3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 x14ac:dyDescent="0.3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 x14ac:dyDescent="0.3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 x14ac:dyDescent="0.3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 x14ac:dyDescent="0.3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 x14ac:dyDescent="0.3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 x14ac:dyDescent="0.3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 x14ac:dyDescent="0.3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 x14ac:dyDescent="0.3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 x14ac:dyDescent="0.3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 x14ac:dyDescent="0.3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 x14ac:dyDescent="0.3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 x14ac:dyDescent="0.3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 x14ac:dyDescent="0.3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 x14ac:dyDescent="0.3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 x14ac:dyDescent="0.3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 x14ac:dyDescent="0.3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 x14ac:dyDescent="0.3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 x14ac:dyDescent="0.3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 x14ac:dyDescent="0.3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 x14ac:dyDescent="0.3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 x14ac:dyDescent="0.3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 x14ac:dyDescent="0.3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 x14ac:dyDescent="0.3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 x14ac:dyDescent="0.3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 x14ac:dyDescent="0.3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 x14ac:dyDescent="0.3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 x14ac:dyDescent="0.3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 x14ac:dyDescent="0.3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 x14ac:dyDescent="0.3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 x14ac:dyDescent="0.3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 x14ac:dyDescent="0.3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 x14ac:dyDescent="0.3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 x14ac:dyDescent="0.3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 x14ac:dyDescent="0.3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 x14ac:dyDescent="0.3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 x14ac:dyDescent="0.3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 x14ac:dyDescent="0.3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 x14ac:dyDescent="0.3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 x14ac:dyDescent="0.3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 x14ac:dyDescent="0.3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 x14ac:dyDescent="0.3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 x14ac:dyDescent="0.3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 x14ac:dyDescent="0.3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 x14ac:dyDescent="0.3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 x14ac:dyDescent="0.3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 x14ac:dyDescent="0.3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 x14ac:dyDescent="0.3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 x14ac:dyDescent="0.3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 x14ac:dyDescent="0.3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 x14ac:dyDescent="0.3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 x14ac:dyDescent="0.3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 x14ac:dyDescent="0.3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 x14ac:dyDescent="0.3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 x14ac:dyDescent="0.3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 x14ac:dyDescent="0.3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 x14ac:dyDescent="0.3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 x14ac:dyDescent="0.3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 x14ac:dyDescent="0.3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 x14ac:dyDescent="0.3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 x14ac:dyDescent="0.3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 x14ac:dyDescent="0.3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 x14ac:dyDescent="0.3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 x14ac:dyDescent="0.3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 x14ac:dyDescent="0.3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 x14ac:dyDescent="0.3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 x14ac:dyDescent="0.3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 x14ac:dyDescent="0.3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 x14ac:dyDescent="0.3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 x14ac:dyDescent="0.3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 x14ac:dyDescent="0.3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 x14ac:dyDescent="0.3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 x14ac:dyDescent="0.3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 x14ac:dyDescent="0.3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 x14ac:dyDescent="0.3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 x14ac:dyDescent="0.3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 x14ac:dyDescent="0.3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 x14ac:dyDescent="0.3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 x14ac:dyDescent="0.3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 x14ac:dyDescent="0.3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 x14ac:dyDescent="0.3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 x14ac:dyDescent="0.3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 x14ac:dyDescent="0.3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 x14ac:dyDescent="0.3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 x14ac:dyDescent="0.3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 x14ac:dyDescent="0.3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 x14ac:dyDescent="0.3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 x14ac:dyDescent="0.3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 x14ac:dyDescent="0.3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 x14ac:dyDescent="0.3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 x14ac:dyDescent="0.3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 x14ac:dyDescent="0.3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 x14ac:dyDescent="0.3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 x14ac:dyDescent="0.3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 x14ac:dyDescent="0.3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 x14ac:dyDescent="0.3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 x14ac:dyDescent="0.3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 x14ac:dyDescent="0.3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 x14ac:dyDescent="0.3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 x14ac:dyDescent="0.3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 x14ac:dyDescent="0.3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 x14ac:dyDescent="0.3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 x14ac:dyDescent="0.3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 x14ac:dyDescent="0.3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 x14ac:dyDescent="0.3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 x14ac:dyDescent="0.3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 x14ac:dyDescent="0.3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 x14ac:dyDescent="0.3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 x14ac:dyDescent="0.3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 x14ac:dyDescent="0.3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 x14ac:dyDescent="0.3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 x14ac:dyDescent="0.3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 x14ac:dyDescent="0.3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 x14ac:dyDescent="0.3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 x14ac:dyDescent="0.3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 x14ac:dyDescent="0.3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 x14ac:dyDescent="0.3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 x14ac:dyDescent="0.3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 x14ac:dyDescent="0.3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 x14ac:dyDescent="0.3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 x14ac:dyDescent="0.3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 x14ac:dyDescent="0.3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 x14ac:dyDescent="0.3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 x14ac:dyDescent="0.3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 x14ac:dyDescent="0.3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 x14ac:dyDescent="0.3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 x14ac:dyDescent="0.3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 x14ac:dyDescent="0.3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 x14ac:dyDescent="0.3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 x14ac:dyDescent="0.3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 x14ac:dyDescent="0.3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 x14ac:dyDescent="0.3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 x14ac:dyDescent="0.3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 x14ac:dyDescent="0.3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 x14ac:dyDescent="0.3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 x14ac:dyDescent="0.3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 x14ac:dyDescent="0.3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 x14ac:dyDescent="0.3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 x14ac:dyDescent="0.3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 x14ac:dyDescent="0.3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 x14ac:dyDescent="0.3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 x14ac:dyDescent="0.3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 x14ac:dyDescent="0.3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 x14ac:dyDescent="0.3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 x14ac:dyDescent="0.3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 x14ac:dyDescent="0.3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 x14ac:dyDescent="0.3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 x14ac:dyDescent="0.3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 x14ac:dyDescent="0.3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 x14ac:dyDescent="0.3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 x14ac:dyDescent="0.3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 x14ac:dyDescent="0.3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 x14ac:dyDescent="0.3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 x14ac:dyDescent="0.3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 x14ac:dyDescent="0.3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 x14ac:dyDescent="0.3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 x14ac:dyDescent="0.3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 x14ac:dyDescent="0.3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 x14ac:dyDescent="0.3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 x14ac:dyDescent="0.3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 x14ac:dyDescent="0.3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 x14ac:dyDescent="0.3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 x14ac:dyDescent="0.3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 x14ac:dyDescent="0.3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 x14ac:dyDescent="0.3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 x14ac:dyDescent="0.3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 x14ac:dyDescent="0.3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 x14ac:dyDescent="0.3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 x14ac:dyDescent="0.3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 x14ac:dyDescent="0.3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 x14ac:dyDescent="0.3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 x14ac:dyDescent="0.3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 x14ac:dyDescent="0.3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 x14ac:dyDescent="0.3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 x14ac:dyDescent="0.3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 x14ac:dyDescent="0.3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 x14ac:dyDescent="0.3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 x14ac:dyDescent="0.3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 x14ac:dyDescent="0.3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 x14ac:dyDescent="0.3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 x14ac:dyDescent="0.3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 x14ac:dyDescent="0.3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 x14ac:dyDescent="0.3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 x14ac:dyDescent="0.3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 x14ac:dyDescent="0.3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 x14ac:dyDescent="0.3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 x14ac:dyDescent="0.3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 x14ac:dyDescent="0.3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 x14ac:dyDescent="0.3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 x14ac:dyDescent="0.3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 x14ac:dyDescent="0.3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 x14ac:dyDescent="0.3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 x14ac:dyDescent="0.3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 x14ac:dyDescent="0.3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 x14ac:dyDescent="0.3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 x14ac:dyDescent="0.3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 x14ac:dyDescent="0.3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 x14ac:dyDescent="0.3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 x14ac:dyDescent="0.3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 x14ac:dyDescent="0.3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 x14ac:dyDescent="0.3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 x14ac:dyDescent="0.3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 x14ac:dyDescent="0.3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 x14ac:dyDescent="0.3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 x14ac:dyDescent="0.3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 x14ac:dyDescent="0.3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 x14ac:dyDescent="0.3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 x14ac:dyDescent="0.3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 x14ac:dyDescent="0.3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3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 x14ac:dyDescent="0.3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 x14ac:dyDescent="0.3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 x14ac:dyDescent="0.3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 x14ac:dyDescent="0.3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 x14ac:dyDescent="0.3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 x14ac:dyDescent="0.3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 x14ac:dyDescent="0.3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 x14ac:dyDescent="0.3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 x14ac:dyDescent="0.3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 x14ac:dyDescent="0.3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 x14ac:dyDescent="0.3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 x14ac:dyDescent="0.3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 x14ac:dyDescent="0.3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 x14ac:dyDescent="0.3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 x14ac:dyDescent="0.3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 x14ac:dyDescent="0.3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 x14ac:dyDescent="0.3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 x14ac:dyDescent="0.3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 x14ac:dyDescent="0.3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 x14ac:dyDescent="0.3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 x14ac:dyDescent="0.3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 x14ac:dyDescent="0.3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 x14ac:dyDescent="0.3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 x14ac:dyDescent="0.3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 x14ac:dyDescent="0.3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 x14ac:dyDescent="0.3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E553" sqref="E553"/>
    </sheetView>
  </sheetViews>
  <sheetFormatPr defaultColWidth="8.5546875" defaultRowHeight="14.4" x14ac:dyDescent="0.3"/>
  <cols>
    <col min="1" max="1" width="15.5546875" style="85" customWidth="1"/>
    <col min="2" max="2" width="9" style="54" customWidth="1"/>
    <col min="3" max="3" width="14" style="54" customWidth="1"/>
    <col min="4" max="5" width="16.109375" style="54" customWidth="1"/>
    <col min="6" max="6" width="13.88671875" style="54" hidden="1" customWidth="1"/>
    <col min="7" max="7" width="13" style="54" customWidth="1"/>
    <col min="8" max="8" width="15.88671875" style="54" hidden="1" customWidth="1"/>
    <col min="9" max="9" width="16.109375" style="54" hidden="1" customWidth="1"/>
    <col min="10" max="10" width="13.88671875" style="54" hidden="1" customWidth="1"/>
    <col min="11" max="11" width="14" style="54" customWidth="1"/>
    <col min="12" max="12" width="31.109375" style="54" customWidth="1"/>
    <col min="13" max="13" width="29.109375" style="54" customWidth="1"/>
    <col min="14" max="14" width="48.5546875" style="54" customWidth="1"/>
    <col min="15" max="15" width="15.44140625" style="54" customWidth="1"/>
    <col min="16" max="16" width="12" style="55" customWidth="1"/>
    <col min="17" max="17" width="15.5546875" style="54" customWidth="1"/>
    <col min="18" max="18" width="48.5546875" style="54" customWidth="1"/>
    <col min="19" max="19" width="29.88671875" customWidth="1"/>
    <col min="20" max="20" width="14.88671875" hidden="1" customWidth="1"/>
  </cols>
  <sheetData>
    <row r="1" spans="1:20" ht="37.5" customHeight="1" x14ac:dyDescent="0.3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 x14ac:dyDescent="0.3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 x14ac:dyDescent="0.3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 x14ac:dyDescent="0.3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 x14ac:dyDescent="0.3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 x14ac:dyDescent="0.3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 x14ac:dyDescent="0.3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 x14ac:dyDescent="0.3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 x14ac:dyDescent="0.3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 x14ac:dyDescent="0.3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 x14ac:dyDescent="0.3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 x14ac:dyDescent="0.3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 x14ac:dyDescent="0.3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 x14ac:dyDescent="0.3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 x14ac:dyDescent="0.3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 x14ac:dyDescent="0.3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 x14ac:dyDescent="0.3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 x14ac:dyDescent="0.3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 x14ac:dyDescent="0.3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0.18645081017893972</v>
      </c>
      <c r="R53" s="80" t="s">
        <v>306</v>
      </c>
      <c r="S53" s="67"/>
    </row>
    <row r="54" spans="1:20" ht="15.75" customHeight="1" x14ac:dyDescent="0.3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0.32533969906782745</v>
      </c>
      <c r="R54" s="2" t="s">
        <v>261</v>
      </c>
      <c r="S54" s="113">
        <v>352430</v>
      </c>
      <c r="T54" s="114"/>
    </row>
    <row r="55" spans="1:20" ht="18" customHeight="1" x14ac:dyDescent="0.3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0.41006192129005026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3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 x14ac:dyDescent="0.3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 x14ac:dyDescent="0.3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 x14ac:dyDescent="0.3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 x14ac:dyDescent="0.3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 x14ac:dyDescent="0.3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 x14ac:dyDescent="0.3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 x14ac:dyDescent="0.3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 x14ac:dyDescent="0.3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 x14ac:dyDescent="0.3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 x14ac:dyDescent="0.3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 x14ac:dyDescent="0.3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 x14ac:dyDescent="0.4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 x14ac:dyDescent="0.3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 x14ac:dyDescent="0.3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 x14ac:dyDescent="0.3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 x14ac:dyDescent="0.3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 x14ac:dyDescent="0.3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 x14ac:dyDescent="0.3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 x14ac:dyDescent="0.3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 x14ac:dyDescent="0.3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 x14ac:dyDescent="0.3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 x14ac:dyDescent="0.3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 x14ac:dyDescent="0.3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 x14ac:dyDescent="0.4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 x14ac:dyDescent="0.3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3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 x14ac:dyDescent="0.4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 x14ac:dyDescent="0.4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 x14ac:dyDescent="0.3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 x14ac:dyDescent="0.4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 x14ac:dyDescent="0.3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 x14ac:dyDescent="0.3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 x14ac:dyDescent="0.3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 x14ac:dyDescent="0.3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 x14ac:dyDescent="0.3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 x14ac:dyDescent="0.3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 x14ac:dyDescent="0.3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 x14ac:dyDescent="0.3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 x14ac:dyDescent="0.3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 x14ac:dyDescent="0.3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 x14ac:dyDescent="0.3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 x14ac:dyDescent="0.4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 x14ac:dyDescent="0.3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 x14ac:dyDescent="0.4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 x14ac:dyDescent="0.4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 x14ac:dyDescent="0.3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 x14ac:dyDescent="0.3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 x14ac:dyDescent="0.3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 x14ac:dyDescent="0.3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 x14ac:dyDescent="0.3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 x14ac:dyDescent="0.3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 x14ac:dyDescent="0.3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 x14ac:dyDescent="0.3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 x14ac:dyDescent="0.3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 x14ac:dyDescent="0.3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 x14ac:dyDescent="0.3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 x14ac:dyDescent="0.3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 x14ac:dyDescent="0.3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 x14ac:dyDescent="0.3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 x14ac:dyDescent="0.3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 x14ac:dyDescent="0.3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 x14ac:dyDescent="0.3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 x14ac:dyDescent="0.3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 x14ac:dyDescent="0.3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 x14ac:dyDescent="0.3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 x14ac:dyDescent="0.3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 x14ac:dyDescent="0.3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 x14ac:dyDescent="0.3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 x14ac:dyDescent="0.3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 x14ac:dyDescent="0.3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 x14ac:dyDescent="0.3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 x14ac:dyDescent="0.3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 x14ac:dyDescent="0.3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 x14ac:dyDescent="0.3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 x14ac:dyDescent="0.3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 x14ac:dyDescent="0.3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 x14ac:dyDescent="0.3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 x14ac:dyDescent="0.3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 x14ac:dyDescent="0.3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 x14ac:dyDescent="0.3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 x14ac:dyDescent="0.3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 x14ac:dyDescent="0.3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 x14ac:dyDescent="0.3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 x14ac:dyDescent="0.3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 x14ac:dyDescent="0.3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 x14ac:dyDescent="0.3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 x14ac:dyDescent="0.3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 x14ac:dyDescent="0.3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 x14ac:dyDescent="0.3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 x14ac:dyDescent="0.3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 x14ac:dyDescent="0.3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 x14ac:dyDescent="0.3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 x14ac:dyDescent="0.3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 x14ac:dyDescent="0.3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 x14ac:dyDescent="0.3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 x14ac:dyDescent="0.3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 x14ac:dyDescent="0.3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 x14ac:dyDescent="0.3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 x14ac:dyDescent="0.3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 x14ac:dyDescent="0.3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 x14ac:dyDescent="0.3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 x14ac:dyDescent="0.3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 x14ac:dyDescent="0.3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 x14ac:dyDescent="0.3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 x14ac:dyDescent="0.3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 x14ac:dyDescent="0.3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 x14ac:dyDescent="0.3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 x14ac:dyDescent="0.3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 x14ac:dyDescent="0.3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 x14ac:dyDescent="0.3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 x14ac:dyDescent="0.3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 x14ac:dyDescent="0.3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 x14ac:dyDescent="0.3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 x14ac:dyDescent="0.3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 x14ac:dyDescent="0.3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 x14ac:dyDescent="0.3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 x14ac:dyDescent="0.3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 x14ac:dyDescent="0.3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 x14ac:dyDescent="0.3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 x14ac:dyDescent="0.3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 x14ac:dyDescent="0.3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 x14ac:dyDescent="0.3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 x14ac:dyDescent="0.3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 x14ac:dyDescent="0.3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 x14ac:dyDescent="0.3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 x14ac:dyDescent="0.3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 x14ac:dyDescent="0.3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 x14ac:dyDescent="0.3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 x14ac:dyDescent="0.3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 x14ac:dyDescent="0.3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 x14ac:dyDescent="0.3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 x14ac:dyDescent="0.3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 x14ac:dyDescent="0.3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 x14ac:dyDescent="0.3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 x14ac:dyDescent="0.3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 x14ac:dyDescent="0.3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 x14ac:dyDescent="0.3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 x14ac:dyDescent="0.3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 x14ac:dyDescent="0.3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 x14ac:dyDescent="0.3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 x14ac:dyDescent="0.3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 x14ac:dyDescent="0.3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 x14ac:dyDescent="0.3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 x14ac:dyDescent="0.3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 x14ac:dyDescent="0.3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 x14ac:dyDescent="0.3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 x14ac:dyDescent="0.3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 x14ac:dyDescent="0.3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 x14ac:dyDescent="0.3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 x14ac:dyDescent="0.3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 x14ac:dyDescent="0.3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 x14ac:dyDescent="0.3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 x14ac:dyDescent="0.3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 x14ac:dyDescent="0.3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 x14ac:dyDescent="0.3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 x14ac:dyDescent="0.3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 x14ac:dyDescent="0.3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 x14ac:dyDescent="0.3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 x14ac:dyDescent="0.3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 x14ac:dyDescent="0.3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 x14ac:dyDescent="0.3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 x14ac:dyDescent="0.3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 x14ac:dyDescent="0.3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 x14ac:dyDescent="0.3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 x14ac:dyDescent="0.3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 x14ac:dyDescent="0.3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 x14ac:dyDescent="0.3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 x14ac:dyDescent="0.3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 x14ac:dyDescent="0.3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 x14ac:dyDescent="0.3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 x14ac:dyDescent="0.3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 x14ac:dyDescent="0.3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 x14ac:dyDescent="0.3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 x14ac:dyDescent="0.3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 x14ac:dyDescent="0.3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 x14ac:dyDescent="0.3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 x14ac:dyDescent="0.3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 x14ac:dyDescent="0.3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 x14ac:dyDescent="0.3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 x14ac:dyDescent="0.3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 x14ac:dyDescent="0.3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 x14ac:dyDescent="0.3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 x14ac:dyDescent="0.3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 x14ac:dyDescent="0.3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 x14ac:dyDescent="0.3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 x14ac:dyDescent="0.3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 x14ac:dyDescent="0.3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 x14ac:dyDescent="0.3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 x14ac:dyDescent="0.3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 x14ac:dyDescent="0.3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 x14ac:dyDescent="0.3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 x14ac:dyDescent="0.3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 x14ac:dyDescent="0.3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 x14ac:dyDescent="0.3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 x14ac:dyDescent="0.3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 x14ac:dyDescent="0.3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 x14ac:dyDescent="0.3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 x14ac:dyDescent="0.3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 x14ac:dyDescent="0.3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 x14ac:dyDescent="0.3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 x14ac:dyDescent="0.3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 x14ac:dyDescent="0.3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 x14ac:dyDescent="0.3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 x14ac:dyDescent="0.3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 x14ac:dyDescent="0.3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 x14ac:dyDescent="0.3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 x14ac:dyDescent="0.3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 x14ac:dyDescent="0.3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 x14ac:dyDescent="0.3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 x14ac:dyDescent="0.3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 x14ac:dyDescent="0.3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 x14ac:dyDescent="0.3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 x14ac:dyDescent="0.3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 x14ac:dyDescent="0.3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 x14ac:dyDescent="0.3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 x14ac:dyDescent="0.3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 x14ac:dyDescent="0.3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 x14ac:dyDescent="0.3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 x14ac:dyDescent="0.3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 x14ac:dyDescent="0.3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 x14ac:dyDescent="0.3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 x14ac:dyDescent="0.3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 x14ac:dyDescent="0.3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 x14ac:dyDescent="0.3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 x14ac:dyDescent="0.3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 x14ac:dyDescent="0.3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 x14ac:dyDescent="0.3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 x14ac:dyDescent="0.3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 x14ac:dyDescent="0.3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 x14ac:dyDescent="0.3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 x14ac:dyDescent="0.3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 x14ac:dyDescent="0.3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 x14ac:dyDescent="0.3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 x14ac:dyDescent="0.3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 x14ac:dyDescent="0.3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 x14ac:dyDescent="0.3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 x14ac:dyDescent="0.3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 x14ac:dyDescent="0.3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 x14ac:dyDescent="0.3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 x14ac:dyDescent="0.3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 x14ac:dyDescent="0.3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 x14ac:dyDescent="0.3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 x14ac:dyDescent="0.3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 x14ac:dyDescent="0.3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 x14ac:dyDescent="0.3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 x14ac:dyDescent="0.3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 x14ac:dyDescent="0.3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 x14ac:dyDescent="0.3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 x14ac:dyDescent="0.3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 x14ac:dyDescent="0.3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 x14ac:dyDescent="0.3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 x14ac:dyDescent="0.3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 x14ac:dyDescent="0.3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 x14ac:dyDescent="0.3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 x14ac:dyDescent="0.3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 x14ac:dyDescent="0.3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 x14ac:dyDescent="0.3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 x14ac:dyDescent="0.3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 x14ac:dyDescent="0.3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 x14ac:dyDescent="0.3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 x14ac:dyDescent="0.3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 x14ac:dyDescent="0.3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 x14ac:dyDescent="0.3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 x14ac:dyDescent="0.3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 x14ac:dyDescent="0.3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 x14ac:dyDescent="0.3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 x14ac:dyDescent="0.3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 x14ac:dyDescent="0.3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 x14ac:dyDescent="0.3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 x14ac:dyDescent="0.3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 x14ac:dyDescent="0.3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 x14ac:dyDescent="0.3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 x14ac:dyDescent="0.3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 x14ac:dyDescent="0.3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 x14ac:dyDescent="0.3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 x14ac:dyDescent="0.3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 x14ac:dyDescent="0.3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 x14ac:dyDescent="0.3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 x14ac:dyDescent="0.3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 x14ac:dyDescent="0.3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 x14ac:dyDescent="0.3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 x14ac:dyDescent="0.3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 x14ac:dyDescent="0.3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 x14ac:dyDescent="0.3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 x14ac:dyDescent="0.3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 x14ac:dyDescent="0.3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 x14ac:dyDescent="0.3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 x14ac:dyDescent="0.3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 x14ac:dyDescent="0.3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 x14ac:dyDescent="0.3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 x14ac:dyDescent="0.3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 x14ac:dyDescent="0.3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 x14ac:dyDescent="0.3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 x14ac:dyDescent="0.3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 x14ac:dyDescent="0.3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 x14ac:dyDescent="0.3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 x14ac:dyDescent="0.3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 x14ac:dyDescent="0.3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 x14ac:dyDescent="0.3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 x14ac:dyDescent="0.3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 x14ac:dyDescent="0.3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 x14ac:dyDescent="0.3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 x14ac:dyDescent="0.3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 x14ac:dyDescent="0.3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 x14ac:dyDescent="0.3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 x14ac:dyDescent="0.3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 x14ac:dyDescent="0.3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 x14ac:dyDescent="0.3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 x14ac:dyDescent="0.3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 x14ac:dyDescent="0.3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 x14ac:dyDescent="0.3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 x14ac:dyDescent="0.3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 x14ac:dyDescent="0.3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 x14ac:dyDescent="0.3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 x14ac:dyDescent="0.3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 x14ac:dyDescent="0.3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339</v>
      </c>
      <c r="S534" s="81"/>
    </row>
    <row r="535" spans="1:20" ht="15" customHeight="1" x14ac:dyDescent="0.3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340</v>
      </c>
      <c r="S535" s="81"/>
    </row>
    <row r="536" spans="1:20" ht="15" customHeight="1" x14ac:dyDescent="0.3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 x14ac:dyDescent="0.3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 x14ac:dyDescent="0.3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 x14ac:dyDescent="0.3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 x14ac:dyDescent="0.3">
      <c r="A540" s="156" t="s">
        <v>263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261</v>
      </c>
      <c r="S540" s="74">
        <v>399600</v>
      </c>
      <c r="T540" s="99">
        <f>IFERROR(J540,"")</f>
        <v>64.532992771084338</v>
      </c>
    </row>
    <row r="541" spans="1:20" ht="18" customHeight="1" x14ac:dyDescent="0.3">
      <c r="A541" s="157" t="s">
        <v>249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264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 x14ac:dyDescent="0.3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/>
      <c r="H542" s="101" t="str">
        <f>IFERROR(IF($G542="","",$G542*$S$554/$G$554/Cadastro!$E$33),"")</f>
        <v/>
      </c>
      <c r="I542" s="102">
        <f>IFERROR(IF($D542="","",VLOOKUP($D542,Cadastro!$C$4:$G$7,5,FALSE())),"")</f>
        <v>0.6</v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/>
      <c r="Q542" s="66">
        <f t="shared" ref="Q542:Q553" ca="1" si="140">IFERROR(IF(O542="","",IF(P542="",MOD(NOW()-O542,1),IF(P542&gt;=O542,P542-O542,P542+1-O542))),"")</f>
        <v>5.8952546241926029E-3</v>
      </c>
      <c r="R542" s="80"/>
      <c r="S542" s="81"/>
    </row>
    <row r="543" spans="1:20" ht="15" customHeight="1" x14ac:dyDescent="0.3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/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 x14ac:dyDescent="0.3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/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 x14ac:dyDescent="0.3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/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 x14ac:dyDescent="0.3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 x14ac:dyDescent="0.3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 x14ac:dyDescent="0.3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 x14ac:dyDescent="0.3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 x14ac:dyDescent="0.3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 x14ac:dyDescent="0.3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 x14ac:dyDescent="0.3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 x14ac:dyDescent="0.3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 x14ac:dyDescent="0.3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5.8952546241926029E-3</v>
      </c>
      <c r="R554" s="2" t="s">
        <v>261</v>
      </c>
      <c r="S554" s="74"/>
      <c r="T554" s="99">
        <f>IFERROR(J554,"")</f>
        <v>0</v>
      </c>
    </row>
    <row r="555" spans="1:20" ht="15" customHeight="1" x14ac:dyDescent="0.3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 x14ac:dyDescent="0.3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 x14ac:dyDescent="0.3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 x14ac:dyDescent="0.3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 x14ac:dyDescent="0.3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 x14ac:dyDescent="0.3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 x14ac:dyDescent="0.3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 x14ac:dyDescent="0.3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 x14ac:dyDescent="0.3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 x14ac:dyDescent="0.3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 x14ac:dyDescent="0.3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 x14ac:dyDescent="0.3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 x14ac:dyDescent="0.3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 x14ac:dyDescent="0.3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5.8952546241926029E-3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 x14ac:dyDescent="0.3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 x14ac:dyDescent="0.3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 x14ac:dyDescent="0.3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 x14ac:dyDescent="0.3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 x14ac:dyDescent="0.3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 x14ac:dyDescent="0.3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 x14ac:dyDescent="0.3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 x14ac:dyDescent="0.3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 x14ac:dyDescent="0.3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 x14ac:dyDescent="0.3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 x14ac:dyDescent="0.3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 x14ac:dyDescent="0.3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 x14ac:dyDescent="0.3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 x14ac:dyDescent="0.3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 x14ac:dyDescent="0.3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 x14ac:dyDescent="0.3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 x14ac:dyDescent="0.3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 x14ac:dyDescent="0.3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 x14ac:dyDescent="0.3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 x14ac:dyDescent="0.3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 x14ac:dyDescent="0.3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 x14ac:dyDescent="0.3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 x14ac:dyDescent="0.3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 x14ac:dyDescent="0.3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 x14ac:dyDescent="0.3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 x14ac:dyDescent="0.3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 x14ac:dyDescent="0.3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 x14ac:dyDescent="0.3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 x14ac:dyDescent="0.3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 x14ac:dyDescent="0.3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 x14ac:dyDescent="0.3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 x14ac:dyDescent="0.3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 x14ac:dyDescent="0.3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 x14ac:dyDescent="0.3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 x14ac:dyDescent="0.3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 x14ac:dyDescent="0.3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 x14ac:dyDescent="0.3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 x14ac:dyDescent="0.3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 x14ac:dyDescent="0.3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 x14ac:dyDescent="0.3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 x14ac:dyDescent="0.3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 x14ac:dyDescent="0.3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 x14ac:dyDescent="0.3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 x14ac:dyDescent="0.3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 x14ac:dyDescent="0.3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 x14ac:dyDescent="0.3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 x14ac:dyDescent="0.3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 x14ac:dyDescent="0.3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 x14ac:dyDescent="0.3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 x14ac:dyDescent="0.3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 x14ac:dyDescent="0.3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 x14ac:dyDescent="0.3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 x14ac:dyDescent="0.3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 x14ac:dyDescent="0.3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 x14ac:dyDescent="0.3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 x14ac:dyDescent="0.3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 x14ac:dyDescent="0.3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 x14ac:dyDescent="0.3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 x14ac:dyDescent="0.3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 x14ac:dyDescent="0.3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 x14ac:dyDescent="0.3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 x14ac:dyDescent="0.3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 x14ac:dyDescent="0.3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 x14ac:dyDescent="0.3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 x14ac:dyDescent="0.3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 x14ac:dyDescent="0.3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 x14ac:dyDescent="0.3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 x14ac:dyDescent="0.3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 x14ac:dyDescent="0.3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 x14ac:dyDescent="0.3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 x14ac:dyDescent="0.3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 x14ac:dyDescent="0.3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 x14ac:dyDescent="0.3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 x14ac:dyDescent="0.3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 x14ac:dyDescent="0.3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 x14ac:dyDescent="0.3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 x14ac:dyDescent="0.3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 x14ac:dyDescent="0.3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 x14ac:dyDescent="0.3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 x14ac:dyDescent="0.3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 x14ac:dyDescent="0.3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 x14ac:dyDescent="0.3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 x14ac:dyDescent="0.3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 x14ac:dyDescent="0.3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 x14ac:dyDescent="0.3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 x14ac:dyDescent="0.3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 x14ac:dyDescent="0.3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 x14ac:dyDescent="0.3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 x14ac:dyDescent="0.3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 x14ac:dyDescent="0.3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 x14ac:dyDescent="0.3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 x14ac:dyDescent="0.3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 x14ac:dyDescent="0.3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 x14ac:dyDescent="0.3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 x14ac:dyDescent="0.3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 x14ac:dyDescent="0.3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 x14ac:dyDescent="0.3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 x14ac:dyDescent="0.3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 x14ac:dyDescent="0.3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 x14ac:dyDescent="0.3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 x14ac:dyDescent="0.3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 x14ac:dyDescent="0.3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 x14ac:dyDescent="0.3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 x14ac:dyDescent="0.3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 x14ac:dyDescent="0.3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 x14ac:dyDescent="0.3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 x14ac:dyDescent="0.3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 x14ac:dyDescent="0.3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 x14ac:dyDescent="0.3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 x14ac:dyDescent="0.3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 x14ac:dyDescent="0.3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 x14ac:dyDescent="0.3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 x14ac:dyDescent="0.3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 x14ac:dyDescent="0.3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 x14ac:dyDescent="0.3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 x14ac:dyDescent="0.3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 x14ac:dyDescent="0.3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 x14ac:dyDescent="0.3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 x14ac:dyDescent="0.3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 x14ac:dyDescent="0.3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 x14ac:dyDescent="0.3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 x14ac:dyDescent="0.3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 x14ac:dyDescent="0.3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 x14ac:dyDescent="0.3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 x14ac:dyDescent="0.3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 x14ac:dyDescent="0.3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 x14ac:dyDescent="0.3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 x14ac:dyDescent="0.3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 x14ac:dyDescent="0.3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 x14ac:dyDescent="0.3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 x14ac:dyDescent="0.3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 x14ac:dyDescent="0.3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 x14ac:dyDescent="0.3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 x14ac:dyDescent="0.3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 x14ac:dyDescent="0.3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 x14ac:dyDescent="0.3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 x14ac:dyDescent="0.3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 x14ac:dyDescent="0.3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 x14ac:dyDescent="0.3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 x14ac:dyDescent="0.3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 x14ac:dyDescent="0.3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 x14ac:dyDescent="0.3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 x14ac:dyDescent="0.3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 x14ac:dyDescent="0.3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 x14ac:dyDescent="0.3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 x14ac:dyDescent="0.3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 x14ac:dyDescent="0.3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 x14ac:dyDescent="0.3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 x14ac:dyDescent="0.3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 x14ac:dyDescent="0.3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 x14ac:dyDescent="0.3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 x14ac:dyDescent="0.3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 x14ac:dyDescent="0.3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 x14ac:dyDescent="0.3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 x14ac:dyDescent="0.3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 x14ac:dyDescent="0.3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 x14ac:dyDescent="0.3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 x14ac:dyDescent="0.3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 x14ac:dyDescent="0.3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 x14ac:dyDescent="0.3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 x14ac:dyDescent="0.3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 x14ac:dyDescent="0.3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 x14ac:dyDescent="0.3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 x14ac:dyDescent="0.3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 x14ac:dyDescent="0.3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 x14ac:dyDescent="0.3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 x14ac:dyDescent="0.3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 x14ac:dyDescent="0.3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 x14ac:dyDescent="0.3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 x14ac:dyDescent="0.3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 x14ac:dyDescent="0.3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 x14ac:dyDescent="0.3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 x14ac:dyDescent="0.3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 x14ac:dyDescent="0.3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 x14ac:dyDescent="0.3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 x14ac:dyDescent="0.3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 x14ac:dyDescent="0.3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 x14ac:dyDescent="0.3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 x14ac:dyDescent="0.3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 x14ac:dyDescent="0.3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 x14ac:dyDescent="0.3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 x14ac:dyDescent="0.3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 x14ac:dyDescent="0.3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 x14ac:dyDescent="0.3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 x14ac:dyDescent="0.3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 x14ac:dyDescent="0.3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 x14ac:dyDescent="0.3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 x14ac:dyDescent="0.3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 x14ac:dyDescent="0.3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 x14ac:dyDescent="0.3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 x14ac:dyDescent="0.3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 x14ac:dyDescent="0.3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 x14ac:dyDescent="0.3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 x14ac:dyDescent="0.3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 x14ac:dyDescent="0.3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 x14ac:dyDescent="0.3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 x14ac:dyDescent="0.3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 x14ac:dyDescent="0.3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 x14ac:dyDescent="0.3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 x14ac:dyDescent="0.3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 x14ac:dyDescent="0.3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 x14ac:dyDescent="0.3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 x14ac:dyDescent="0.3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 x14ac:dyDescent="0.3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 x14ac:dyDescent="0.3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 x14ac:dyDescent="0.3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 x14ac:dyDescent="0.3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 x14ac:dyDescent="0.3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 x14ac:dyDescent="0.3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 x14ac:dyDescent="0.3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 x14ac:dyDescent="0.3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 x14ac:dyDescent="0.3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 x14ac:dyDescent="0.3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 x14ac:dyDescent="0.3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 x14ac:dyDescent="0.3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 x14ac:dyDescent="0.3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 x14ac:dyDescent="0.3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 x14ac:dyDescent="0.3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 x14ac:dyDescent="0.3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 x14ac:dyDescent="0.3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 x14ac:dyDescent="0.3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 x14ac:dyDescent="0.3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 x14ac:dyDescent="0.3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 x14ac:dyDescent="0.3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 x14ac:dyDescent="0.3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 x14ac:dyDescent="0.3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 x14ac:dyDescent="0.3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 x14ac:dyDescent="0.3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 x14ac:dyDescent="0.3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 x14ac:dyDescent="0.3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 x14ac:dyDescent="0.3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 x14ac:dyDescent="0.3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 x14ac:dyDescent="0.3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 x14ac:dyDescent="0.3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 x14ac:dyDescent="0.3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 x14ac:dyDescent="0.3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 x14ac:dyDescent="0.3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 x14ac:dyDescent="0.3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 x14ac:dyDescent="0.3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 x14ac:dyDescent="0.3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 x14ac:dyDescent="0.3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 x14ac:dyDescent="0.3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 x14ac:dyDescent="0.3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 x14ac:dyDescent="0.3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 x14ac:dyDescent="0.3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 x14ac:dyDescent="0.3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 x14ac:dyDescent="0.3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 x14ac:dyDescent="0.3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 x14ac:dyDescent="0.3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 x14ac:dyDescent="0.3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 x14ac:dyDescent="0.3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 x14ac:dyDescent="0.3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 x14ac:dyDescent="0.3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 x14ac:dyDescent="0.3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 x14ac:dyDescent="0.3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 x14ac:dyDescent="0.3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 x14ac:dyDescent="0.3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 x14ac:dyDescent="0.3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 x14ac:dyDescent="0.3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 x14ac:dyDescent="0.3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 x14ac:dyDescent="0.3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 x14ac:dyDescent="0.3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 x14ac:dyDescent="0.3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 x14ac:dyDescent="0.3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K1" zoomScale="80" zoomScaleNormal="80" workbookViewId="0">
      <pane ySplit="1" topLeftCell="A521" activePane="bottomLeft" state="frozen"/>
      <selection pane="bottomLeft" activeCell="D553" sqref="D553"/>
    </sheetView>
  </sheetViews>
  <sheetFormatPr defaultColWidth="8.5546875" defaultRowHeight="14.4" x14ac:dyDescent="0.3"/>
  <cols>
    <col min="1" max="1" width="15.44140625" style="85" customWidth="1"/>
    <col min="2" max="2" width="9" style="54" customWidth="1"/>
    <col min="3" max="3" width="14" style="54" customWidth="1"/>
    <col min="4" max="5" width="16" style="54" customWidth="1"/>
    <col min="6" max="6" width="13.88671875" style="54" hidden="1" customWidth="1"/>
    <col min="7" max="7" width="13" style="54" customWidth="1"/>
    <col min="8" max="8" width="15.88671875" style="54" hidden="1" customWidth="1"/>
    <col min="9" max="10" width="13.88671875" style="54" hidden="1" customWidth="1"/>
    <col min="11" max="11" width="14" style="54" customWidth="1"/>
    <col min="12" max="12" width="32.88671875" style="54" customWidth="1"/>
    <col min="13" max="13" width="30.44140625" style="54" customWidth="1"/>
    <col min="14" max="14" width="46.44140625" style="54" customWidth="1"/>
    <col min="15" max="15" width="12" style="54" customWidth="1"/>
    <col min="16" max="16" width="16.44140625" style="55" customWidth="1"/>
    <col min="17" max="17" width="14" style="54" customWidth="1"/>
    <col min="18" max="18" width="56.5546875" style="54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 x14ac:dyDescent="0.3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 x14ac:dyDescent="0.3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 x14ac:dyDescent="0.3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341</v>
      </c>
      <c r="S15" s="67"/>
    </row>
    <row r="16" spans="1:20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342</v>
      </c>
      <c r="S19" s="67"/>
    </row>
    <row r="20" spans="1:20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 x14ac:dyDescent="0.3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 x14ac:dyDescent="0.3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 x14ac:dyDescent="0.3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 x14ac:dyDescent="0.3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 x14ac:dyDescent="0.3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 x14ac:dyDescent="0.3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 x14ac:dyDescent="0.3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 x14ac:dyDescent="0.3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 x14ac:dyDescent="0.3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 x14ac:dyDescent="0.3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 x14ac:dyDescent="0.3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 x14ac:dyDescent="0.3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 x14ac:dyDescent="0.3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 x14ac:dyDescent="0.3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 x14ac:dyDescent="0.3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341</v>
      </c>
      <c r="S43" s="67"/>
    </row>
    <row r="44" spans="1:20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341</v>
      </c>
      <c r="S50" s="67"/>
    </row>
    <row r="51" spans="1:20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 x14ac:dyDescent="0.3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 x14ac:dyDescent="0.3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3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 x14ac:dyDescent="0.3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 x14ac:dyDescent="0.3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 x14ac:dyDescent="0.3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 x14ac:dyDescent="0.3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 x14ac:dyDescent="0.3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 x14ac:dyDescent="0.3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343</v>
      </c>
      <c r="S62" s="67"/>
    </row>
    <row r="63" spans="1:20" ht="15" customHeight="1" x14ac:dyDescent="0.3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 x14ac:dyDescent="0.3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 x14ac:dyDescent="0.3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 x14ac:dyDescent="0.3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 x14ac:dyDescent="0.3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 x14ac:dyDescent="0.3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344</v>
      </c>
      <c r="S69" s="67"/>
    </row>
    <row r="70" spans="1:20" ht="15" customHeight="1" x14ac:dyDescent="0.3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 x14ac:dyDescent="0.3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 x14ac:dyDescent="0.3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 x14ac:dyDescent="0.3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 x14ac:dyDescent="0.3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 x14ac:dyDescent="0.3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 x14ac:dyDescent="0.3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 x14ac:dyDescent="0.3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 x14ac:dyDescent="0.3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 x14ac:dyDescent="0.3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 x14ac:dyDescent="0.3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 x14ac:dyDescent="0.3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 x14ac:dyDescent="0.3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3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345</v>
      </c>
      <c r="S83" s="67"/>
    </row>
    <row r="84" spans="1:20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346</v>
      </c>
      <c r="S84" s="67"/>
    </row>
    <row r="85" spans="1:20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 x14ac:dyDescent="0.3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347</v>
      </c>
      <c r="S97" s="67"/>
    </row>
    <row r="98" spans="1:20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 x14ac:dyDescent="0.3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 x14ac:dyDescent="0.3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 x14ac:dyDescent="0.3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 x14ac:dyDescent="0.3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 x14ac:dyDescent="0.3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348</v>
      </c>
      <c r="S125" s="67"/>
    </row>
    <row r="126" spans="1:20" ht="15" customHeight="1" x14ac:dyDescent="0.3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 x14ac:dyDescent="0.3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 x14ac:dyDescent="0.3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 x14ac:dyDescent="0.3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 x14ac:dyDescent="0.3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 x14ac:dyDescent="0.3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 x14ac:dyDescent="0.3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 x14ac:dyDescent="0.3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 x14ac:dyDescent="0.3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 x14ac:dyDescent="0.3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 x14ac:dyDescent="0.3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349</v>
      </c>
      <c r="S137" s="67"/>
    </row>
    <row r="138" spans="1:20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3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3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 x14ac:dyDescent="0.3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350</v>
      </c>
      <c r="S166" s="67"/>
    </row>
    <row r="167" spans="1:20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3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351</v>
      </c>
      <c r="S179" s="67"/>
    </row>
    <row r="180" spans="1:20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3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 x14ac:dyDescent="0.3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3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352</v>
      </c>
      <c r="S205" s="81"/>
    </row>
    <row r="206" spans="1:20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 x14ac:dyDescent="0.3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 x14ac:dyDescent="0.3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353</v>
      </c>
      <c r="S221" s="81"/>
    </row>
    <row r="222" spans="1:20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354</v>
      </c>
      <c r="Q222" s="66" t="str">
        <f t="shared" ca="1" si="49"/>
        <v/>
      </c>
      <c r="R222" s="63" t="s">
        <v>355</v>
      </c>
      <c r="S222" s="81"/>
    </row>
    <row r="223" spans="1:20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 x14ac:dyDescent="0.3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 x14ac:dyDescent="0.3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 x14ac:dyDescent="0.3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356</v>
      </c>
      <c r="S245" s="81"/>
    </row>
    <row r="246" spans="1:20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 x14ac:dyDescent="0.3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 x14ac:dyDescent="0.3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 x14ac:dyDescent="0.3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 x14ac:dyDescent="0.3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 x14ac:dyDescent="0.3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 x14ac:dyDescent="0.3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 x14ac:dyDescent="0.3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 x14ac:dyDescent="0.3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 x14ac:dyDescent="0.3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 x14ac:dyDescent="0.3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 x14ac:dyDescent="0.3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 x14ac:dyDescent="0.3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 x14ac:dyDescent="0.3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 x14ac:dyDescent="0.3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 x14ac:dyDescent="0.3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 x14ac:dyDescent="0.3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 x14ac:dyDescent="0.3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 x14ac:dyDescent="0.3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 x14ac:dyDescent="0.3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 x14ac:dyDescent="0.3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 x14ac:dyDescent="0.3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 x14ac:dyDescent="0.3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 x14ac:dyDescent="0.3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 x14ac:dyDescent="0.3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 x14ac:dyDescent="0.3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 x14ac:dyDescent="0.3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 x14ac:dyDescent="0.3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 x14ac:dyDescent="0.3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 x14ac:dyDescent="0.3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 x14ac:dyDescent="0.3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 x14ac:dyDescent="0.3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 x14ac:dyDescent="0.3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 x14ac:dyDescent="0.3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 x14ac:dyDescent="0.3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 x14ac:dyDescent="0.3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 x14ac:dyDescent="0.3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 x14ac:dyDescent="0.3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 x14ac:dyDescent="0.3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 x14ac:dyDescent="0.3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 x14ac:dyDescent="0.3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 x14ac:dyDescent="0.3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 x14ac:dyDescent="0.3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 x14ac:dyDescent="0.3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 x14ac:dyDescent="0.3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 x14ac:dyDescent="0.3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 x14ac:dyDescent="0.3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 x14ac:dyDescent="0.3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 x14ac:dyDescent="0.3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 x14ac:dyDescent="0.3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 x14ac:dyDescent="0.3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 x14ac:dyDescent="0.3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 x14ac:dyDescent="0.3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 x14ac:dyDescent="0.3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 x14ac:dyDescent="0.3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 x14ac:dyDescent="0.3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 x14ac:dyDescent="0.3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 x14ac:dyDescent="0.3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 x14ac:dyDescent="0.3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 x14ac:dyDescent="0.3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 x14ac:dyDescent="0.3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 x14ac:dyDescent="0.3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 x14ac:dyDescent="0.3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 x14ac:dyDescent="0.3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 x14ac:dyDescent="0.3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 x14ac:dyDescent="0.3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 x14ac:dyDescent="0.3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 x14ac:dyDescent="0.3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 x14ac:dyDescent="0.3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357</v>
      </c>
      <c r="S327" s="81"/>
    </row>
    <row r="328" spans="1:20" ht="15" customHeight="1" x14ac:dyDescent="0.3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 x14ac:dyDescent="0.3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 x14ac:dyDescent="0.3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 x14ac:dyDescent="0.3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 x14ac:dyDescent="0.3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 x14ac:dyDescent="0.3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 x14ac:dyDescent="0.3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 x14ac:dyDescent="0.3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 x14ac:dyDescent="0.3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 x14ac:dyDescent="0.3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 x14ac:dyDescent="0.3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 x14ac:dyDescent="0.3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 x14ac:dyDescent="0.3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 x14ac:dyDescent="0.3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 x14ac:dyDescent="0.3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 x14ac:dyDescent="0.3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 x14ac:dyDescent="0.3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 x14ac:dyDescent="0.3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 x14ac:dyDescent="0.3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 x14ac:dyDescent="0.3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 x14ac:dyDescent="0.3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 x14ac:dyDescent="0.3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 x14ac:dyDescent="0.3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 x14ac:dyDescent="0.3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 x14ac:dyDescent="0.3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 x14ac:dyDescent="0.3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 x14ac:dyDescent="0.3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 x14ac:dyDescent="0.3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 x14ac:dyDescent="0.3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 x14ac:dyDescent="0.3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 x14ac:dyDescent="0.3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 x14ac:dyDescent="0.3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 x14ac:dyDescent="0.3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 x14ac:dyDescent="0.3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 x14ac:dyDescent="0.3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 x14ac:dyDescent="0.3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 x14ac:dyDescent="0.3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 x14ac:dyDescent="0.3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 x14ac:dyDescent="0.3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 x14ac:dyDescent="0.3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 x14ac:dyDescent="0.3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 x14ac:dyDescent="0.3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 x14ac:dyDescent="0.3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 x14ac:dyDescent="0.3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 x14ac:dyDescent="0.3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 x14ac:dyDescent="0.3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 x14ac:dyDescent="0.3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 x14ac:dyDescent="0.3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 x14ac:dyDescent="0.3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 x14ac:dyDescent="0.3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 x14ac:dyDescent="0.3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 x14ac:dyDescent="0.3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358</v>
      </c>
      <c r="S383" s="81"/>
    </row>
    <row r="384" spans="1:20" ht="15" customHeight="1" x14ac:dyDescent="0.3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 x14ac:dyDescent="0.3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 x14ac:dyDescent="0.3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 x14ac:dyDescent="0.3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 x14ac:dyDescent="0.3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 x14ac:dyDescent="0.3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 x14ac:dyDescent="0.3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 x14ac:dyDescent="0.3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 x14ac:dyDescent="0.3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 x14ac:dyDescent="0.3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 x14ac:dyDescent="0.3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 x14ac:dyDescent="0.3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 x14ac:dyDescent="0.3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 x14ac:dyDescent="0.3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 x14ac:dyDescent="0.3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 x14ac:dyDescent="0.3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 x14ac:dyDescent="0.3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 x14ac:dyDescent="0.3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 x14ac:dyDescent="0.3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 x14ac:dyDescent="0.3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 x14ac:dyDescent="0.3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 x14ac:dyDescent="0.3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 x14ac:dyDescent="0.3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359</v>
      </c>
      <c r="S408" s="81"/>
    </row>
    <row r="409" spans="1:20" ht="15" customHeight="1" x14ac:dyDescent="0.3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 x14ac:dyDescent="0.3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 x14ac:dyDescent="0.3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 x14ac:dyDescent="0.3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 x14ac:dyDescent="0.3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 x14ac:dyDescent="0.3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 x14ac:dyDescent="0.3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 x14ac:dyDescent="0.3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 x14ac:dyDescent="0.3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 x14ac:dyDescent="0.3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 x14ac:dyDescent="0.3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360</v>
      </c>
    </row>
    <row r="421" spans="1:20" ht="15" customHeight="1" x14ac:dyDescent="0.3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 x14ac:dyDescent="0.3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 x14ac:dyDescent="0.3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 x14ac:dyDescent="0.3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 x14ac:dyDescent="0.3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 x14ac:dyDescent="0.3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 x14ac:dyDescent="0.3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 x14ac:dyDescent="0.3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 x14ac:dyDescent="0.3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 x14ac:dyDescent="0.3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 x14ac:dyDescent="0.3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 x14ac:dyDescent="0.3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 x14ac:dyDescent="0.3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361</v>
      </c>
      <c r="S434" s="81"/>
    </row>
    <row r="435" spans="1:20" ht="15" customHeight="1" x14ac:dyDescent="0.3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 x14ac:dyDescent="0.3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361</v>
      </c>
      <c r="S436" s="81"/>
    </row>
    <row r="437" spans="1:20" ht="15" customHeight="1" x14ac:dyDescent="0.3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 x14ac:dyDescent="0.3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 x14ac:dyDescent="0.3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 x14ac:dyDescent="0.3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 x14ac:dyDescent="0.3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 x14ac:dyDescent="0.3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 x14ac:dyDescent="0.3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 x14ac:dyDescent="0.3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 x14ac:dyDescent="0.3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 x14ac:dyDescent="0.3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 x14ac:dyDescent="0.3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 x14ac:dyDescent="0.3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362</v>
      </c>
      <c r="S449" s="81"/>
    </row>
    <row r="450" spans="1:20" ht="15" customHeight="1" x14ac:dyDescent="0.3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 x14ac:dyDescent="0.3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 x14ac:dyDescent="0.3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 x14ac:dyDescent="0.3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 x14ac:dyDescent="0.3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 x14ac:dyDescent="0.3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 x14ac:dyDescent="0.3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 x14ac:dyDescent="0.3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 x14ac:dyDescent="0.3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 x14ac:dyDescent="0.3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 x14ac:dyDescent="0.3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 x14ac:dyDescent="0.3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 x14ac:dyDescent="0.3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 x14ac:dyDescent="0.3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 x14ac:dyDescent="0.3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 x14ac:dyDescent="0.3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 x14ac:dyDescent="0.3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 x14ac:dyDescent="0.3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 x14ac:dyDescent="0.3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 x14ac:dyDescent="0.3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 x14ac:dyDescent="0.3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 x14ac:dyDescent="0.3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 x14ac:dyDescent="0.3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 x14ac:dyDescent="0.3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 x14ac:dyDescent="0.3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 x14ac:dyDescent="0.3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363</v>
      </c>
      <c r="S477" s="81"/>
    </row>
    <row r="478" spans="1:20" ht="15" customHeight="1" x14ac:dyDescent="0.3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 x14ac:dyDescent="0.3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 x14ac:dyDescent="0.3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 x14ac:dyDescent="0.3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 x14ac:dyDescent="0.3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 x14ac:dyDescent="0.3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 x14ac:dyDescent="0.3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 x14ac:dyDescent="0.3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 x14ac:dyDescent="0.3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 x14ac:dyDescent="0.3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 x14ac:dyDescent="0.3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 x14ac:dyDescent="0.3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 x14ac:dyDescent="0.3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 x14ac:dyDescent="0.3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 x14ac:dyDescent="0.3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 x14ac:dyDescent="0.3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 x14ac:dyDescent="0.3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 x14ac:dyDescent="0.3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 x14ac:dyDescent="0.3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348</v>
      </c>
      <c r="S497" s="81"/>
    </row>
    <row r="498" spans="1:20" ht="15" customHeight="1" x14ac:dyDescent="0.3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 x14ac:dyDescent="0.3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 x14ac:dyDescent="0.3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364</v>
      </c>
      <c r="S501" s="81"/>
    </row>
    <row r="502" spans="1:20" ht="15" customHeight="1" x14ac:dyDescent="0.3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 x14ac:dyDescent="0.3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 x14ac:dyDescent="0.3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 x14ac:dyDescent="0.3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365</v>
      </c>
      <c r="S505" s="81"/>
    </row>
    <row r="506" spans="1:20" ht="15" customHeight="1" x14ac:dyDescent="0.3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 x14ac:dyDescent="0.3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 x14ac:dyDescent="0.3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 x14ac:dyDescent="0.3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 x14ac:dyDescent="0.3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 x14ac:dyDescent="0.3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 x14ac:dyDescent="0.3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 x14ac:dyDescent="0.3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 x14ac:dyDescent="0.3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 x14ac:dyDescent="0.3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 x14ac:dyDescent="0.3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366</v>
      </c>
      <c r="S517" s="81"/>
    </row>
    <row r="518" spans="1:20" ht="15" customHeight="1" x14ac:dyDescent="0.3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 x14ac:dyDescent="0.3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 x14ac:dyDescent="0.3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 x14ac:dyDescent="0.3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 x14ac:dyDescent="0.3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 x14ac:dyDescent="0.3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 x14ac:dyDescent="0.3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 x14ac:dyDescent="0.3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 x14ac:dyDescent="0.3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 x14ac:dyDescent="0.3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 x14ac:dyDescent="0.3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 x14ac:dyDescent="0.3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 x14ac:dyDescent="0.3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 x14ac:dyDescent="0.3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 x14ac:dyDescent="0.3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 x14ac:dyDescent="0.3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367</v>
      </c>
      <c r="S533" s="81"/>
    </row>
    <row r="534" spans="1:20" ht="15" customHeight="1" x14ac:dyDescent="0.3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 x14ac:dyDescent="0.3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 x14ac:dyDescent="0.3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 x14ac:dyDescent="0.3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 x14ac:dyDescent="0.3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 x14ac:dyDescent="0.3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 x14ac:dyDescent="0.3">
      <c r="A540" s="156" t="s">
        <v>263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261</v>
      </c>
      <c r="S540" s="74">
        <v>270460</v>
      </c>
      <c r="T540" s="99">
        <f>IFERROR(J540,"")</f>
        <v>46.847219016393439</v>
      </c>
    </row>
    <row r="541" spans="1:20" ht="18" customHeight="1" x14ac:dyDescent="0.3">
      <c r="A541" s="157" t="s">
        <v>249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264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 x14ac:dyDescent="0.3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/>
      <c r="H542" s="101" t="str">
        <f>IFERROR(IF($G542="","",$G542*$S$554/$G$554/Cadastro!$E$33),"")</f>
        <v/>
      </c>
      <c r="I542" s="102">
        <f>IFERROR(IF($D542="","",VLOOKUP($D542,Cadastro!$C$4:$G$7,5,FALSE())),"")</f>
        <v>0.6</v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 x14ac:dyDescent="0.3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/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 x14ac:dyDescent="0.3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/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 x14ac:dyDescent="0.3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/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 x14ac:dyDescent="0.3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 x14ac:dyDescent="0.3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 x14ac:dyDescent="0.3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 x14ac:dyDescent="0.3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 x14ac:dyDescent="0.3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 x14ac:dyDescent="0.3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 x14ac:dyDescent="0.3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 x14ac:dyDescent="0.3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 x14ac:dyDescent="0.3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 x14ac:dyDescent="0.3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 x14ac:dyDescent="0.3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 x14ac:dyDescent="0.3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 x14ac:dyDescent="0.3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 x14ac:dyDescent="0.3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 x14ac:dyDescent="0.3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 x14ac:dyDescent="0.3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 x14ac:dyDescent="0.3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 x14ac:dyDescent="0.3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 x14ac:dyDescent="0.3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 x14ac:dyDescent="0.3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 x14ac:dyDescent="0.3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 x14ac:dyDescent="0.3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 x14ac:dyDescent="0.3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 x14ac:dyDescent="0.3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 x14ac:dyDescent="0.3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 x14ac:dyDescent="0.3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 x14ac:dyDescent="0.3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 x14ac:dyDescent="0.3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 x14ac:dyDescent="0.3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 x14ac:dyDescent="0.3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 x14ac:dyDescent="0.3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 x14ac:dyDescent="0.3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 x14ac:dyDescent="0.3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 x14ac:dyDescent="0.3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 x14ac:dyDescent="0.3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 x14ac:dyDescent="0.3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 x14ac:dyDescent="0.3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 x14ac:dyDescent="0.3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 x14ac:dyDescent="0.3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 x14ac:dyDescent="0.3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 x14ac:dyDescent="0.3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 x14ac:dyDescent="0.3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 x14ac:dyDescent="0.3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 x14ac:dyDescent="0.3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 x14ac:dyDescent="0.3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 x14ac:dyDescent="0.3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 x14ac:dyDescent="0.3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 x14ac:dyDescent="0.3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 x14ac:dyDescent="0.3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 x14ac:dyDescent="0.3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 x14ac:dyDescent="0.3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 x14ac:dyDescent="0.3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 x14ac:dyDescent="0.3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 x14ac:dyDescent="0.3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 x14ac:dyDescent="0.3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 x14ac:dyDescent="0.3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 x14ac:dyDescent="0.3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 x14ac:dyDescent="0.3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 x14ac:dyDescent="0.3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 x14ac:dyDescent="0.3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 x14ac:dyDescent="0.3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 x14ac:dyDescent="0.3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 x14ac:dyDescent="0.3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 x14ac:dyDescent="0.3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 x14ac:dyDescent="0.3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 x14ac:dyDescent="0.3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 x14ac:dyDescent="0.3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 x14ac:dyDescent="0.3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 x14ac:dyDescent="0.3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 x14ac:dyDescent="0.3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 x14ac:dyDescent="0.3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 x14ac:dyDescent="0.3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 x14ac:dyDescent="0.3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 x14ac:dyDescent="0.3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 x14ac:dyDescent="0.3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 x14ac:dyDescent="0.3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 x14ac:dyDescent="0.3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 x14ac:dyDescent="0.3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 x14ac:dyDescent="0.3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 x14ac:dyDescent="0.3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 x14ac:dyDescent="0.3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 x14ac:dyDescent="0.3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 x14ac:dyDescent="0.3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 x14ac:dyDescent="0.3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 x14ac:dyDescent="0.3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 x14ac:dyDescent="0.3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 x14ac:dyDescent="0.3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 x14ac:dyDescent="0.3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 x14ac:dyDescent="0.3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 x14ac:dyDescent="0.3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 x14ac:dyDescent="0.3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 x14ac:dyDescent="0.3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 x14ac:dyDescent="0.3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 x14ac:dyDescent="0.3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 x14ac:dyDescent="0.3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 x14ac:dyDescent="0.3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 x14ac:dyDescent="0.3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 x14ac:dyDescent="0.3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 x14ac:dyDescent="0.3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 x14ac:dyDescent="0.3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 x14ac:dyDescent="0.3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 x14ac:dyDescent="0.3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 x14ac:dyDescent="0.3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 x14ac:dyDescent="0.3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 x14ac:dyDescent="0.3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 x14ac:dyDescent="0.3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 x14ac:dyDescent="0.3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 x14ac:dyDescent="0.3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 x14ac:dyDescent="0.3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 x14ac:dyDescent="0.3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 x14ac:dyDescent="0.3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 x14ac:dyDescent="0.3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 x14ac:dyDescent="0.3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 x14ac:dyDescent="0.3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 x14ac:dyDescent="0.3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 x14ac:dyDescent="0.3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 x14ac:dyDescent="0.3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 x14ac:dyDescent="0.3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 x14ac:dyDescent="0.3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 x14ac:dyDescent="0.3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 x14ac:dyDescent="0.3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 x14ac:dyDescent="0.3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 x14ac:dyDescent="0.3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 x14ac:dyDescent="0.3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 x14ac:dyDescent="0.3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 x14ac:dyDescent="0.3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 x14ac:dyDescent="0.3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 x14ac:dyDescent="0.3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 x14ac:dyDescent="0.3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 x14ac:dyDescent="0.3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 x14ac:dyDescent="0.3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 x14ac:dyDescent="0.3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 x14ac:dyDescent="0.3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 x14ac:dyDescent="0.3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 x14ac:dyDescent="0.3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 x14ac:dyDescent="0.3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 x14ac:dyDescent="0.3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 x14ac:dyDescent="0.3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 x14ac:dyDescent="0.3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 x14ac:dyDescent="0.3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 x14ac:dyDescent="0.3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 x14ac:dyDescent="0.3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 x14ac:dyDescent="0.3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 x14ac:dyDescent="0.3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 x14ac:dyDescent="0.3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 x14ac:dyDescent="0.3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 x14ac:dyDescent="0.3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 x14ac:dyDescent="0.3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 x14ac:dyDescent="0.3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 x14ac:dyDescent="0.3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 x14ac:dyDescent="0.3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 x14ac:dyDescent="0.3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 x14ac:dyDescent="0.3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 x14ac:dyDescent="0.3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 x14ac:dyDescent="0.3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 x14ac:dyDescent="0.3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 x14ac:dyDescent="0.3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 x14ac:dyDescent="0.3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 x14ac:dyDescent="0.3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 x14ac:dyDescent="0.3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 x14ac:dyDescent="0.3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 x14ac:dyDescent="0.3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 x14ac:dyDescent="0.3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 x14ac:dyDescent="0.3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 x14ac:dyDescent="0.3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 x14ac:dyDescent="0.3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 x14ac:dyDescent="0.3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 x14ac:dyDescent="0.3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 x14ac:dyDescent="0.3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 x14ac:dyDescent="0.3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 x14ac:dyDescent="0.3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 x14ac:dyDescent="0.3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 x14ac:dyDescent="0.3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 x14ac:dyDescent="0.3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 x14ac:dyDescent="0.3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 x14ac:dyDescent="0.3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 x14ac:dyDescent="0.3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 x14ac:dyDescent="0.3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 x14ac:dyDescent="0.3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 x14ac:dyDescent="0.3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 x14ac:dyDescent="0.3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 x14ac:dyDescent="0.3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 x14ac:dyDescent="0.3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 x14ac:dyDescent="0.3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 x14ac:dyDescent="0.3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 x14ac:dyDescent="0.3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 x14ac:dyDescent="0.3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 x14ac:dyDescent="0.3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 x14ac:dyDescent="0.3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 x14ac:dyDescent="0.3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 x14ac:dyDescent="0.3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 x14ac:dyDescent="0.3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 x14ac:dyDescent="0.3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 x14ac:dyDescent="0.3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 x14ac:dyDescent="0.3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 x14ac:dyDescent="0.3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 x14ac:dyDescent="0.3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 x14ac:dyDescent="0.3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 x14ac:dyDescent="0.3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 x14ac:dyDescent="0.3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 x14ac:dyDescent="0.3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 x14ac:dyDescent="0.3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 x14ac:dyDescent="0.3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 x14ac:dyDescent="0.3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 x14ac:dyDescent="0.3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 x14ac:dyDescent="0.3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 x14ac:dyDescent="0.3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 x14ac:dyDescent="0.3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 x14ac:dyDescent="0.3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 x14ac:dyDescent="0.3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 x14ac:dyDescent="0.3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 x14ac:dyDescent="0.3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 x14ac:dyDescent="0.3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 x14ac:dyDescent="0.3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 x14ac:dyDescent="0.3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 x14ac:dyDescent="0.3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 x14ac:dyDescent="0.3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 x14ac:dyDescent="0.3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 x14ac:dyDescent="0.3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 x14ac:dyDescent="0.3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 x14ac:dyDescent="0.3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 x14ac:dyDescent="0.3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 x14ac:dyDescent="0.3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 x14ac:dyDescent="0.3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 x14ac:dyDescent="0.3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 x14ac:dyDescent="0.3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 x14ac:dyDescent="0.3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 x14ac:dyDescent="0.3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 x14ac:dyDescent="0.3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 x14ac:dyDescent="0.3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 x14ac:dyDescent="0.3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 x14ac:dyDescent="0.3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 x14ac:dyDescent="0.3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 x14ac:dyDescent="0.3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 x14ac:dyDescent="0.3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 x14ac:dyDescent="0.3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 x14ac:dyDescent="0.3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 x14ac:dyDescent="0.3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 x14ac:dyDescent="0.3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 x14ac:dyDescent="0.3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 x14ac:dyDescent="0.3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 x14ac:dyDescent="0.3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 x14ac:dyDescent="0.3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 x14ac:dyDescent="0.3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 x14ac:dyDescent="0.3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 x14ac:dyDescent="0.3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 x14ac:dyDescent="0.3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 x14ac:dyDescent="0.3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 x14ac:dyDescent="0.3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 x14ac:dyDescent="0.3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 x14ac:dyDescent="0.3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 x14ac:dyDescent="0.3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 x14ac:dyDescent="0.3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 x14ac:dyDescent="0.3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 x14ac:dyDescent="0.3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 x14ac:dyDescent="0.3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 x14ac:dyDescent="0.3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 x14ac:dyDescent="0.3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 x14ac:dyDescent="0.3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 x14ac:dyDescent="0.3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 x14ac:dyDescent="0.3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 x14ac:dyDescent="0.3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 x14ac:dyDescent="0.3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 x14ac:dyDescent="0.3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 x14ac:dyDescent="0.3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 x14ac:dyDescent="0.3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 x14ac:dyDescent="0.3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 x14ac:dyDescent="0.3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 x14ac:dyDescent="0.3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 x14ac:dyDescent="0.3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 x14ac:dyDescent="0.3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 x14ac:dyDescent="0.3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 x14ac:dyDescent="0.3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 x14ac:dyDescent="0.3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 x14ac:dyDescent="0.3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 x14ac:dyDescent="0.3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 x14ac:dyDescent="0.3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 x14ac:dyDescent="0.3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 x14ac:dyDescent="0.3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 x14ac:dyDescent="0.3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 x14ac:dyDescent="0.3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 x14ac:dyDescent="0.3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 x14ac:dyDescent="0.3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 x14ac:dyDescent="0.3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 x14ac:dyDescent="0.3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 x14ac:dyDescent="0.3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 x14ac:dyDescent="0.3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31" activePane="bottomLeft" state="frozen"/>
      <selection pane="bottomLeft" activeCell="L542" sqref="L542"/>
    </sheetView>
  </sheetViews>
  <sheetFormatPr defaultColWidth="8.5546875" defaultRowHeight="14.4" x14ac:dyDescent="0.3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8671875" style="131" hidden="1" customWidth="1"/>
    <col min="7" max="7" width="13" style="131" customWidth="1"/>
    <col min="8" max="8" width="15.88671875" style="131" hidden="1" customWidth="1"/>
    <col min="9" max="10" width="13.88671875" style="131" hidden="1" customWidth="1"/>
    <col min="11" max="11" width="14" style="131" customWidth="1"/>
    <col min="12" max="12" width="36" style="131" customWidth="1"/>
    <col min="13" max="13" width="25.109375" style="131" customWidth="1"/>
    <col min="14" max="14" width="42.109375" style="131" customWidth="1"/>
    <col min="15" max="15" width="18.44140625" style="131" customWidth="1"/>
    <col min="16" max="16" width="14" style="132" customWidth="1"/>
    <col min="17" max="17" width="14" style="131" customWidth="1"/>
    <col min="18" max="18" width="64.88671875" style="131" customWidth="1"/>
    <col min="19" max="19" width="25.5546875" customWidth="1"/>
    <col min="20" max="20" width="14.88671875" hidden="1" customWidth="1"/>
  </cols>
  <sheetData>
    <row r="1" spans="1:20" ht="37.5" customHeight="1" x14ac:dyDescent="0.3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 x14ac:dyDescent="0.3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 x14ac:dyDescent="0.3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 x14ac:dyDescent="0.3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368</v>
      </c>
      <c r="S16" s="133"/>
    </row>
    <row r="17" spans="1:20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341</v>
      </c>
      <c r="S18" s="133"/>
    </row>
    <row r="19" spans="1:20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369</v>
      </c>
      <c r="S19" s="133"/>
    </row>
    <row r="20" spans="1:20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370</v>
      </c>
      <c r="S22" s="133"/>
    </row>
    <row r="23" spans="1:20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 x14ac:dyDescent="0.3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 x14ac:dyDescent="0.3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 x14ac:dyDescent="0.3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 x14ac:dyDescent="0.3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 x14ac:dyDescent="0.3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 x14ac:dyDescent="0.3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 x14ac:dyDescent="0.3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 x14ac:dyDescent="0.3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 x14ac:dyDescent="0.3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 x14ac:dyDescent="0.3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 x14ac:dyDescent="0.3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 x14ac:dyDescent="0.3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 x14ac:dyDescent="0.3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 x14ac:dyDescent="0.3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 x14ac:dyDescent="0.3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371</v>
      </c>
      <c r="S45" s="133"/>
    </row>
    <row r="46" spans="1:20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 x14ac:dyDescent="0.3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 x14ac:dyDescent="0.3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 x14ac:dyDescent="0.3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 x14ac:dyDescent="0.3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 x14ac:dyDescent="0.3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 x14ac:dyDescent="0.3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372</v>
      </c>
      <c r="S59" s="133"/>
    </row>
    <row r="60" spans="1:20" ht="15" customHeight="1" x14ac:dyDescent="0.3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373</v>
      </c>
      <c r="S60" s="133"/>
    </row>
    <row r="61" spans="1:20" ht="15" customHeight="1" x14ac:dyDescent="0.3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 x14ac:dyDescent="0.3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 x14ac:dyDescent="0.3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 x14ac:dyDescent="0.3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 x14ac:dyDescent="0.3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 x14ac:dyDescent="0.3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 x14ac:dyDescent="0.3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 x14ac:dyDescent="0.3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374</v>
      </c>
      <c r="S69" s="133"/>
    </row>
    <row r="70" spans="1:20" ht="15" customHeight="1" x14ac:dyDescent="0.3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 x14ac:dyDescent="0.3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 x14ac:dyDescent="0.3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341</v>
      </c>
      <c r="S72" s="133"/>
    </row>
    <row r="73" spans="1:20" ht="15" customHeight="1" x14ac:dyDescent="0.3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 x14ac:dyDescent="0.3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 x14ac:dyDescent="0.3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 x14ac:dyDescent="0.3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 x14ac:dyDescent="0.3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 x14ac:dyDescent="0.3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 x14ac:dyDescent="0.3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 x14ac:dyDescent="0.3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 x14ac:dyDescent="0.3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 x14ac:dyDescent="0.3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 x14ac:dyDescent="0.3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 x14ac:dyDescent="0.3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341</v>
      </c>
      <c r="S97" s="133"/>
    </row>
    <row r="98" spans="1:20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 x14ac:dyDescent="0.3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 x14ac:dyDescent="0.3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375</v>
      </c>
      <c r="S114" s="133"/>
    </row>
    <row r="115" spans="1:20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 x14ac:dyDescent="0.3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 x14ac:dyDescent="0.3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376</v>
      </c>
      <c r="S124" s="133"/>
    </row>
    <row r="125" spans="1:20" ht="15" customHeight="1" x14ac:dyDescent="0.3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 x14ac:dyDescent="0.3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 x14ac:dyDescent="0.3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 x14ac:dyDescent="0.3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 x14ac:dyDescent="0.3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341</v>
      </c>
      <c r="S129" s="133"/>
    </row>
    <row r="130" spans="1:22" ht="15" customHeight="1" x14ac:dyDescent="0.3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 x14ac:dyDescent="0.3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 x14ac:dyDescent="0.3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 x14ac:dyDescent="0.3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 x14ac:dyDescent="0.3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 x14ac:dyDescent="0.3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 x14ac:dyDescent="0.3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377</v>
      </c>
      <c r="S138" s="67"/>
    </row>
    <row r="139" spans="1:22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378</v>
      </c>
      <c r="S139" s="67"/>
    </row>
    <row r="140" spans="1:22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3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379</v>
      </c>
      <c r="S150" s="67"/>
    </row>
    <row r="151" spans="1:20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380</v>
      </c>
      <c r="S151" s="67"/>
    </row>
    <row r="152" spans="1:20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3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 x14ac:dyDescent="0.3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381</v>
      </c>
      <c r="S170" s="67"/>
    </row>
    <row r="171" spans="1:20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3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382</v>
      </c>
      <c r="S177" s="67"/>
    </row>
    <row r="178" spans="1:20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3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 x14ac:dyDescent="0.3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383</v>
      </c>
      <c r="S192" s="67"/>
    </row>
    <row r="193" spans="1:20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3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384</v>
      </c>
      <c r="S204" s="133"/>
    </row>
    <row r="205" spans="1:20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386</v>
      </c>
      <c r="S206" s="133"/>
    </row>
    <row r="207" spans="1:20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 x14ac:dyDescent="0.3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 x14ac:dyDescent="0.3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387</v>
      </c>
      <c r="S220" s="133"/>
    </row>
    <row r="221" spans="1:20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388</v>
      </c>
      <c r="S221" s="133"/>
    </row>
    <row r="222" spans="1:20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 x14ac:dyDescent="0.3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389</v>
      </c>
      <c r="S231" s="133"/>
    </row>
    <row r="232" spans="1:20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390</v>
      </c>
      <c r="S232" s="133"/>
    </row>
    <row r="233" spans="1:20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 x14ac:dyDescent="0.3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 x14ac:dyDescent="0.3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391</v>
      </c>
      <c r="S249" s="133"/>
    </row>
    <row r="250" spans="1:20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 x14ac:dyDescent="0.3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 x14ac:dyDescent="0.3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 x14ac:dyDescent="0.3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 x14ac:dyDescent="0.3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 x14ac:dyDescent="0.3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 x14ac:dyDescent="0.3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 x14ac:dyDescent="0.3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 x14ac:dyDescent="0.3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 x14ac:dyDescent="0.3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 x14ac:dyDescent="0.3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 x14ac:dyDescent="0.3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 x14ac:dyDescent="0.3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 x14ac:dyDescent="0.3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 x14ac:dyDescent="0.3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 x14ac:dyDescent="0.3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 x14ac:dyDescent="0.3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 x14ac:dyDescent="0.3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 x14ac:dyDescent="0.3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 x14ac:dyDescent="0.3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 x14ac:dyDescent="0.3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 x14ac:dyDescent="0.3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 x14ac:dyDescent="0.3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 x14ac:dyDescent="0.3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 x14ac:dyDescent="0.3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 x14ac:dyDescent="0.3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 x14ac:dyDescent="0.3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 x14ac:dyDescent="0.3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 x14ac:dyDescent="0.3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 x14ac:dyDescent="0.3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 x14ac:dyDescent="0.3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 x14ac:dyDescent="0.3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 x14ac:dyDescent="0.3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 x14ac:dyDescent="0.3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 x14ac:dyDescent="0.3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 x14ac:dyDescent="0.3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 x14ac:dyDescent="0.3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 x14ac:dyDescent="0.3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 x14ac:dyDescent="0.3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 x14ac:dyDescent="0.3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 x14ac:dyDescent="0.3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 x14ac:dyDescent="0.3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 x14ac:dyDescent="0.3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 x14ac:dyDescent="0.3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 x14ac:dyDescent="0.3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 x14ac:dyDescent="0.3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 x14ac:dyDescent="0.3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 x14ac:dyDescent="0.3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 x14ac:dyDescent="0.3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 x14ac:dyDescent="0.3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 x14ac:dyDescent="0.3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 x14ac:dyDescent="0.3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 x14ac:dyDescent="0.3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 x14ac:dyDescent="0.3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 x14ac:dyDescent="0.3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 x14ac:dyDescent="0.3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 x14ac:dyDescent="0.3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 x14ac:dyDescent="0.3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 x14ac:dyDescent="0.3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 x14ac:dyDescent="0.3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 x14ac:dyDescent="0.3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 x14ac:dyDescent="0.3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 x14ac:dyDescent="0.3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 x14ac:dyDescent="0.3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 x14ac:dyDescent="0.3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 x14ac:dyDescent="0.3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 x14ac:dyDescent="0.3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 x14ac:dyDescent="0.3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 x14ac:dyDescent="0.3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 x14ac:dyDescent="0.3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 x14ac:dyDescent="0.3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 x14ac:dyDescent="0.3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 x14ac:dyDescent="0.3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 x14ac:dyDescent="0.3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 x14ac:dyDescent="0.3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 x14ac:dyDescent="0.3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 x14ac:dyDescent="0.3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 x14ac:dyDescent="0.3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 x14ac:dyDescent="0.3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 x14ac:dyDescent="0.3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 x14ac:dyDescent="0.3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 x14ac:dyDescent="0.3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 x14ac:dyDescent="0.3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 x14ac:dyDescent="0.3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 x14ac:dyDescent="0.3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 x14ac:dyDescent="0.3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 x14ac:dyDescent="0.3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392</v>
      </c>
      <c r="S346" s="133"/>
    </row>
    <row r="347" spans="1:20" ht="15" customHeight="1" x14ac:dyDescent="0.3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393</v>
      </c>
      <c r="S347" s="133"/>
    </row>
    <row r="348" spans="1:20" ht="15" customHeight="1" x14ac:dyDescent="0.3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 x14ac:dyDescent="0.3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 x14ac:dyDescent="0.3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 x14ac:dyDescent="0.3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 x14ac:dyDescent="0.3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 x14ac:dyDescent="0.3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 x14ac:dyDescent="0.3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 x14ac:dyDescent="0.3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394</v>
      </c>
      <c r="S356" s="133"/>
    </row>
    <row r="357" spans="1:20" ht="15" customHeight="1" x14ac:dyDescent="0.3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 x14ac:dyDescent="0.3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395</v>
      </c>
      <c r="S358" s="133"/>
    </row>
    <row r="359" spans="1:20" ht="15" customHeight="1" x14ac:dyDescent="0.3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 x14ac:dyDescent="0.3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 x14ac:dyDescent="0.3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 x14ac:dyDescent="0.3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 x14ac:dyDescent="0.3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 x14ac:dyDescent="0.3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 x14ac:dyDescent="0.3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 x14ac:dyDescent="0.3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 x14ac:dyDescent="0.3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 x14ac:dyDescent="0.3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 x14ac:dyDescent="0.3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 x14ac:dyDescent="0.3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 x14ac:dyDescent="0.3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396</v>
      </c>
      <c r="S372" s="133"/>
    </row>
    <row r="373" spans="1:20" ht="15" customHeight="1" x14ac:dyDescent="0.3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 x14ac:dyDescent="0.3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 x14ac:dyDescent="0.3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 x14ac:dyDescent="0.3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 x14ac:dyDescent="0.3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 x14ac:dyDescent="0.3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 x14ac:dyDescent="0.3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 x14ac:dyDescent="0.3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 x14ac:dyDescent="0.3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 x14ac:dyDescent="0.3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 x14ac:dyDescent="0.3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 x14ac:dyDescent="0.3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397</v>
      </c>
      <c r="S385" s="133"/>
    </row>
    <row r="386" spans="1:20" ht="15" customHeight="1" x14ac:dyDescent="0.3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 x14ac:dyDescent="0.3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 x14ac:dyDescent="0.3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 x14ac:dyDescent="0.3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 x14ac:dyDescent="0.3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 x14ac:dyDescent="0.3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 x14ac:dyDescent="0.3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 x14ac:dyDescent="0.3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398</v>
      </c>
      <c r="S394" s="133"/>
    </row>
    <row r="395" spans="1:20" ht="15" customHeight="1" x14ac:dyDescent="0.3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 x14ac:dyDescent="0.3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 x14ac:dyDescent="0.3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 x14ac:dyDescent="0.3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 x14ac:dyDescent="0.3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 x14ac:dyDescent="0.3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 x14ac:dyDescent="0.3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 x14ac:dyDescent="0.3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 x14ac:dyDescent="0.3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 x14ac:dyDescent="0.3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 x14ac:dyDescent="0.3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 x14ac:dyDescent="0.3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399</v>
      </c>
      <c r="S407" s="133"/>
    </row>
    <row r="408" spans="1:20" ht="15" customHeight="1" x14ac:dyDescent="0.3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 x14ac:dyDescent="0.3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 x14ac:dyDescent="0.3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 x14ac:dyDescent="0.3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 x14ac:dyDescent="0.3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 x14ac:dyDescent="0.3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 x14ac:dyDescent="0.3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 x14ac:dyDescent="0.3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 x14ac:dyDescent="0.3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 x14ac:dyDescent="0.3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 x14ac:dyDescent="0.3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 x14ac:dyDescent="0.3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 x14ac:dyDescent="0.3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 x14ac:dyDescent="0.3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 x14ac:dyDescent="0.3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400</v>
      </c>
      <c r="S423" s="133"/>
    </row>
    <row r="424" spans="1:20" ht="15" customHeight="1" x14ac:dyDescent="0.3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 x14ac:dyDescent="0.3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 x14ac:dyDescent="0.3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 x14ac:dyDescent="0.3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 x14ac:dyDescent="0.3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 x14ac:dyDescent="0.3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 x14ac:dyDescent="0.3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 x14ac:dyDescent="0.3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 x14ac:dyDescent="0.3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 x14ac:dyDescent="0.3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 x14ac:dyDescent="0.3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 x14ac:dyDescent="0.3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 x14ac:dyDescent="0.3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 x14ac:dyDescent="0.3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 x14ac:dyDescent="0.3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 x14ac:dyDescent="0.3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 x14ac:dyDescent="0.3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 x14ac:dyDescent="0.3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 x14ac:dyDescent="0.3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 x14ac:dyDescent="0.3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 x14ac:dyDescent="0.3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 x14ac:dyDescent="0.3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401</v>
      </c>
      <c r="S447" s="133"/>
    </row>
    <row r="448" spans="1:21" ht="15" customHeight="1" x14ac:dyDescent="0.3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 x14ac:dyDescent="0.3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 x14ac:dyDescent="0.3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 x14ac:dyDescent="0.3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395</v>
      </c>
      <c r="S451" s="133"/>
    </row>
    <row r="452" spans="1:20" ht="15" customHeight="1" x14ac:dyDescent="0.3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 x14ac:dyDescent="0.3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 x14ac:dyDescent="0.3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 x14ac:dyDescent="0.3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 x14ac:dyDescent="0.3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 x14ac:dyDescent="0.3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 x14ac:dyDescent="0.3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 x14ac:dyDescent="0.3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 x14ac:dyDescent="0.3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 x14ac:dyDescent="0.3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 x14ac:dyDescent="0.3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 x14ac:dyDescent="0.3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 x14ac:dyDescent="0.3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 x14ac:dyDescent="0.3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 x14ac:dyDescent="0.3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 x14ac:dyDescent="0.3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 x14ac:dyDescent="0.3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 x14ac:dyDescent="0.3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 x14ac:dyDescent="0.3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 x14ac:dyDescent="0.3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 x14ac:dyDescent="0.3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 x14ac:dyDescent="0.3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 x14ac:dyDescent="0.3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402</v>
      </c>
      <c r="S476" s="133"/>
    </row>
    <row r="477" spans="1:20" ht="15" customHeight="1" x14ac:dyDescent="0.3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 x14ac:dyDescent="0.3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 x14ac:dyDescent="0.3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363</v>
      </c>
      <c r="S479" s="133"/>
    </row>
    <row r="480" spans="1:20" ht="15" customHeight="1" x14ac:dyDescent="0.3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 x14ac:dyDescent="0.3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 x14ac:dyDescent="0.3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 x14ac:dyDescent="0.3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 x14ac:dyDescent="0.3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 x14ac:dyDescent="0.3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 x14ac:dyDescent="0.3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 x14ac:dyDescent="0.3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 x14ac:dyDescent="0.3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 x14ac:dyDescent="0.3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 x14ac:dyDescent="0.3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 x14ac:dyDescent="0.3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 x14ac:dyDescent="0.3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 x14ac:dyDescent="0.3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 x14ac:dyDescent="0.3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 x14ac:dyDescent="0.3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 x14ac:dyDescent="0.3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 x14ac:dyDescent="0.3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 x14ac:dyDescent="0.3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 x14ac:dyDescent="0.3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 x14ac:dyDescent="0.3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 x14ac:dyDescent="0.3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 x14ac:dyDescent="0.3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403</v>
      </c>
      <c r="S504" s="133"/>
    </row>
    <row r="505" spans="1:20" ht="15" customHeight="1" x14ac:dyDescent="0.3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 x14ac:dyDescent="0.3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 x14ac:dyDescent="0.3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 x14ac:dyDescent="0.3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 x14ac:dyDescent="0.3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 x14ac:dyDescent="0.3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 x14ac:dyDescent="0.3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 x14ac:dyDescent="0.3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 x14ac:dyDescent="0.3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 x14ac:dyDescent="0.3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 x14ac:dyDescent="0.3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 x14ac:dyDescent="0.3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 x14ac:dyDescent="0.3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 x14ac:dyDescent="0.3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 x14ac:dyDescent="0.3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 x14ac:dyDescent="0.3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 x14ac:dyDescent="0.3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 x14ac:dyDescent="0.3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 x14ac:dyDescent="0.3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 x14ac:dyDescent="0.3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 x14ac:dyDescent="0.3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 x14ac:dyDescent="0.3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 x14ac:dyDescent="0.3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 x14ac:dyDescent="0.3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 x14ac:dyDescent="0.3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 x14ac:dyDescent="0.3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 x14ac:dyDescent="0.3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 x14ac:dyDescent="0.3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 x14ac:dyDescent="0.3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 x14ac:dyDescent="0.3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 x14ac:dyDescent="0.3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 x14ac:dyDescent="0.3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 x14ac:dyDescent="0.3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 x14ac:dyDescent="0.3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 x14ac:dyDescent="0.3">
      <c r="A540" s="156" t="s">
        <v>263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261</v>
      </c>
      <c r="S540" s="74">
        <v>746110</v>
      </c>
      <c r="T540" s="99">
        <f>IFERROR(J540,"")</f>
        <v>126.60637832335328</v>
      </c>
    </row>
    <row r="541" spans="1:20" ht="18" customHeight="1" x14ac:dyDescent="0.3">
      <c r="A541" s="157" t="s">
        <v>249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264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 x14ac:dyDescent="0.3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/>
      <c r="H542" s="101" t="str">
        <f>IFERROR(IF($G542="","",$G542*$S$554/$G$554/Cadastro!$E$33),"")</f>
        <v/>
      </c>
      <c r="I542" s="102">
        <f>IFERROR(IF($D542="","",VLOOKUP($D542,Cadastro!$C$4:$G$7,5,FALSE())),"")</f>
        <v>0.6</v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>
        <v>0.2986111111111111</v>
      </c>
      <c r="P542" s="65"/>
      <c r="Q542" s="66">
        <f t="shared" ref="Q542:Q553" ca="1" si="140">IFERROR(IF(O542="","",IF(P542="",MOD(NOW()-O542,1),IF(P542&gt;=O542,P542-O542,P542+1-O542))),"")</f>
        <v>9.3674768504570238E-3</v>
      </c>
      <c r="R542" s="63"/>
      <c r="S542" s="133"/>
    </row>
    <row r="543" spans="1:20" ht="15" customHeight="1" x14ac:dyDescent="0.3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/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 x14ac:dyDescent="0.3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/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 x14ac:dyDescent="0.3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/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 x14ac:dyDescent="0.3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 x14ac:dyDescent="0.3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 x14ac:dyDescent="0.3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 x14ac:dyDescent="0.3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 x14ac:dyDescent="0.3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 x14ac:dyDescent="0.3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 x14ac:dyDescent="0.3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 x14ac:dyDescent="0.3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 x14ac:dyDescent="0.3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9.3674768504570238E-3</v>
      </c>
      <c r="R554" s="2" t="s">
        <v>261</v>
      </c>
      <c r="S554" s="74"/>
      <c r="T554" s="99">
        <f>IFERROR(J554,"")</f>
        <v>0</v>
      </c>
    </row>
    <row r="555" spans="1:20" ht="15" customHeight="1" x14ac:dyDescent="0.3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 x14ac:dyDescent="0.3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 x14ac:dyDescent="0.3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 x14ac:dyDescent="0.3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 x14ac:dyDescent="0.3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 x14ac:dyDescent="0.3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 x14ac:dyDescent="0.3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 x14ac:dyDescent="0.3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 x14ac:dyDescent="0.3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 x14ac:dyDescent="0.3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 x14ac:dyDescent="0.3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 x14ac:dyDescent="0.3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 x14ac:dyDescent="0.3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 x14ac:dyDescent="0.3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9.3674768504570238E-3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 x14ac:dyDescent="0.3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 x14ac:dyDescent="0.3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 x14ac:dyDescent="0.3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 x14ac:dyDescent="0.3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 x14ac:dyDescent="0.3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 x14ac:dyDescent="0.3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 x14ac:dyDescent="0.3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 x14ac:dyDescent="0.3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 x14ac:dyDescent="0.3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 x14ac:dyDescent="0.3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 x14ac:dyDescent="0.3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 x14ac:dyDescent="0.3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 x14ac:dyDescent="0.3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 x14ac:dyDescent="0.3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 x14ac:dyDescent="0.3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 x14ac:dyDescent="0.3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 x14ac:dyDescent="0.3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 x14ac:dyDescent="0.3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 x14ac:dyDescent="0.3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 x14ac:dyDescent="0.3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 x14ac:dyDescent="0.3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 x14ac:dyDescent="0.3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 x14ac:dyDescent="0.3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 x14ac:dyDescent="0.3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 x14ac:dyDescent="0.3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 x14ac:dyDescent="0.3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 x14ac:dyDescent="0.3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 x14ac:dyDescent="0.3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 x14ac:dyDescent="0.3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 x14ac:dyDescent="0.3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 x14ac:dyDescent="0.3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 x14ac:dyDescent="0.3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 x14ac:dyDescent="0.3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 x14ac:dyDescent="0.3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 x14ac:dyDescent="0.3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 x14ac:dyDescent="0.3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 x14ac:dyDescent="0.3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 x14ac:dyDescent="0.3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 x14ac:dyDescent="0.3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 x14ac:dyDescent="0.3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 x14ac:dyDescent="0.3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 x14ac:dyDescent="0.3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 x14ac:dyDescent="0.3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 x14ac:dyDescent="0.3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 x14ac:dyDescent="0.3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 x14ac:dyDescent="0.3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 x14ac:dyDescent="0.3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 x14ac:dyDescent="0.3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 x14ac:dyDescent="0.3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 x14ac:dyDescent="0.3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 x14ac:dyDescent="0.3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 x14ac:dyDescent="0.3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 x14ac:dyDescent="0.3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 x14ac:dyDescent="0.3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 x14ac:dyDescent="0.3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 x14ac:dyDescent="0.3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 x14ac:dyDescent="0.3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 x14ac:dyDescent="0.3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 x14ac:dyDescent="0.3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 x14ac:dyDescent="0.3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 x14ac:dyDescent="0.3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 x14ac:dyDescent="0.3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 x14ac:dyDescent="0.3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 x14ac:dyDescent="0.3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 x14ac:dyDescent="0.3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 x14ac:dyDescent="0.3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 x14ac:dyDescent="0.3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 x14ac:dyDescent="0.3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 x14ac:dyDescent="0.3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 x14ac:dyDescent="0.3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 x14ac:dyDescent="0.3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 x14ac:dyDescent="0.3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 x14ac:dyDescent="0.3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 x14ac:dyDescent="0.3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 x14ac:dyDescent="0.3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 x14ac:dyDescent="0.3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 x14ac:dyDescent="0.3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 x14ac:dyDescent="0.3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 x14ac:dyDescent="0.3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 x14ac:dyDescent="0.3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 x14ac:dyDescent="0.3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 x14ac:dyDescent="0.3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 x14ac:dyDescent="0.3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 x14ac:dyDescent="0.3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 x14ac:dyDescent="0.3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 x14ac:dyDescent="0.3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 x14ac:dyDescent="0.3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 x14ac:dyDescent="0.3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 x14ac:dyDescent="0.3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 x14ac:dyDescent="0.3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 x14ac:dyDescent="0.3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 x14ac:dyDescent="0.3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 x14ac:dyDescent="0.3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 x14ac:dyDescent="0.3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 x14ac:dyDescent="0.3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 x14ac:dyDescent="0.3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 x14ac:dyDescent="0.3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 x14ac:dyDescent="0.3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 x14ac:dyDescent="0.3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 x14ac:dyDescent="0.3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 x14ac:dyDescent="0.3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 x14ac:dyDescent="0.3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 x14ac:dyDescent="0.3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 x14ac:dyDescent="0.3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 x14ac:dyDescent="0.3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 x14ac:dyDescent="0.3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 x14ac:dyDescent="0.3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 x14ac:dyDescent="0.3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 x14ac:dyDescent="0.3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 x14ac:dyDescent="0.3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 x14ac:dyDescent="0.3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 x14ac:dyDescent="0.3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 x14ac:dyDescent="0.3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 x14ac:dyDescent="0.3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 x14ac:dyDescent="0.3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 x14ac:dyDescent="0.3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 x14ac:dyDescent="0.3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 x14ac:dyDescent="0.3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 x14ac:dyDescent="0.3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 x14ac:dyDescent="0.3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 x14ac:dyDescent="0.3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 x14ac:dyDescent="0.3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 x14ac:dyDescent="0.3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 x14ac:dyDescent="0.3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 x14ac:dyDescent="0.3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 x14ac:dyDescent="0.3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 x14ac:dyDescent="0.3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 x14ac:dyDescent="0.3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 x14ac:dyDescent="0.3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 x14ac:dyDescent="0.3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 x14ac:dyDescent="0.3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 x14ac:dyDescent="0.3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 x14ac:dyDescent="0.3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 x14ac:dyDescent="0.3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 x14ac:dyDescent="0.3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 x14ac:dyDescent="0.3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 x14ac:dyDescent="0.3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 x14ac:dyDescent="0.3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 x14ac:dyDescent="0.3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 x14ac:dyDescent="0.3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 x14ac:dyDescent="0.3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 x14ac:dyDescent="0.3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 x14ac:dyDescent="0.3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 x14ac:dyDescent="0.3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 x14ac:dyDescent="0.3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 x14ac:dyDescent="0.3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 x14ac:dyDescent="0.3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 x14ac:dyDescent="0.3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 x14ac:dyDescent="0.3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 x14ac:dyDescent="0.3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 x14ac:dyDescent="0.3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 x14ac:dyDescent="0.3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 x14ac:dyDescent="0.3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 x14ac:dyDescent="0.3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 x14ac:dyDescent="0.3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 x14ac:dyDescent="0.3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 x14ac:dyDescent="0.3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 x14ac:dyDescent="0.3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 x14ac:dyDescent="0.3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 x14ac:dyDescent="0.3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 x14ac:dyDescent="0.3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 x14ac:dyDescent="0.3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 x14ac:dyDescent="0.3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 x14ac:dyDescent="0.3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 x14ac:dyDescent="0.3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 x14ac:dyDescent="0.3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 x14ac:dyDescent="0.3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 x14ac:dyDescent="0.3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 x14ac:dyDescent="0.3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 x14ac:dyDescent="0.3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 x14ac:dyDescent="0.3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 x14ac:dyDescent="0.3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 x14ac:dyDescent="0.3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 x14ac:dyDescent="0.3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 x14ac:dyDescent="0.3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 x14ac:dyDescent="0.3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 x14ac:dyDescent="0.3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 x14ac:dyDescent="0.3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 x14ac:dyDescent="0.3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 x14ac:dyDescent="0.3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 x14ac:dyDescent="0.3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 x14ac:dyDescent="0.3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 x14ac:dyDescent="0.3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 x14ac:dyDescent="0.3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 x14ac:dyDescent="0.3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 x14ac:dyDescent="0.3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 x14ac:dyDescent="0.3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 x14ac:dyDescent="0.3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 x14ac:dyDescent="0.3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 x14ac:dyDescent="0.3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 x14ac:dyDescent="0.3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 x14ac:dyDescent="0.3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 x14ac:dyDescent="0.3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 x14ac:dyDescent="0.3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 x14ac:dyDescent="0.3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 x14ac:dyDescent="0.3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 x14ac:dyDescent="0.3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 x14ac:dyDescent="0.3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 x14ac:dyDescent="0.3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 x14ac:dyDescent="0.3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 x14ac:dyDescent="0.3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 x14ac:dyDescent="0.3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 x14ac:dyDescent="0.3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 x14ac:dyDescent="0.3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 x14ac:dyDescent="0.3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 x14ac:dyDescent="0.3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 x14ac:dyDescent="0.3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 x14ac:dyDescent="0.3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 x14ac:dyDescent="0.3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 x14ac:dyDescent="0.3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 x14ac:dyDescent="0.3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 x14ac:dyDescent="0.3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 x14ac:dyDescent="0.3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 x14ac:dyDescent="0.3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 x14ac:dyDescent="0.3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 x14ac:dyDescent="0.3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 x14ac:dyDescent="0.3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 x14ac:dyDescent="0.3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 x14ac:dyDescent="0.3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 x14ac:dyDescent="0.3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 x14ac:dyDescent="0.3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 x14ac:dyDescent="0.3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 x14ac:dyDescent="0.3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 x14ac:dyDescent="0.3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 x14ac:dyDescent="0.3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 x14ac:dyDescent="0.3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 x14ac:dyDescent="0.3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 x14ac:dyDescent="0.3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 x14ac:dyDescent="0.3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 x14ac:dyDescent="0.3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 x14ac:dyDescent="0.3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 x14ac:dyDescent="0.3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 x14ac:dyDescent="0.3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 x14ac:dyDescent="0.3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 x14ac:dyDescent="0.3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 x14ac:dyDescent="0.3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 x14ac:dyDescent="0.3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 x14ac:dyDescent="0.3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 x14ac:dyDescent="0.3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 x14ac:dyDescent="0.3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 x14ac:dyDescent="0.3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 x14ac:dyDescent="0.3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 x14ac:dyDescent="0.3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 x14ac:dyDescent="0.3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 x14ac:dyDescent="0.3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 x14ac:dyDescent="0.3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 x14ac:dyDescent="0.3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 x14ac:dyDescent="0.3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 x14ac:dyDescent="0.3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 x14ac:dyDescent="0.3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 x14ac:dyDescent="0.3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 x14ac:dyDescent="0.3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 x14ac:dyDescent="0.3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 x14ac:dyDescent="0.3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 x14ac:dyDescent="0.3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 x14ac:dyDescent="0.3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 x14ac:dyDescent="0.3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 x14ac:dyDescent="0.3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 x14ac:dyDescent="0.3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 x14ac:dyDescent="0.3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 x14ac:dyDescent="0.3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 x14ac:dyDescent="0.3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 x14ac:dyDescent="0.3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 x14ac:dyDescent="0.3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2B1A3CF-5FC7-4FEA-8536-053612F4F612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6</vt:i4>
      </vt:variant>
    </vt:vector>
  </HeadingPairs>
  <TitlesOfParts>
    <vt:vector size="13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2026-08-21T11:24:27Z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