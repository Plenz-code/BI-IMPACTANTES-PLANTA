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292" documentId="8_{AF585B22-221D-4780-BB9C-493D365A6A02}" xr6:coauthVersionLast="47" xr6:coauthVersionMax="47" xr10:uidLastSave="{60CE0F17-3410-4AC9-998E-8716BAF517E0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<sst xmlns="http://schemas.openxmlformats.org/spreadsheetml/2006/main" count="6468" uniqueCount="326">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</sst>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72" activePane="bottomLeft" state="frozen"/>
      <selection pane="bottomLeft" activeCell="F394" sqref="F39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25</v>
      </c>
      <c r="G405" s="36">
        <f>SUM(G393:G404)</f>
        <v>125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1425</v>
      </c>
      <c r="H406" s="41"/>
      <c r="I406" s="41"/>
      <c r="J406" s="41"/>
      <c r="K406" s="41"/>
      <c r="L406" s="41"/>
      <c r="M406" s="42">
        <f ca="1">IFERROR(M392+M405,"")</f>
        <v>0.11527777777777776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87" activePane="bottomLeft" state="frozen"/>
      <selection pane="bottomLeft" activeCell="J394" sqref="J3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0.6333017361102975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0.79094062499918638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0.90066284722140855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/>
      <c r="E393" s="62" t="s">
        <v>242</v>
      </c>
      <c r="F393" s="27"/>
      <c r="G393" s="34" t="str">
        <f t="shared" ref="G393:G404" si="87">IF(F393="","",IF(E393="PC 17",F393*4.2,IF(E393="PC 19",F393*5,"")))</f>
        <v/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/>
      <c r="E394" s="62"/>
      <c r="F394" s="27"/>
      <c r="G394" s="28" t="str">
        <f t="shared" si="87"/>
        <v/>
      </c>
      <c r="H394" s="26" t="s">
        <v>20</v>
      </c>
      <c r="I394" s="26" t="s">
        <v>31</v>
      </c>
      <c r="J394" s="26" t="s">
        <v>128</v>
      </c>
      <c r="K394" s="29">
        <v>0.87222222222222223</v>
      </c>
      <c r="L394" s="29"/>
      <c r="M394" s="30">
        <f t="shared" ca="1" si="88"/>
        <v>6.6284722561249509E-4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6.0385069447834727E-2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74</v>
      </c>
      <c r="G406" s="40">
        <f>G392+G405</f>
        <v>310.8</v>
      </c>
      <c r="H406" s="41"/>
      <c r="I406" s="41"/>
      <c r="J406" s="41"/>
      <c r="K406" s="41"/>
      <c r="L406" s="41"/>
      <c r="M406" s="42">
        <f ca="1">IFERROR(M392+M405,"")</f>
        <v>0.40066284722561246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9" zoomScale="50" zoomScaleNormal="50" workbookViewId="0">
      <selection activeCell="E393" sqref="E39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12</v>
      </c>
      <c r="G405" s="36">
        <f>SUM(G393:G404)</f>
        <v>60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107</v>
      </c>
      <c r="G406" s="40">
        <f>G392+G405</f>
        <v>459.00000000000006</v>
      </c>
      <c r="H406" s="41"/>
      <c r="I406" s="41"/>
      <c r="J406" s="41"/>
      <c r="K406" s="41"/>
      <c r="L406" s="41"/>
      <c r="M406" s="42">
        <f ca="1">IFERROR(M392+M405,"")</f>
        <v>2.9861111111111061E-2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2" activePane="bottomLeft" state="frozen"/>
      <selection pane="bottomLeft" activeCell="J393" sqref="J39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0.62357951389276423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0.82288506944831985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1.1902461805594309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25</v>
      </c>
      <c r="G405" s="36">
        <f>SUM(G393:G404)</f>
        <v>125</v>
      </c>
      <c r="H405" s="37"/>
      <c r="I405" s="37"/>
      <c r="J405" s="37"/>
      <c r="K405" s="61"/>
      <c r="L405" s="61"/>
      <c r="M405" s="38">
        <f ca="1">IFERROR(SUM(M393:M404),"")</f>
        <v>1.6666666666666718E-2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168</v>
      </c>
      <c r="G406" s="40">
        <f>G392+G405</f>
        <v>725.6</v>
      </c>
      <c r="H406" s="41"/>
      <c r="I406" s="41"/>
      <c r="J406" s="41"/>
      <c r="K406" s="63"/>
      <c r="L406" s="63"/>
      <c r="M406" s="42">
        <f ca="1">IFERROR(M392+M405,"")</f>
        <v>0.19930555555555568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2026-07-16T00:57:13Z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