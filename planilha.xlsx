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45" documentId="8_{AF585B22-221D-4780-BB9C-493D365A6A02}" xr6:coauthVersionLast="47" xr6:coauthVersionMax="47" xr10:uidLastSave="{DD126601-D9C6-4C20-9E76-F57A4496418A}"/>
  <bookViews>
    <workbookView xWindow="-110" yWindow="-110" windowWidth="25820" windowHeight="15500" tabRatio="500" firstSheet="3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<sst xmlns="http://schemas.openxmlformats.org/spreadsheetml/2006/main" count="4107" uniqueCount="278">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</sst>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3" sqref="F23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L232" sqref="L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/>
      <c r="M232" s="30">
        <f t="shared" ca="1" si="52"/>
        <v>8.2515046306070872E-3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</v>
      </c>
      <c r="G243" s="36">
        <f>SUM(G231:G242)</f>
        <v>25.2</v>
      </c>
      <c r="H243" s="37"/>
      <c r="I243" s="37"/>
      <c r="J243" s="37"/>
      <c r="K243" s="37"/>
      <c r="L243" s="37"/>
      <c r="M243" s="38">
        <f ca="1">IFERROR(SUM(M231:M242),"")</f>
        <v>7.0751504630607087E-2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121</v>
      </c>
      <c r="G244" s="40">
        <f>G230+G243</f>
        <v>508.2</v>
      </c>
      <c r="H244" s="41"/>
      <c r="I244" s="41"/>
      <c r="J244" s="41"/>
      <c r="K244" s="41"/>
      <c r="L244" s="41"/>
      <c r="M244" s="42">
        <f ca="1">IFERROR(M230+M243,"")</f>
        <v>0.40130706018616258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3" sqref="F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27</v>
      </c>
      <c r="G243" s="36">
        <f>SUM(G231:G242)</f>
        <v>113.4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129</v>
      </c>
      <c r="G244" s="40">
        <f>G230+G243</f>
        <v>541.79999999999995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K233" sqref="K2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0.63394594907731516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0.83325150463287079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1.2006126157439818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>
        <v>21</v>
      </c>
      <c r="G232" s="28" t="str">
        <f t="shared" si="51"/>
        <v/>
      </c>
      <c r="H232" s="26"/>
      <c r="I232" s="26"/>
      <c r="J232" s="26"/>
      <c r="K232" s="29">
        <v>0.87847222222222221</v>
      </c>
      <c r="L232" s="29"/>
      <c r="M232" s="30">
        <f t="shared" ca="1" si="52"/>
        <v>4.7792824116186239E-3</v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44</v>
      </c>
      <c r="G243" s="36">
        <f>SUM(G231:G242)</f>
        <v>96.600000000000009</v>
      </c>
      <c r="H243" s="37"/>
      <c r="I243" s="37"/>
      <c r="J243" s="37"/>
      <c r="K243" s="61"/>
      <c r="L243" s="61"/>
      <c r="M243" s="38">
        <f ca="1">IFERROR(SUM(M231:M242),"")</f>
        <v>1.9362615744951905E-2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592.20000000000005</v>
      </c>
      <c r="H244" s="41"/>
      <c r="I244" s="41"/>
      <c r="J244" s="41"/>
      <c r="K244" s="63"/>
      <c r="L244" s="63"/>
      <c r="M244" s="42">
        <f ca="1">IFERROR(M230+M243,"")</f>
        <v>0.21589039352272985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2026-07-10T01:11:59Z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