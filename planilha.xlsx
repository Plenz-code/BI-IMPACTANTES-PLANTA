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6" documentId="13_ncr:1_{A6DBCFB4-28D9-4249-9038-216934055CA6}" xr6:coauthVersionLast="47" xr6:coauthVersionMax="47" xr10:uidLastSave="{490C4EC9-827B-4678-9EE5-DF6772DF7813}"/>
  <bookViews>
    <workbookView xWindow="-110" yWindow="-110" windowWidth="25820" windowHeight="15500" tabRatio="500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J491" i="5" s="1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797" i="5" l="1"/>
  <c r="M419" i="3"/>
  <c r="M824" i="3"/>
  <c r="Q486" i="6"/>
  <c r="Q68" i="6"/>
  <c r="M405" i="3"/>
  <c r="Q473" i="4"/>
  <c r="Q257" i="6"/>
  <c r="Q230" i="6"/>
  <c r="M500" i="3"/>
  <c r="Q743" i="4"/>
  <c r="Q648" i="4"/>
  <c r="Q770" i="5"/>
  <c r="Q108" i="6"/>
  <c r="Q203" i="6"/>
  <c r="Q149" i="6"/>
  <c r="Q135" i="6"/>
  <c r="Q81" i="6"/>
  <c r="Q82" i="6" s="1"/>
  <c r="Q837" i="5"/>
  <c r="M581" i="3"/>
  <c r="Q189" i="6"/>
  <c r="Q162" i="6"/>
  <c r="Q729" i="6"/>
  <c r="Q730" i="6" s="1"/>
  <c r="Q473" i="5"/>
  <c r="Q419" i="4"/>
  <c r="Q392" i="4"/>
  <c r="Q406" i="4" s="1"/>
  <c r="Q581" i="6"/>
  <c r="Q567" i="5"/>
  <c r="Q405" i="6"/>
  <c r="Q243" i="4"/>
  <c r="Q230" i="4"/>
  <c r="Q244" i="4" s="1"/>
  <c r="Q297" i="4"/>
  <c r="Q298" i="4" s="1"/>
  <c r="Q82" i="4"/>
  <c r="M459" i="3"/>
  <c r="M460" i="3" s="1"/>
  <c r="Q432" i="5"/>
  <c r="Q433" i="5" s="1"/>
  <c r="Q729" i="4"/>
  <c r="Q689" i="5"/>
  <c r="Q703" i="5" s="1"/>
  <c r="Q783" i="5"/>
  <c r="Q446" i="5"/>
  <c r="Q203" i="5"/>
  <c r="M176" i="3"/>
  <c r="Q324" i="6"/>
  <c r="Q527" i="5"/>
  <c r="Q513" i="6"/>
  <c r="Q514" i="6" s="1"/>
  <c r="Q527" i="6"/>
  <c r="Q473" i="6"/>
  <c r="Q446" i="6"/>
  <c r="Q460" i="6" s="1"/>
  <c r="Q122" i="6"/>
  <c r="J492" i="5"/>
  <c r="J489" i="5"/>
  <c r="J493" i="4"/>
  <c r="J492" i="4"/>
  <c r="J491" i="4"/>
  <c r="J490" i="4"/>
  <c r="J490" i="5"/>
  <c r="Q500" i="4"/>
  <c r="K500" i="4"/>
  <c r="K514" i="4" s="1"/>
  <c r="G514" i="4"/>
  <c r="H489" i="4"/>
  <c r="Q702" i="6"/>
  <c r="M297" i="3"/>
  <c r="Q540" i="4"/>
  <c r="Q541" i="4" s="1"/>
  <c r="Q770" i="4"/>
  <c r="Q581" i="5"/>
  <c r="Q311" i="5"/>
  <c r="Q325" i="5" s="1"/>
  <c r="M149" i="3"/>
  <c r="Q567" i="4"/>
  <c r="Q95" i="4"/>
  <c r="Q109" i="4" s="1"/>
  <c r="Q14" i="4"/>
  <c r="Q28" i="4" s="1"/>
  <c r="Q635" i="5"/>
  <c r="Q257" i="5"/>
  <c r="Q176" i="5"/>
  <c r="Q190" i="5" s="1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5" i="3" s="1"/>
  <c r="M527" i="3"/>
  <c r="Q675" i="6"/>
  <c r="Q540" i="5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594" i="6"/>
  <c r="Q378" i="4"/>
  <c r="Q405" i="5"/>
  <c r="Q338" i="5"/>
  <c r="Q352" i="5" s="1"/>
  <c r="M135" i="3"/>
  <c r="Q756" i="6"/>
  <c r="Q243" i="6"/>
  <c r="M810" i="3"/>
  <c r="M14" i="3"/>
  <c r="Q594" i="4"/>
  <c r="Q595" i="4" s="1"/>
  <c r="M662" i="3"/>
  <c r="M162" i="3"/>
  <c r="Q635" i="6"/>
  <c r="M311" i="3"/>
  <c r="Q689" i="6"/>
  <c r="Q594" i="5"/>
  <c r="Q365" i="4"/>
  <c r="M540" i="3"/>
  <c r="Q783" i="6"/>
  <c r="Q797" i="6"/>
  <c r="Q811" i="6" s="1"/>
  <c r="Q95" i="5"/>
  <c r="Q109" i="5" s="1"/>
  <c r="M284" i="3"/>
  <c r="Q41" i="5"/>
  <c r="Q392" i="5"/>
  <c r="Q648" i="6"/>
  <c r="Q729" i="5"/>
  <c r="Q730" i="5" s="1"/>
  <c r="Q486" i="5"/>
  <c r="Q459" i="5"/>
  <c r="Q27" i="5"/>
  <c r="M837" i="3"/>
  <c r="M838" i="3" s="1"/>
  <c r="M324" i="3"/>
  <c r="M325" i="3" s="1"/>
  <c r="Q662" i="4"/>
  <c r="Q513" i="5"/>
  <c r="Q149" i="5"/>
  <c r="Q135" i="5"/>
  <c r="M770" i="3"/>
  <c r="Q270" i="4"/>
  <c r="Q446" i="4"/>
  <c r="Q460" i="4" s="1"/>
  <c r="Q743" i="6"/>
  <c r="Q270" i="6"/>
  <c r="M729" i="3"/>
  <c r="M513" i="3"/>
  <c r="M95" i="3"/>
  <c r="M109" i="3" s="1"/>
  <c r="Q554" i="4"/>
  <c r="M392" i="3"/>
  <c r="M122" i="3"/>
  <c r="Q351" i="4"/>
  <c r="Q352" i="4" s="1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757" i="3" s="1"/>
  <c r="M689" i="3"/>
  <c r="Q41" i="4"/>
  <c r="Q392" i="6"/>
  <c r="Q378" i="6"/>
  <c r="Q365" i="6"/>
  <c r="Q379" i="6" s="1"/>
  <c r="Q554" i="5"/>
  <c r="M675" i="3"/>
  <c r="M189" i="3"/>
  <c r="Q783" i="4"/>
  <c r="Q54" i="6"/>
  <c r="Q55" i="6" s="1"/>
  <c r="Q824" i="5"/>
  <c r="Q513" i="4"/>
  <c r="Q621" i="4"/>
  <c r="Q297" i="6"/>
  <c r="Q298" i="6" s="1"/>
  <c r="Q608" i="5"/>
  <c r="Q837" i="6"/>
  <c r="Q838" i="6" s="1"/>
  <c r="Q837" i="4"/>
  <c r="Q838" i="4" s="1"/>
  <c r="Q230" i="5"/>
  <c r="Q162" i="5"/>
  <c r="Q54" i="4"/>
  <c r="Q770" i="6"/>
  <c r="Q662" i="6"/>
  <c r="Q554" i="6"/>
  <c r="Q568" i="6" s="1"/>
  <c r="Q540" i="6"/>
  <c r="Q419" i="6"/>
  <c r="Q433" i="6" s="1"/>
  <c r="Q351" i="6"/>
  <c r="Q338" i="6"/>
  <c r="Q311" i="6"/>
  <c r="Q216" i="6"/>
  <c r="Q95" i="6"/>
  <c r="Q810" i="5"/>
  <c r="Q811" i="5" s="1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J488" i="4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136" i="3" l="1"/>
  <c r="M244" i="3"/>
  <c r="Q757" i="5"/>
  <c r="Q487" i="6"/>
  <c r="Q487" i="4"/>
  <c r="Q649" i="4"/>
  <c r="Q244" i="6"/>
  <c r="Q271" i="6"/>
  <c r="M514" i="3"/>
  <c r="M406" i="3"/>
  <c r="M595" i="3"/>
  <c r="Q487" i="5"/>
  <c r="Q757" i="4"/>
  <c r="Q784" i="5"/>
  <c r="Q136" i="6"/>
  <c r="Q730" i="4"/>
  <c r="Q190" i="6"/>
  <c r="Q595" i="6"/>
  <c r="Q433" i="4"/>
  <c r="Q406" i="6"/>
  <c r="Q568" i="5"/>
  <c r="Q838" i="5"/>
  <c r="Q217" i="6"/>
  <c r="Q109" i="6"/>
  <c r="Q136" i="5"/>
  <c r="Q757" i="6"/>
  <c r="Q379" i="4"/>
  <c r="Q406" i="5"/>
  <c r="Q649" i="6"/>
  <c r="Q163" i="6"/>
  <c r="M811" i="3"/>
  <c r="Q703" i="6"/>
  <c r="Q595" i="5"/>
  <c r="M298" i="3"/>
  <c r="M730" i="3"/>
  <c r="Q568" i="4"/>
  <c r="Q460" i="5"/>
  <c r="Q541" i="5"/>
  <c r="M163" i="3"/>
  <c r="M541" i="3"/>
  <c r="Q676" i="4"/>
  <c r="Q271" i="5"/>
  <c r="Q217" i="5"/>
  <c r="M784" i="3"/>
  <c r="Q649" i="5"/>
  <c r="M190" i="3"/>
  <c r="Q784" i="4"/>
  <c r="Q514" i="4"/>
  <c r="Q622" i="4"/>
  <c r="Q541" i="6"/>
  <c r="Q325" i="6"/>
  <c r="J500" i="5"/>
  <c r="J489" i="4"/>
  <c r="J500" i="4" s="1"/>
  <c r="H500" i="4"/>
  <c r="H514" i="4" s="1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<sst xmlns="http://schemas.openxmlformats.org/spreadsheetml/2006/main" count="8450" uniqueCount="395">
  <si>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</si>
  <si>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</si>
  <si>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</si>
  <si>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</si>
  <si>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</si>
  <si>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</si>
  <si>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</si>
  <si>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</si>
  <si>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</si>
  <si>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</si>
  <si>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</si>
  <si>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</si>
  <si>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</si>
  <si>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</si>
  <si>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</si>
  <si>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</si>
  <si>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</si>
  <si>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</si>
  <si>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</si>
  <si>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</si>
  <si>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</si>
  <si>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</si>
  <si>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</si>
  <si>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</si>
  <si>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</si>
  <si>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</si>
  <si>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</si>
  <si>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</si>
  <si>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</si>
  <si>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</si>
  <si>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</si>
  <si>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</si>
  <si>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</si>
  <si>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</si>
  <si>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</si>
  <si>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</si>
  <si>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</si>
  <si>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</si>
  <si>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</si>
  <si>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</si>
  <si>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</si>
  <si>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</si>
  <si>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</si>
  <si>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</si>
  <si>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</si>
  <si>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</si>
  <si>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</si>
  <si>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</si>
  <si>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</si>
  <si>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</si>
  <si>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</si>
  <si>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</si>
  <si>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</si>
  <si>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</si>
  <si>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</si>
  <si>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</si>
  <si>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</si>
  <si>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</si>
  <si>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</si>
  <si>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</si>
  <si>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</si>
  <si>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</si>
  <si>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</si>
  <si>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</si>
  <si>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</si>
  <si>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</si>
  <si>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</si>
  <si>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</si>
  <si>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</si>
  <si>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</si>
  <si>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</si>
  <si>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</si>
  <si>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</si>
  <si>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</si>
  <si>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</si>
  <si>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</si>
  <si>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</si>
  <si>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</si>
  <si>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</si>
  <si>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</si>
  <si>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</si>
  <si>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</si>
  <si>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</si>
  <si>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</si>
  <si>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</si>
  <si>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</si>
  <si>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</si>
  <si>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</si>
  <si>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</si>
  <si>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</si>
  <si>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</si>
  <si>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</si>
  <si>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</si>
  <si>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</si>
  <si>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</si>
  <si>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</si>
  <si>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</si>
  <si>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</si>
  <si>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</si>
  <si>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</si>
  <si>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</si>
  <si>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</si>
  <si>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</si>
  <si>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</si>
  <si>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</si>
  <si>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</si>
  <si>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</si>
  <si>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</si>
  <si>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</si>
  <si>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</si>
  <si>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</si>
  <si>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</si>
  <si>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</si>
  <si>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</si>
  <si>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</si>
  <si>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</si>
  <si>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</si>
  <si>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</si>
  <si>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</si>
  <si>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</si>
  <si>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</si>
  <si>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</si>
  <si>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</si>
  <si>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</si>
  <si>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</si>
  <si>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</si>
  <si>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</si>
  <si>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</si>
  <si>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</si>
  <si>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</si>
  <si>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</si>
  <si>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</si>
  <si>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</si>
  <si>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</si>
  <si>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</si>
  <si>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</si>
  <si>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</si>
  <si>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</si>
  <si>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</si>
  <si>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</si>
  <si>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</si>
  <si>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</si>
  <si>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</si>
  <si>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</si>
  <si>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</si>
  <si>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</si>
  <si>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</si>
  <si>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</si>
  <si>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</si>
  <si>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</si>
  <si>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</si>
  <si>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</si>
  <si>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</si>
  <si>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</si>
  <si>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</si>
  <si>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</si>
  <si>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</si>
  <si>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</si>
  <si>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</si>
  <si>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</si>
  <si>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</si>
  <si>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</si>
  <si>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</si>
  <si>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</si>
  <si>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</si>
  <si>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</si>
  <si>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</si>
  <si>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</si>
  <si>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</si>
  <si>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</si>
  <si>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</si>
  <si>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</si>
  <si>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</si>
  <si>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</si>
  <si>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</si>
  <si>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</si>
  <si>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</si>
  <si>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</si>
  <si>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</si>
  <si>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</si>
  <si>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</si>
  <si>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</si>
  <si>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</si>
  <si>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</si>
  <si>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</si>
  <si>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</si>
  <si>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</si>
  <si>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</si>
  <si>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</si>
  <si>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</si>
  <si>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</si>
  <si>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</si>
  <si>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</si>
  <si>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</si>
  <si>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</si>
  <si>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</si>
  <si>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</si>
  <si>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</si>
  <si>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</si>
  <si>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</si>
  <si>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</si>
  <si>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</si>
  <si>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</si>
  <si>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</si>
  <si>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</si>
  <si>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</si>
  <si>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</si>
  <si>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</si>
  <si>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</si>
  <si>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</si>
  <si>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</si>
  <si>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</si>
  <si>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</si>
  <si>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</si>
  <si>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</si>
  <si>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</si>
  <si>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</si>
  <si>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</si>
  <si>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</si>
  <si>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</si>
  <si>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</si>
  <si>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</si>
  <si>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</si>
  <si>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</si>
  <si>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</si>
  <si>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</si>
  <si>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</si>
  <si>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</si>
  <si>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</si>
  <si>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</si>
  <si>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</si>
  <si>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</si>
  <si>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</si>
  <si>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</si>
  <si>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</si>
  <si>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</si>
  <si>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</si>
  <si>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</si>
  <si>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</si>
  <si>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</si>
  <si>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</si>
  <si>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</si>
  <si>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</si>
  <si>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</si>
  <si>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</si>
  <si>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</si>
  <si>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</si>
  <si>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</si>
  <si>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</si>
  <si>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</si>
  <si>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</si>
  <si>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</si>
  <si>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</si>
  <si>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</si>
  <si>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</si>
  <si>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</si>
  <si>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</si>
  <si>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</si>
  <si>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</si>
  <si>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</si>
  <si>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</si>
  <si>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</si>
  <si>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</si>
  <si>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</si>
  <si>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</si>
  <si>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</si>
  <si>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</si>
  <si>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</si>
  <si>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</si>
  <si>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</si>
  <si>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</si>
  <si>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</si>
  <si>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</si>
  <si>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</si>
  <si>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</si>
  <si>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</si>
  <si>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</si>
  <si>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</si>
  <si>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</si>
  <si>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</si>
  <si>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</si>
  <si>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</si>
  <si>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</si>
  <si>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</si>
  <si>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</si>
  <si>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</si>
  <si>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</si>
  <si>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</si>
  <si>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</si>
  <si>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</si>
  <si>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</si>
  <si>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</si>
  <si>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</si>
  <si>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</si>
  <si>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</si>
  <si>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</si>
  <si>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</si>
  <si>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</si>
  <si>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</si>
  <si>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</si>
  <si>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</si>
  <si>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</si>
  <si>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</si>
  <si>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</si>
  <si>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</si>
  <si>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</si>
  <si>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</si>
  <si>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</si>
  <si>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</si>
  <si>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</si>
  <si>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</si>
  <si>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</si>
  <si>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</si>
  <si>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</si>
  <si>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</si>
  <si>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</si>
  <si>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</si>
  <si>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</si>
  <si>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</si>
  <si>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</si>
  <si>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</si>
  <si>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</si>
  <si>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</si>
  <si>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</si>
  <si>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</si>
  <si>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</si>
  <si>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</si>
  <si>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</si>
  <si>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</si>
  <si>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</si>
  <si>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</si>
  <si>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</si>
  <si>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</si>
  <si>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</si>
  <si>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</si>
  <si>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</si>
  <si>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</si>
  <si>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</si>
  <si>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</si>
  <si>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</si>
  <si>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</si>
  <si>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</si>
  <si>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</si>
  <si>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</si>
  <si>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</si>
  <si>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</si>
  <si>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</si>
  <si>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</si>
  <si>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</si>
  <si>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</si>
  <si>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</si>
  <si>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</si>
  <si>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</si>
  <si>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</si>
  <si>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</si>
  <si>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</si>
  <si>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</si>
  <si>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</si>
  <si>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</si>
  <si>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</si>
  <si>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</si>
  <si>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</si>
  <si>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</si>
  <si>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</si>
  <si>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</si>
  <si>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</si>
  <si>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</si>
  <si>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</si>
  <si>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</si>
  <si>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</si>
  <si>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</si>
  <si>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</si>
  <si>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</si>
  <si>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</si>
  <si>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</si>
  <si>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</si>
  <si>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</si>
  <si>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</si>
  <si>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</si>
  <si>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</si>
  <si>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</si>
  <si>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</si>
  <si>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</si>
  <si>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</si>
  <si>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</si>
  <si>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</si>
  <si>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</si>
  <si>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</si>
  <si>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</si>
  <si>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</si>
  <si>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</si>
  <si>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</si>
  <si>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☀ Diurno</t>
  </si>
  <si>
    <t>🌙 Noturno</t>
  </si>
  <si>
    <t>arrebentou as balata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</si>
</sst>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B1" zoomScaleNormal="100" workbookViewId="0">
      <pane ySplit="3" topLeftCell="A4" activePane="bottomLeft" state="frozen"/>
      <selection activeCell="B1" sqref="B1"/>
      <selection pane="bottomLeft" activeCell="H2" sqref="H1:K1048576"/>
    </sheetView>
  </sheetViews>
  <sheetFormatPr defaultColWidth="8.54296875" defaultRowHeight="14.5" x14ac:dyDescent="0.35"/>
  <cols>
    <col min="1" max="1" width="17.54296875" customWidth="1"/>
    <col min="2" max="2" width="21" style="3" customWidth="1"/>
    <col min="3" max="3" width="25.54296875" customWidth="1"/>
    <col min="4" max="4" width="23.54296875" customWidth="1"/>
    <col min="5" max="5" width="26" customWidth="1"/>
    <col min="6" max="6" width="18.7265625" customWidth="1"/>
    <col min="7" max="7" width="17.54296875" customWidth="1"/>
    <col min="8" max="8" width="19" hidden="1" customWidth="1"/>
    <col min="9" max="9" width="18.54296875" hidden="1" customWidth="1"/>
    <col min="10" max="10" width="13.1796875" hidden="1" customWidth="1"/>
    <col min="11" max="11" width="22.1796875" hidden="1" customWidth="1"/>
    <col min="12" max="12" width="23" customWidth="1"/>
  </cols>
  <sheetData>
    <row r="1" spans="1:12" ht="31.5" customHeight="1" x14ac:dyDescent="0.35">
      <c r="A1" s="154" t="s">
        <v>0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</row>
    <row r="2" spans="1:12" ht="30" customHeight="1" x14ac:dyDescent="0.35">
      <c r="A2" s="155"/>
      <c r="B2" s="15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35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 x14ac:dyDescent="0.35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 x14ac:dyDescent="0.35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 x14ac:dyDescent="0.35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35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3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5">
      <c r="A35" s="156" t="s">
        <v>16</v>
      </c>
      <c r="B35" s="156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4625.8500000000004</v>
      </c>
      <c r="J35" s="32">
        <f>IFERROR(AVERAGE(J4:J34),"-")</f>
        <v>0.83636475455108872</v>
      </c>
      <c r="K35" s="33">
        <f>SUM(K4:K34)</f>
        <v>450.78</v>
      </c>
      <c r="L35" s="34">
        <f>IFERROR(SUM(L4:L34),"")</f>
        <v>3105</v>
      </c>
    </row>
    <row r="36" spans="1:12" ht="15" customHeight="1" x14ac:dyDescent="0.35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26.453125" customWidth="1"/>
    <col min="4" max="4" width="2" customWidth="1"/>
    <col min="5" max="5" width="17.54296875" customWidth="1"/>
    <col min="6" max="6" width="2" customWidth="1"/>
    <col min="7" max="7" width="17.5429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08984375" customWidth="1"/>
    <col min="15" max="15" width="45.453125" customWidth="1"/>
    <col min="16" max="16" width="42.08984375" customWidth="1"/>
    <col min="17" max="17" width="36" customWidth="1"/>
    <col min="18" max="18" width="45.81640625" customWidth="1"/>
  </cols>
  <sheetData>
    <row r="1" spans="1:18" ht="27.75" customHeight="1" x14ac:dyDescent="0.35">
      <c r="A1" s="157" t="s">
        <v>17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8"/>
      <c r="N1" s="159" t="s">
        <v>18</v>
      </c>
      <c r="O1" s="159"/>
      <c r="P1" s="159"/>
      <c r="Q1" s="159"/>
      <c r="R1" s="159"/>
    </row>
    <row r="2" spans="1:18" ht="4.5" customHeight="1" x14ac:dyDescent="0.35">
      <c r="M2" s="158"/>
    </row>
    <row r="3" spans="1:18" ht="25.5" customHeight="1" x14ac:dyDescent="0.3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8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8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8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8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5">
      <c r="A12" s="37"/>
      <c r="C12" s="37"/>
      <c r="J12" s="37"/>
      <c r="L12" s="37" t="s">
        <v>84</v>
      </c>
      <c r="M12" s="158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5">
      <c r="A13" s="40"/>
      <c r="C13" s="40"/>
      <c r="J13" s="40"/>
      <c r="L13" s="40" t="s">
        <v>89</v>
      </c>
      <c r="M13" s="158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5">
      <c r="A14" s="37"/>
      <c r="C14" s="37"/>
      <c r="J14" s="37"/>
      <c r="L14" s="37" t="s">
        <v>94</v>
      </c>
      <c r="M14" s="158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5">
      <c r="A15" s="40"/>
      <c r="C15" s="40"/>
      <c r="J15" s="40"/>
      <c r="L15" s="40" t="s">
        <v>100</v>
      </c>
      <c r="M15" s="158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5">
      <c r="A16" s="37"/>
      <c r="C16" s="37"/>
      <c r="J16" s="37"/>
      <c r="L16" s="37" t="s">
        <v>106</v>
      </c>
      <c r="M16" s="158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5">
      <c r="A17" s="40"/>
      <c r="C17" s="40"/>
      <c r="J17" s="40"/>
      <c r="L17" s="40" t="s">
        <v>112</v>
      </c>
      <c r="M17" s="158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5">
      <c r="A18" s="37"/>
      <c r="C18" s="37"/>
      <c r="J18" s="37"/>
      <c r="L18" s="37" t="s">
        <v>118</v>
      </c>
      <c r="M18" s="158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5">
      <c r="A19" s="40"/>
      <c r="C19" s="40"/>
      <c r="J19" s="40"/>
      <c r="L19" s="40" t="s">
        <v>124</v>
      </c>
      <c r="M19" s="158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5">
      <c r="A20" s="37"/>
      <c r="C20" s="37"/>
      <c r="J20" s="37"/>
      <c r="L20" s="37" t="s">
        <v>129</v>
      </c>
      <c r="M20" s="158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5">
      <c r="A21" s="40"/>
      <c r="C21" s="40"/>
      <c r="J21" s="40"/>
      <c r="L21" s="40" t="s">
        <v>133</v>
      </c>
      <c r="M21" s="158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35">
      <c r="A22" s="37"/>
      <c r="C22" s="37"/>
      <c r="J22" s="37"/>
      <c r="L22" s="37" t="s">
        <v>136</v>
      </c>
      <c r="M22" s="158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35">
      <c r="A23" s="40"/>
      <c r="C23" s="40"/>
      <c r="J23" s="40"/>
      <c r="L23" s="40" t="s">
        <v>139</v>
      </c>
      <c r="M23" s="158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35">
      <c r="A24" s="37"/>
      <c r="C24" s="37"/>
      <c r="J24" s="37"/>
      <c r="L24" s="37" t="s">
        <v>142</v>
      </c>
      <c r="M24" s="158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35">
      <c r="A25" s="40"/>
      <c r="C25" s="40"/>
      <c r="J25" s="40"/>
      <c r="L25" s="40" t="s">
        <v>145</v>
      </c>
      <c r="M25" s="158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35">
      <c r="A26" s="37"/>
      <c r="C26" s="37"/>
      <c r="J26" s="37"/>
      <c r="L26" s="37" t="s">
        <v>148</v>
      </c>
      <c r="M26" s="158"/>
      <c r="N26" s="37"/>
      <c r="O26" s="37"/>
      <c r="P26" s="37" t="s">
        <v>149</v>
      </c>
      <c r="Q26" s="37"/>
      <c r="R26" s="37"/>
    </row>
    <row r="27" spans="1:18" ht="15.75" customHeight="1" x14ac:dyDescent="0.35">
      <c r="A27" s="40"/>
      <c r="C27" s="40"/>
      <c r="J27" s="40"/>
      <c r="L27" s="40" t="s">
        <v>150</v>
      </c>
      <c r="M27" s="158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35">
      <c r="A28" s="37"/>
      <c r="C28" s="37"/>
      <c r="J28" s="37"/>
      <c r="L28" s="37" t="s">
        <v>151</v>
      </c>
      <c r="M28" s="158"/>
      <c r="N28" s="37"/>
      <c r="O28" s="37"/>
      <c r="P28" s="37" t="s">
        <v>144</v>
      </c>
      <c r="Q28" s="37"/>
      <c r="R28" s="37" t="s">
        <v>152</v>
      </c>
    </row>
    <row r="29" spans="1:18" ht="15.75" customHeight="1" x14ac:dyDescent="0.35">
      <c r="A29" s="40"/>
      <c r="C29" s="40"/>
      <c r="J29" s="40"/>
      <c r="L29" s="40" t="s">
        <v>153</v>
      </c>
      <c r="M29" s="158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35">
      <c r="A30" s="37"/>
      <c r="C30" s="37"/>
      <c r="J30" s="37"/>
      <c r="L30" s="37" t="s">
        <v>156</v>
      </c>
      <c r="M30" s="158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35">
      <c r="A31" s="40"/>
      <c r="C31" s="40"/>
      <c r="J31" s="40"/>
      <c r="L31" s="40" t="s">
        <v>159</v>
      </c>
      <c r="M31" s="158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35">
      <c r="A32" s="37"/>
      <c r="C32" s="37"/>
      <c r="J32" s="37"/>
      <c r="L32" s="37" t="s">
        <v>162</v>
      </c>
      <c r="M32" s="158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35">
      <c r="A33" s="40"/>
      <c r="C33" s="50" t="s">
        <v>165</v>
      </c>
      <c r="E33" s="51">
        <v>1000</v>
      </c>
      <c r="J33" s="40"/>
      <c r="L33" s="40" t="s">
        <v>166</v>
      </c>
      <c r="M33" s="158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35">
      <c r="A34" s="37"/>
      <c r="C34" s="37"/>
      <c r="J34" s="37"/>
      <c r="L34" s="37" t="s">
        <v>168</v>
      </c>
      <c r="M34" s="158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35">
      <c r="A35" s="40"/>
      <c r="C35" s="40"/>
      <c r="J35" s="40"/>
      <c r="L35" s="40" t="s">
        <v>170</v>
      </c>
      <c r="M35" s="158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35">
      <c r="A36" s="37"/>
      <c r="C36" s="37"/>
      <c r="J36" s="37"/>
      <c r="L36" s="37" t="s">
        <v>173</v>
      </c>
      <c r="M36" s="158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35">
      <c r="A37" s="40"/>
      <c r="C37" s="40"/>
      <c r="J37" s="40"/>
      <c r="L37" s="40" t="s">
        <v>176</v>
      </c>
      <c r="M37" s="158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35">
      <c r="A38" s="37"/>
      <c r="C38" s="37"/>
      <c r="J38" s="37"/>
      <c r="L38" s="37" t="s">
        <v>179</v>
      </c>
      <c r="M38" s="158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35">
      <c r="A39" s="40"/>
      <c r="C39" s="40"/>
      <c r="J39" s="40"/>
      <c r="L39" s="40"/>
      <c r="M39" s="158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35">
      <c r="A40" s="37"/>
      <c r="C40" s="37"/>
      <c r="J40" s="37"/>
      <c r="L40" s="37"/>
      <c r="M40" s="158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35">
      <c r="A41" s="40"/>
      <c r="C41" s="40"/>
      <c r="J41" s="40"/>
      <c r="L41" s="40"/>
      <c r="M41" s="158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35">
      <c r="A42" s="37"/>
      <c r="C42" s="37"/>
      <c r="J42" s="37"/>
      <c r="L42" s="37"/>
      <c r="M42" s="158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35">
      <c r="A43" s="40"/>
      <c r="C43" s="40"/>
      <c r="J43" s="40"/>
      <c r="L43" s="40"/>
      <c r="M43" s="158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35">
      <c r="A44" s="37"/>
      <c r="C44" s="37"/>
      <c r="J44" s="37"/>
      <c r="L44" s="37"/>
      <c r="M44" s="158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35">
      <c r="A45" s="40"/>
      <c r="C45" s="40"/>
      <c r="J45" s="40"/>
      <c r="L45" s="40"/>
      <c r="M45" s="158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35">
      <c r="A46" s="37"/>
      <c r="C46" s="37"/>
      <c r="J46" s="37"/>
      <c r="L46" s="37"/>
      <c r="M46" s="158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35">
      <c r="A47" s="40"/>
      <c r="C47" s="40"/>
      <c r="J47" s="40"/>
      <c r="L47" s="40"/>
      <c r="M47" s="158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35">
      <c r="A48" s="37"/>
      <c r="C48" s="37"/>
      <c r="J48" s="37"/>
      <c r="L48" s="37"/>
      <c r="M48" s="158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35">
      <c r="M49" s="158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3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8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35">
      <c r="M51" s="158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35">
      <c r="M52" s="158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35">
      <c r="M53" s="158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35">
      <c r="M54" s="158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35">
      <c r="M55" s="158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35">
      <c r="M56" s="158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35">
      <c r="M57" s="158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35">
      <c r="M58" s="158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35">
      <c r="M59" s="158"/>
      <c r="N59" s="40"/>
      <c r="O59" s="40"/>
      <c r="P59" s="40" t="s">
        <v>222</v>
      </c>
      <c r="Q59" s="40"/>
      <c r="R59" s="40"/>
    </row>
    <row r="60" spans="1:18" ht="15" customHeight="1" x14ac:dyDescent="0.35">
      <c r="M60" s="158"/>
      <c r="N60" s="37"/>
      <c r="O60" s="37"/>
      <c r="P60" s="53" t="s">
        <v>114</v>
      </c>
      <c r="Q60" s="37"/>
      <c r="R60" s="37"/>
    </row>
    <row r="61" spans="1:18" ht="15" customHeight="1" x14ac:dyDescent="0.35">
      <c r="M61" s="158"/>
      <c r="N61" s="40"/>
      <c r="O61" s="40"/>
      <c r="P61" s="40" t="s">
        <v>223</v>
      </c>
      <c r="Q61" s="40"/>
      <c r="R61" s="40"/>
    </row>
    <row r="62" spans="1:18" ht="15" customHeight="1" x14ac:dyDescent="0.35">
      <c r="M62" s="158"/>
      <c r="N62" s="37"/>
      <c r="O62" s="37"/>
      <c r="P62" s="37" t="s">
        <v>224</v>
      </c>
      <c r="Q62" s="37"/>
      <c r="R62" s="37"/>
    </row>
    <row r="63" spans="1:18" ht="15" customHeight="1" x14ac:dyDescent="0.35">
      <c r="M63" s="158"/>
      <c r="N63" s="40"/>
      <c r="O63" s="40"/>
      <c r="P63" s="40" t="s">
        <v>225</v>
      </c>
      <c r="Q63" s="40"/>
      <c r="R63" s="40"/>
    </row>
    <row r="64" spans="1:18" ht="15" customHeight="1" x14ac:dyDescent="0.35">
      <c r="M64" s="158"/>
      <c r="N64" s="37"/>
      <c r="O64" s="37"/>
      <c r="P64" s="37" t="s">
        <v>226</v>
      </c>
      <c r="Q64" s="37"/>
      <c r="R64" s="37"/>
    </row>
    <row r="65" spans="13:18" ht="15" customHeight="1" x14ac:dyDescent="0.35">
      <c r="M65" s="158"/>
      <c r="N65" s="40"/>
      <c r="O65" s="40"/>
      <c r="P65" s="40" t="s">
        <v>227</v>
      </c>
      <c r="Q65" s="40"/>
      <c r="R65" s="40"/>
    </row>
    <row r="66" spans="13:18" ht="15" customHeight="1" x14ac:dyDescent="0.35">
      <c r="M66" s="158"/>
      <c r="N66" s="37"/>
      <c r="O66" s="37"/>
      <c r="P66" s="37" t="s">
        <v>228</v>
      </c>
      <c r="Q66" s="37"/>
      <c r="R66" s="37"/>
    </row>
    <row r="67" spans="13:18" ht="15" customHeight="1" x14ac:dyDescent="0.35">
      <c r="M67" s="158"/>
      <c r="N67" s="40"/>
      <c r="O67" s="40"/>
      <c r="P67" s="40" t="s">
        <v>229</v>
      </c>
      <c r="Q67" s="40"/>
      <c r="R67" s="40"/>
    </row>
    <row r="68" spans="13:18" ht="15" customHeight="1" x14ac:dyDescent="0.35">
      <c r="M68" s="158"/>
      <c r="N68" s="37"/>
      <c r="O68" s="37"/>
      <c r="P68" s="37" t="s">
        <v>230</v>
      </c>
      <c r="Q68" s="37"/>
      <c r="R68" s="37"/>
    </row>
    <row r="69" spans="13:18" ht="15" customHeight="1" x14ac:dyDescent="0.35">
      <c r="M69" s="158"/>
      <c r="N69" s="40"/>
      <c r="O69" s="40"/>
      <c r="P69" s="40" t="s">
        <v>231</v>
      </c>
      <c r="Q69" s="40"/>
      <c r="R69" s="40"/>
    </row>
    <row r="70" spans="13:18" ht="15" customHeight="1" x14ac:dyDescent="0.35">
      <c r="M70" s="158"/>
      <c r="N70" s="37"/>
      <c r="O70" s="37"/>
      <c r="P70" s="37" t="s">
        <v>232</v>
      </c>
      <c r="Q70" s="37"/>
      <c r="R70" s="37"/>
    </row>
    <row r="71" spans="13:18" ht="15" customHeight="1" x14ac:dyDescent="0.35">
      <c r="M71" s="158"/>
      <c r="N71" s="40"/>
      <c r="O71" s="40"/>
      <c r="P71" s="40" t="s">
        <v>233</v>
      </c>
      <c r="Q71" s="40"/>
      <c r="R71" s="40"/>
    </row>
    <row r="72" spans="13:18" ht="15" customHeight="1" x14ac:dyDescent="0.35">
      <c r="M72" s="158"/>
      <c r="N72" s="37"/>
      <c r="O72" s="37"/>
      <c r="P72" s="37" t="s">
        <v>234</v>
      </c>
      <c r="Q72" s="37"/>
      <c r="R72" s="37"/>
    </row>
    <row r="73" spans="13:18" ht="15" customHeight="1" x14ac:dyDescent="0.35">
      <c r="M73" s="158"/>
      <c r="N73" s="40"/>
      <c r="O73" s="40"/>
      <c r="P73" s="40" t="s">
        <v>235</v>
      </c>
      <c r="Q73" s="40"/>
      <c r="R73" s="40"/>
    </row>
    <row r="74" spans="13:18" ht="15" customHeight="1" x14ac:dyDescent="0.35">
      <c r="M74" s="158"/>
      <c r="N74" s="37"/>
      <c r="O74" s="37"/>
      <c r="P74" s="37" t="s">
        <v>236</v>
      </c>
      <c r="Q74" s="37"/>
      <c r="R74" s="37"/>
    </row>
    <row r="75" spans="13:18" ht="15" customHeight="1" x14ac:dyDescent="0.35">
      <c r="M75" s="158"/>
      <c r="N75" s="40"/>
      <c r="O75" s="40"/>
      <c r="P75" s="40" t="s">
        <v>237</v>
      </c>
      <c r="Q75" s="40"/>
      <c r="R75" s="40"/>
    </row>
    <row r="76" spans="13:18" ht="15" customHeight="1" x14ac:dyDescent="0.35"/>
    <row r="77" spans="13:18" ht="15" customHeight="1" x14ac:dyDescent="0.35"/>
    <row r="78" spans="13:18" ht="15" customHeight="1" x14ac:dyDescent="0.35"/>
    <row r="79" spans="13:18" ht="15" customHeight="1" x14ac:dyDescent="0.35"/>
    <row r="80" spans="13:18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6328125" defaultRowHeight="14.5" x14ac:dyDescent="0.3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5">
      <c r="A1" s="138" t="s">
        <v>12</v>
      </c>
      <c r="B1" s="138" t="s">
        <v>384</v>
      </c>
      <c r="C1" s="138" t="s">
        <v>385</v>
      </c>
      <c r="D1" s="138" t="s">
        <v>19</v>
      </c>
      <c r="E1" s="138" t="s">
        <v>386</v>
      </c>
      <c r="F1" s="138" t="s">
        <v>387</v>
      </c>
      <c r="G1" s="138" t="s">
        <v>388</v>
      </c>
      <c r="H1" s="138" t="s">
        <v>389</v>
      </c>
      <c r="I1" s="138" t="s">
        <v>390</v>
      </c>
      <c r="J1" s="138" t="s">
        <v>391</v>
      </c>
      <c r="K1" s="138" t="s">
        <v>246</v>
      </c>
    </row>
    <row r="2" spans="1:11" ht="15.75" customHeight="1" x14ac:dyDescent="0.35">
      <c r="A2" s="139">
        <v>46235</v>
      </c>
      <c r="B2" s="140" t="s">
        <v>392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5">
      <c r="A3" s="144">
        <v>46235</v>
      </c>
      <c r="B3" s="145" t="s">
        <v>393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5">
      <c r="A4" s="153" t="s">
        <v>253</v>
      </c>
      <c r="B4" s="153"/>
      <c r="C4" s="153"/>
      <c r="D4" s="15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5">
      <c r="A5" s="139">
        <v>46236</v>
      </c>
      <c r="B5" s="140" t="s">
        <v>392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5">
      <c r="A6" s="144">
        <v>46236</v>
      </c>
      <c r="B6" s="145" t="s">
        <v>393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5">
      <c r="A7" s="153" t="s">
        <v>253</v>
      </c>
      <c r="B7" s="153"/>
      <c r="C7" s="153"/>
      <c r="D7" s="15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5">
      <c r="A8" s="139">
        <v>46237</v>
      </c>
      <c r="B8" s="140" t="s">
        <v>392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5">
      <c r="A9" s="144">
        <v>46237</v>
      </c>
      <c r="B9" s="145" t="s">
        <v>393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5">
      <c r="A10" s="153" t="s">
        <v>253</v>
      </c>
      <c r="B10" s="153"/>
      <c r="C10" s="153"/>
      <c r="D10" s="15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5">
      <c r="A11" s="139">
        <v>46238</v>
      </c>
      <c r="B11" s="140" t="s">
        <v>392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5">
      <c r="A12" s="144">
        <v>46238</v>
      </c>
      <c r="B12" s="145" t="s">
        <v>393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5">
      <c r="A13" s="153" t="s">
        <v>253</v>
      </c>
      <c r="B13" s="153"/>
      <c r="C13" s="153"/>
      <c r="D13" s="15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5">
      <c r="A14" s="139">
        <v>46239</v>
      </c>
      <c r="B14" s="140" t="s">
        <v>392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5">
      <c r="A15" s="144">
        <v>46239</v>
      </c>
      <c r="B15" s="145" t="s">
        <v>393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5">
      <c r="A16" s="153" t="s">
        <v>253</v>
      </c>
      <c r="B16" s="153"/>
      <c r="C16" s="153"/>
      <c r="D16" s="15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5">
      <c r="A17" s="139">
        <v>46240</v>
      </c>
      <c r="B17" s="140" t="s">
        <v>392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5">
      <c r="A18" s="144">
        <v>46240</v>
      </c>
      <c r="B18" s="145" t="s">
        <v>393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5">
      <c r="A19" s="153" t="s">
        <v>253</v>
      </c>
      <c r="B19" s="153"/>
      <c r="C19" s="153"/>
      <c r="D19" s="15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5">
      <c r="A20" s="139">
        <v>46241</v>
      </c>
      <c r="B20" s="140" t="s">
        <v>392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5">
      <c r="A21" s="144">
        <v>46241</v>
      </c>
      <c r="B21" s="145" t="s">
        <v>393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5">
      <c r="A22" s="153" t="s">
        <v>253</v>
      </c>
      <c r="B22" s="153"/>
      <c r="C22" s="153"/>
      <c r="D22" s="15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5">
      <c r="A23" s="139">
        <v>46242</v>
      </c>
      <c r="B23" s="140" t="s">
        <v>392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5">
      <c r="A24" s="144">
        <v>46242</v>
      </c>
      <c r="B24" s="145" t="s">
        <v>393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5">
      <c r="A25" s="153" t="s">
        <v>253</v>
      </c>
      <c r="B25" s="153"/>
      <c r="C25" s="153"/>
      <c r="D25" s="15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5">
      <c r="A26" s="139">
        <v>46243</v>
      </c>
      <c r="B26" s="140" t="s">
        <v>392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5">
      <c r="A27" s="144">
        <v>46243</v>
      </c>
      <c r="B27" s="145" t="s">
        <v>393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5">
      <c r="A28" s="153" t="s">
        <v>253</v>
      </c>
      <c r="B28" s="153"/>
      <c r="C28" s="153"/>
      <c r="D28" s="15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5">
      <c r="A29" s="139">
        <v>46244</v>
      </c>
      <c r="B29" s="140" t="s">
        <v>392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5">
      <c r="A30" s="144">
        <v>46244</v>
      </c>
      <c r="B30" s="145" t="s">
        <v>393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5">
      <c r="A31" s="153" t="s">
        <v>253</v>
      </c>
      <c r="B31" s="153"/>
      <c r="C31" s="153"/>
      <c r="D31" s="15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5">
      <c r="A32" s="139">
        <v>46245</v>
      </c>
      <c r="B32" s="140" t="s">
        <v>392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5">
      <c r="A33" s="144">
        <v>46245</v>
      </c>
      <c r="B33" s="145" t="s">
        <v>393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5">
      <c r="A34" s="153" t="s">
        <v>253</v>
      </c>
      <c r="B34" s="153"/>
      <c r="C34" s="153"/>
      <c r="D34" s="15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5">
      <c r="A35" s="139">
        <v>46246</v>
      </c>
      <c r="B35" s="140" t="s">
        <v>392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5">
      <c r="A36" s="144">
        <v>46246</v>
      </c>
      <c r="B36" s="145" t="s">
        <v>393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5">
      <c r="A37" s="153" t="s">
        <v>253</v>
      </c>
      <c r="B37" s="153"/>
      <c r="C37" s="153"/>
      <c r="D37" s="15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5">
      <c r="A38" s="139">
        <v>46247</v>
      </c>
      <c r="B38" s="140" t="s">
        <v>392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5">
      <c r="A39" s="144">
        <v>46247</v>
      </c>
      <c r="B39" s="145" t="s">
        <v>393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5">
      <c r="A40" s="153" t="s">
        <v>253</v>
      </c>
      <c r="B40" s="153"/>
      <c r="C40" s="153"/>
      <c r="D40" s="15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5">
      <c r="A41" s="139">
        <v>46248</v>
      </c>
      <c r="B41" s="140" t="s">
        <v>392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5">
      <c r="A42" s="144">
        <v>46248</v>
      </c>
      <c r="B42" s="145" t="s">
        <v>393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5">
      <c r="A43" s="153" t="s">
        <v>253</v>
      </c>
      <c r="B43" s="153"/>
      <c r="C43" s="153"/>
      <c r="D43" s="15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5">
      <c r="A44" s="139">
        <v>46249</v>
      </c>
      <c r="B44" s="140" t="s">
        <v>392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5">
      <c r="A45" s="144">
        <v>46249</v>
      </c>
      <c r="B45" s="145" t="s">
        <v>393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5">
      <c r="A46" s="153" t="s">
        <v>253</v>
      </c>
      <c r="B46" s="153"/>
      <c r="C46" s="153"/>
      <c r="D46" s="15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5">
      <c r="A47" s="139">
        <v>46250</v>
      </c>
      <c r="B47" s="140" t="s">
        <v>392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5">
      <c r="A48" s="144">
        <v>46250</v>
      </c>
      <c r="B48" s="145" t="s">
        <v>393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5">
      <c r="A49" s="153" t="s">
        <v>253</v>
      </c>
      <c r="B49" s="153"/>
      <c r="C49" s="153"/>
      <c r="D49" s="15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5">
      <c r="A50" s="139">
        <v>46251</v>
      </c>
      <c r="B50" s="140" t="s">
        <v>392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5">
      <c r="A51" s="144">
        <v>46251</v>
      </c>
      <c r="B51" s="145" t="s">
        <v>393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5">
      <c r="A52" s="153" t="s">
        <v>253</v>
      </c>
      <c r="B52" s="153"/>
      <c r="C52" s="153"/>
      <c r="D52" s="15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5">
      <c r="A53" s="139">
        <v>46252</v>
      </c>
      <c r="B53" s="140" t="s">
        <v>392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5">
      <c r="A54" s="144">
        <v>46252</v>
      </c>
      <c r="B54" s="145" t="s">
        <v>393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5">
      <c r="A55" s="153" t="s">
        <v>253</v>
      </c>
      <c r="B55" s="153"/>
      <c r="C55" s="153"/>
      <c r="D55" s="15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5">
      <c r="A56" s="139">
        <v>46253</v>
      </c>
      <c r="B56" s="140" t="s">
        <v>392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 x14ac:dyDescent="0.35">
      <c r="A57" s="144">
        <v>46253</v>
      </c>
      <c r="B57" s="145" t="s">
        <v>393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 x14ac:dyDescent="0.35">
      <c r="A58" s="153" t="s">
        <v>253</v>
      </c>
      <c r="B58" s="153"/>
      <c r="C58" s="153"/>
      <c r="D58" s="15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 x14ac:dyDescent="0.35">
      <c r="A59" s="139">
        <v>46254</v>
      </c>
      <c r="B59" s="140" t="s">
        <v>392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 x14ac:dyDescent="0.35">
      <c r="A60" s="144">
        <v>46254</v>
      </c>
      <c r="B60" s="145" t="s">
        <v>393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 x14ac:dyDescent="0.35">
      <c r="A61" s="153" t="s">
        <v>253</v>
      </c>
      <c r="B61" s="153"/>
      <c r="C61" s="153"/>
      <c r="D61" s="15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 x14ac:dyDescent="0.35">
      <c r="A62" s="139">
        <v>46255</v>
      </c>
      <c r="B62" s="140" t="s">
        <v>392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 x14ac:dyDescent="0.35">
      <c r="A63" s="144">
        <v>46255</v>
      </c>
      <c r="B63" s="145" t="s">
        <v>393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 x14ac:dyDescent="0.35">
      <c r="A64" s="153" t="s">
        <v>253</v>
      </c>
      <c r="B64" s="153"/>
      <c r="C64" s="153"/>
      <c r="D64" s="15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 x14ac:dyDescent="0.35">
      <c r="A65" s="139">
        <v>46256</v>
      </c>
      <c r="B65" s="140" t="s">
        <v>392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35">
      <c r="A66" s="144">
        <v>46256</v>
      </c>
      <c r="B66" s="145" t="s">
        <v>393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35">
      <c r="A67" s="153" t="s">
        <v>253</v>
      </c>
      <c r="B67" s="153"/>
      <c r="C67" s="153"/>
      <c r="D67" s="15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35">
      <c r="A68" s="139">
        <v>46257</v>
      </c>
      <c r="B68" s="140" t="s">
        <v>392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35">
      <c r="A69" s="144">
        <v>46257</v>
      </c>
      <c r="B69" s="145" t="s">
        <v>393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35">
      <c r="A70" s="153" t="s">
        <v>253</v>
      </c>
      <c r="B70" s="153"/>
      <c r="C70" s="153"/>
      <c r="D70" s="15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35">
      <c r="A71" s="139">
        <v>46258</v>
      </c>
      <c r="B71" s="140" t="s">
        <v>392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5">
      <c r="A72" s="144">
        <v>46258</v>
      </c>
      <c r="B72" s="145" t="s">
        <v>393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5">
      <c r="A73" s="153" t="s">
        <v>253</v>
      </c>
      <c r="B73" s="153"/>
      <c r="C73" s="153"/>
      <c r="D73" s="15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5">
      <c r="A74" s="139">
        <v>46259</v>
      </c>
      <c r="B74" s="140" t="s">
        <v>392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5">
      <c r="A75" s="144">
        <v>46259</v>
      </c>
      <c r="B75" s="145" t="s">
        <v>393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5">
      <c r="A76" s="153" t="s">
        <v>253</v>
      </c>
      <c r="B76" s="153"/>
      <c r="C76" s="153"/>
      <c r="D76" s="15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5">
      <c r="A77" s="139">
        <v>46260</v>
      </c>
      <c r="B77" s="140" t="s">
        <v>392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5">
      <c r="A78" s="144">
        <v>46260</v>
      </c>
      <c r="B78" s="145" t="s">
        <v>393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5">
      <c r="A79" s="153" t="s">
        <v>253</v>
      </c>
      <c r="B79" s="153"/>
      <c r="C79" s="153"/>
      <c r="D79" s="15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5">
      <c r="A80" s="139">
        <v>46261</v>
      </c>
      <c r="B80" s="140" t="s">
        <v>392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5">
      <c r="A81" s="144">
        <v>46261</v>
      </c>
      <c r="B81" s="145" t="s">
        <v>393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5">
      <c r="A82" s="153" t="s">
        <v>253</v>
      </c>
      <c r="B82" s="153"/>
      <c r="C82" s="153"/>
      <c r="D82" s="15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5">
      <c r="A83" s="139">
        <v>46262</v>
      </c>
      <c r="B83" s="140" t="s">
        <v>392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5">
      <c r="A84" s="144">
        <v>46262</v>
      </c>
      <c r="B84" s="145" t="s">
        <v>393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5">
      <c r="A85" s="153" t="s">
        <v>253</v>
      </c>
      <c r="B85" s="153"/>
      <c r="C85" s="153"/>
      <c r="D85" s="15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5">
      <c r="A86" s="139">
        <v>46263</v>
      </c>
      <c r="B86" s="140" t="s">
        <v>392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5">
      <c r="A87" s="144">
        <v>46263</v>
      </c>
      <c r="B87" s="145" t="s">
        <v>393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5">
      <c r="A88" s="153" t="s">
        <v>253</v>
      </c>
      <c r="B88" s="153"/>
      <c r="C88" s="153"/>
      <c r="D88" s="15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5">
      <c r="A89" s="139">
        <v>46264</v>
      </c>
      <c r="B89" s="140" t="s">
        <v>392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5">
      <c r="A90" s="144">
        <v>46264</v>
      </c>
      <c r="B90" s="145" t="s">
        <v>393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5">
      <c r="A91" s="153" t="s">
        <v>253</v>
      </c>
      <c r="B91" s="153"/>
      <c r="C91" s="153"/>
      <c r="D91" s="15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5">
      <c r="A92" s="139">
        <v>46265</v>
      </c>
      <c r="B92" s="140" t="s">
        <v>392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5">
      <c r="A93" s="144">
        <v>46265</v>
      </c>
      <c r="B93" s="145" t="s">
        <v>393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5">
      <c r="A94" s="153" t="s">
        <v>253</v>
      </c>
      <c r="B94" s="153"/>
      <c r="C94" s="153"/>
      <c r="D94" s="15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7" activePane="bottomLeft" state="frozen"/>
      <selection pane="bottomLeft" activeCell="H515" sqref="H515"/>
    </sheetView>
  </sheetViews>
  <sheetFormatPr defaultColWidth="8.54296875" defaultRowHeight="14.5" x14ac:dyDescent="0.35"/>
  <cols>
    <col min="1" max="1" width="18.17968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1640625" style="54" customWidth="1"/>
    <col min="8" max="8" width="33.08984375" style="54" customWidth="1"/>
    <col min="9" max="9" width="23.453125" style="54" customWidth="1"/>
    <col min="10" max="10" width="43.08984375" style="54" customWidth="1"/>
    <col min="11" max="11" width="14" style="54" customWidth="1"/>
    <col min="12" max="12" width="13.1796875" style="55" customWidth="1"/>
    <col min="13" max="13" width="14" style="54" customWidth="1"/>
    <col min="14" max="14" width="37.26953125" style="54" customWidth="1"/>
    <col min="15" max="15" width="19.81640625" customWidth="1"/>
  </cols>
  <sheetData>
    <row r="1" spans="1:15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57" t="s">
        <v>240</v>
      </c>
      <c r="G1" s="57" t="s">
        <v>241</v>
      </c>
      <c r="H1" s="57" t="s">
        <v>23</v>
      </c>
      <c r="I1" s="57" t="s">
        <v>24</v>
      </c>
      <c r="J1" s="57" t="s">
        <v>242</v>
      </c>
      <c r="K1" s="57" t="s">
        <v>243</v>
      </c>
      <c r="L1" s="57" t="s">
        <v>244</v>
      </c>
      <c r="M1" s="58" t="s">
        <v>245</v>
      </c>
      <c r="N1" s="57" t="s">
        <v>246</v>
      </c>
      <c r="O1" s="57" t="s">
        <v>247</v>
      </c>
    </row>
    <row r="2" spans="1:15" ht="15" customHeight="1" x14ac:dyDescent="0.3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248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248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248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248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248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248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248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248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248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248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248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248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5">
      <c r="A14" s="160" t="s">
        <v>249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250</v>
      </c>
      <c r="O14" s="74">
        <v>797765</v>
      </c>
    </row>
    <row r="15" spans="1:15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248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248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248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251</v>
      </c>
      <c r="O17" s="67"/>
    </row>
    <row r="18" spans="1:15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248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248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248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248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248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248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248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248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248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5">
      <c r="A27" s="160" t="s">
        <v>252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250</v>
      </c>
      <c r="O27" s="74">
        <v>997910</v>
      </c>
    </row>
    <row r="28" spans="1:15" ht="18" customHeight="1" x14ac:dyDescent="0.35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254</v>
      </c>
      <c r="O28" s="30">
        <f>IFERROR(O14+O27,"")</f>
        <v>1795675</v>
      </c>
    </row>
    <row r="29" spans="1:15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248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248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255</v>
      </c>
      <c r="O30" s="67"/>
    </row>
    <row r="31" spans="1:15" ht="15" customHeight="1" x14ac:dyDescent="0.3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248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251</v>
      </c>
      <c r="O31" s="67"/>
    </row>
    <row r="32" spans="1:15" ht="15" customHeight="1" x14ac:dyDescent="0.3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248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248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248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248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248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248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248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248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248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5">
      <c r="A41" s="160" t="s">
        <v>249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250</v>
      </c>
      <c r="O41" s="74">
        <v>1351560</v>
      </c>
    </row>
    <row r="42" spans="1:15" ht="15" customHeight="1" x14ac:dyDescent="0.3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248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256</v>
      </c>
      <c r="O42" s="67"/>
    </row>
    <row r="43" spans="1:15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248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248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248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248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248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248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248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248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248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248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5">
      <c r="A54" s="160" t="s">
        <v>252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250</v>
      </c>
      <c r="O54" s="74">
        <v>981310</v>
      </c>
    </row>
    <row r="55" spans="1:15" ht="18" customHeight="1" x14ac:dyDescent="0.35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254</v>
      </c>
      <c r="O55" s="30">
        <f>IFERROR(O41+O54,"")</f>
        <v>2332870</v>
      </c>
    </row>
    <row r="56" spans="1:15" ht="15" customHeight="1" x14ac:dyDescent="0.3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248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248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248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248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248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248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248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248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248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248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248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248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5">
      <c r="A68" s="160" t="s">
        <v>249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250</v>
      </c>
      <c r="O68" s="74">
        <v>2102950</v>
      </c>
    </row>
    <row r="69" spans="1:15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248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248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257</v>
      </c>
      <c r="O70" s="67"/>
    </row>
    <row r="71" spans="1:15" ht="15" customHeight="1" x14ac:dyDescent="0.3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248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248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248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248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248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248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248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248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248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248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5">
      <c r="A81" s="160" t="s">
        <v>252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250</v>
      </c>
      <c r="O81" s="74">
        <v>1547910</v>
      </c>
    </row>
    <row r="82" spans="1:15" ht="18" customHeight="1" x14ac:dyDescent="0.35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254</v>
      </c>
      <c r="O82" s="30">
        <f>IFERROR(O68+O81,"")</f>
        <v>3650860</v>
      </c>
    </row>
    <row r="83" spans="1:15" ht="15" customHeight="1" x14ac:dyDescent="0.3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248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248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248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258</v>
      </c>
      <c r="O85" s="67"/>
    </row>
    <row r="86" spans="1:15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248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248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248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248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248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248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248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248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248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5">
      <c r="A95" s="160" t="s">
        <v>249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250</v>
      </c>
      <c r="O95" s="74">
        <v>2050000</v>
      </c>
    </row>
    <row r="96" spans="1:15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248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248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248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248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248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248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259</v>
      </c>
      <c r="O101" s="67"/>
    </row>
    <row r="102" spans="1:15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248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248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248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248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248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248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5">
      <c r="A108" s="160" t="s">
        <v>252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250</v>
      </c>
      <c r="O108" s="74">
        <v>3156240</v>
      </c>
    </row>
    <row r="109" spans="1:15" ht="18" customHeight="1" x14ac:dyDescent="0.35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254</v>
      </c>
      <c r="O109" s="30">
        <f>IFERROR(O95+O108,"")</f>
        <v>5206240</v>
      </c>
    </row>
    <row r="110" spans="1:15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248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248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248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248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248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248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248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248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248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248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248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248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5">
      <c r="A122" s="160" t="s">
        <v>249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250</v>
      </c>
      <c r="O122" s="74">
        <v>846660</v>
      </c>
    </row>
    <row r="123" spans="1:15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248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248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248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248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248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248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248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248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248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248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248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248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5">
      <c r="A135" s="160" t="s">
        <v>252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250</v>
      </c>
      <c r="O135" s="74">
        <v>2875180</v>
      </c>
    </row>
    <row r="136" spans="1:15" ht="18" customHeight="1" x14ac:dyDescent="0.35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254</v>
      </c>
      <c r="O136" s="30">
        <f>IFERROR(O122+O135,"")</f>
        <v>3721840</v>
      </c>
    </row>
    <row r="137" spans="1:15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248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260</v>
      </c>
      <c r="O137" s="67"/>
    </row>
    <row r="138" spans="1:15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248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248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248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248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248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248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248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248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248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248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248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45">
      <c r="A149" s="160" t="s">
        <v>249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250</v>
      </c>
      <c r="O149" s="78">
        <v>1650350</v>
      </c>
    </row>
    <row r="150" spans="1:15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248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248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261</v>
      </c>
      <c r="O151" s="67"/>
    </row>
    <row r="152" spans="1:15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248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248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248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248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248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248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248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248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248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248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45">
      <c r="A162" s="160" t="s">
        <v>252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250</v>
      </c>
      <c r="O162" s="79">
        <v>842000</v>
      </c>
    </row>
    <row r="163" spans="1:15" ht="18" customHeight="1" x14ac:dyDescent="0.35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254</v>
      </c>
      <c r="O163" s="30">
        <f>IFERROR(O149+O162,"")</f>
        <v>2492350</v>
      </c>
    </row>
    <row r="164" spans="1:15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248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262</v>
      </c>
      <c r="O164" s="67"/>
    </row>
    <row r="165" spans="1:15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248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248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248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248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248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248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248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248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248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248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248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5">
      <c r="A176" s="160" t="s">
        <v>249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250</v>
      </c>
      <c r="O176" s="74">
        <v>2934820</v>
      </c>
    </row>
    <row r="177" spans="1:15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248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263</v>
      </c>
      <c r="O177" s="67"/>
    </row>
    <row r="178" spans="1:15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248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248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248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248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248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248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248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264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248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248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248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5">
      <c r="A189" s="160" t="s">
        <v>252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250</v>
      </c>
      <c r="O189" s="74">
        <v>1901630</v>
      </c>
    </row>
    <row r="190" spans="1:15" ht="18" customHeight="1" x14ac:dyDescent="0.35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254</v>
      </c>
      <c r="O190" s="30">
        <f>IFERROR(O176+O189,"")</f>
        <v>4836450</v>
      </c>
    </row>
    <row r="191" spans="1:15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248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248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248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265</v>
      </c>
      <c r="O193" s="67"/>
    </row>
    <row r="194" spans="1:15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248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248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248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248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248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248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248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248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248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5">
      <c r="A203" s="160" t="s">
        <v>249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250</v>
      </c>
      <c r="O203" s="74">
        <v>1392300</v>
      </c>
    </row>
    <row r="204" spans="1:15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248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248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248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248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248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248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248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248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248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248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248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248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5">
      <c r="A216" s="160" t="s">
        <v>252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250</v>
      </c>
      <c r="O216" s="74">
        <v>1852295</v>
      </c>
    </row>
    <row r="217" spans="1:15" ht="18" customHeight="1" x14ac:dyDescent="0.35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254</v>
      </c>
      <c r="O217" s="82">
        <f>IFERROR(O203+O216,"")</f>
        <v>3244595</v>
      </c>
    </row>
    <row r="218" spans="1:15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248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248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248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266</v>
      </c>
      <c r="O220" s="81"/>
    </row>
    <row r="221" spans="1:15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248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248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248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248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248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248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248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248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248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5">
      <c r="A230" s="160" t="s">
        <v>249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250</v>
      </c>
      <c r="O230" s="74">
        <v>2165620</v>
      </c>
    </row>
    <row r="231" spans="1:21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248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248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248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267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267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267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267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267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267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267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267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267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5">
      <c r="A243" s="160" t="s">
        <v>252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250</v>
      </c>
      <c r="O243" s="74">
        <v>991010</v>
      </c>
    </row>
    <row r="244" spans="1:15" ht="18" customHeight="1" x14ac:dyDescent="0.35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254</v>
      </c>
      <c r="O244" s="82">
        <f>IFERROR(O230+O243,"")</f>
        <v>3156630</v>
      </c>
    </row>
    <row r="245" spans="1:15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248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248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248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248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248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268</v>
      </c>
      <c r="O249" s="81"/>
    </row>
    <row r="250" spans="1:15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248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248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248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248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248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248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248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5">
      <c r="A257" s="160" t="s">
        <v>249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250</v>
      </c>
      <c r="O257" s="74">
        <v>2149680</v>
      </c>
    </row>
    <row r="258" spans="1:15" ht="15" customHeight="1" x14ac:dyDescent="0.35">
      <c r="A258" s="18">
        <v>46244</v>
      </c>
      <c r="B258" s="68">
        <v>0.83333333333333304</v>
      </c>
      <c r="C258" s="70" t="s">
        <v>54</v>
      </c>
      <c r="D258" s="75" t="s">
        <v>269</v>
      </c>
      <c r="E258" s="75" t="s">
        <v>248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269</v>
      </c>
      <c r="E259" s="75" t="s">
        <v>248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5">
      <c r="A260" s="18">
        <v>46244</v>
      </c>
      <c r="B260" s="68">
        <f t="shared" si="58"/>
        <v>0.9166666666666663</v>
      </c>
      <c r="C260" s="70" t="s">
        <v>54</v>
      </c>
      <c r="D260" s="75" t="s">
        <v>269</v>
      </c>
      <c r="E260" s="75" t="s">
        <v>248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5">
      <c r="A261" s="59">
        <v>46244</v>
      </c>
      <c r="B261" s="60">
        <f t="shared" si="58"/>
        <v>0.95833333333333293</v>
      </c>
      <c r="C261" s="70" t="s">
        <v>54</v>
      </c>
      <c r="D261" s="75" t="s">
        <v>269</v>
      </c>
      <c r="E261" s="75" t="s">
        <v>248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5">
      <c r="A262" s="18">
        <v>46244</v>
      </c>
      <c r="B262" s="68">
        <f t="shared" si="58"/>
        <v>0.99999999999999956</v>
      </c>
      <c r="C262" s="70" t="s">
        <v>54</v>
      </c>
      <c r="D262" s="75" t="s">
        <v>269</v>
      </c>
      <c r="E262" s="75" t="s">
        <v>248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5">
      <c r="A263" s="59">
        <v>46244</v>
      </c>
      <c r="B263" s="60">
        <f t="shared" si="58"/>
        <v>1.0416666666666663</v>
      </c>
      <c r="C263" s="70" t="s">
        <v>54</v>
      </c>
      <c r="D263" s="75" t="s">
        <v>269</v>
      </c>
      <c r="E263" s="75" t="s">
        <v>248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5">
      <c r="A264" s="18">
        <v>46244</v>
      </c>
      <c r="B264" s="68">
        <f t="shared" si="58"/>
        <v>1.083333333333333</v>
      </c>
      <c r="C264" s="70" t="s">
        <v>54</v>
      </c>
      <c r="D264" s="75" t="s">
        <v>269</v>
      </c>
      <c r="E264" s="75" t="s">
        <v>248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5">
      <c r="A265" s="59">
        <v>46244</v>
      </c>
      <c r="B265" s="60">
        <f t="shared" si="58"/>
        <v>1.1249999999999998</v>
      </c>
      <c r="C265" s="70" t="s">
        <v>54</v>
      </c>
      <c r="D265" s="75" t="s">
        <v>269</v>
      </c>
      <c r="E265" s="75" t="s">
        <v>248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5">
      <c r="A266" s="18">
        <v>46244</v>
      </c>
      <c r="B266" s="68">
        <f t="shared" si="58"/>
        <v>1.1666666666666665</v>
      </c>
      <c r="C266" s="70" t="s">
        <v>54</v>
      </c>
      <c r="D266" s="75" t="s">
        <v>269</v>
      </c>
      <c r="E266" s="75" t="s">
        <v>248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5">
      <c r="A267" s="59">
        <v>46244</v>
      </c>
      <c r="B267" s="60">
        <f t="shared" si="58"/>
        <v>1.2083333333333333</v>
      </c>
      <c r="C267" s="70" t="s">
        <v>54</v>
      </c>
      <c r="D267" s="75" t="s">
        <v>269</v>
      </c>
      <c r="E267" s="75" t="s">
        <v>248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5">
      <c r="A268" s="18">
        <v>46244</v>
      </c>
      <c r="B268" s="68">
        <f t="shared" si="58"/>
        <v>1.25</v>
      </c>
      <c r="C268" s="70" t="s">
        <v>54</v>
      </c>
      <c r="D268" s="75" t="s">
        <v>269</v>
      </c>
      <c r="E268" s="75" t="s">
        <v>248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5">
      <c r="A269" s="59">
        <v>46244</v>
      </c>
      <c r="B269" s="60">
        <f t="shared" si="58"/>
        <v>1.2916666666666667</v>
      </c>
      <c r="C269" s="70" t="s">
        <v>54</v>
      </c>
      <c r="D269" s="75" t="s">
        <v>269</v>
      </c>
      <c r="E269" s="75" t="s">
        <v>248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5">
      <c r="A270" s="160" t="s">
        <v>252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250</v>
      </c>
      <c r="O270" s="74">
        <v>1544700</v>
      </c>
    </row>
    <row r="271" spans="1:15" ht="18" customHeight="1" x14ac:dyDescent="0.35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254</v>
      </c>
      <c r="O271" s="82">
        <f>IFERROR(O257+O270,"")</f>
        <v>3694380</v>
      </c>
    </row>
    <row r="272" spans="1:15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269</v>
      </c>
      <c r="E272" s="62" t="s">
        <v>248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269</v>
      </c>
      <c r="E273" s="62" t="s">
        <v>248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5">
      <c r="A274" s="59">
        <v>46245</v>
      </c>
      <c r="B274" s="60">
        <f t="shared" si="60"/>
        <v>0.41666666666666635</v>
      </c>
      <c r="C274" s="61" t="s">
        <v>38</v>
      </c>
      <c r="D274" s="62" t="s">
        <v>269</v>
      </c>
      <c r="E274" s="62" t="s">
        <v>248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5">
      <c r="A275" s="18">
        <v>46245</v>
      </c>
      <c r="B275" s="68">
        <f t="shared" si="60"/>
        <v>0.45833333333333304</v>
      </c>
      <c r="C275" s="61" t="s">
        <v>38</v>
      </c>
      <c r="D275" s="62" t="s">
        <v>269</v>
      </c>
      <c r="E275" s="62" t="s">
        <v>248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5">
      <c r="A276" s="59">
        <v>46245</v>
      </c>
      <c r="B276" s="60">
        <f t="shared" si="60"/>
        <v>0.49999999999999972</v>
      </c>
      <c r="C276" s="61" t="s">
        <v>38</v>
      </c>
      <c r="D276" s="62" t="s">
        <v>269</v>
      </c>
      <c r="E276" s="62" t="s">
        <v>248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5">
      <c r="A277" s="18">
        <v>46245</v>
      </c>
      <c r="B277" s="68">
        <f t="shared" si="60"/>
        <v>0.54166666666666641</v>
      </c>
      <c r="C277" s="61" t="s">
        <v>38</v>
      </c>
      <c r="D277" s="62" t="s">
        <v>269</v>
      </c>
      <c r="E277" s="62" t="s">
        <v>248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270</v>
      </c>
      <c r="O277" s="81"/>
    </row>
    <row r="278" spans="1:15" ht="15" customHeight="1" x14ac:dyDescent="0.35">
      <c r="A278" s="59">
        <v>46245</v>
      </c>
      <c r="B278" s="60">
        <f t="shared" si="60"/>
        <v>0.58333333333333304</v>
      </c>
      <c r="C278" s="61" t="s">
        <v>38</v>
      </c>
      <c r="D278" s="62" t="s">
        <v>269</v>
      </c>
      <c r="E278" s="62" t="s">
        <v>248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5">
      <c r="A279" s="18">
        <v>46245</v>
      </c>
      <c r="B279" s="68">
        <f t="shared" si="60"/>
        <v>0.62499999999999967</v>
      </c>
      <c r="C279" s="61" t="s">
        <v>38</v>
      </c>
      <c r="D279" s="62" t="s">
        <v>269</v>
      </c>
      <c r="E279" s="62" t="s">
        <v>248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5">
      <c r="A280" s="59">
        <v>46245</v>
      </c>
      <c r="B280" s="60">
        <f t="shared" si="60"/>
        <v>0.6666666666666663</v>
      </c>
      <c r="C280" s="61" t="s">
        <v>38</v>
      </c>
      <c r="D280" s="62" t="s">
        <v>269</v>
      </c>
      <c r="E280" s="62" t="s">
        <v>248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5">
      <c r="A281" s="18">
        <v>46245</v>
      </c>
      <c r="B281" s="68">
        <f t="shared" si="60"/>
        <v>0.70833333333333293</v>
      </c>
      <c r="C281" s="61" t="s">
        <v>38</v>
      </c>
      <c r="D281" s="62" t="s">
        <v>269</v>
      </c>
      <c r="E281" s="62" t="s">
        <v>248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5">
      <c r="A282" s="59">
        <v>46245</v>
      </c>
      <c r="B282" s="60">
        <f t="shared" si="60"/>
        <v>0.74999999999999956</v>
      </c>
      <c r="C282" s="61" t="s">
        <v>38</v>
      </c>
      <c r="D282" s="62" t="s">
        <v>269</v>
      </c>
      <c r="E282" s="62" t="s">
        <v>248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5">
      <c r="A283" s="18">
        <v>46245</v>
      </c>
      <c r="B283" s="68">
        <f t="shared" si="60"/>
        <v>0.79166666666666619</v>
      </c>
      <c r="C283" s="61" t="s">
        <v>38</v>
      </c>
      <c r="D283" s="62" t="s">
        <v>269</v>
      </c>
      <c r="E283" s="62" t="s">
        <v>248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5">
      <c r="A284" s="160" t="s">
        <v>249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250</v>
      </c>
      <c r="O284" s="74">
        <v>1583020</v>
      </c>
    </row>
    <row r="285" spans="1:15" ht="15" customHeight="1" x14ac:dyDescent="0.35">
      <c r="A285" s="18">
        <v>46245</v>
      </c>
      <c r="B285" s="68">
        <v>0.83333333333333304</v>
      </c>
      <c r="C285" s="70" t="s">
        <v>54</v>
      </c>
      <c r="D285" s="75" t="s">
        <v>269</v>
      </c>
      <c r="E285" s="75" t="s">
        <v>264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269</v>
      </c>
      <c r="E286" s="75" t="s">
        <v>264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5">
      <c r="A287" s="18">
        <v>46245</v>
      </c>
      <c r="B287" s="68">
        <f t="shared" si="62"/>
        <v>0.9166666666666663</v>
      </c>
      <c r="C287" s="70" t="s">
        <v>54</v>
      </c>
      <c r="D287" s="75" t="s">
        <v>269</v>
      </c>
      <c r="E287" s="75" t="s">
        <v>264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5">
      <c r="A288" s="59">
        <v>46245</v>
      </c>
      <c r="B288" s="60">
        <f t="shared" si="62"/>
        <v>0.95833333333333293</v>
      </c>
      <c r="C288" s="70" t="s">
        <v>54</v>
      </c>
      <c r="D288" s="75" t="s">
        <v>269</v>
      </c>
      <c r="E288" s="75" t="s">
        <v>264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5">
      <c r="A289" s="18">
        <v>46245</v>
      </c>
      <c r="B289" s="68">
        <f t="shared" si="62"/>
        <v>0.99999999999999956</v>
      </c>
      <c r="C289" s="70" t="s">
        <v>54</v>
      </c>
      <c r="D289" s="75" t="s">
        <v>269</v>
      </c>
      <c r="E289" s="75" t="s">
        <v>264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5">
      <c r="A290" s="59">
        <v>46245</v>
      </c>
      <c r="B290" s="60">
        <f t="shared" si="62"/>
        <v>1.0416666666666663</v>
      </c>
      <c r="C290" s="70" t="s">
        <v>54</v>
      </c>
      <c r="D290" s="75" t="s">
        <v>269</v>
      </c>
      <c r="E290" s="75" t="s">
        <v>264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5">
      <c r="A291" s="18">
        <v>46245</v>
      </c>
      <c r="B291" s="68">
        <f t="shared" si="62"/>
        <v>1.083333333333333</v>
      </c>
      <c r="C291" s="70" t="s">
        <v>54</v>
      </c>
      <c r="D291" s="75" t="s">
        <v>269</v>
      </c>
      <c r="E291" s="75" t="s">
        <v>264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5">
      <c r="A292" s="59">
        <v>46245</v>
      </c>
      <c r="B292" s="60">
        <f t="shared" si="62"/>
        <v>1.1249999999999998</v>
      </c>
      <c r="C292" s="70" t="s">
        <v>54</v>
      </c>
      <c r="D292" s="75" t="s">
        <v>269</v>
      </c>
      <c r="E292" s="75" t="s">
        <v>264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5">
      <c r="A293" s="18">
        <v>46245</v>
      </c>
      <c r="B293" s="68">
        <f t="shared" si="62"/>
        <v>1.1666666666666665</v>
      </c>
      <c r="C293" s="70" t="s">
        <v>54</v>
      </c>
      <c r="D293" s="75" t="s">
        <v>269</v>
      </c>
      <c r="E293" s="75" t="s">
        <v>264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5">
      <c r="A294" s="59">
        <v>46245</v>
      </c>
      <c r="B294" s="60">
        <f t="shared" si="62"/>
        <v>1.2083333333333333</v>
      </c>
      <c r="C294" s="70" t="s">
        <v>54</v>
      </c>
      <c r="D294" s="75" t="s">
        <v>269</v>
      </c>
      <c r="E294" s="75" t="s">
        <v>264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5">
      <c r="A295" s="18">
        <v>46245</v>
      </c>
      <c r="B295" s="68">
        <f t="shared" si="62"/>
        <v>1.25</v>
      </c>
      <c r="C295" s="70" t="s">
        <v>54</v>
      </c>
      <c r="D295" s="75" t="s">
        <v>269</v>
      </c>
      <c r="E295" s="75" t="s">
        <v>264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5">
      <c r="A296" s="59">
        <v>46245</v>
      </c>
      <c r="B296" s="60">
        <f t="shared" si="62"/>
        <v>1.2916666666666667</v>
      </c>
      <c r="C296" s="70" t="s">
        <v>54</v>
      </c>
      <c r="D296" s="75" t="s">
        <v>269</v>
      </c>
      <c r="E296" s="75" t="s">
        <v>264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5">
      <c r="A297" s="160" t="s">
        <v>252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250</v>
      </c>
      <c r="O297" s="74">
        <v>1715230</v>
      </c>
    </row>
    <row r="298" spans="1:15" ht="18" customHeight="1" x14ac:dyDescent="0.35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254</v>
      </c>
      <c r="O298" s="82">
        <f>IFERROR(O284+O297,"")</f>
        <v>3298250</v>
      </c>
    </row>
    <row r="299" spans="1:15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248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248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248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248</v>
      </c>
      <c r="F302" s="63">
        <v>40</v>
      </c>
      <c r="G302" s="64">
        <v>200</v>
      </c>
      <c r="H302" s="61"/>
      <c r="I302" s="61"/>
      <c r="J302" s="61"/>
      <c r="K302" s="65"/>
      <c r="L302" s="65" t="s">
        <v>271</v>
      </c>
      <c r="M302" s="66" t="str">
        <f t="shared" ca="1" si="63"/>
        <v/>
      </c>
      <c r="N302" s="80"/>
      <c r="O302" s="81"/>
    </row>
    <row r="303" spans="1:15" ht="15" customHeight="1" x14ac:dyDescent="0.3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248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248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248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248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248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248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248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248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5">
      <c r="A311" s="160" t="s">
        <v>249</v>
      </c>
      <c r="B311" s="160"/>
      <c r="C311" s="160"/>
      <c r="D311" s="160"/>
      <c r="E311" s="160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250</v>
      </c>
      <c r="O311" s="74">
        <v>2631530</v>
      </c>
    </row>
    <row r="312" spans="1:15" ht="15" customHeight="1" x14ac:dyDescent="0.3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248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248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248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248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248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248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248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248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248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248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248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248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5">
      <c r="A324" s="160" t="s">
        <v>252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250</v>
      </c>
      <c r="O324" s="74">
        <v>2216340</v>
      </c>
    </row>
    <row r="325" spans="1:15" ht="18" customHeight="1" x14ac:dyDescent="0.35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254</v>
      </c>
      <c r="O325" s="82">
        <f>IFERROR(O311+O324,"")</f>
        <v>4847870</v>
      </c>
    </row>
    <row r="326" spans="1:15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272</v>
      </c>
      <c r="O328" s="81"/>
    </row>
    <row r="329" spans="1:15" ht="15" customHeight="1" x14ac:dyDescent="0.3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248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248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248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273</v>
      </c>
      <c r="O333" s="81"/>
    </row>
    <row r="334" spans="1:15" ht="15" customHeight="1" x14ac:dyDescent="0.3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248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248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248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248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5">
      <c r="A338" s="160" t="s">
        <v>249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250</v>
      </c>
      <c r="O338" s="74">
        <v>1925790</v>
      </c>
    </row>
    <row r="339" spans="1:15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248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248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248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248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248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248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248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248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248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248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248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248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5">
      <c r="A351" s="160" t="s">
        <v>252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250</v>
      </c>
      <c r="O351" s="74">
        <v>2154990</v>
      </c>
    </row>
    <row r="352" spans="1:15" ht="18" customHeight="1" x14ac:dyDescent="0.35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254</v>
      </c>
      <c r="O352" s="82">
        <f>IFERROR(O338+O351,"")</f>
        <v>4080780</v>
      </c>
    </row>
    <row r="353" spans="1:15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248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248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248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248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248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248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264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248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248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248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248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248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5">
      <c r="A365" s="160" t="s">
        <v>249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250</v>
      </c>
      <c r="O365" s="74">
        <v>2315280</v>
      </c>
    </row>
    <row r="366" spans="1:15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248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248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248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248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248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248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248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248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248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248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248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248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5">
      <c r="A378" s="160" t="s">
        <v>252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250</v>
      </c>
      <c r="O378" s="74">
        <v>2614830</v>
      </c>
    </row>
    <row r="379" spans="1:15" ht="18" customHeight="1" x14ac:dyDescent="0.35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254</v>
      </c>
      <c r="O379" s="82">
        <f>IFERROR(O365+O378,"")</f>
        <v>4930110</v>
      </c>
    </row>
    <row r="380" spans="1:15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248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248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248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248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248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248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248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248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248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248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248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248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5">
      <c r="A392" s="160" t="s">
        <v>249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250</v>
      </c>
      <c r="O392" s="74">
        <v>2491620</v>
      </c>
    </row>
    <row r="393" spans="1:15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248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274</v>
      </c>
    </row>
    <row r="394" spans="1:15" ht="15" customHeight="1" x14ac:dyDescent="0.3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248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248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248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248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248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248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248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248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248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248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248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5">
      <c r="A405" s="160" t="s">
        <v>252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250</v>
      </c>
      <c r="O405" s="74">
        <v>2612000</v>
      </c>
    </row>
    <row r="406" spans="1:15" ht="18" customHeight="1" x14ac:dyDescent="0.35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254</v>
      </c>
      <c r="O406" s="82">
        <f>IFERROR(O392+O405,"")</f>
        <v>5103620</v>
      </c>
    </row>
    <row r="407" spans="1:15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248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248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248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248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248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248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248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248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248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248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248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248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5">
      <c r="A419" s="160" t="s">
        <v>249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250</v>
      </c>
      <c r="O419" s="74">
        <v>1195500</v>
      </c>
    </row>
    <row r="420" spans="1:15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248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248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275</v>
      </c>
      <c r="O421" s="81"/>
    </row>
    <row r="422" spans="1:15" ht="15" customHeight="1" x14ac:dyDescent="0.3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248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275</v>
      </c>
      <c r="O422" s="81"/>
    </row>
    <row r="423" spans="1:15" ht="15" customHeight="1" x14ac:dyDescent="0.3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248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248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248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248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248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248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248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248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248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5">
      <c r="A432" s="160" t="s">
        <v>252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250</v>
      </c>
      <c r="O432" s="74">
        <v>2266710</v>
      </c>
    </row>
    <row r="433" spans="1:15" ht="18" customHeight="1" x14ac:dyDescent="0.35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254</v>
      </c>
      <c r="O433" s="82">
        <f>IFERROR(O419+O432,"")</f>
        <v>3462210</v>
      </c>
    </row>
    <row r="434" spans="1:15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248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248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248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248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248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248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248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248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248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248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248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248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5">
      <c r="A446" s="160" t="s">
        <v>249</v>
      </c>
      <c r="B446" s="160"/>
      <c r="C446" s="160"/>
      <c r="D446" s="160"/>
      <c r="E446" s="160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250</v>
      </c>
      <c r="O446" s="74">
        <v>1619380</v>
      </c>
    </row>
    <row r="447" spans="1:15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248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276</v>
      </c>
      <c r="O447" s="81"/>
    </row>
    <row r="448" spans="1:15" ht="15" customHeight="1" x14ac:dyDescent="0.3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248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277</v>
      </c>
      <c r="O448" s="81"/>
    </row>
    <row r="449" spans="1:15" ht="15" customHeight="1" x14ac:dyDescent="0.3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248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248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248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248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278</v>
      </c>
      <c r="O452" s="81"/>
    </row>
    <row r="453" spans="1:15" ht="15" customHeight="1" x14ac:dyDescent="0.3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248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279</v>
      </c>
      <c r="O453" s="81"/>
    </row>
    <row r="454" spans="1:15" ht="15" customHeight="1" x14ac:dyDescent="0.3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248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280</v>
      </c>
      <c r="O454" s="81"/>
    </row>
    <row r="455" spans="1:15" ht="15" customHeight="1" x14ac:dyDescent="0.3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248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248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248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248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5">
      <c r="A459" s="160" t="s">
        <v>252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250</v>
      </c>
      <c r="O459" s="74">
        <v>2361680</v>
      </c>
    </row>
    <row r="460" spans="1:15" ht="18" customHeight="1" x14ac:dyDescent="0.35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254</v>
      </c>
      <c r="O460" s="82">
        <f>IFERROR(O446+O459,"")</f>
        <v>3981060</v>
      </c>
    </row>
    <row r="461" spans="1:15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248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281</v>
      </c>
      <c r="O461" s="81"/>
    </row>
    <row r="462" spans="1:15" ht="15" customHeight="1" x14ac:dyDescent="0.3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248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248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248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248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248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248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248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248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248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248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248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5">
      <c r="A473" s="160" t="s">
        <v>249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250</v>
      </c>
      <c r="O473" s="74">
        <v>2284390</v>
      </c>
    </row>
    <row r="474" spans="1:15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248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248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248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282</v>
      </c>
      <c r="O476" s="81"/>
    </row>
    <row r="477" spans="1:15" ht="15" customHeight="1" x14ac:dyDescent="0.3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248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248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248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248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248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248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248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248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248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5">
      <c r="A486" s="160" t="s">
        <v>252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250</v>
      </c>
      <c r="O486" s="74">
        <v>1798670</v>
      </c>
    </row>
    <row r="487" spans="1:15" ht="18" customHeight="1" x14ac:dyDescent="0.35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254</v>
      </c>
      <c r="O487" s="82">
        <f>IFERROR(O473+O486,"")</f>
        <v>4083060</v>
      </c>
    </row>
    <row r="488" spans="1:15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248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248</v>
      </c>
      <c r="F489" s="63">
        <v>0</v>
      </c>
      <c r="G489" s="69">
        <f t="shared" si="103"/>
        <v>0</v>
      </c>
      <c r="H489" s="61" t="s">
        <v>28</v>
      </c>
      <c r="I489" s="61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394</v>
      </c>
      <c r="O489" s="81"/>
    </row>
    <row r="490" spans="1:15" ht="15" customHeight="1" x14ac:dyDescent="0.35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248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5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248</v>
      </c>
      <c r="F491" s="63">
        <v>30</v>
      </c>
      <c r="G491" s="69">
        <f t="shared" si="103"/>
        <v>150</v>
      </c>
      <c r="H491" s="61"/>
      <c r="I491" s="61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5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248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5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248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5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248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5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248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5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248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5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248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5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248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5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248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5">
      <c r="A500" s="160" t="s">
        <v>249</v>
      </c>
      <c r="B500" s="160"/>
      <c r="C500" s="160"/>
      <c r="D500" s="160"/>
      <c r="E500" s="160"/>
      <c r="F500" s="2">
        <f>SUM(F488:F499)</f>
        <v>270</v>
      </c>
      <c r="G500" s="2">
        <f>SUM(G488:G499)</f>
        <v>1350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250</v>
      </c>
      <c r="O500" s="74"/>
    </row>
    <row r="501" spans="1:15" ht="15" customHeight="1" x14ac:dyDescent="0.35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 x14ac:dyDescent="0.35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 x14ac:dyDescent="0.35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5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5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5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5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5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5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5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5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5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5">
      <c r="A513" s="160" t="s">
        <v>252</v>
      </c>
      <c r="B513" s="160"/>
      <c r="C513" s="160"/>
      <c r="D513" s="160"/>
      <c r="E513" s="160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250</v>
      </c>
      <c r="O513" s="74"/>
    </row>
    <row r="514" spans="1:15" ht="18" customHeight="1" x14ac:dyDescent="0.35">
      <c r="A514" s="161" t="s">
        <v>253</v>
      </c>
      <c r="B514" s="161"/>
      <c r="C514" s="161"/>
      <c r="D514" s="161"/>
      <c r="E514" s="161"/>
      <c r="F514" s="1">
        <f>F500+F513</f>
        <v>270</v>
      </c>
      <c r="G514" s="1">
        <f>G500+G513</f>
        <v>1350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254</v>
      </c>
      <c r="O514" s="82">
        <f>IFERROR(O500+O513,"")</f>
        <v>0</v>
      </c>
    </row>
    <row r="515" spans="1:15" ht="15" customHeight="1" x14ac:dyDescent="0.35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 x14ac:dyDescent="0.35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5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5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5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5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5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5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5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5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5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5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5">
      <c r="A527" s="160" t="s">
        <v>249</v>
      </c>
      <c r="B527" s="160"/>
      <c r="C527" s="160"/>
      <c r="D527" s="160"/>
      <c r="E527" s="160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250</v>
      </c>
      <c r="O527" s="74"/>
    </row>
    <row r="528" spans="1:15" ht="15" customHeight="1" x14ac:dyDescent="0.35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 x14ac:dyDescent="0.35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 x14ac:dyDescent="0.35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 x14ac:dyDescent="0.35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 x14ac:dyDescent="0.35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5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5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5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5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5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5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5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5">
      <c r="A540" s="160" t="s">
        <v>252</v>
      </c>
      <c r="B540" s="160"/>
      <c r="C540" s="160"/>
      <c r="D540" s="160"/>
      <c r="E540" s="160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250</v>
      </c>
      <c r="O540" s="74"/>
    </row>
    <row r="541" spans="1:15" ht="18" customHeight="1" x14ac:dyDescent="0.35">
      <c r="A541" s="161" t="s">
        <v>253</v>
      </c>
      <c r="B541" s="161"/>
      <c r="C541" s="161"/>
      <c r="D541" s="161"/>
      <c r="E541" s="161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254</v>
      </c>
      <c r="O541" s="82">
        <f>IFERROR(O527+O540,"")</f>
        <v>0</v>
      </c>
    </row>
    <row r="542" spans="1:15" ht="15" customHeight="1" x14ac:dyDescent="0.35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 x14ac:dyDescent="0.35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5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5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5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5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5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5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5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5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5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5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5">
      <c r="A554" s="160" t="s">
        <v>249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250</v>
      </c>
      <c r="O554" s="74"/>
    </row>
    <row r="555" spans="1:15" ht="15" customHeight="1" x14ac:dyDescent="0.35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 x14ac:dyDescent="0.35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 x14ac:dyDescent="0.35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 x14ac:dyDescent="0.35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 x14ac:dyDescent="0.35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 x14ac:dyDescent="0.35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 x14ac:dyDescent="0.35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 x14ac:dyDescent="0.35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5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5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5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5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5">
      <c r="A567" s="160" t="s">
        <v>252</v>
      </c>
      <c r="B567" s="160"/>
      <c r="C567" s="160"/>
      <c r="D567" s="160"/>
      <c r="E567" s="160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250</v>
      </c>
      <c r="O567" s="74"/>
    </row>
    <row r="568" spans="1:15" ht="18" customHeight="1" x14ac:dyDescent="0.35">
      <c r="A568" s="161" t="s">
        <v>253</v>
      </c>
      <c r="B568" s="161"/>
      <c r="C568" s="161"/>
      <c r="D568" s="161"/>
      <c r="E568" s="161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254</v>
      </c>
      <c r="O568" s="82">
        <f>IFERROR(O554+O567,"")</f>
        <v>0</v>
      </c>
    </row>
    <row r="569" spans="1:15" ht="15" customHeight="1" x14ac:dyDescent="0.35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 x14ac:dyDescent="0.35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 x14ac:dyDescent="0.35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 x14ac:dyDescent="0.35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5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5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5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5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5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5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5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5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5">
      <c r="A581" s="160" t="s">
        <v>249</v>
      </c>
      <c r="B581" s="160"/>
      <c r="C581" s="160"/>
      <c r="D581" s="160"/>
      <c r="E581" s="160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250</v>
      </c>
      <c r="O581" s="74"/>
    </row>
    <row r="582" spans="1:15" ht="15" customHeight="1" x14ac:dyDescent="0.35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35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35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5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5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5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5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5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5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5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5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5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5">
      <c r="A594" s="160" t="s">
        <v>252</v>
      </c>
      <c r="B594" s="160"/>
      <c r="C594" s="160"/>
      <c r="D594" s="160"/>
      <c r="E594" s="160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250</v>
      </c>
      <c r="O594" s="74"/>
    </row>
    <row r="595" spans="1:15" ht="18" customHeight="1" x14ac:dyDescent="0.35">
      <c r="A595" s="161" t="s">
        <v>253</v>
      </c>
      <c r="B595" s="161"/>
      <c r="C595" s="161"/>
      <c r="D595" s="161"/>
      <c r="E595" s="161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254</v>
      </c>
      <c r="O595" s="82">
        <f>IFERROR(O581+O594,"")</f>
        <v>0</v>
      </c>
    </row>
    <row r="596" spans="1:15" ht="15" customHeight="1" x14ac:dyDescent="0.35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35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35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5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5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5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5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5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5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5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5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5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5">
      <c r="A608" s="160" t="s">
        <v>249</v>
      </c>
      <c r="B608" s="160"/>
      <c r="C608" s="160"/>
      <c r="D608" s="160"/>
      <c r="E608" s="160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250</v>
      </c>
      <c r="O608" s="74"/>
    </row>
    <row r="609" spans="1:15" ht="15" customHeight="1" x14ac:dyDescent="0.35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35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35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5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5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5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5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5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5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5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5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5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5">
      <c r="A621" s="160" t="s">
        <v>252</v>
      </c>
      <c r="B621" s="160"/>
      <c r="C621" s="160"/>
      <c r="D621" s="160"/>
      <c r="E621" s="160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250</v>
      </c>
      <c r="O621" s="74"/>
    </row>
    <row r="622" spans="1:15" ht="18" customHeight="1" x14ac:dyDescent="0.35">
      <c r="A622" s="161" t="s">
        <v>253</v>
      </c>
      <c r="B622" s="161"/>
      <c r="C622" s="161"/>
      <c r="D622" s="161"/>
      <c r="E622" s="161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254</v>
      </c>
      <c r="O622" s="82">
        <f>IFERROR(O608+O621,"")</f>
        <v>0</v>
      </c>
    </row>
    <row r="623" spans="1:15" ht="15" customHeight="1" x14ac:dyDescent="0.35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35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5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5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5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5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5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5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5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5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5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5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5">
      <c r="A635" s="160" t="s">
        <v>249</v>
      </c>
      <c r="B635" s="160"/>
      <c r="C635" s="160"/>
      <c r="D635" s="160"/>
      <c r="E635" s="160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250</v>
      </c>
      <c r="O635" s="74"/>
    </row>
    <row r="636" spans="1:15" ht="15" customHeight="1" x14ac:dyDescent="0.3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35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5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5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5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5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5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5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5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5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5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5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5">
      <c r="A648" s="160" t="s">
        <v>252</v>
      </c>
      <c r="B648" s="160"/>
      <c r="C648" s="160"/>
      <c r="D648" s="160"/>
      <c r="E648" s="160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250</v>
      </c>
      <c r="O648" s="74"/>
    </row>
    <row r="649" spans="1:15" ht="18" customHeight="1" x14ac:dyDescent="0.35">
      <c r="A649" s="161" t="s">
        <v>253</v>
      </c>
      <c r="B649" s="161"/>
      <c r="C649" s="161"/>
      <c r="D649" s="161"/>
      <c r="E649" s="161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254</v>
      </c>
      <c r="O649" s="82">
        <f>IFERROR(O635+O648,"")</f>
        <v>0</v>
      </c>
    </row>
    <row r="650" spans="1:15" ht="15" customHeight="1" x14ac:dyDescent="0.3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35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5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5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5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5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5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5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5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5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5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5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5">
      <c r="A662" s="160" t="s">
        <v>249</v>
      </c>
      <c r="B662" s="160"/>
      <c r="C662" s="160"/>
      <c r="D662" s="160"/>
      <c r="E662" s="160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250</v>
      </c>
      <c r="O662" s="74"/>
    </row>
    <row r="663" spans="1:15" ht="15" customHeight="1" x14ac:dyDescent="0.3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5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5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5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5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5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5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5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5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5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5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5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5">
      <c r="A675" s="160" t="s">
        <v>252</v>
      </c>
      <c r="B675" s="160"/>
      <c r="C675" s="160"/>
      <c r="D675" s="160"/>
      <c r="E675" s="160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250</v>
      </c>
      <c r="O675" s="74"/>
    </row>
    <row r="676" spans="1:15" ht="18" customHeight="1" x14ac:dyDescent="0.35">
      <c r="A676" s="161" t="s">
        <v>253</v>
      </c>
      <c r="B676" s="161"/>
      <c r="C676" s="161"/>
      <c r="D676" s="161"/>
      <c r="E676" s="161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254</v>
      </c>
      <c r="O676" s="82">
        <f>IFERROR(O662+O675,"")</f>
        <v>0</v>
      </c>
    </row>
    <row r="677" spans="1:15" ht="15" customHeight="1" x14ac:dyDescent="0.3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5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5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5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5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5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5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5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5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5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5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5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5">
      <c r="A689" s="160" t="s">
        <v>249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250</v>
      </c>
      <c r="O689" s="74"/>
    </row>
    <row r="690" spans="1:15" ht="15" customHeight="1" x14ac:dyDescent="0.3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5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5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5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5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5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5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5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5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5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5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5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5">
      <c r="A702" s="160" t="s">
        <v>252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250</v>
      </c>
      <c r="O702" s="74"/>
    </row>
    <row r="703" spans="1:15" ht="18" customHeight="1" x14ac:dyDescent="0.35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254</v>
      </c>
      <c r="O703" s="82">
        <f>IFERROR(O689+O702,"")</f>
        <v>0</v>
      </c>
    </row>
    <row r="704" spans="1:15" ht="15" customHeight="1" x14ac:dyDescent="0.3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5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5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5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5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5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5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5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5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5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5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5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5">
      <c r="A716" s="160" t="s">
        <v>249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250</v>
      </c>
      <c r="O716" s="74"/>
    </row>
    <row r="717" spans="1:15" ht="15" customHeight="1" x14ac:dyDescent="0.3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5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5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5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5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5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5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5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5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5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5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5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5">
      <c r="A729" s="160" t="s">
        <v>252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250</v>
      </c>
      <c r="O729" s="74"/>
    </row>
    <row r="730" spans="1:15" ht="18" customHeight="1" x14ac:dyDescent="0.35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254</v>
      </c>
      <c r="O730" s="82">
        <f>IFERROR(O716+O729,"")</f>
        <v>0</v>
      </c>
    </row>
    <row r="731" spans="1:15" ht="15" customHeight="1" x14ac:dyDescent="0.3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5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5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5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5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5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5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5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5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5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5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5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5">
      <c r="A743" s="160" t="s">
        <v>249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250</v>
      </c>
      <c r="O743" s="74"/>
    </row>
    <row r="744" spans="1:15" ht="15" customHeight="1" x14ac:dyDescent="0.3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5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5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5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5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5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5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5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5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5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5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5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5">
      <c r="A756" s="160" t="s">
        <v>252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250</v>
      </c>
      <c r="O756" s="74"/>
    </row>
    <row r="757" spans="1:15" ht="18" customHeight="1" x14ac:dyDescent="0.35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254</v>
      </c>
      <c r="O757" s="82">
        <f>IFERROR(O743+O756,"")</f>
        <v>0</v>
      </c>
    </row>
    <row r="758" spans="1:15" ht="15" customHeight="1" x14ac:dyDescent="0.3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5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5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5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5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5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5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5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5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5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5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5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5">
      <c r="A770" s="160" t="s">
        <v>249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250</v>
      </c>
      <c r="O770" s="74"/>
    </row>
    <row r="771" spans="1:15" ht="15" customHeight="1" x14ac:dyDescent="0.3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5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5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5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5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5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5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5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5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5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5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5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5">
      <c r="A783" s="160" t="s">
        <v>252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250</v>
      </c>
      <c r="O783" s="74"/>
    </row>
    <row r="784" spans="1:15" ht="18" customHeight="1" x14ac:dyDescent="0.35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254</v>
      </c>
      <c r="O784" s="82">
        <f>IFERROR(O770+O783,"")</f>
        <v>0</v>
      </c>
    </row>
    <row r="785" spans="1:15" ht="15" customHeight="1" x14ac:dyDescent="0.3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5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5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5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5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5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5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5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5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5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5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5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5">
      <c r="A797" s="160" t="s">
        <v>249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250</v>
      </c>
      <c r="O797" s="74"/>
    </row>
    <row r="798" spans="1:15" ht="15" customHeight="1" x14ac:dyDescent="0.3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5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5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5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5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5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5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5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5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5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5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5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5">
      <c r="A810" s="160" t="s">
        <v>252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250</v>
      </c>
      <c r="O810" s="74"/>
    </row>
    <row r="811" spans="1:15" ht="18" customHeight="1" x14ac:dyDescent="0.35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254</v>
      </c>
      <c r="O811" s="30">
        <f>IFERROR(O797+O810,"")</f>
        <v>0</v>
      </c>
    </row>
    <row r="812" spans="1:15" ht="15" customHeight="1" x14ac:dyDescent="0.3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5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5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5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5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5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5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5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5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5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5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5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5">
      <c r="A824" s="160" t="s">
        <v>249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250</v>
      </c>
      <c r="O824" s="74"/>
    </row>
    <row r="825" spans="1:15" ht="15" customHeight="1" x14ac:dyDescent="0.3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5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5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5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5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5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5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5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5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5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5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5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5">
      <c r="A837" s="160" t="s">
        <v>252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250</v>
      </c>
      <c r="O837" s="74"/>
    </row>
    <row r="838" spans="1:15" ht="18" customHeight="1" x14ac:dyDescent="0.35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254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L495" sqref="L495"/>
    </sheetView>
  </sheetViews>
  <sheetFormatPr defaultColWidth="8.54296875" defaultRowHeight="14.5" x14ac:dyDescent="0.35"/>
  <cols>
    <col min="1" max="1" width="15.54296875" style="85" customWidth="1"/>
    <col min="2" max="2" width="9" style="54" customWidth="1"/>
    <col min="3" max="3" width="14" style="54" customWidth="1"/>
    <col min="4" max="5" width="16.08984375" style="54" customWidth="1"/>
    <col min="6" max="6" width="13.81640625" style="54" hidden="1" customWidth="1"/>
    <col min="7" max="7" width="13" style="54" customWidth="1"/>
    <col min="8" max="8" width="15.81640625" style="54" hidden="1" customWidth="1"/>
    <col min="9" max="9" width="16.08984375" style="54" hidden="1" customWidth="1"/>
    <col min="10" max="10" width="13.81640625" style="54" hidden="1" customWidth="1"/>
    <col min="11" max="11" width="14" style="54" customWidth="1"/>
    <col min="12" max="12" width="31.1796875" style="54" customWidth="1"/>
    <col min="13" max="13" width="29.08984375" style="54" customWidth="1"/>
    <col min="14" max="14" width="48.54296875" style="54" customWidth="1"/>
    <col min="15" max="15" width="15.453125" style="54" customWidth="1"/>
    <col min="16" max="16" width="12" style="55" customWidth="1"/>
    <col min="17" max="17" width="15.54296875" style="54" customWidth="1"/>
    <col min="18" max="18" width="48.54296875" style="54" customWidth="1"/>
    <col min="19" max="19" width="29.81640625" customWidth="1"/>
    <col min="20" max="20" width="14.81640625" hidden="1" customWidth="1"/>
  </cols>
  <sheetData>
    <row r="1" spans="1:20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285</v>
      </c>
      <c r="S2" s="67"/>
    </row>
    <row r="3" spans="1:20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286</v>
      </c>
      <c r="S5" s="67"/>
    </row>
    <row r="6" spans="1:20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287</v>
      </c>
      <c r="S6" s="67"/>
    </row>
    <row r="7" spans="1:20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5">
      <c r="A14" s="163" t="s">
        <v>249</v>
      </c>
      <c r="B14" s="163"/>
      <c r="C14" s="163"/>
      <c r="D14" s="163"/>
      <c r="E14" s="163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250</v>
      </c>
      <c r="S14" s="74">
        <v>481280</v>
      </c>
      <c r="T14" s="99"/>
    </row>
    <row r="15" spans="1:20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264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264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264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264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264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288</v>
      </c>
      <c r="S19" s="67"/>
    </row>
    <row r="20" spans="1:20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264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289</v>
      </c>
      <c r="S20" s="67"/>
    </row>
    <row r="21" spans="1:20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264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264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264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264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264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264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5">
      <c r="A27" s="163" t="s">
        <v>252</v>
      </c>
      <c r="B27" s="163"/>
      <c r="C27" s="163"/>
      <c r="D27" s="163"/>
      <c r="E27" s="163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250</v>
      </c>
      <c r="S27" s="74">
        <v>549860</v>
      </c>
      <c r="T27" s="99"/>
    </row>
    <row r="28" spans="1:20" ht="18" customHeight="1" x14ac:dyDescent="0.35">
      <c r="A28" s="162" t="s">
        <v>253</v>
      </c>
      <c r="B28" s="162"/>
      <c r="C28" s="162"/>
      <c r="D28" s="162"/>
      <c r="E28" s="162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254</v>
      </c>
      <c r="S28" s="30">
        <f>S14+S27</f>
        <v>1031140</v>
      </c>
      <c r="T28" s="31">
        <f>IFERROR(J28,"")</f>
        <v>0</v>
      </c>
    </row>
    <row r="29" spans="1:20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264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264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264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264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264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264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264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264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264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264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264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264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5">
      <c r="A41" s="163" t="s">
        <v>249</v>
      </c>
      <c r="B41" s="163"/>
      <c r="C41" s="163"/>
      <c r="D41" s="163"/>
      <c r="E41" s="163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250</v>
      </c>
      <c r="S41" s="113">
        <v>311070</v>
      </c>
      <c r="T41" s="114"/>
    </row>
    <row r="42" spans="1:20" ht="15" customHeight="1" x14ac:dyDescent="0.3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290</v>
      </c>
      <c r="S48" s="67"/>
    </row>
    <row r="49" spans="1:20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291</v>
      </c>
      <c r="S49" s="67"/>
    </row>
    <row r="50" spans="1:20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292</v>
      </c>
      <c r="S52" s="67"/>
    </row>
    <row r="53" spans="1:20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0.64951747684972361</v>
      </c>
      <c r="R53" s="80" t="s">
        <v>293</v>
      </c>
      <c r="S53" s="67"/>
    </row>
    <row r="54" spans="1:20" ht="15.75" customHeight="1" x14ac:dyDescent="0.35">
      <c r="A54" s="163" t="s">
        <v>252</v>
      </c>
      <c r="B54" s="163"/>
      <c r="C54" s="163"/>
      <c r="D54" s="163"/>
      <c r="E54" s="163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0.78840636573861134</v>
      </c>
      <c r="R54" s="2" t="s">
        <v>250</v>
      </c>
      <c r="S54" s="113">
        <v>352430</v>
      </c>
      <c r="T54" s="114"/>
    </row>
    <row r="55" spans="1:20" ht="18" customHeight="1" x14ac:dyDescent="0.35">
      <c r="A55" s="162" t="s">
        <v>253</v>
      </c>
      <c r="B55" s="162"/>
      <c r="C55" s="162"/>
      <c r="D55" s="162"/>
      <c r="E55" s="162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0.87312858796083415</v>
      </c>
      <c r="R55" s="1" t="s">
        <v>254</v>
      </c>
      <c r="S55" s="30">
        <f>IFERROR(S41+S54,"")</f>
        <v>663500</v>
      </c>
      <c r="T55" s="31">
        <f>IFERROR(J55,"")</f>
        <v>0</v>
      </c>
    </row>
    <row r="56" spans="1:20" ht="15" customHeight="1" x14ac:dyDescent="0.3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264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264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264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264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264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264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285</v>
      </c>
      <c r="S63" s="67"/>
    </row>
    <row r="64" spans="1:20" ht="15" customHeight="1" x14ac:dyDescent="0.3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264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264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264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264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5">
      <c r="A68" s="163" t="s">
        <v>249</v>
      </c>
      <c r="B68" s="163"/>
      <c r="C68" s="163"/>
      <c r="D68" s="163"/>
      <c r="E68" s="163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250</v>
      </c>
      <c r="S68" s="115">
        <v>565230</v>
      </c>
      <c r="T68" s="116"/>
    </row>
    <row r="69" spans="1:20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294</v>
      </c>
      <c r="S76" s="67"/>
    </row>
    <row r="77" spans="1:20" ht="15" customHeight="1" x14ac:dyDescent="0.3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264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264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5">
      <c r="A81" s="163" t="s">
        <v>252</v>
      </c>
      <c r="B81" s="163"/>
      <c r="C81" s="163"/>
      <c r="D81" s="163"/>
      <c r="E81" s="163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250</v>
      </c>
      <c r="S81" s="115">
        <v>634210</v>
      </c>
      <c r="T81" s="116"/>
    </row>
    <row r="82" spans="1:20" ht="18" customHeight="1" x14ac:dyDescent="0.35">
      <c r="A82" s="162" t="s">
        <v>253</v>
      </c>
      <c r="B82" s="162"/>
      <c r="C82" s="162"/>
      <c r="D82" s="162"/>
      <c r="E82" s="162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254</v>
      </c>
      <c r="S82" s="30">
        <f>IFERROR(S68+S81,"")</f>
        <v>1199440</v>
      </c>
      <c r="T82" s="31">
        <f>IFERROR(J82,"")</f>
        <v>0</v>
      </c>
    </row>
    <row r="83" spans="1:20" ht="15" customHeight="1" x14ac:dyDescent="0.3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264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5">
      <c r="A95" s="163" t="s">
        <v>249</v>
      </c>
      <c r="B95" s="163"/>
      <c r="C95" s="163"/>
      <c r="D95" s="163"/>
      <c r="E95" s="163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250</v>
      </c>
      <c r="S95" s="115">
        <v>449600</v>
      </c>
      <c r="T95" s="116"/>
    </row>
    <row r="96" spans="1:20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295</v>
      </c>
      <c r="Q96" s="66" t="str">
        <f t="shared" ref="Q96:Q107" ca="1" si="22">IFERROR(IF(O96="","",IF(P96="",MOD(NOW()-O96,1),IF(P96&gt;=O96,P96-O96,P96+1-O96))),"")</f>
        <v/>
      </c>
      <c r="R96" s="80" t="s">
        <v>296</v>
      </c>
      <c r="S96" s="67"/>
    </row>
    <row r="97" spans="1:20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251</v>
      </c>
      <c r="S97" s="67"/>
    </row>
    <row r="98" spans="1:20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297</v>
      </c>
      <c r="S98" s="67"/>
    </row>
    <row r="99" spans="1:20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298</v>
      </c>
      <c r="S99" s="67"/>
    </row>
    <row r="100" spans="1:20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251</v>
      </c>
      <c r="S100" s="67"/>
    </row>
    <row r="101" spans="1:20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5">
      <c r="A108" s="163" t="s">
        <v>252</v>
      </c>
      <c r="B108" s="163"/>
      <c r="C108" s="163"/>
      <c r="D108" s="163"/>
      <c r="E108" s="163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250</v>
      </c>
      <c r="S108" s="115">
        <v>456830</v>
      </c>
      <c r="T108" s="116"/>
    </row>
    <row r="109" spans="1:20" ht="18" customHeight="1" x14ac:dyDescent="0.35">
      <c r="A109" s="162" t="s">
        <v>253</v>
      </c>
      <c r="B109" s="162"/>
      <c r="C109" s="162"/>
      <c r="D109" s="162"/>
      <c r="E109" s="162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254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299</v>
      </c>
      <c r="S111" s="67"/>
    </row>
    <row r="112" spans="1:20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5">
      <c r="A122" s="163" t="s">
        <v>249</v>
      </c>
      <c r="B122" s="163"/>
      <c r="C122" s="163"/>
      <c r="D122" s="163"/>
      <c r="E122" s="163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250</v>
      </c>
      <c r="S122" s="115">
        <v>791070</v>
      </c>
      <c r="T122" s="116"/>
    </row>
    <row r="123" spans="1:20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5">
      <c r="A135" s="163" t="s">
        <v>252</v>
      </c>
      <c r="B135" s="163"/>
      <c r="C135" s="163"/>
      <c r="D135" s="163"/>
      <c r="E135" s="163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250</v>
      </c>
      <c r="S135" s="115">
        <v>756720</v>
      </c>
      <c r="T135" s="116"/>
    </row>
    <row r="136" spans="1:20" ht="18" customHeight="1" x14ac:dyDescent="0.35">
      <c r="A136" s="162" t="s">
        <v>253</v>
      </c>
      <c r="B136" s="162"/>
      <c r="C136" s="162"/>
      <c r="D136" s="162"/>
      <c r="E136" s="162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254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300</v>
      </c>
      <c r="S139" s="67"/>
    </row>
    <row r="140" spans="1:20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301</v>
      </c>
      <c r="S141" s="67"/>
    </row>
    <row r="142" spans="1:20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302</v>
      </c>
      <c r="S145" s="67"/>
    </row>
    <row r="146" spans="1:20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5">
      <c r="A149" s="163" t="s">
        <v>249</v>
      </c>
      <c r="B149" s="163"/>
      <c r="C149" s="163"/>
      <c r="D149" s="163"/>
      <c r="E149" s="163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250</v>
      </c>
      <c r="S149" s="115">
        <v>533860</v>
      </c>
      <c r="T149" s="116"/>
    </row>
    <row r="150" spans="1:20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303</v>
      </c>
      <c r="S151" s="67"/>
    </row>
    <row r="152" spans="1:20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5">
      <c r="A162" s="163" t="s">
        <v>252</v>
      </c>
      <c r="B162" s="163"/>
      <c r="C162" s="163"/>
      <c r="D162" s="163"/>
      <c r="E162" s="163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250</v>
      </c>
      <c r="S162" s="115">
        <v>501750</v>
      </c>
      <c r="T162" s="116"/>
    </row>
    <row r="163" spans="1:20" ht="18" customHeight="1" x14ac:dyDescent="0.35">
      <c r="A163" s="162" t="s">
        <v>253</v>
      </c>
      <c r="B163" s="162"/>
      <c r="C163" s="162"/>
      <c r="D163" s="162"/>
      <c r="E163" s="162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254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264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264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264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264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264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264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264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264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264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264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264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5">
      <c r="A176" s="163" t="s">
        <v>249</v>
      </c>
      <c r="B176" s="163"/>
      <c r="C176" s="163"/>
      <c r="D176" s="163"/>
      <c r="E176" s="163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250</v>
      </c>
      <c r="S176" s="74">
        <v>366290</v>
      </c>
      <c r="T176" s="99"/>
    </row>
    <row r="177" spans="1:20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264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264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304</v>
      </c>
      <c r="S181" s="67"/>
    </row>
    <row r="182" spans="1:20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264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301</v>
      </c>
      <c r="S182" s="67"/>
    </row>
    <row r="183" spans="1:20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305</v>
      </c>
      <c r="S183" s="67"/>
    </row>
    <row r="184" spans="1:20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264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264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264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5">
      <c r="A189" s="163" t="s">
        <v>252</v>
      </c>
      <c r="B189" s="163"/>
      <c r="C189" s="163"/>
      <c r="D189" s="163"/>
      <c r="E189" s="163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250</v>
      </c>
      <c r="S189" s="74">
        <v>362530</v>
      </c>
      <c r="T189" s="99"/>
    </row>
    <row r="190" spans="1:20" ht="18" customHeight="1" x14ac:dyDescent="0.35">
      <c r="A190" s="162" t="s">
        <v>253</v>
      </c>
      <c r="B190" s="162"/>
      <c r="C190" s="162"/>
      <c r="D190" s="162"/>
      <c r="E190" s="162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254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306</v>
      </c>
      <c r="S191" s="67"/>
    </row>
    <row r="192" spans="1:20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299</v>
      </c>
      <c r="S195" s="67"/>
    </row>
    <row r="196" spans="1:20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5">
      <c r="A203" s="163" t="s">
        <v>249</v>
      </c>
      <c r="B203" s="163"/>
      <c r="C203" s="163"/>
      <c r="D203" s="163"/>
      <c r="E203" s="163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250</v>
      </c>
      <c r="S203" s="74">
        <v>601390</v>
      </c>
      <c r="T203" s="99"/>
    </row>
    <row r="204" spans="1:20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5">
      <c r="A216" s="163" t="s">
        <v>252</v>
      </c>
      <c r="B216" s="163"/>
      <c r="C216" s="163"/>
      <c r="D216" s="163"/>
      <c r="E216" s="163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250</v>
      </c>
      <c r="S216" s="74">
        <v>609740</v>
      </c>
      <c r="T216" s="99"/>
    </row>
    <row r="217" spans="1:20" ht="18" customHeight="1" x14ac:dyDescent="0.35">
      <c r="A217" s="162" t="s">
        <v>253</v>
      </c>
      <c r="B217" s="162"/>
      <c r="C217" s="162"/>
      <c r="D217" s="162"/>
      <c r="E217" s="162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254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294</v>
      </c>
      <c r="S218" s="81"/>
    </row>
    <row r="219" spans="1:20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251</v>
      </c>
      <c r="S220" s="81"/>
    </row>
    <row r="221" spans="1:20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307</v>
      </c>
      <c r="S221" s="81"/>
    </row>
    <row r="222" spans="1:20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308</v>
      </c>
      <c r="S223" s="81"/>
    </row>
    <row r="224" spans="1:20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309</v>
      </c>
      <c r="S224" s="81"/>
    </row>
    <row r="225" spans="1:20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5">
      <c r="A230" s="163" t="s">
        <v>249</v>
      </c>
      <c r="B230" s="163"/>
      <c r="C230" s="163"/>
      <c r="D230" s="163"/>
      <c r="E230" s="163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250</v>
      </c>
      <c r="S230" s="74">
        <v>503310</v>
      </c>
      <c r="T230" s="99"/>
    </row>
    <row r="231" spans="1:20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251</v>
      </c>
      <c r="S231" s="81"/>
    </row>
    <row r="232" spans="1:20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5">
      <c r="A243" s="163" t="s">
        <v>252</v>
      </c>
      <c r="B243" s="163"/>
      <c r="C243" s="163"/>
      <c r="D243" s="163"/>
      <c r="E243" s="163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250</v>
      </c>
      <c r="S243" s="74">
        <v>825930</v>
      </c>
      <c r="T243" s="99"/>
    </row>
    <row r="244" spans="1:20" ht="18" customHeight="1" x14ac:dyDescent="0.35">
      <c r="A244" s="162" t="s">
        <v>253</v>
      </c>
      <c r="B244" s="162"/>
      <c r="C244" s="162"/>
      <c r="D244" s="162"/>
      <c r="E244" s="162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254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5">
      <c r="A257" s="163" t="s">
        <v>249</v>
      </c>
      <c r="B257" s="163"/>
      <c r="C257" s="163"/>
      <c r="D257" s="163"/>
      <c r="E257" s="163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250</v>
      </c>
      <c r="S257" s="74">
        <v>898190</v>
      </c>
      <c r="T257" s="99"/>
    </row>
    <row r="258" spans="1:20" ht="15" customHeight="1" x14ac:dyDescent="0.35">
      <c r="A258" s="18">
        <v>46244</v>
      </c>
      <c r="B258" s="68">
        <v>0.83333333333333304</v>
      </c>
      <c r="C258" s="70"/>
      <c r="D258" s="75" t="s">
        <v>39</v>
      </c>
      <c r="E258" s="75" t="s">
        <v>264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264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264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264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264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264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264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264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264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264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264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264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5">
      <c r="A270" s="163" t="s">
        <v>252</v>
      </c>
      <c r="B270" s="163"/>
      <c r="C270" s="163"/>
      <c r="D270" s="163"/>
      <c r="E270" s="163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250</v>
      </c>
      <c r="S270" s="74">
        <v>732130</v>
      </c>
      <c r="T270" s="99"/>
    </row>
    <row r="271" spans="1:20" ht="18" customHeight="1" x14ac:dyDescent="0.35">
      <c r="A271" s="162" t="s">
        <v>253</v>
      </c>
      <c r="B271" s="162"/>
      <c r="C271" s="162"/>
      <c r="D271" s="162"/>
      <c r="E271" s="162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254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264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264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264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264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248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264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5">
      <c r="A284" s="163" t="s">
        <v>249</v>
      </c>
      <c r="B284" s="163"/>
      <c r="C284" s="163"/>
      <c r="D284" s="163"/>
      <c r="E284" s="163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250</v>
      </c>
      <c r="S284" s="74">
        <v>571950</v>
      </c>
      <c r="T284" s="99"/>
    </row>
    <row r="285" spans="1:20" ht="15" customHeight="1" x14ac:dyDescent="0.3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248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248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264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264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248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248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248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248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248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248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248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248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5">
      <c r="A297" s="163" t="s">
        <v>252</v>
      </c>
      <c r="B297" s="163"/>
      <c r="C297" s="163"/>
      <c r="D297" s="163"/>
      <c r="E297" s="163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250</v>
      </c>
      <c r="S297" s="74">
        <v>990260</v>
      </c>
      <c r="T297" s="99"/>
    </row>
    <row r="298" spans="1:20" ht="18" customHeight="1" x14ac:dyDescent="0.35">
      <c r="A298" s="162" t="s">
        <v>253</v>
      </c>
      <c r="B298" s="162"/>
      <c r="C298" s="162"/>
      <c r="D298" s="162"/>
      <c r="E298" s="162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254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264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264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264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264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264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264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264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264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264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264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264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5">
      <c r="A311" s="163" t="s">
        <v>249</v>
      </c>
      <c r="B311" s="163"/>
      <c r="C311" s="163"/>
      <c r="D311" s="163"/>
      <c r="E311" s="163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250</v>
      </c>
      <c r="S311" s="74">
        <v>754870</v>
      </c>
      <c r="T311" s="99">
        <f>IFERROR(J311,"")</f>
        <v>129.92697372781066</v>
      </c>
    </row>
    <row r="312" spans="1:20" ht="15" customHeight="1" x14ac:dyDescent="0.3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264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264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264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264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264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264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264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264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264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264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264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264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5">
      <c r="A324" s="163" t="s">
        <v>252</v>
      </c>
      <c r="B324" s="163"/>
      <c r="C324" s="163"/>
      <c r="D324" s="163"/>
      <c r="E324" s="163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250</v>
      </c>
      <c r="S324" s="74">
        <v>725030</v>
      </c>
      <c r="T324" s="99">
        <f>IFERROR(J324,"")</f>
        <v>104.40432</v>
      </c>
    </row>
    <row r="325" spans="1:20" ht="18" customHeight="1" x14ac:dyDescent="0.35">
      <c r="A325" s="162" t="s">
        <v>253</v>
      </c>
      <c r="B325" s="162"/>
      <c r="C325" s="162"/>
      <c r="D325" s="162"/>
      <c r="E325" s="162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254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310</v>
      </c>
      <c r="S326" s="81"/>
    </row>
    <row r="327" spans="1:20" ht="15" customHeight="1" x14ac:dyDescent="0.3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311</v>
      </c>
      <c r="S328" s="81"/>
    </row>
    <row r="329" spans="1:20" ht="15" customHeight="1" x14ac:dyDescent="0.3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312</v>
      </c>
      <c r="S329" s="81"/>
    </row>
    <row r="330" spans="1:20" ht="15" customHeight="1" x14ac:dyDescent="0.3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248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248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313</v>
      </c>
      <c r="S331" s="81"/>
    </row>
    <row r="332" spans="1:20" ht="15" customHeight="1" x14ac:dyDescent="0.3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314</v>
      </c>
      <c r="S332" s="81"/>
    </row>
    <row r="333" spans="1:20" ht="15" customHeight="1" x14ac:dyDescent="0.3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5">
      <c r="A338" s="163" t="s">
        <v>249</v>
      </c>
      <c r="B338" s="163"/>
      <c r="C338" s="163"/>
      <c r="D338" s="163"/>
      <c r="E338" s="163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250</v>
      </c>
      <c r="S338" s="74">
        <v>186890</v>
      </c>
      <c r="T338" s="99">
        <f>IFERROR(J338,"")</f>
        <v>39.246899999999989</v>
      </c>
    </row>
    <row r="339" spans="1:20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306</v>
      </c>
      <c r="S341" s="81"/>
    </row>
    <row r="342" spans="1:20" ht="15" customHeight="1" x14ac:dyDescent="0.3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301</v>
      </c>
      <c r="S343" s="81"/>
    </row>
    <row r="344" spans="1:20" ht="15" customHeight="1" x14ac:dyDescent="0.3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5">
      <c r="A351" s="163" t="s">
        <v>252</v>
      </c>
      <c r="B351" s="163"/>
      <c r="C351" s="163"/>
      <c r="D351" s="163"/>
      <c r="E351" s="163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250</v>
      </c>
      <c r="S351" s="74">
        <v>712170</v>
      </c>
      <c r="T351" s="99">
        <f>IFERROR(J351,"")</f>
        <v>149.5557</v>
      </c>
    </row>
    <row r="352" spans="1:20" ht="18" customHeight="1" x14ac:dyDescent="0.35">
      <c r="A352" s="162" t="s">
        <v>253</v>
      </c>
      <c r="B352" s="162"/>
      <c r="C352" s="162"/>
      <c r="D352" s="162"/>
      <c r="E352" s="162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254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294</v>
      </c>
      <c r="S353" s="81"/>
    </row>
    <row r="354" spans="1:20" ht="15" customHeight="1" x14ac:dyDescent="0.3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5">
      <c r="A365" s="163" t="s">
        <v>249</v>
      </c>
      <c r="B365" s="163"/>
      <c r="C365" s="163"/>
      <c r="D365" s="163"/>
      <c r="E365" s="163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250</v>
      </c>
      <c r="S365" s="74">
        <v>622270</v>
      </c>
      <c r="T365" s="99">
        <f>IFERROR(J365,"")</f>
        <v>130.67669999999998</v>
      </c>
    </row>
    <row r="366" spans="1:20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315</v>
      </c>
      <c r="S367" s="81"/>
    </row>
    <row r="368" spans="1:20" ht="15" customHeight="1" x14ac:dyDescent="0.3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5">
      <c r="A378" s="163" t="s">
        <v>252</v>
      </c>
      <c r="B378" s="163"/>
      <c r="C378" s="163"/>
      <c r="D378" s="163"/>
      <c r="E378" s="163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250</v>
      </c>
      <c r="S378" s="74">
        <v>806300</v>
      </c>
      <c r="T378" s="99">
        <f>IFERROR(J378,"")</f>
        <v>169.32299999999998</v>
      </c>
    </row>
    <row r="379" spans="1:20" ht="18" customHeight="1" x14ac:dyDescent="0.35">
      <c r="A379" s="162" t="s">
        <v>253</v>
      </c>
      <c r="B379" s="162"/>
      <c r="C379" s="162"/>
      <c r="D379" s="162"/>
      <c r="E379" s="162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254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264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264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316</v>
      </c>
      <c r="S385" s="81"/>
    </row>
    <row r="386" spans="1:20" ht="15" customHeight="1" x14ac:dyDescent="0.3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5">
      <c r="A392" s="163" t="s">
        <v>249</v>
      </c>
      <c r="B392" s="163"/>
      <c r="C392" s="163"/>
      <c r="D392" s="163"/>
      <c r="E392" s="163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250</v>
      </c>
      <c r="S392" s="74">
        <v>820320</v>
      </c>
      <c r="T392" s="99">
        <f>IFERROR(J392,"")</f>
        <v>162.80881156626504</v>
      </c>
    </row>
    <row r="393" spans="1:20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317</v>
      </c>
      <c r="S396" s="81"/>
    </row>
    <row r="397" spans="1:20" ht="15" customHeight="1" x14ac:dyDescent="0.3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5">
      <c r="A405" s="163" t="s">
        <v>252</v>
      </c>
      <c r="B405" s="163"/>
      <c r="C405" s="163"/>
      <c r="D405" s="163"/>
      <c r="E405" s="163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250</v>
      </c>
      <c r="S405" s="74">
        <v>774540</v>
      </c>
      <c r="T405" s="99">
        <f>IFERROR(J405,"")</f>
        <v>156.22852721311477</v>
      </c>
    </row>
    <row r="406" spans="1:20" ht="18" customHeight="1" x14ac:dyDescent="0.35">
      <c r="A406" s="162" t="s">
        <v>253</v>
      </c>
      <c r="B406" s="162"/>
      <c r="C406" s="162"/>
      <c r="D406" s="162"/>
      <c r="E406" s="162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254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5">
      <c r="A419" s="163" t="s">
        <v>249</v>
      </c>
      <c r="B419" s="163"/>
      <c r="C419" s="163"/>
      <c r="D419" s="163"/>
      <c r="E419" s="163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250</v>
      </c>
      <c r="S419" s="74">
        <v>590830</v>
      </c>
      <c r="T419" s="99">
        <f>IFERROR(J419,"")</f>
        <v>85.079520000000002</v>
      </c>
    </row>
    <row r="420" spans="1:20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318</v>
      </c>
      <c r="S420" s="81"/>
    </row>
    <row r="421" spans="1:20" ht="15" customHeight="1" x14ac:dyDescent="0.3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5">
      <c r="A432" s="120" t="s">
        <v>252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250</v>
      </c>
      <c r="S432" s="74">
        <v>698420</v>
      </c>
      <c r="T432" s="99">
        <f>IFERROR(J432,"")</f>
        <v>100.57248</v>
      </c>
    </row>
    <row r="433" spans="1:20" ht="18" customHeight="1" x14ac:dyDescent="0.35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254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264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319</v>
      </c>
      <c r="S434" s="81"/>
    </row>
    <row r="435" spans="1:20" ht="15" customHeight="1" x14ac:dyDescent="0.3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320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5">
      <c r="A446" s="163" t="s">
        <v>249</v>
      </c>
      <c r="B446" s="163"/>
      <c r="C446" s="163"/>
      <c r="D446" s="163"/>
      <c r="E446" s="163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250</v>
      </c>
      <c r="S446" s="74">
        <v>449020</v>
      </c>
      <c r="T446" s="99">
        <f>IFERROR(J446,"")</f>
        <v>91.118987142857137</v>
      </c>
    </row>
    <row r="447" spans="1:20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248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321</v>
      </c>
      <c r="S452" s="81"/>
    </row>
    <row r="453" spans="1:20" ht="15" customHeight="1" x14ac:dyDescent="0.3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322</v>
      </c>
      <c r="S453" s="81"/>
    </row>
    <row r="454" spans="1:20" ht="15" customHeight="1" x14ac:dyDescent="0.3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5">
      <c r="A459" s="163" t="s">
        <v>252</v>
      </c>
      <c r="B459" s="163"/>
      <c r="C459" s="163"/>
      <c r="D459" s="163"/>
      <c r="E459" s="163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250</v>
      </c>
      <c r="S459" s="74">
        <v>738730</v>
      </c>
      <c r="T459" s="99">
        <f>IFERROR(J459,"")</f>
        <v>144.10511642857142</v>
      </c>
    </row>
    <row r="460" spans="1:20" ht="18" customHeight="1" x14ac:dyDescent="0.35">
      <c r="A460" s="162" t="s">
        <v>253</v>
      </c>
      <c r="B460" s="162"/>
      <c r="C460" s="162"/>
      <c r="D460" s="162"/>
      <c r="E460" s="162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254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323</v>
      </c>
      <c r="S465" s="81"/>
    </row>
    <row r="466" spans="1:20" ht="15" customHeight="1" x14ac:dyDescent="0.3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5">
      <c r="A473" s="163" t="s">
        <v>249</v>
      </c>
      <c r="B473" s="163"/>
      <c r="C473" s="163"/>
      <c r="D473" s="163"/>
      <c r="E473" s="163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250</v>
      </c>
      <c r="S473" s="74">
        <v>824760</v>
      </c>
      <c r="T473" s="99">
        <f>IFERROR(J473,"")</f>
        <v>118.76543999999998</v>
      </c>
    </row>
    <row r="474" spans="1:20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324</v>
      </c>
      <c r="S476" s="81"/>
    </row>
    <row r="477" spans="1:20" ht="15" customHeight="1" x14ac:dyDescent="0.3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325</v>
      </c>
      <c r="S479" s="81"/>
    </row>
    <row r="480" spans="1:20" ht="15" customHeight="1" x14ac:dyDescent="0.3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5">
      <c r="A486" s="163" t="s">
        <v>252</v>
      </c>
      <c r="B486" s="163"/>
      <c r="C486" s="163"/>
      <c r="D486" s="163"/>
      <c r="E486" s="163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250</v>
      </c>
      <c r="S486" s="74">
        <v>617620</v>
      </c>
      <c r="T486" s="99">
        <f>IFERROR(J486,"")</f>
        <v>88.937280000000001</v>
      </c>
    </row>
    <row r="487" spans="1:20" ht="18" customHeight="1" x14ac:dyDescent="0.35">
      <c r="A487" s="162" t="s">
        <v>253</v>
      </c>
      <c r="B487" s="162"/>
      <c r="C487" s="162"/>
      <c r="D487" s="162"/>
      <c r="E487" s="162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254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264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301</v>
      </c>
      <c r="S488" s="81"/>
    </row>
    <row r="489" spans="1:20" ht="15" customHeight="1" x14ac:dyDescent="0.3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264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5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264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35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264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35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248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281</v>
      </c>
      <c r="S492" s="81"/>
    </row>
    <row r="493" spans="1:20" ht="15" customHeight="1" x14ac:dyDescent="0.35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264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5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264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5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264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5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264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5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264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5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264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2"/>
        <v>0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5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264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5">
      <c r="A500" s="163" t="s">
        <v>249</v>
      </c>
      <c r="B500" s="163"/>
      <c r="C500" s="163"/>
      <c r="D500" s="163"/>
      <c r="E500" s="163"/>
      <c r="F500" s="95"/>
      <c r="G500" s="96">
        <f>SUM(G488:G499)</f>
        <v>127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542.20000000000005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250</v>
      </c>
      <c r="S500" s="74"/>
      <c r="T500" s="99">
        <f>IFERROR(J500,"")</f>
        <v>0</v>
      </c>
    </row>
    <row r="501" spans="1:20" ht="15" customHeight="1" x14ac:dyDescent="0.35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 x14ac:dyDescent="0.35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 x14ac:dyDescent="0.35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 x14ac:dyDescent="0.35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 x14ac:dyDescent="0.35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 x14ac:dyDescent="0.35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 x14ac:dyDescent="0.35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 x14ac:dyDescent="0.35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 x14ac:dyDescent="0.35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5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5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5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5">
      <c r="A513" s="120" t="s">
        <v>252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5">
      <c r="A514" s="122" t="s">
        <v>253</v>
      </c>
      <c r="B514" s="123"/>
      <c r="C514" s="123"/>
      <c r="D514" s="123"/>
      <c r="E514" s="123"/>
      <c r="F514" s="108"/>
      <c r="G514" s="109">
        <f>G500+G513</f>
        <v>127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542.20000000000005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5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 x14ac:dyDescent="0.35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 x14ac:dyDescent="0.35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 x14ac:dyDescent="0.35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 x14ac:dyDescent="0.35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 x14ac:dyDescent="0.35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5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5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5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5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5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5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5">
      <c r="A527" s="163" t="s">
        <v>249</v>
      </c>
      <c r="B527" s="163"/>
      <c r="C527" s="163"/>
      <c r="D527" s="163"/>
      <c r="E527" s="16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 x14ac:dyDescent="0.35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 x14ac:dyDescent="0.35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 x14ac:dyDescent="0.35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 x14ac:dyDescent="0.35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 x14ac:dyDescent="0.35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 x14ac:dyDescent="0.35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 x14ac:dyDescent="0.35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 x14ac:dyDescent="0.35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 x14ac:dyDescent="0.35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 x14ac:dyDescent="0.35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5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5">
      <c r="A540" s="163" t="s">
        <v>252</v>
      </c>
      <c r="B540" s="163"/>
      <c r="C540" s="163"/>
      <c r="D540" s="163"/>
      <c r="E540" s="16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5">
      <c r="A541" s="162" t="s">
        <v>253</v>
      </c>
      <c r="B541" s="162"/>
      <c r="C541" s="162"/>
      <c r="D541" s="162"/>
      <c r="E541" s="162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 x14ac:dyDescent="0.35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 x14ac:dyDescent="0.35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 x14ac:dyDescent="0.35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 x14ac:dyDescent="0.35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5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5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5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5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5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5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5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5">
      <c r="A554" s="163" t="s">
        <v>249</v>
      </c>
      <c r="B554" s="163"/>
      <c r="C554" s="163"/>
      <c r="D554" s="163"/>
      <c r="E554" s="16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 x14ac:dyDescent="0.35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5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5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5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5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5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5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5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5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5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5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5">
      <c r="A567" s="163" t="s">
        <v>252</v>
      </c>
      <c r="B567" s="163"/>
      <c r="C567" s="163"/>
      <c r="D567" s="163"/>
      <c r="E567" s="16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5">
      <c r="A568" s="162" t="s">
        <v>253</v>
      </c>
      <c r="B568" s="162"/>
      <c r="C568" s="162"/>
      <c r="D568" s="162"/>
      <c r="E568" s="162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 x14ac:dyDescent="0.35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35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5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5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5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5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5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5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5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5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5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5">
      <c r="A581" s="163" t="s">
        <v>249</v>
      </c>
      <c r="B581" s="163"/>
      <c r="C581" s="163"/>
      <c r="D581" s="163"/>
      <c r="E581" s="16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3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3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3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3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3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3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5">
      <c r="A594" s="163" t="s">
        <v>252</v>
      </c>
      <c r="B594" s="163"/>
      <c r="C594" s="163"/>
      <c r="D594" s="163"/>
      <c r="E594" s="16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5">
      <c r="A595" s="162" t="s">
        <v>253</v>
      </c>
      <c r="B595" s="162"/>
      <c r="C595" s="162"/>
      <c r="D595" s="162"/>
      <c r="E595" s="162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3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3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5">
      <c r="A608" s="163" t="s">
        <v>249</v>
      </c>
      <c r="B608" s="163"/>
      <c r="C608" s="163"/>
      <c r="D608" s="163"/>
      <c r="E608" s="16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5">
      <c r="A621" s="163" t="s">
        <v>252</v>
      </c>
      <c r="B621" s="163"/>
      <c r="C621" s="163"/>
      <c r="D621" s="163"/>
      <c r="E621" s="16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5">
      <c r="A622" s="162" t="s">
        <v>253</v>
      </c>
      <c r="B622" s="162"/>
      <c r="C622" s="162"/>
      <c r="D622" s="162"/>
      <c r="E622" s="162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254</v>
      </c>
      <c r="S622" s="82">
        <f>S608+S621</f>
        <v>0</v>
      </c>
      <c r="T622" s="118">
        <f>IFERROR(J622,"")</f>
        <v>0</v>
      </c>
    </row>
    <row r="623" spans="1:20" ht="15" customHeight="1" x14ac:dyDescent="0.3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5">
      <c r="A635" s="163" t="s">
        <v>249</v>
      </c>
      <c r="B635" s="163"/>
      <c r="C635" s="163"/>
      <c r="D635" s="163"/>
      <c r="E635" s="16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5">
      <c r="A648" s="163" t="s">
        <v>252</v>
      </c>
      <c r="B648" s="163"/>
      <c r="C648" s="163"/>
      <c r="D648" s="163"/>
      <c r="E648" s="16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5">
      <c r="A649" s="162" t="s">
        <v>253</v>
      </c>
      <c r="B649" s="162"/>
      <c r="C649" s="162"/>
      <c r="D649" s="162"/>
      <c r="E649" s="162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254</v>
      </c>
      <c r="S649" s="82">
        <f>S635+S648</f>
        <v>0</v>
      </c>
      <c r="T649" s="118">
        <f>IFERROR(J649,"")</f>
        <v>0</v>
      </c>
    </row>
    <row r="650" spans="1:20" ht="15" customHeight="1" x14ac:dyDescent="0.3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5">
      <c r="A662" s="163" t="s">
        <v>249</v>
      </c>
      <c r="B662" s="163"/>
      <c r="C662" s="163"/>
      <c r="D662" s="163"/>
      <c r="E662" s="16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5">
      <c r="A675" s="163" t="s">
        <v>252</v>
      </c>
      <c r="B675" s="163"/>
      <c r="C675" s="163"/>
      <c r="D675" s="163"/>
      <c r="E675" s="16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5">
      <c r="A676" s="162" t="s">
        <v>253</v>
      </c>
      <c r="B676" s="162"/>
      <c r="C676" s="162"/>
      <c r="D676" s="162"/>
      <c r="E676" s="162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5">
      <c r="A689" s="163" t="s">
        <v>249</v>
      </c>
      <c r="B689" s="163"/>
      <c r="C689" s="163"/>
      <c r="D689" s="163"/>
      <c r="E689" s="16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5">
      <c r="A702" s="163" t="s">
        <v>252</v>
      </c>
      <c r="B702" s="163"/>
      <c r="C702" s="163"/>
      <c r="D702" s="163"/>
      <c r="E702" s="16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5">
      <c r="A703" s="162" t="s">
        <v>253</v>
      </c>
      <c r="B703" s="162"/>
      <c r="C703" s="162"/>
      <c r="D703" s="162"/>
      <c r="E703" s="162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5">
      <c r="A716" s="163" t="s">
        <v>249</v>
      </c>
      <c r="B716" s="163"/>
      <c r="C716" s="163"/>
      <c r="D716" s="163"/>
      <c r="E716" s="16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5">
      <c r="A729" s="163" t="s">
        <v>252</v>
      </c>
      <c r="B729" s="163"/>
      <c r="C729" s="163"/>
      <c r="D729" s="163"/>
      <c r="E729" s="16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5">
      <c r="A730" s="162" t="s">
        <v>253</v>
      </c>
      <c r="B730" s="162"/>
      <c r="C730" s="162"/>
      <c r="D730" s="162"/>
      <c r="E730" s="162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5">
      <c r="A743" s="163" t="s">
        <v>249</v>
      </c>
      <c r="B743" s="163"/>
      <c r="C743" s="163"/>
      <c r="D743" s="163"/>
      <c r="E743" s="16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5">
      <c r="A756" s="163" t="s">
        <v>252</v>
      </c>
      <c r="B756" s="163"/>
      <c r="C756" s="163"/>
      <c r="D756" s="163"/>
      <c r="E756" s="16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5">
      <c r="A757" s="162" t="s">
        <v>253</v>
      </c>
      <c r="B757" s="162"/>
      <c r="C757" s="162"/>
      <c r="D757" s="162"/>
      <c r="E757" s="162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5">
      <c r="A770" s="163" t="s">
        <v>249</v>
      </c>
      <c r="B770" s="163"/>
      <c r="C770" s="163"/>
      <c r="D770" s="163"/>
      <c r="E770" s="16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5">
      <c r="A783" s="163" t="s">
        <v>252</v>
      </c>
      <c r="B783" s="163"/>
      <c r="C783" s="163"/>
      <c r="D783" s="163"/>
      <c r="E783" s="16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5">
      <c r="A784" s="162" t="s">
        <v>253</v>
      </c>
      <c r="B784" s="162"/>
      <c r="C784" s="162"/>
      <c r="D784" s="162"/>
      <c r="E784" s="162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5">
      <c r="A797" s="163" t="s">
        <v>249</v>
      </c>
      <c r="B797" s="163"/>
      <c r="C797" s="163"/>
      <c r="D797" s="163"/>
      <c r="E797" s="16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5">
      <c r="A810" s="163" t="s">
        <v>252</v>
      </c>
      <c r="B810" s="163"/>
      <c r="C810" s="163"/>
      <c r="D810" s="163"/>
      <c r="E810" s="16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5">
      <c r="A811" s="162" t="s">
        <v>253</v>
      </c>
      <c r="B811" s="162"/>
      <c r="C811" s="162"/>
      <c r="D811" s="162"/>
      <c r="E811" s="162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5">
      <c r="A824" s="163" t="s">
        <v>249</v>
      </c>
      <c r="B824" s="163"/>
      <c r="C824" s="163"/>
      <c r="D824" s="163"/>
      <c r="E824" s="16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250</v>
      </c>
      <c r="S824" s="113"/>
      <c r="T824" s="114">
        <f>IFERROR(J824,"")</f>
        <v>0</v>
      </c>
    </row>
    <row r="825" spans="1:20" ht="15" customHeight="1" x14ac:dyDescent="0.3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5">
      <c r="A837" s="163" t="s">
        <v>252</v>
      </c>
      <c r="B837" s="163"/>
      <c r="C837" s="163"/>
      <c r="D837" s="163"/>
      <c r="E837" s="16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250</v>
      </c>
      <c r="S837" s="113"/>
      <c r="T837" s="114">
        <f>IFERROR(J837,"")</f>
        <v>0</v>
      </c>
    </row>
    <row r="838" spans="1:20" ht="18" customHeight="1" x14ac:dyDescent="0.35">
      <c r="A838" s="162" t="s">
        <v>253</v>
      </c>
      <c r="B838" s="162"/>
      <c r="C838" s="162"/>
      <c r="D838" s="162"/>
      <c r="E838" s="162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254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2" sqref="G492"/>
    </sheetView>
  </sheetViews>
  <sheetFormatPr defaultColWidth="8.54296875" defaultRowHeight="14.5" x14ac:dyDescent="0.35"/>
  <cols>
    <col min="1" max="1" width="15.36328125" style="85" customWidth="1"/>
    <col min="2" max="2" width="9" style="54" customWidth="1"/>
    <col min="3" max="3" width="14" style="54" customWidth="1"/>
    <col min="4" max="5" width="16" style="54" customWidth="1"/>
    <col min="6" max="6" width="13.81640625" style="54" hidden="1" customWidth="1"/>
    <col min="7" max="7" width="13" style="54" customWidth="1"/>
    <col min="8" max="8" width="15.81640625" style="54" hidden="1" customWidth="1"/>
    <col min="9" max="10" width="13.81640625" style="54" hidden="1" customWidth="1"/>
    <col min="11" max="11" width="14" style="54" customWidth="1"/>
    <col min="12" max="12" width="32.81640625" style="54" customWidth="1"/>
    <col min="13" max="13" width="30.453125" style="54" customWidth="1"/>
    <col min="14" max="14" width="46.453125" style="54" customWidth="1"/>
    <col min="15" max="15" width="12" style="54" customWidth="1"/>
    <col min="16" max="16" width="16.453125" style="55" customWidth="1"/>
    <col min="17" max="17" width="14" style="54" customWidth="1"/>
    <col min="18" max="18" width="56.54296875" style="54" customWidth="1"/>
    <col min="19" max="19" width="31.54296875" customWidth="1"/>
    <col min="20" max="20" width="14.81640625" hidden="1" customWidth="1"/>
  </cols>
  <sheetData>
    <row r="1" spans="1:20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5">
      <c r="A14" s="163" t="s">
        <v>249</v>
      </c>
      <c r="B14" s="163"/>
      <c r="C14" s="163"/>
      <c r="D14" s="163"/>
      <c r="E14" s="163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250</v>
      </c>
      <c r="S14" s="74">
        <v>326520</v>
      </c>
      <c r="T14" s="99">
        <f>IFERROR(J14,"")</f>
        <v>0</v>
      </c>
    </row>
    <row r="15" spans="1:20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264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326</v>
      </c>
      <c r="S15" s="67"/>
    </row>
    <row r="16" spans="1:20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264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264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264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288</v>
      </c>
      <c r="S18" s="67"/>
    </row>
    <row r="19" spans="1:20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264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327</v>
      </c>
      <c r="S19" s="67"/>
    </row>
    <row r="20" spans="1:20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264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264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264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264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264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264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264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5">
      <c r="A27" s="163" t="s">
        <v>252</v>
      </c>
      <c r="B27" s="163"/>
      <c r="C27" s="163"/>
      <c r="D27" s="163"/>
      <c r="E27" s="163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250</v>
      </c>
      <c r="S27" s="74">
        <v>358000</v>
      </c>
      <c r="T27" s="99">
        <f>IFERROR(J27,"")</f>
        <v>0</v>
      </c>
    </row>
    <row r="28" spans="1:20" ht="18" customHeight="1" x14ac:dyDescent="0.35">
      <c r="A28" s="162" t="s">
        <v>253</v>
      </c>
      <c r="B28" s="162"/>
      <c r="C28" s="162"/>
      <c r="D28" s="162"/>
      <c r="E28" s="162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254</v>
      </c>
      <c r="S28" s="30">
        <f>IFERROR(S14+S27,"")</f>
        <v>684520</v>
      </c>
      <c r="T28" s="31">
        <f>IFERROR(J28,"")</f>
        <v>0</v>
      </c>
    </row>
    <row r="29" spans="1:20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264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264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264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264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264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264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264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264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264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264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264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264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5">
      <c r="A41" s="163" t="s">
        <v>249</v>
      </c>
      <c r="B41" s="163"/>
      <c r="C41" s="163"/>
      <c r="D41" s="163"/>
      <c r="E41" s="163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250</v>
      </c>
      <c r="S41" s="74">
        <v>237080</v>
      </c>
      <c r="T41" s="99">
        <f>IFERROR(J41,"")</f>
        <v>0</v>
      </c>
    </row>
    <row r="42" spans="1:20" ht="15" customHeight="1" x14ac:dyDescent="0.3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294</v>
      </c>
      <c r="S42" s="67"/>
    </row>
    <row r="43" spans="1:20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326</v>
      </c>
      <c r="S43" s="67"/>
    </row>
    <row r="44" spans="1:20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326</v>
      </c>
      <c r="S50" s="67"/>
    </row>
    <row r="51" spans="1:20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5">
      <c r="A54" s="163" t="s">
        <v>252</v>
      </c>
      <c r="B54" s="163"/>
      <c r="C54" s="163"/>
      <c r="D54" s="163"/>
      <c r="E54" s="163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250</v>
      </c>
      <c r="S54" s="74">
        <v>279980</v>
      </c>
      <c r="T54" s="99">
        <f>IFERROR(J54,"")</f>
        <v>0</v>
      </c>
    </row>
    <row r="55" spans="1:20" ht="18" customHeight="1" x14ac:dyDescent="0.35">
      <c r="A55" s="162" t="s">
        <v>253</v>
      </c>
      <c r="B55" s="162"/>
      <c r="C55" s="162"/>
      <c r="D55" s="162"/>
      <c r="E55" s="162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254</v>
      </c>
      <c r="S55" s="30">
        <f>IFERROR(S41+S54,"")</f>
        <v>517060</v>
      </c>
      <c r="T55" s="31">
        <f>IFERROR(J55,"")</f>
        <v>0</v>
      </c>
    </row>
    <row r="56" spans="1:20" ht="15" customHeight="1" x14ac:dyDescent="0.3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264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264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264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264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264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328</v>
      </c>
      <c r="S62" s="67"/>
    </row>
    <row r="63" spans="1:20" ht="15" customHeight="1" x14ac:dyDescent="0.3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264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264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264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264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264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5">
      <c r="A68" s="163" t="s">
        <v>249</v>
      </c>
      <c r="B68" s="163"/>
      <c r="C68" s="163"/>
      <c r="D68" s="163"/>
      <c r="E68" s="163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250</v>
      </c>
      <c r="S68" s="74">
        <v>221380</v>
      </c>
      <c r="T68" s="99">
        <f>IFERROR(J68,"")</f>
        <v>0</v>
      </c>
    </row>
    <row r="69" spans="1:20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329</v>
      </c>
      <c r="S69" s="67"/>
    </row>
    <row r="70" spans="1:20" ht="15" customHeight="1" x14ac:dyDescent="0.3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5">
      <c r="A81" s="163" t="s">
        <v>252</v>
      </c>
      <c r="B81" s="163"/>
      <c r="C81" s="163"/>
      <c r="D81" s="163"/>
      <c r="E81" s="163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250</v>
      </c>
      <c r="S81" s="74">
        <v>185920</v>
      </c>
      <c r="T81" s="99">
        <f>IFERROR(J81,"")</f>
        <v>0</v>
      </c>
    </row>
    <row r="82" spans="1:20" ht="18" customHeight="1" x14ac:dyDescent="0.35">
      <c r="A82" s="162" t="s">
        <v>253</v>
      </c>
      <c r="B82" s="162"/>
      <c r="C82" s="162"/>
      <c r="D82" s="162"/>
      <c r="E82" s="162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254</v>
      </c>
      <c r="S82" s="30">
        <f>IFERROR(S68+S81,"")</f>
        <v>407300</v>
      </c>
      <c r="T82" s="31">
        <f>IFERROR(J82,"")</f>
        <v>0</v>
      </c>
    </row>
    <row r="83" spans="1:20" ht="15" customHeight="1" x14ac:dyDescent="0.3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264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330</v>
      </c>
      <c r="S83" s="67"/>
    </row>
    <row r="84" spans="1:20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331</v>
      </c>
      <c r="S84" s="67"/>
    </row>
    <row r="85" spans="1:20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5">
      <c r="A95" s="163" t="s">
        <v>249</v>
      </c>
      <c r="B95" s="163"/>
      <c r="C95" s="163"/>
      <c r="D95" s="163"/>
      <c r="E95" s="163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250</v>
      </c>
      <c r="S95" s="74">
        <v>204160</v>
      </c>
      <c r="T95" s="99">
        <f>IFERROR(J95,"")</f>
        <v>0</v>
      </c>
    </row>
    <row r="96" spans="1:20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332</v>
      </c>
      <c r="S97" s="67"/>
    </row>
    <row r="98" spans="1:20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5">
      <c r="A108" s="163" t="s">
        <v>252</v>
      </c>
      <c r="B108" s="163"/>
      <c r="C108" s="163"/>
      <c r="D108" s="163"/>
      <c r="E108" s="163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250</v>
      </c>
      <c r="S108" s="74">
        <v>434370</v>
      </c>
      <c r="T108" s="99">
        <f>IFERROR(J108,"")</f>
        <v>0</v>
      </c>
    </row>
    <row r="109" spans="1:20" ht="18" customHeight="1" x14ac:dyDescent="0.35">
      <c r="A109" s="162" t="s">
        <v>253</v>
      </c>
      <c r="B109" s="162"/>
      <c r="C109" s="162"/>
      <c r="D109" s="162"/>
      <c r="E109" s="162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254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5">
      <c r="A122" s="163" t="s">
        <v>249</v>
      </c>
      <c r="B122" s="163"/>
      <c r="C122" s="163"/>
      <c r="D122" s="163"/>
      <c r="E122" s="163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250</v>
      </c>
      <c r="S122" s="74">
        <v>320370</v>
      </c>
      <c r="T122" s="99">
        <f>IFERROR(J122,"")</f>
        <v>0</v>
      </c>
    </row>
    <row r="123" spans="1:20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333</v>
      </c>
      <c r="S125" s="67"/>
    </row>
    <row r="126" spans="1:20" ht="15" customHeight="1" x14ac:dyDescent="0.3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5">
      <c r="A135" s="163" t="s">
        <v>252</v>
      </c>
      <c r="B135" s="163"/>
      <c r="C135" s="163"/>
      <c r="D135" s="163"/>
      <c r="E135" s="163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250</v>
      </c>
      <c r="S135" s="74">
        <v>416350</v>
      </c>
      <c r="T135" s="99">
        <f>IFERROR(J135,"")</f>
        <v>0</v>
      </c>
    </row>
    <row r="136" spans="1:20" ht="18" customHeight="1" x14ac:dyDescent="0.35">
      <c r="A136" s="162" t="s">
        <v>253</v>
      </c>
      <c r="B136" s="162"/>
      <c r="C136" s="162"/>
      <c r="D136" s="162"/>
      <c r="E136" s="162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254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334</v>
      </c>
      <c r="S137" s="67"/>
    </row>
    <row r="138" spans="1:20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302</v>
      </c>
      <c r="S144" s="67"/>
    </row>
    <row r="145" spans="1:20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5">
      <c r="A149" s="163" t="s">
        <v>249</v>
      </c>
      <c r="B149" s="163"/>
      <c r="C149" s="163"/>
      <c r="D149" s="163"/>
      <c r="E149" s="163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250</v>
      </c>
      <c r="S149" s="74">
        <v>138890</v>
      </c>
      <c r="T149" s="99">
        <f>IFERROR(J149,"")</f>
        <v>0</v>
      </c>
    </row>
    <row r="150" spans="1:20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294</v>
      </c>
      <c r="S153" s="67"/>
    </row>
    <row r="154" spans="1:20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5">
      <c r="A162" s="163" t="s">
        <v>252</v>
      </c>
      <c r="B162" s="163"/>
      <c r="C162" s="163"/>
      <c r="D162" s="163"/>
      <c r="E162" s="163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250</v>
      </c>
      <c r="S162" s="74">
        <v>169760</v>
      </c>
      <c r="T162" s="99">
        <f>IFERROR(J162,"")</f>
        <v>0</v>
      </c>
    </row>
    <row r="163" spans="1:20" ht="18" customHeight="1" x14ac:dyDescent="0.35">
      <c r="A163" s="162" t="s">
        <v>253</v>
      </c>
      <c r="B163" s="162"/>
      <c r="C163" s="162"/>
      <c r="D163" s="162"/>
      <c r="E163" s="162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254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264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264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335</v>
      </c>
      <c r="S166" s="67"/>
    </row>
    <row r="167" spans="1:20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264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264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264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264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264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264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264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264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264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5">
      <c r="A176" s="163" t="s">
        <v>249</v>
      </c>
      <c r="B176" s="163"/>
      <c r="C176" s="163"/>
      <c r="D176" s="163"/>
      <c r="E176" s="163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250</v>
      </c>
      <c r="S176" s="74">
        <v>271350</v>
      </c>
      <c r="T176" s="99">
        <f>IFERROR(J176,"")</f>
        <v>0</v>
      </c>
    </row>
    <row r="177" spans="1:20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264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336</v>
      </c>
      <c r="S179" s="67"/>
    </row>
    <row r="180" spans="1:20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264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264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305</v>
      </c>
      <c r="S182" s="67"/>
    </row>
    <row r="183" spans="1:20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264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305</v>
      </c>
      <c r="S185" s="67"/>
    </row>
    <row r="186" spans="1:20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264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264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5">
      <c r="A189" s="163" t="s">
        <v>252</v>
      </c>
      <c r="B189" s="163"/>
      <c r="C189" s="163"/>
      <c r="D189" s="163"/>
      <c r="E189" s="163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250</v>
      </c>
      <c r="S189" s="74">
        <v>72220</v>
      </c>
      <c r="T189" s="99">
        <f>IFERROR(J189,"")</f>
        <v>0</v>
      </c>
    </row>
    <row r="190" spans="1:20" ht="18" customHeight="1" x14ac:dyDescent="0.35">
      <c r="A190" s="162" t="s">
        <v>253</v>
      </c>
      <c r="B190" s="162"/>
      <c r="C190" s="162"/>
      <c r="D190" s="162"/>
      <c r="E190" s="162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254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5">
      <c r="A203" s="163" t="s">
        <v>249</v>
      </c>
      <c r="B203" s="163"/>
      <c r="C203" s="163"/>
      <c r="D203" s="163"/>
      <c r="E203" s="163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250</v>
      </c>
      <c r="S203" s="74">
        <v>92510</v>
      </c>
      <c r="T203" s="99">
        <f>IFERROR(J203,"")</f>
        <v>0</v>
      </c>
    </row>
    <row r="204" spans="1:20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337</v>
      </c>
      <c r="S205" s="81"/>
    </row>
    <row r="206" spans="1:20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5">
      <c r="A216" s="163" t="s">
        <v>252</v>
      </c>
      <c r="B216" s="163"/>
      <c r="C216" s="163"/>
      <c r="D216" s="163"/>
      <c r="E216" s="163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250</v>
      </c>
      <c r="S216" s="74">
        <v>148720</v>
      </c>
      <c r="T216" s="99">
        <f>IFERROR(J216,"")</f>
        <v>0</v>
      </c>
    </row>
    <row r="217" spans="1:20" ht="18" customHeight="1" x14ac:dyDescent="0.35">
      <c r="A217" s="162" t="s">
        <v>253</v>
      </c>
      <c r="B217" s="162"/>
      <c r="C217" s="162"/>
      <c r="D217" s="162"/>
      <c r="E217" s="162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254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338</v>
      </c>
      <c r="S221" s="81"/>
    </row>
    <row r="222" spans="1:20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339</v>
      </c>
      <c r="Q222" s="66" t="str">
        <f t="shared" ca="1" si="49"/>
        <v/>
      </c>
      <c r="R222" s="63" t="s">
        <v>340</v>
      </c>
      <c r="S222" s="81"/>
    </row>
    <row r="223" spans="1:20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5">
      <c r="A230" s="163" t="s">
        <v>249</v>
      </c>
      <c r="B230" s="163"/>
      <c r="C230" s="163"/>
      <c r="D230" s="163"/>
      <c r="E230" s="163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250</v>
      </c>
      <c r="S230" s="74">
        <v>329640</v>
      </c>
      <c r="T230" s="99">
        <f>IFERROR(J230,"")</f>
        <v>0</v>
      </c>
    </row>
    <row r="231" spans="1:20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5">
      <c r="A243" s="163" t="s">
        <v>252</v>
      </c>
      <c r="B243" s="163"/>
      <c r="C243" s="163"/>
      <c r="D243" s="163"/>
      <c r="E243" s="163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250</v>
      </c>
      <c r="S243" s="74">
        <v>352720</v>
      </c>
      <c r="T243" s="99">
        <f>IFERROR(J243,"")</f>
        <v>0</v>
      </c>
    </row>
    <row r="244" spans="1:20" ht="18" customHeight="1" x14ac:dyDescent="0.35">
      <c r="A244" s="162" t="s">
        <v>253</v>
      </c>
      <c r="B244" s="162"/>
      <c r="C244" s="162"/>
      <c r="D244" s="162"/>
      <c r="E244" s="162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254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341</v>
      </c>
      <c r="S245" s="81"/>
    </row>
    <row r="246" spans="1:20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248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248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5">
      <c r="A257" s="163" t="s">
        <v>249</v>
      </c>
      <c r="B257" s="163"/>
      <c r="C257" s="163"/>
      <c r="D257" s="163"/>
      <c r="E257" s="163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250</v>
      </c>
      <c r="S257" s="74">
        <v>549440</v>
      </c>
      <c r="T257" s="99">
        <f>IFERROR(J257,"")</f>
        <v>0</v>
      </c>
    </row>
    <row r="258" spans="1:20" ht="15" customHeight="1" x14ac:dyDescent="0.35">
      <c r="A258" s="18">
        <v>46244</v>
      </c>
      <c r="B258" s="68">
        <v>0.83333333333333304</v>
      </c>
      <c r="C258" s="70"/>
      <c r="D258" s="75" t="s">
        <v>47</v>
      </c>
      <c r="E258" s="54" t="s">
        <v>264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264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264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264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264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264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264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264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264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264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264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264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5">
      <c r="A270" s="163" t="s">
        <v>252</v>
      </c>
      <c r="B270" s="163"/>
      <c r="C270" s="163"/>
      <c r="D270" s="163"/>
      <c r="E270" s="163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250</v>
      </c>
      <c r="S270" s="74">
        <v>327900</v>
      </c>
      <c r="T270" s="99">
        <f>IFERROR(J270,"")</f>
        <v>0</v>
      </c>
    </row>
    <row r="271" spans="1:20" ht="18" customHeight="1" x14ac:dyDescent="0.35">
      <c r="A271" s="162" t="s">
        <v>253</v>
      </c>
      <c r="B271" s="162"/>
      <c r="C271" s="162"/>
      <c r="D271" s="162"/>
      <c r="E271" s="162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254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264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264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264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264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248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264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5">
      <c r="A284" s="163" t="s">
        <v>249</v>
      </c>
      <c r="B284" s="163"/>
      <c r="C284" s="163"/>
      <c r="D284" s="163"/>
      <c r="E284" s="163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250</v>
      </c>
      <c r="S284" s="74">
        <v>373120</v>
      </c>
      <c r="T284" s="99">
        <f>IFERROR(J284,"")</f>
        <v>0</v>
      </c>
    </row>
    <row r="285" spans="1:20" ht="15" customHeight="1" x14ac:dyDescent="0.3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248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248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264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248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248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248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248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248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248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248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248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248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5">
      <c r="A297" s="163" t="s">
        <v>252</v>
      </c>
      <c r="B297" s="163"/>
      <c r="C297" s="163"/>
      <c r="D297" s="163"/>
      <c r="E297" s="163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250</v>
      </c>
      <c r="S297" s="74">
        <v>462190</v>
      </c>
      <c r="T297" s="99">
        <f>IFERROR(J297,"")</f>
        <v>0</v>
      </c>
    </row>
    <row r="298" spans="1:20" ht="18" customHeight="1" x14ac:dyDescent="0.35">
      <c r="A298" s="162" t="s">
        <v>253</v>
      </c>
      <c r="B298" s="162"/>
      <c r="C298" s="162"/>
      <c r="D298" s="162"/>
      <c r="E298" s="162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254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264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264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264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264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264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264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264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264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264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264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264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264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5">
      <c r="A311" s="163" t="s">
        <v>249</v>
      </c>
      <c r="B311" s="163"/>
      <c r="C311" s="163"/>
      <c r="D311" s="163"/>
      <c r="E311" s="163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250</v>
      </c>
      <c r="S311" s="74">
        <v>567440</v>
      </c>
      <c r="T311" s="99">
        <f>IFERROR(J311,"")</f>
        <v>96.630879999999991</v>
      </c>
    </row>
    <row r="312" spans="1:20" ht="15" customHeight="1" x14ac:dyDescent="0.3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264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264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264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264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264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264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264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264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264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264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264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264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5">
      <c r="A324" s="163" t="s">
        <v>252</v>
      </c>
      <c r="B324" s="163"/>
      <c r="C324" s="163"/>
      <c r="D324" s="163"/>
      <c r="E324" s="163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250</v>
      </c>
      <c r="S324" s="74">
        <v>289490</v>
      </c>
      <c r="T324" s="99">
        <f>IFERROR(J324,"")</f>
        <v>41.68656</v>
      </c>
    </row>
    <row r="325" spans="1:20" ht="18" customHeight="1" x14ac:dyDescent="0.35">
      <c r="A325" s="162" t="s">
        <v>253</v>
      </c>
      <c r="B325" s="162"/>
      <c r="C325" s="162"/>
      <c r="D325" s="162"/>
      <c r="E325" s="162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254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312</v>
      </c>
      <c r="S326" s="81"/>
    </row>
    <row r="327" spans="1:20" ht="15" customHeight="1" x14ac:dyDescent="0.3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342</v>
      </c>
      <c r="S327" s="81"/>
    </row>
    <row r="328" spans="1:20" ht="15" customHeight="1" x14ac:dyDescent="0.3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313</v>
      </c>
      <c r="S329" s="81"/>
    </row>
    <row r="330" spans="1:20" ht="15" customHeight="1" x14ac:dyDescent="0.3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248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264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5">
      <c r="A338" s="163" t="s">
        <v>249</v>
      </c>
      <c r="B338" s="163"/>
      <c r="C338" s="163"/>
      <c r="D338" s="163"/>
      <c r="E338" s="163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250</v>
      </c>
      <c r="S338" s="74">
        <v>387310</v>
      </c>
      <c r="T338" s="99">
        <f>IFERROR(J338,"")</f>
        <v>81.335099999999983</v>
      </c>
    </row>
    <row r="339" spans="1:20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5">
      <c r="A351" s="163" t="s">
        <v>252</v>
      </c>
      <c r="B351" s="163"/>
      <c r="C351" s="163"/>
      <c r="D351" s="163"/>
      <c r="E351" s="163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250</v>
      </c>
      <c r="S351" s="74">
        <v>256170</v>
      </c>
      <c r="T351" s="99">
        <f>IFERROR(J351,"")</f>
        <v>53.795699999999997</v>
      </c>
    </row>
    <row r="352" spans="1:20" ht="18" customHeight="1" x14ac:dyDescent="0.35">
      <c r="A352" s="162" t="s">
        <v>253</v>
      </c>
      <c r="B352" s="162"/>
      <c r="C352" s="162"/>
      <c r="D352" s="162"/>
      <c r="E352" s="162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254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294</v>
      </c>
      <c r="S354" s="81"/>
    </row>
    <row r="355" spans="1:20" ht="15" customHeight="1" x14ac:dyDescent="0.3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5">
      <c r="A365" s="163" t="s">
        <v>249</v>
      </c>
      <c r="B365" s="163"/>
      <c r="C365" s="163"/>
      <c r="D365" s="163"/>
      <c r="E365" s="163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250</v>
      </c>
      <c r="S365" s="74">
        <v>332130</v>
      </c>
      <c r="T365" s="99">
        <f>IFERROR(J365,"")</f>
        <v>69.747299999999981</v>
      </c>
    </row>
    <row r="366" spans="1:20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5">
      <c r="A378" s="163" t="s">
        <v>252</v>
      </c>
      <c r="B378" s="163"/>
      <c r="C378" s="163"/>
      <c r="D378" s="163"/>
      <c r="E378" s="163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250</v>
      </c>
      <c r="S378" s="74">
        <v>360560</v>
      </c>
      <c r="T378" s="99">
        <f>IFERROR(J378,"")</f>
        <v>75.71759999999999</v>
      </c>
    </row>
    <row r="379" spans="1:20" ht="18" customHeight="1" x14ac:dyDescent="0.35">
      <c r="A379" s="162" t="s">
        <v>253</v>
      </c>
      <c r="B379" s="162"/>
      <c r="C379" s="162"/>
      <c r="D379" s="162"/>
      <c r="E379" s="162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254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264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343</v>
      </c>
      <c r="S383" s="81"/>
    </row>
    <row r="384" spans="1:20" ht="15" customHeight="1" x14ac:dyDescent="0.3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316</v>
      </c>
      <c r="S384" s="81"/>
    </row>
    <row r="385" spans="1:20" ht="15" customHeight="1" x14ac:dyDescent="0.3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5">
      <c r="A392" s="163" t="s">
        <v>249</v>
      </c>
      <c r="B392" s="163"/>
      <c r="C392" s="163"/>
      <c r="D392" s="163"/>
      <c r="E392" s="163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250</v>
      </c>
      <c r="S392" s="74">
        <v>479620</v>
      </c>
      <c r="T392" s="99">
        <f>IFERROR(J392,"")</f>
        <v>100.72019999999998</v>
      </c>
    </row>
    <row r="393" spans="1:20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5">
      <c r="A405" s="163" t="s">
        <v>252</v>
      </c>
      <c r="B405" s="163"/>
      <c r="C405" s="163"/>
      <c r="D405" s="163"/>
      <c r="E405" s="163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250</v>
      </c>
      <c r="S405" s="74">
        <v>489360</v>
      </c>
      <c r="T405" s="99">
        <f>IFERROR(J405,"")</f>
        <v>99.305125714285708</v>
      </c>
    </row>
    <row r="406" spans="1:20" ht="18" customHeight="1" x14ac:dyDescent="0.35">
      <c r="A406" s="162" t="s">
        <v>253</v>
      </c>
      <c r="B406" s="162"/>
      <c r="C406" s="162"/>
      <c r="D406" s="162"/>
      <c r="E406" s="162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254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344</v>
      </c>
      <c r="S408" s="81"/>
    </row>
    <row r="409" spans="1:20" ht="15" customHeight="1" x14ac:dyDescent="0.3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5">
      <c r="A419" s="163" t="s">
        <v>249</v>
      </c>
      <c r="B419" s="163"/>
      <c r="C419" s="163"/>
      <c r="D419" s="163"/>
      <c r="E419" s="163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250</v>
      </c>
      <c r="S419" s="74">
        <v>447620</v>
      </c>
      <c r="T419" s="99">
        <f>IFERROR(J419,"")</f>
        <v>64.457279999999997</v>
      </c>
    </row>
    <row r="420" spans="1:20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345</v>
      </c>
    </row>
    <row r="421" spans="1:20" ht="15" customHeight="1" x14ac:dyDescent="0.3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5">
      <c r="A432" s="163" t="s">
        <v>252</v>
      </c>
      <c r="B432" s="163"/>
      <c r="C432" s="163"/>
      <c r="D432" s="163"/>
      <c r="E432" s="163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250</v>
      </c>
      <c r="S432" s="74">
        <v>180150</v>
      </c>
      <c r="T432" s="99">
        <f>IFERROR(J432,"")</f>
        <v>25.941599999999998</v>
      </c>
    </row>
    <row r="433" spans="1:20" ht="18" customHeight="1" x14ac:dyDescent="0.35">
      <c r="A433" s="162" t="s">
        <v>253</v>
      </c>
      <c r="B433" s="162"/>
      <c r="C433" s="162"/>
      <c r="D433" s="162"/>
      <c r="E433" s="162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254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264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346</v>
      </c>
      <c r="S434" s="81"/>
    </row>
    <row r="435" spans="1:20" ht="15" customHeight="1" x14ac:dyDescent="0.3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346</v>
      </c>
      <c r="S436" s="81"/>
    </row>
    <row r="437" spans="1:20" ht="15" customHeight="1" x14ac:dyDescent="0.3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264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5">
      <c r="A446" s="163" t="s">
        <v>249</v>
      </c>
      <c r="B446" s="163"/>
      <c r="C446" s="163"/>
      <c r="D446" s="163"/>
      <c r="E446" s="163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250</v>
      </c>
      <c r="S446" s="74">
        <v>389280</v>
      </c>
      <c r="T446" s="99">
        <f>IFERROR(J446,"")</f>
        <v>74.494452705882338</v>
      </c>
    </row>
    <row r="447" spans="1:20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347</v>
      </c>
      <c r="S449" s="81"/>
    </row>
    <row r="450" spans="1:20" ht="15" customHeight="1" x14ac:dyDescent="0.3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264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5">
      <c r="A459" s="163" t="s">
        <v>252</v>
      </c>
      <c r="B459" s="163"/>
      <c r="C459" s="163"/>
      <c r="D459" s="163"/>
      <c r="E459" s="163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250</v>
      </c>
      <c r="S459" s="74">
        <v>471910</v>
      </c>
      <c r="T459" s="99">
        <f>IFERROR(J459,"")</f>
        <v>92.928007027027007</v>
      </c>
    </row>
    <row r="460" spans="1:20" ht="18" customHeight="1" x14ac:dyDescent="0.35">
      <c r="A460" s="162" t="s">
        <v>253</v>
      </c>
      <c r="B460" s="162"/>
      <c r="C460" s="162"/>
      <c r="D460" s="162"/>
      <c r="E460" s="162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254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5">
      <c r="A473" s="163" t="s">
        <v>249</v>
      </c>
      <c r="B473" s="163"/>
      <c r="C473" s="163"/>
      <c r="D473" s="163"/>
      <c r="E473" s="163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250</v>
      </c>
      <c r="S473" s="74">
        <v>353640</v>
      </c>
      <c r="T473" s="99">
        <f>IFERROR(J473,"")</f>
        <v>50.924159999999993</v>
      </c>
    </row>
    <row r="474" spans="1:20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294</v>
      </c>
      <c r="S474" s="81"/>
    </row>
    <row r="475" spans="1:20" ht="15" customHeight="1" x14ac:dyDescent="0.3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348</v>
      </c>
      <c r="S477" s="81"/>
    </row>
    <row r="478" spans="1:20" ht="15" customHeight="1" x14ac:dyDescent="0.3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5">
      <c r="A486" s="163" t="s">
        <v>252</v>
      </c>
      <c r="B486" s="163"/>
      <c r="C486" s="163"/>
      <c r="D486" s="163"/>
      <c r="E486" s="163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250</v>
      </c>
      <c r="S486" s="74">
        <v>261400</v>
      </c>
      <c r="T486" s="99">
        <f>IFERROR(J486,"")</f>
        <v>37.641599999999997</v>
      </c>
    </row>
    <row r="487" spans="1:20" ht="18" customHeight="1" x14ac:dyDescent="0.35">
      <c r="A487" s="162" t="s">
        <v>253</v>
      </c>
      <c r="B487" s="162"/>
      <c r="C487" s="162"/>
      <c r="D487" s="162"/>
      <c r="E487" s="162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254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264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3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264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35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264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35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264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5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248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5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264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5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264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5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264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5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264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5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264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0"/>
        <v>0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 x14ac:dyDescent="0.35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264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0"/>
        <v>0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5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264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5">
      <c r="A500" s="163" t="s">
        <v>249</v>
      </c>
      <c r="B500" s="163"/>
      <c r="C500" s="163"/>
      <c r="D500" s="163"/>
      <c r="E500" s="163"/>
      <c r="F500" s="95"/>
      <c r="G500" s="96">
        <f>SUM(G488:G499)</f>
        <v>65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277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250</v>
      </c>
      <c r="S500" s="74"/>
      <c r="T500" s="99">
        <f>IFERROR(J500,"")</f>
        <v>0</v>
      </c>
    </row>
    <row r="501" spans="1:20" ht="15" customHeight="1" x14ac:dyDescent="0.35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 x14ac:dyDescent="0.35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 x14ac:dyDescent="0.35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 x14ac:dyDescent="0.35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 x14ac:dyDescent="0.35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 x14ac:dyDescent="0.35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 x14ac:dyDescent="0.35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5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5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5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5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5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5">
      <c r="A513" s="163" t="s">
        <v>252</v>
      </c>
      <c r="B513" s="163"/>
      <c r="C513" s="163"/>
      <c r="D513" s="163"/>
      <c r="E513" s="163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5">
      <c r="A514" s="162" t="s">
        <v>253</v>
      </c>
      <c r="B514" s="162"/>
      <c r="C514" s="162"/>
      <c r="D514" s="162"/>
      <c r="E514" s="162"/>
      <c r="F514" s="108"/>
      <c r="G514" s="109">
        <f>G500+G513</f>
        <v>65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277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5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 x14ac:dyDescent="0.35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 x14ac:dyDescent="0.35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 x14ac:dyDescent="0.35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 x14ac:dyDescent="0.35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 x14ac:dyDescent="0.35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 x14ac:dyDescent="0.35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 x14ac:dyDescent="0.35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 x14ac:dyDescent="0.35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 x14ac:dyDescent="0.35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 x14ac:dyDescent="0.35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 x14ac:dyDescent="0.35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 x14ac:dyDescent="0.35">
      <c r="A527" s="163" t="s">
        <v>249</v>
      </c>
      <c r="B527" s="163"/>
      <c r="C527" s="163"/>
      <c r="D527" s="163"/>
      <c r="E527" s="16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 x14ac:dyDescent="0.35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 x14ac:dyDescent="0.35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 x14ac:dyDescent="0.35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 x14ac:dyDescent="0.35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 x14ac:dyDescent="0.35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 x14ac:dyDescent="0.35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5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5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5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5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5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5">
      <c r="A540" s="163" t="s">
        <v>252</v>
      </c>
      <c r="B540" s="163"/>
      <c r="C540" s="163"/>
      <c r="D540" s="163"/>
      <c r="E540" s="16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5">
      <c r="A541" s="162" t="s">
        <v>253</v>
      </c>
      <c r="B541" s="162"/>
      <c r="C541" s="162"/>
      <c r="D541" s="162"/>
      <c r="E541" s="162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 x14ac:dyDescent="0.35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 x14ac:dyDescent="0.35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 x14ac:dyDescent="0.35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 x14ac:dyDescent="0.35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5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5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5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5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5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5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5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5">
      <c r="A554" s="163" t="s">
        <v>249</v>
      </c>
      <c r="B554" s="163"/>
      <c r="C554" s="163"/>
      <c r="D554" s="163"/>
      <c r="E554" s="16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 x14ac:dyDescent="0.35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 x14ac:dyDescent="0.35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 x14ac:dyDescent="0.35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 x14ac:dyDescent="0.35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 x14ac:dyDescent="0.35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 x14ac:dyDescent="0.35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 x14ac:dyDescent="0.35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 x14ac:dyDescent="0.35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 x14ac:dyDescent="0.35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 x14ac:dyDescent="0.35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 x14ac:dyDescent="0.35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 x14ac:dyDescent="0.35">
      <c r="A567" s="163" t="s">
        <v>252</v>
      </c>
      <c r="B567" s="163"/>
      <c r="C567" s="163"/>
      <c r="D567" s="163"/>
      <c r="E567" s="16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5">
      <c r="A568" s="162" t="s">
        <v>253</v>
      </c>
      <c r="B568" s="162"/>
      <c r="C568" s="162"/>
      <c r="D568" s="162"/>
      <c r="E568" s="162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 x14ac:dyDescent="0.35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35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35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35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35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5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5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5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5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5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5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5">
      <c r="A581" s="163" t="s">
        <v>249</v>
      </c>
      <c r="B581" s="163"/>
      <c r="C581" s="163"/>
      <c r="D581" s="163"/>
      <c r="E581" s="16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35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35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35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35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5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5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5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5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5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5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5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5">
      <c r="A594" s="163" t="s">
        <v>252</v>
      </c>
      <c r="B594" s="163"/>
      <c r="C594" s="163"/>
      <c r="D594" s="163"/>
      <c r="E594" s="16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5">
      <c r="A595" s="162" t="s">
        <v>253</v>
      </c>
      <c r="B595" s="162"/>
      <c r="C595" s="162"/>
      <c r="D595" s="162"/>
      <c r="E595" s="162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35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35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35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35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35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5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5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5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5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5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5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5">
      <c r="A608" s="163" t="s">
        <v>249</v>
      </c>
      <c r="B608" s="163"/>
      <c r="C608" s="163"/>
      <c r="D608" s="163"/>
      <c r="E608" s="16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5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5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5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5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5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5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5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5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5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5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5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5">
      <c r="A621" s="163" t="s">
        <v>252</v>
      </c>
      <c r="B621" s="163"/>
      <c r="C621" s="163"/>
      <c r="D621" s="163"/>
      <c r="E621" s="16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5">
      <c r="A622" s="162" t="s">
        <v>253</v>
      </c>
      <c r="B622" s="162"/>
      <c r="C622" s="162"/>
      <c r="D622" s="162"/>
      <c r="E622" s="162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254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5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5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5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5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5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5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5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5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5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5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5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5">
      <c r="A635" s="163" t="s">
        <v>249</v>
      </c>
      <c r="B635" s="163"/>
      <c r="C635" s="163"/>
      <c r="D635" s="163"/>
      <c r="E635" s="16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5">
      <c r="A648" s="163" t="s">
        <v>252</v>
      </c>
      <c r="B648" s="163"/>
      <c r="C648" s="163"/>
      <c r="D648" s="163"/>
      <c r="E648" s="16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5">
      <c r="A649" s="162" t="s">
        <v>253</v>
      </c>
      <c r="B649" s="162"/>
      <c r="C649" s="162"/>
      <c r="D649" s="162"/>
      <c r="E649" s="162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254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5">
      <c r="A662" s="163" t="s">
        <v>249</v>
      </c>
      <c r="B662" s="163"/>
      <c r="C662" s="163"/>
      <c r="D662" s="163"/>
      <c r="E662" s="16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5">
      <c r="A675" s="163" t="s">
        <v>252</v>
      </c>
      <c r="B675" s="163"/>
      <c r="C675" s="163"/>
      <c r="D675" s="163"/>
      <c r="E675" s="16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5">
      <c r="A676" s="162" t="s">
        <v>253</v>
      </c>
      <c r="B676" s="162"/>
      <c r="C676" s="162"/>
      <c r="D676" s="162"/>
      <c r="E676" s="162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5">
      <c r="A689" s="163" t="s">
        <v>249</v>
      </c>
      <c r="B689" s="163"/>
      <c r="C689" s="163"/>
      <c r="D689" s="163"/>
      <c r="E689" s="16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5">
      <c r="A702" s="163" t="s">
        <v>252</v>
      </c>
      <c r="B702" s="163"/>
      <c r="C702" s="163"/>
      <c r="D702" s="163"/>
      <c r="E702" s="16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5">
      <c r="A703" s="162" t="s">
        <v>253</v>
      </c>
      <c r="B703" s="162"/>
      <c r="C703" s="162"/>
      <c r="D703" s="162"/>
      <c r="E703" s="162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5">
      <c r="A716" s="163" t="s">
        <v>249</v>
      </c>
      <c r="B716" s="163"/>
      <c r="C716" s="163"/>
      <c r="D716" s="163"/>
      <c r="E716" s="16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5">
      <c r="A729" s="163" t="s">
        <v>252</v>
      </c>
      <c r="B729" s="163"/>
      <c r="C729" s="163"/>
      <c r="D729" s="163"/>
      <c r="E729" s="16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5">
      <c r="A730" s="162" t="s">
        <v>253</v>
      </c>
      <c r="B730" s="162"/>
      <c r="C730" s="162"/>
      <c r="D730" s="162"/>
      <c r="E730" s="162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5">
      <c r="A743" s="163" t="s">
        <v>249</v>
      </c>
      <c r="B743" s="163"/>
      <c r="C743" s="163"/>
      <c r="D743" s="163"/>
      <c r="E743" s="16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5">
      <c r="A756" s="163" t="s">
        <v>252</v>
      </c>
      <c r="B756" s="163"/>
      <c r="C756" s="163"/>
      <c r="D756" s="163"/>
      <c r="E756" s="16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5">
      <c r="A757" s="162" t="s">
        <v>253</v>
      </c>
      <c r="B757" s="162"/>
      <c r="C757" s="162"/>
      <c r="D757" s="162"/>
      <c r="E757" s="162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5">
      <c r="A770" s="163" t="s">
        <v>249</v>
      </c>
      <c r="B770" s="163"/>
      <c r="C770" s="163"/>
      <c r="D770" s="163"/>
      <c r="E770" s="16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5">
      <c r="A783" s="163" t="s">
        <v>252</v>
      </c>
      <c r="B783" s="163"/>
      <c r="C783" s="163"/>
      <c r="D783" s="163"/>
      <c r="E783" s="16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5">
      <c r="A784" s="162" t="s">
        <v>253</v>
      </c>
      <c r="B784" s="162"/>
      <c r="C784" s="162"/>
      <c r="D784" s="162"/>
      <c r="E784" s="162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5">
      <c r="A797" s="163" t="s">
        <v>249</v>
      </c>
      <c r="B797" s="163"/>
      <c r="C797" s="163"/>
      <c r="D797" s="163"/>
      <c r="E797" s="16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5">
      <c r="A810" s="163" t="s">
        <v>252</v>
      </c>
      <c r="B810" s="163"/>
      <c r="C810" s="163"/>
      <c r="D810" s="163"/>
      <c r="E810" s="16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5">
      <c r="A811" s="162" t="s">
        <v>253</v>
      </c>
      <c r="B811" s="162"/>
      <c r="C811" s="162"/>
      <c r="D811" s="162"/>
      <c r="E811" s="162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5">
      <c r="A824" s="163" t="s">
        <v>249</v>
      </c>
      <c r="B824" s="163"/>
      <c r="C824" s="163"/>
      <c r="D824" s="163"/>
      <c r="E824" s="16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250</v>
      </c>
      <c r="S824" s="74"/>
      <c r="T824" s="99">
        <f>IFERROR(J824,"")</f>
        <v>0</v>
      </c>
    </row>
    <row r="825" spans="1:20" ht="15" customHeight="1" x14ac:dyDescent="0.3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5">
      <c r="A837" s="163" t="s">
        <v>252</v>
      </c>
      <c r="B837" s="163"/>
      <c r="C837" s="163"/>
      <c r="D837" s="163"/>
      <c r="E837" s="16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250</v>
      </c>
      <c r="S837" s="74"/>
      <c r="T837" s="99">
        <f>IFERROR(J837,"")</f>
        <v>0</v>
      </c>
    </row>
    <row r="838" spans="1:20" ht="18" customHeight="1" x14ac:dyDescent="0.35">
      <c r="A838" s="162" t="s">
        <v>253</v>
      </c>
      <c r="B838" s="162"/>
      <c r="C838" s="162"/>
      <c r="D838" s="162"/>
      <c r="E838" s="162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254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2" sqref="G492"/>
    </sheetView>
  </sheetViews>
  <sheetFormatPr defaultColWidth="8.54296875" defaultRowHeight="14.5" x14ac:dyDescent="0.3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1640625" style="131" hidden="1" customWidth="1"/>
    <col min="7" max="7" width="13" style="131" customWidth="1"/>
    <col min="8" max="8" width="15.81640625" style="131" hidden="1" customWidth="1"/>
    <col min="9" max="10" width="13.81640625" style="131" hidden="1" customWidth="1"/>
    <col min="11" max="11" width="14" style="131" customWidth="1"/>
    <col min="12" max="12" width="36" style="131" customWidth="1"/>
    <col min="13" max="13" width="25.08984375" style="131" customWidth="1"/>
    <col min="14" max="14" width="42.08984375" style="131" customWidth="1"/>
    <col min="15" max="15" width="18.453125" style="131" customWidth="1"/>
    <col min="16" max="16" width="14" style="132" customWidth="1"/>
    <col min="17" max="17" width="14" style="131" customWidth="1"/>
    <col min="18" max="18" width="64.81640625" style="131" customWidth="1"/>
    <col min="19" max="19" width="25.54296875" customWidth="1"/>
    <col min="20" max="20" width="14.81640625" hidden="1" customWidth="1"/>
  </cols>
  <sheetData>
    <row r="1" spans="1:20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5">
      <c r="A14" s="163" t="s">
        <v>249</v>
      </c>
      <c r="B14" s="163"/>
      <c r="C14" s="163"/>
      <c r="D14" s="163"/>
      <c r="E14" s="163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250</v>
      </c>
      <c r="S14" s="74">
        <v>561420</v>
      </c>
      <c r="T14" s="99">
        <f>IFERROR(J14,"")</f>
        <v>0</v>
      </c>
    </row>
    <row r="15" spans="1:20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264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264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349</v>
      </c>
      <c r="S16" s="133"/>
    </row>
    <row r="17" spans="1:20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264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291</v>
      </c>
      <c r="S17" s="133"/>
    </row>
    <row r="18" spans="1:20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264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326</v>
      </c>
      <c r="S18" s="133"/>
    </row>
    <row r="19" spans="1:20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264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350</v>
      </c>
      <c r="S19" s="133"/>
    </row>
    <row r="20" spans="1:20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264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264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264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351</v>
      </c>
      <c r="S22" s="133"/>
    </row>
    <row r="23" spans="1:20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264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264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264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264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5">
      <c r="A27" s="163" t="s">
        <v>252</v>
      </c>
      <c r="B27" s="163"/>
      <c r="C27" s="163"/>
      <c r="D27" s="163"/>
      <c r="E27" s="163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250</v>
      </c>
      <c r="S27" s="74">
        <v>491520</v>
      </c>
      <c r="T27" s="99">
        <f>IFERROR(J27,"")</f>
        <v>0</v>
      </c>
    </row>
    <row r="28" spans="1:20" ht="18" customHeight="1" x14ac:dyDescent="0.35">
      <c r="A28" s="162" t="s">
        <v>253</v>
      </c>
      <c r="B28" s="162"/>
      <c r="C28" s="162"/>
      <c r="D28" s="162"/>
      <c r="E28" s="162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254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264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264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264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264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264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264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264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264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264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264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264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264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5">
      <c r="A41" s="163" t="s">
        <v>249</v>
      </c>
      <c r="B41" s="163"/>
      <c r="C41" s="163"/>
      <c r="D41" s="163"/>
      <c r="E41" s="163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250</v>
      </c>
      <c r="S41" s="74">
        <v>766800</v>
      </c>
      <c r="T41" s="99">
        <f>IFERROR(J41,"")</f>
        <v>0</v>
      </c>
    </row>
    <row r="42" spans="1:20" ht="15" customHeight="1" x14ac:dyDescent="0.3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352</v>
      </c>
      <c r="S45" s="133"/>
    </row>
    <row r="46" spans="1:20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5">
      <c r="A54" s="163" t="s">
        <v>252</v>
      </c>
      <c r="B54" s="163"/>
      <c r="C54" s="163"/>
      <c r="D54" s="163"/>
      <c r="E54" s="163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250</v>
      </c>
      <c r="S54" s="74">
        <v>352430</v>
      </c>
      <c r="T54" s="99">
        <f>IFERROR(J54,"")</f>
        <v>0</v>
      </c>
    </row>
    <row r="55" spans="1:20" ht="18" customHeight="1" x14ac:dyDescent="0.35">
      <c r="A55" s="162" t="s">
        <v>253</v>
      </c>
      <c r="B55" s="162"/>
      <c r="C55" s="162"/>
      <c r="D55" s="162"/>
      <c r="E55" s="162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254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264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264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353</v>
      </c>
      <c r="S59" s="133"/>
    </row>
    <row r="60" spans="1:20" ht="15" customHeight="1" x14ac:dyDescent="0.3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264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354</v>
      </c>
      <c r="S60" s="133"/>
    </row>
    <row r="61" spans="1:20" ht="15" customHeight="1" x14ac:dyDescent="0.3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264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264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264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264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264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264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264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5">
      <c r="A68" s="163" t="s">
        <v>249</v>
      </c>
      <c r="B68" s="163"/>
      <c r="C68" s="163"/>
      <c r="D68" s="163"/>
      <c r="E68" s="163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250</v>
      </c>
      <c r="S68" s="74">
        <v>477090</v>
      </c>
      <c r="T68" s="99">
        <f>IFERROR(J68,"")</f>
        <v>0</v>
      </c>
    </row>
    <row r="69" spans="1:20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355</v>
      </c>
      <c r="S69" s="133"/>
    </row>
    <row r="70" spans="1:20" ht="15" customHeight="1" x14ac:dyDescent="0.3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326</v>
      </c>
      <c r="S72" s="133"/>
    </row>
    <row r="73" spans="1:20" ht="15" customHeight="1" x14ac:dyDescent="0.3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264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5">
      <c r="A81" s="163" t="s">
        <v>252</v>
      </c>
      <c r="B81" s="163"/>
      <c r="C81" s="163"/>
      <c r="D81" s="163"/>
      <c r="E81" s="163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250</v>
      </c>
      <c r="S81" s="74">
        <v>612410</v>
      </c>
      <c r="T81" s="99">
        <f>IFERROR(J81,"")</f>
        <v>0</v>
      </c>
    </row>
    <row r="82" spans="1:20" ht="18" customHeight="1" x14ac:dyDescent="0.35">
      <c r="A82" s="162" t="s">
        <v>253</v>
      </c>
      <c r="B82" s="162"/>
      <c r="C82" s="162"/>
      <c r="D82" s="162"/>
      <c r="E82" s="162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254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264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5">
      <c r="A95" s="163" t="s">
        <v>249</v>
      </c>
      <c r="B95" s="163"/>
      <c r="C95" s="163"/>
      <c r="D95" s="163"/>
      <c r="E95" s="163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250</v>
      </c>
      <c r="S95" s="74">
        <v>786700</v>
      </c>
      <c r="T95" s="99">
        <f>IFERROR(J95,"")</f>
        <v>0</v>
      </c>
    </row>
    <row r="96" spans="1:20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326</v>
      </c>
      <c r="S97" s="133"/>
    </row>
    <row r="98" spans="1:20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5">
      <c r="A108" s="163" t="s">
        <v>252</v>
      </c>
      <c r="B108" s="163"/>
      <c r="C108" s="163"/>
      <c r="D108" s="163"/>
      <c r="E108" s="163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250</v>
      </c>
      <c r="S108" s="74">
        <v>956070</v>
      </c>
      <c r="T108" s="99">
        <f>IFERROR(J108,"")</f>
        <v>0</v>
      </c>
    </row>
    <row r="109" spans="1:20" ht="18" customHeight="1" x14ac:dyDescent="0.35">
      <c r="A109" s="162" t="s">
        <v>253</v>
      </c>
      <c r="B109" s="162"/>
      <c r="C109" s="162"/>
      <c r="D109" s="162"/>
      <c r="E109" s="162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254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356</v>
      </c>
      <c r="S114" s="133"/>
    </row>
    <row r="115" spans="1:20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5">
      <c r="A122" s="163" t="s">
        <v>249</v>
      </c>
      <c r="B122" s="163"/>
      <c r="C122" s="163"/>
      <c r="D122" s="163"/>
      <c r="E122" s="163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250</v>
      </c>
      <c r="S122" s="74">
        <v>811580</v>
      </c>
      <c r="T122" s="99">
        <f>IFERROR(J122,"")</f>
        <v>0</v>
      </c>
    </row>
    <row r="123" spans="1:20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357</v>
      </c>
      <c r="S124" s="133"/>
    </row>
    <row r="125" spans="1:20" ht="15" customHeight="1" x14ac:dyDescent="0.3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294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326</v>
      </c>
      <c r="S129" s="133"/>
    </row>
    <row r="130" spans="1:22" ht="15" customHeight="1" x14ac:dyDescent="0.3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5">
      <c r="A135" s="163" t="s">
        <v>252</v>
      </c>
      <c r="B135" s="163"/>
      <c r="C135" s="163"/>
      <c r="D135" s="163"/>
      <c r="E135" s="163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250</v>
      </c>
      <c r="S135" s="74">
        <v>912240</v>
      </c>
      <c r="T135" s="99">
        <f>IFERROR(J135,"")</f>
        <v>0</v>
      </c>
    </row>
    <row r="136" spans="1:22" ht="18" customHeight="1" x14ac:dyDescent="0.35">
      <c r="A136" s="162" t="s">
        <v>253</v>
      </c>
      <c r="B136" s="162"/>
      <c r="C136" s="162"/>
      <c r="D136" s="162"/>
      <c r="E136" s="162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254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358</v>
      </c>
      <c r="S138" s="67"/>
    </row>
    <row r="139" spans="1:22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359</v>
      </c>
      <c r="S139" s="67"/>
    </row>
    <row r="140" spans="1:22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302</v>
      </c>
      <c r="S146" s="67"/>
    </row>
    <row r="147" spans="1:20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5">
      <c r="A149" s="120" t="s">
        <v>249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250</v>
      </c>
      <c r="S149" s="74">
        <v>797860</v>
      </c>
      <c r="T149" s="99">
        <f>IFERROR(J149,"")</f>
        <v>0</v>
      </c>
    </row>
    <row r="150" spans="1:20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360</v>
      </c>
      <c r="S150" s="67"/>
    </row>
    <row r="151" spans="1:20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361</v>
      </c>
      <c r="S151" s="67"/>
    </row>
    <row r="152" spans="1:20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5">
      <c r="A162" s="163" t="s">
        <v>252</v>
      </c>
      <c r="B162" s="163"/>
      <c r="C162" s="163"/>
      <c r="D162" s="163"/>
      <c r="E162" s="163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250</v>
      </c>
      <c r="S162" s="74">
        <v>573230</v>
      </c>
      <c r="T162" s="99">
        <f>IFERROR(J162,"")</f>
        <v>0</v>
      </c>
    </row>
    <row r="163" spans="1:20" ht="18" customHeight="1" x14ac:dyDescent="0.35">
      <c r="A163" s="162" t="s">
        <v>253</v>
      </c>
      <c r="B163" s="162"/>
      <c r="C163" s="162"/>
      <c r="D163" s="162"/>
      <c r="E163" s="162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254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264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264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264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264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264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264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362</v>
      </c>
      <c r="S170" s="67"/>
    </row>
    <row r="171" spans="1:20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264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264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264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264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264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5">
      <c r="A176" s="163" t="s">
        <v>249</v>
      </c>
      <c r="B176" s="163"/>
      <c r="C176" s="163"/>
      <c r="D176" s="163"/>
      <c r="E176" s="163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250</v>
      </c>
      <c r="S176" s="74">
        <v>659400</v>
      </c>
      <c r="T176" s="99">
        <f>IFERROR(J176,"")</f>
        <v>0</v>
      </c>
    </row>
    <row r="177" spans="1:20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363</v>
      </c>
      <c r="S177" s="67"/>
    </row>
    <row r="178" spans="1:20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264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264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264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264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264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264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5">
      <c r="A189" s="163" t="s">
        <v>252</v>
      </c>
      <c r="B189" s="163"/>
      <c r="C189" s="163"/>
      <c r="D189" s="163"/>
      <c r="E189" s="163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250</v>
      </c>
      <c r="S189" s="74">
        <v>692750</v>
      </c>
      <c r="T189" s="99">
        <f>IFERROR(J189,"")</f>
        <v>0</v>
      </c>
    </row>
    <row r="190" spans="1:20" ht="18" customHeight="1" x14ac:dyDescent="0.35">
      <c r="A190" s="162" t="s">
        <v>253</v>
      </c>
      <c r="B190" s="162"/>
      <c r="C190" s="162"/>
      <c r="D190" s="162"/>
      <c r="E190" s="162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254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364</v>
      </c>
      <c r="S192" s="67"/>
    </row>
    <row r="193" spans="1:20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5">
      <c r="A203" s="163" t="s">
        <v>249</v>
      </c>
      <c r="B203" s="163"/>
      <c r="C203" s="163"/>
      <c r="D203" s="163"/>
      <c r="E203" s="163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250</v>
      </c>
      <c r="S203" s="74">
        <v>790070</v>
      </c>
      <c r="T203" s="99">
        <f>IFERROR(J203,"")</f>
        <v>0</v>
      </c>
    </row>
    <row r="204" spans="1:20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365</v>
      </c>
      <c r="S204" s="133"/>
    </row>
    <row r="205" spans="1:20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366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367</v>
      </c>
      <c r="S206" s="133"/>
    </row>
    <row r="207" spans="1:20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5">
      <c r="A216" s="163" t="s">
        <v>252</v>
      </c>
      <c r="B216" s="163"/>
      <c r="C216" s="163"/>
      <c r="D216" s="163"/>
      <c r="E216" s="163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250</v>
      </c>
      <c r="S216" s="74">
        <v>607180</v>
      </c>
      <c r="T216" s="99">
        <f>IFERROR(J216,"")</f>
        <v>0</v>
      </c>
    </row>
    <row r="217" spans="1:20" ht="18" customHeight="1" x14ac:dyDescent="0.35">
      <c r="A217" s="162" t="s">
        <v>253</v>
      </c>
      <c r="B217" s="162"/>
      <c r="C217" s="162"/>
      <c r="D217" s="162"/>
      <c r="E217" s="162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254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368</v>
      </c>
      <c r="S220" s="133"/>
    </row>
    <row r="221" spans="1:20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369</v>
      </c>
      <c r="S221" s="133"/>
    </row>
    <row r="222" spans="1:20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5">
      <c r="A230" s="163" t="s">
        <v>249</v>
      </c>
      <c r="B230" s="163"/>
      <c r="C230" s="163"/>
      <c r="D230" s="163"/>
      <c r="E230" s="163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250</v>
      </c>
      <c r="S230" s="74">
        <v>755220</v>
      </c>
      <c r="T230" s="99">
        <f>IFERROR(J230,"")</f>
        <v>0</v>
      </c>
    </row>
    <row r="231" spans="1:20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370</v>
      </c>
      <c r="S231" s="133"/>
    </row>
    <row r="232" spans="1:20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371</v>
      </c>
      <c r="S232" s="133"/>
    </row>
    <row r="233" spans="1:20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5">
      <c r="A243" s="163" t="s">
        <v>252</v>
      </c>
      <c r="B243" s="163"/>
      <c r="C243" s="163"/>
      <c r="D243" s="163"/>
      <c r="E243" s="163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250</v>
      </c>
      <c r="S243" s="74">
        <v>795250</v>
      </c>
      <c r="T243" s="99">
        <f>IFERROR(J243,"")</f>
        <v>0</v>
      </c>
    </row>
    <row r="244" spans="1:20" ht="18" customHeight="1" x14ac:dyDescent="0.35">
      <c r="A244" s="162" t="s">
        <v>253</v>
      </c>
      <c r="B244" s="162"/>
      <c r="C244" s="162"/>
      <c r="D244" s="162"/>
      <c r="E244" s="162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254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 t="s">
        <v>274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372</v>
      </c>
      <c r="S249" s="133"/>
    </row>
    <row r="250" spans="1:20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5">
      <c r="A257" s="163" t="s">
        <v>249</v>
      </c>
      <c r="B257" s="163"/>
      <c r="C257" s="163"/>
      <c r="D257" s="163"/>
      <c r="E257" s="163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250</v>
      </c>
      <c r="S257" s="74">
        <v>803560</v>
      </c>
      <c r="T257" s="99">
        <f>IFERROR(J257,"")</f>
        <v>0</v>
      </c>
    </row>
    <row r="258" spans="1:20" ht="15" customHeight="1" x14ac:dyDescent="0.35">
      <c r="A258" s="18">
        <v>46244</v>
      </c>
      <c r="B258" s="68">
        <v>0.83333333333333304</v>
      </c>
      <c r="C258" s="70"/>
      <c r="D258" s="75" t="s">
        <v>47</v>
      </c>
      <c r="E258" s="100" t="s">
        <v>264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264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264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264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264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264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264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264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264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264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264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264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5">
      <c r="A270" s="163" t="s">
        <v>252</v>
      </c>
      <c r="B270" s="163"/>
      <c r="C270" s="163"/>
      <c r="D270" s="163"/>
      <c r="E270" s="163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250</v>
      </c>
      <c r="S270" s="74">
        <v>683360</v>
      </c>
      <c r="T270" s="99">
        <f>IFERROR(J270,"")</f>
        <v>0</v>
      </c>
    </row>
    <row r="271" spans="1:20" ht="18" customHeight="1" x14ac:dyDescent="0.35">
      <c r="A271" s="162" t="s">
        <v>253</v>
      </c>
      <c r="B271" s="162"/>
      <c r="C271" s="162"/>
      <c r="D271" s="162"/>
      <c r="E271" s="162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254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264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264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264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264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264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264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5">
      <c r="A284" s="163" t="s">
        <v>249</v>
      </c>
      <c r="B284" s="163"/>
      <c r="C284" s="163"/>
      <c r="D284" s="163"/>
      <c r="E284" s="163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250</v>
      </c>
      <c r="S284" s="74">
        <v>762600</v>
      </c>
      <c r="T284" s="99">
        <f>IFERROR(J284,"")</f>
        <v>0</v>
      </c>
    </row>
    <row r="285" spans="1:20" ht="15" customHeight="1" x14ac:dyDescent="0.3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248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248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264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248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248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248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248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248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248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248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248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248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5">
      <c r="A297" s="163" t="s">
        <v>252</v>
      </c>
      <c r="B297" s="163"/>
      <c r="C297" s="163"/>
      <c r="D297" s="163"/>
      <c r="E297" s="163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250</v>
      </c>
      <c r="S297" s="74">
        <v>904710</v>
      </c>
      <c r="T297" s="99">
        <f>IFERROR(J297,"")</f>
        <v>0</v>
      </c>
    </row>
    <row r="298" spans="1:20" ht="18" customHeight="1" x14ac:dyDescent="0.35">
      <c r="A298" s="162" t="s">
        <v>253</v>
      </c>
      <c r="B298" s="162"/>
      <c r="C298" s="162"/>
      <c r="D298" s="162"/>
      <c r="E298" s="162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254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264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264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264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264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264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264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264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264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264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264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264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264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5">
      <c r="A311" s="163" t="s">
        <v>249</v>
      </c>
      <c r="B311" s="163"/>
      <c r="C311" s="163"/>
      <c r="D311" s="163"/>
      <c r="E311" s="163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250</v>
      </c>
      <c r="S311" s="74">
        <v>948950</v>
      </c>
      <c r="T311" s="99">
        <f>IFERROR(J311,"")</f>
        <v>159.15670781249997</v>
      </c>
    </row>
    <row r="312" spans="1:20" ht="15" customHeight="1" x14ac:dyDescent="0.3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264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264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264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264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264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264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264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264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264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264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264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264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5">
      <c r="A324" s="163" t="s">
        <v>252</v>
      </c>
      <c r="B324" s="163"/>
      <c r="C324" s="163"/>
      <c r="D324" s="163"/>
      <c r="E324" s="163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250</v>
      </c>
      <c r="S324" s="74">
        <v>1049720</v>
      </c>
      <c r="T324" s="99">
        <f>IFERROR(J324,"")</f>
        <v>151.15967999999998</v>
      </c>
    </row>
    <row r="325" spans="1:20" ht="18" customHeight="1" x14ac:dyDescent="0.35">
      <c r="A325" s="162" t="s">
        <v>253</v>
      </c>
      <c r="B325" s="162"/>
      <c r="C325" s="162"/>
      <c r="D325" s="162"/>
      <c r="E325" s="162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254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264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248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5">
      <c r="A338" s="163" t="s">
        <v>249</v>
      </c>
      <c r="B338" s="163"/>
      <c r="C338" s="163"/>
      <c r="D338" s="163"/>
      <c r="E338" s="163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250</v>
      </c>
      <c r="S338" s="74">
        <v>1211360</v>
      </c>
      <c r="T338" s="99">
        <f>IFERROR(J338,"")</f>
        <v>254.38559999999993</v>
      </c>
    </row>
    <row r="339" spans="1:20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373</v>
      </c>
      <c r="S346" s="133"/>
    </row>
    <row r="347" spans="1:20" ht="15" customHeight="1" x14ac:dyDescent="0.3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374</v>
      </c>
      <c r="S347" s="133"/>
    </row>
    <row r="348" spans="1:20" ht="15" customHeight="1" x14ac:dyDescent="0.3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5">
      <c r="A351" s="163" t="s">
        <v>252</v>
      </c>
      <c r="B351" s="163"/>
      <c r="C351" s="163"/>
      <c r="D351" s="163"/>
      <c r="E351" s="163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250</v>
      </c>
      <c r="S351" s="74">
        <v>1058130</v>
      </c>
      <c r="T351" s="99">
        <f>IFERROR(J351,"")</f>
        <v>222.20729999999995</v>
      </c>
    </row>
    <row r="352" spans="1:20" ht="18" customHeight="1" x14ac:dyDescent="0.35">
      <c r="A352" s="162" t="s">
        <v>253</v>
      </c>
      <c r="B352" s="162"/>
      <c r="C352" s="162"/>
      <c r="D352" s="162"/>
      <c r="E352" s="162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254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375</v>
      </c>
      <c r="S356" s="133"/>
    </row>
    <row r="357" spans="1:20" ht="15" customHeight="1" x14ac:dyDescent="0.3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376</v>
      </c>
      <c r="S358" s="133"/>
    </row>
    <row r="359" spans="1:20" ht="15" customHeight="1" x14ac:dyDescent="0.3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5">
      <c r="A365" s="120" t="s">
        <v>249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250</v>
      </c>
      <c r="S365" s="74">
        <v>885120</v>
      </c>
      <c r="T365" s="99">
        <f>IFERROR(J365,"")</f>
        <v>185.87519999999998</v>
      </c>
    </row>
    <row r="366" spans="1:20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377</v>
      </c>
      <c r="S372" s="133"/>
    </row>
    <row r="373" spans="1:20" ht="15" customHeight="1" x14ac:dyDescent="0.3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5">
      <c r="A378" s="163" t="s">
        <v>252</v>
      </c>
      <c r="B378" s="163"/>
      <c r="C378" s="163"/>
      <c r="D378" s="163"/>
      <c r="E378" s="163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250</v>
      </c>
      <c r="S378" s="74">
        <v>1137080</v>
      </c>
      <c r="T378" s="99">
        <f>IFERROR(J378,"")</f>
        <v>238.78679999999994</v>
      </c>
    </row>
    <row r="379" spans="1:20" ht="18" customHeight="1" x14ac:dyDescent="0.35">
      <c r="A379" s="162" t="s">
        <v>253</v>
      </c>
      <c r="B379" s="162"/>
      <c r="C379" s="162"/>
      <c r="D379" s="162"/>
      <c r="E379" s="162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254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264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264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316</v>
      </c>
      <c r="S384" s="133"/>
    </row>
    <row r="385" spans="1:20" ht="15" customHeight="1" x14ac:dyDescent="0.3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378</v>
      </c>
      <c r="S385" s="133"/>
    </row>
    <row r="386" spans="1:20" ht="15" customHeight="1" x14ac:dyDescent="0.3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5">
      <c r="A392" s="163" t="s">
        <v>249</v>
      </c>
      <c r="B392" s="163"/>
      <c r="C392" s="163"/>
      <c r="D392" s="163"/>
      <c r="E392" s="163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250</v>
      </c>
      <c r="S392" s="74">
        <v>675670</v>
      </c>
      <c r="T392" s="99">
        <f>IFERROR(J392,"")</f>
        <v>141.89069999999998</v>
      </c>
    </row>
    <row r="393" spans="1:20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379</v>
      </c>
      <c r="S394" s="133"/>
    </row>
    <row r="395" spans="1:20" ht="15" customHeight="1" x14ac:dyDescent="0.3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5">
      <c r="A405" s="163" t="s">
        <v>252</v>
      </c>
      <c r="B405" s="163"/>
      <c r="C405" s="163"/>
      <c r="D405" s="163"/>
      <c r="E405" s="163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250</v>
      </c>
      <c r="S405" s="74">
        <v>989450</v>
      </c>
      <c r="T405" s="99">
        <f>IFERROR(J405,"")</f>
        <v>195.72390675675675</v>
      </c>
    </row>
    <row r="406" spans="1:20" ht="18" customHeight="1" x14ac:dyDescent="0.35">
      <c r="A406" s="162" t="s">
        <v>253</v>
      </c>
      <c r="B406" s="162"/>
      <c r="C406" s="162"/>
      <c r="D406" s="162"/>
      <c r="E406" s="162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254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380</v>
      </c>
      <c r="S407" s="133"/>
    </row>
    <row r="408" spans="1:20" ht="15" customHeight="1" x14ac:dyDescent="0.3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5">
      <c r="A419" s="163" t="s">
        <v>249</v>
      </c>
      <c r="B419" s="163"/>
      <c r="C419" s="163"/>
      <c r="D419" s="163"/>
      <c r="E419" s="163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250</v>
      </c>
      <c r="S419" s="74">
        <v>627410</v>
      </c>
      <c r="T419" s="99">
        <f>IFERROR(J419,"")</f>
        <v>90.347039999999993</v>
      </c>
    </row>
    <row r="420" spans="1:20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381</v>
      </c>
      <c r="S423" s="133"/>
    </row>
    <row r="424" spans="1:20" ht="15" customHeight="1" x14ac:dyDescent="0.3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5">
      <c r="A432" s="163" t="s">
        <v>252</v>
      </c>
      <c r="B432" s="163"/>
      <c r="C432" s="163"/>
      <c r="D432" s="163"/>
      <c r="E432" s="163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250</v>
      </c>
      <c r="S432" s="74">
        <v>766030</v>
      </c>
      <c r="T432" s="99">
        <f>IFERROR(J432,"")</f>
        <v>110.30832000000001</v>
      </c>
    </row>
    <row r="433" spans="1:21" ht="18" customHeight="1" x14ac:dyDescent="0.35">
      <c r="A433" s="162" t="s">
        <v>253</v>
      </c>
      <c r="B433" s="162"/>
      <c r="C433" s="162"/>
      <c r="D433" s="162"/>
      <c r="E433" s="162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254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264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264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5">
      <c r="A446" s="163" t="s">
        <v>249</v>
      </c>
      <c r="B446" s="163"/>
      <c r="C446" s="163"/>
      <c r="D446" s="163"/>
      <c r="E446" s="163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250</v>
      </c>
      <c r="S446" s="74">
        <v>833920</v>
      </c>
      <c r="T446" s="99">
        <f>IFERROR(J446,"")</f>
        <v>161.58908852459015</v>
      </c>
    </row>
    <row r="447" spans="1:21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382</v>
      </c>
      <c r="S447" s="133"/>
    </row>
    <row r="448" spans="1:21" ht="15" customHeight="1" x14ac:dyDescent="0.3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264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376</v>
      </c>
      <c r="S451" s="133"/>
    </row>
    <row r="452" spans="1:20" ht="15" customHeight="1" x14ac:dyDescent="0.3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5">
      <c r="A459" s="163" t="s">
        <v>252</v>
      </c>
      <c r="B459" s="163"/>
      <c r="C459" s="163"/>
      <c r="D459" s="163"/>
      <c r="E459" s="163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250</v>
      </c>
      <c r="S459" s="74">
        <v>1024280</v>
      </c>
      <c r="T459" s="99">
        <f>IFERROR(J459,"")</f>
        <v>202.88866044052861</v>
      </c>
    </row>
    <row r="460" spans="1:20" ht="18" customHeight="1" x14ac:dyDescent="0.35">
      <c r="A460" s="162" t="s">
        <v>253</v>
      </c>
      <c r="B460" s="162"/>
      <c r="C460" s="162"/>
      <c r="D460" s="162"/>
      <c r="E460" s="162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254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5">
      <c r="A473" s="163" t="s">
        <v>249</v>
      </c>
      <c r="B473" s="163"/>
      <c r="C473" s="163"/>
      <c r="D473" s="163"/>
      <c r="E473" s="163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250</v>
      </c>
      <c r="S473" s="74">
        <v>738810</v>
      </c>
      <c r="T473" s="99">
        <f>IFERROR(J473,"")</f>
        <v>106.38864000000001</v>
      </c>
    </row>
    <row r="474" spans="1:20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383</v>
      </c>
      <c r="S476" s="133"/>
    </row>
    <row r="477" spans="1:20" ht="15" customHeight="1" x14ac:dyDescent="0.3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348</v>
      </c>
      <c r="S479" s="133"/>
    </row>
    <row r="480" spans="1:20" ht="15" customHeight="1" x14ac:dyDescent="0.3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5">
      <c r="A486" s="163" t="s">
        <v>252</v>
      </c>
      <c r="B486" s="163"/>
      <c r="C486" s="163"/>
      <c r="D486" s="163"/>
      <c r="E486" s="163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250</v>
      </c>
      <c r="S486" s="74">
        <v>616050</v>
      </c>
      <c r="T486" s="99">
        <f>IFERROR(J486,"")</f>
        <v>88.711199999999977</v>
      </c>
    </row>
    <row r="487" spans="1:20" ht="18" customHeight="1" x14ac:dyDescent="0.35">
      <c r="A487" s="162" t="s">
        <v>253</v>
      </c>
      <c r="B487" s="162"/>
      <c r="C487" s="162"/>
      <c r="D487" s="162"/>
      <c r="E487" s="162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254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264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264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3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264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3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264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3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248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264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264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264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264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264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264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2"/>
        <v>0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264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5">
      <c r="A500" s="163" t="s">
        <v>249</v>
      </c>
      <c r="B500" s="163"/>
      <c r="C500" s="163"/>
      <c r="D500" s="163"/>
      <c r="E500" s="163"/>
      <c r="F500" s="95"/>
      <c r="G500" s="96">
        <f>SUM(G488:G499)</f>
        <v>190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803.6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250</v>
      </c>
      <c r="S500" s="74"/>
      <c r="T500" s="99">
        <f>IFERROR(J500,"")</f>
        <v>0</v>
      </c>
    </row>
    <row r="501" spans="1:20" ht="15" customHeight="1" x14ac:dyDescent="0.35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 x14ac:dyDescent="0.35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 x14ac:dyDescent="0.35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 x14ac:dyDescent="0.35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 x14ac:dyDescent="0.35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 x14ac:dyDescent="0.35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 x14ac:dyDescent="0.35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 x14ac:dyDescent="0.35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5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5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5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5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5">
      <c r="A513" s="163" t="s">
        <v>252</v>
      </c>
      <c r="B513" s="163"/>
      <c r="C513" s="163"/>
      <c r="D513" s="163"/>
      <c r="E513" s="163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5">
      <c r="A514" s="162" t="s">
        <v>253</v>
      </c>
      <c r="B514" s="162"/>
      <c r="C514" s="162"/>
      <c r="D514" s="162"/>
      <c r="E514" s="162"/>
      <c r="F514" s="108"/>
      <c r="G514" s="109">
        <f>G500+G513</f>
        <v>190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803.6</v>
      </c>
      <c r="L514" s="76"/>
      <c r="M514" s="76"/>
      <c r="N514" s="76"/>
      <c r="O514" s="135"/>
      <c r="P514" s="135"/>
      <c r="Q514" s="77">
        <f ca="1">IFERROR(Q500+Q513,"")</f>
        <v>8.4722222222221533E-2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5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 x14ac:dyDescent="0.35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 x14ac:dyDescent="0.35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 x14ac:dyDescent="0.35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 x14ac:dyDescent="0.35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5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5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5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5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5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5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5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5">
      <c r="A527" s="163" t="s">
        <v>249</v>
      </c>
      <c r="B527" s="163"/>
      <c r="C527" s="163"/>
      <c r="D527" s="163"/>
      <c r="E527" s="16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 x14ac:dyDescent="0.35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 x14ac:dyDescent="0.35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 x14ac:dyDescent="0.35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 x14ac:dyDescent="0.35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 x14ac:dyDescent="0.35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 x14ac:dyDescent="0.35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 x14ac:dyDescent="0.35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 x14ac:dyDescent="0.35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 x14ac:dyDescent="0.35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5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5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5">
      <c r="A540" s="163" t="s">
        <v>252</v>
      </c>
      <c r="B540" s="163"/>
      <c r="C540" s="163"/>
      <c r="D540" s="163"/>
      <c r="E540" s="16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5">
      <c r="A541" s="162" t="s">
        <v>253</v>
      </c>
      <c r="B541" s="162"/>
      <c r="C541" s="162"/>
      <c r="D541" s="162"/>
      <c r="E541" s="162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 x14ac:dyDescent="0.35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 x14ac:dyDescent="0.35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 x14ac:dyDescent="0.35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 x14ac:dyDescent="0.35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 x14ac:dyDescent="0.35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 x14ac:dyDescent="0.35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 x14ac:dyDescent="0.35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 x14ac:dyDescent="0.35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 x14ac:dyDescent="0.35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 x14ac:dyDescent="0.35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 x14ac:dyDescent="0.35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 x14ac:dyDescent="0.35">
      <c r="A554" s="163" t="s">
        <v>249</v>
      </c>
      <c r="B554" s="163"/>
      <c r="C554" s="163"/>
      <c r="D554" s="163"/>
      <c r="E554" s="16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 x14ac:dyDescent="0.35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 x14ac:dyDescent="0.35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 x14ac:dyDescent="0.35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 x14ac:dyDescent="0.35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 x14ac:dyDescent="0.35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 x14ac:dyDescent="0.35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 x14ac:dyDescent="0.35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 x14ac:dyDescent="0.35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 x14ac:dyDescent="0.35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 x14ac:dyDescent="0.35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 x14ac:dyDescent="0.35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 x14ac:dyDescent="0.35">
      <c r="A567" s="163" t="s">
        <v>252</v>
      </c>
      <c r="B567" s="163"/>
      <c r="C567" s="163"/>
      <c r="D567" s="163"/>
      <c r="E567" s="16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5">
      <c r="A568" s="162" t="s">
        <v>253</v>
      </c>
      <c r="B568" s="162"/>
      <c r="C568" s="162"/>
      <c r="D568" s="162"/>
      <c r="E568" s="162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 x14ac:dyDescent="0.35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 x14ac:dyDescent="0.35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 x14ac:dyDescent="0.35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35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35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35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35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35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5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5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5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5">
      <c r="A581" s="163" t="s">
        <v>249</v>
      </c>
      <c r="B581" s="163"/>
      <c r="C581" s="163"/>
      <c r="D581" s="163"/>
      <c r="E581" s="16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3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3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3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3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3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3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3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5">
      <c r="A594" s="163" t="s">
        <v>252</v>
      </c>
      <c r="B594" s="163"/>
      <c r="C594" s="163"/>
      <c r="D594" s="163"/>
      <c r="E594" s="16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5">
      <c r="A595" s="162" t="s">
        <v>253</v>
      </c>
      <c r="B595" s="162"/>
      <c r="C595" s="162"/>
      <c r="D595" s="162"/>
      <c r="E595" s="162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3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5">
      <c r="A608" s="163" t="s">
        <v>249</v>
      </c>
      <c r="B608" s="163"/>
      <c r="C608" s="163"/>
      <c r="D608" s="163"/>
      <c r="E608" s="16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5">
      <c r="A621" s="163" t="s">
        <v>252</v>
      </c>
      <c r="B621" s="163"/>
      <c r="C621" s="163"/>
      <c r="D621" s="163"/>
      <c r="E621" s="16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5">
      <c r="A622" s="162" t="s">
        <v>253</v>
      </c>
      <c r="B622" s="162"/>
      <c r="C622" s="162"/>
      <c r="D622" s="162"/>
      <c r="E622" s="162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254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5">
      <c r="A635" s="163" t="s">
        <v>249</v>
      </c>
      <c r="B635" s="163"/>
      <c r="C635" s="163"/>
      <c r="D635" s="163"/>
      <c r="E635" s="16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5">
      <c r="A648" s="163" t="s">
        <v>252</v>
      </c>
      <c r="B648" s="163"/>
      <c r="C648" s="163"/>
      <c r="D648" s="163"/>
      <c r="E648" s="16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5">
      <c r="A649" s="162" t="s">
        <v>253</v>
      </c>
      <c r="B649" s="162"/>
      <c r="C649" s="162"/>
      <c r="D649" s="162"/>
      <c r="E649" s="162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254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5">
      <c r="A662" s="163" t="s">
        <v>249</v>
      </c>
      <c r="B662" s="163"/>
      <c r="C662" s="163"/>
      <c r="D662" s="163"/>
      <c r="E662" s="16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5">
      <c r="A675" s="163" t="s">
        <v>252</v>
      </c>
      <c r="B675" s="163"/>
      <c r="C675" s="163"/>
      <c r="D675" s="163"/>
      <c r="E675" s="16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5">
      <c r="A676" s="162" t="s">
        <v>253</v>
      </c>
      <c r="B676" s="162"/>
      <c r="C676" s="162"/>
      <c r="D676" s="162"/>
      <c r="E676" s="162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5">
      <c r="A689" s="163" t="s">
        <v>249</v>
      </c>
      <c r="B689" s="163"/>
      <c r="C689" s="163"/>
      <c r="D689" s="163"/>
      <c r="E689" s="16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5">
      <c r="A702" s="163" t="s">
        <v>252</v>
      </c>
      <c r="B702" s="163"/>
      <c r="C702" s="163"/>
      <c r="D702" s="163"/>
      <c r="E702" s="16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5">
      <c r="A703" s="162" t="s">
        <v>253</v>
      </c>
      <c r="B703" s="162"/>
      <c r="C703" s="162"/>
      <c r="D703" s="162"/>
      <c r="E703" s="162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5">
      <c r="A716" s="163" t="s">
        <v>249</v>
      </c>
      <c r="B716" s="163"/>
      <c r="C716" s="163"/>
      <c r="D716" s="163"/>
      <c r="E716" s="16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5">
      <c r="A729" s="163" t="s">
        <v>252</v>
      </c>
      <c r="B729" s="163"/>
      <c r="C729" s="163"/>
      <c r="D729" s="163"/>
      <c r="E729" s="16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5">
      <c r="A730" s="162" t="s">
        <v>253</v>
      </c>
      <c r="B730" s="162"/>
      <c r="C730" s="162"/>
      <c r="D730" s="162"/>
      <c r="E730" s="162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5">
      <c r="A743" s="163" t="s">
        <v>249</v>
      </c>
      <c r="B743" s="163"/>
      <c r="C743" s="163"/>
      <c r="D743" s="163"/>
      <c r="E743" s="16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5">
      <c r="A756" s="163" t="s">
        <v>252</v>
      </c>
      <c r="B756" s="163"/>
      <c r="C756" s="163"/>
      <c r="D756" s="163"/>
      <c r="E756" s="16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5">
      <c r="A757" s="162" t="s">
        <v>253</v>
      </c>
      <c r="B757" s="162"/>
      <c r="C757" s="162"/>
      <c r="D757" s="162"/>
      <c r="E757" s="162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5">
      <c r="A770" s="163" t="s">
        <v>249</v>
      </c>
      <c r="B770" s="163"/>
      <c r="C770" s="163"/>
      <c r="D770" s="163"/>
      <c r="E770" s="16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5">
      <c r="A783" s="163" t="s">
        <v>252</v>
      </c>
      <c r="B783" s="163"/>
      <c r="C783" s="163"/>
      <c r="D783" s="163"/>
      <c r="E783" s="16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5">
      <c r="A784" s="162" t="s">
        <v>253</v>
      </c>
      <c r="B784" s="162"/>
      <c r="C784" s="162"/>
      <c r="D784" s="162"/>
      <c r="E784" s="162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5">
      <c r="A797" s="163" t="s">
        <v>249</v>
      </c>
      <c r="B797" s="163"/>
      <c r="C797" s="163"/>
      <c r="D797" s="163"/>
      <c r="E797" s="16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5">
      <c r="A810" s="163" t="s">
        <v>252</v>
      </c>
      <c r="B810" s="163"/>
      <c r="C810" s="163"/>
      <c r="D810" s="163"/>
      <c r="E810" s="16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5">
      <c r="A811" s="162" t="s">
        <v>253</v>
      </c>
      <c r="B811" s="162"/>
      <c r="C811" s="162"/>
      <c r="D811" s="162"/>
      <c r="E811" s="162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5">
      <c r="A824" s="163" t="s">
        <v>249</v>
      </c>
      <c r="B824" s="163"/>
      <c r="C824" s="163"/>
      <c r="D824" s="163"/>
      <c r="E824" s="16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250</v>
      </c>
      <c r="S824" s="74"/>
      <c r="T824" s="99">
        <f>IFERROR(J824,"")</f>
        <v>0</v>
      </c>
    </row>
    <row r="825" spans="1:20" ht="15" customHeight="1" x14ac:dyDescent="0.3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5">
      <c r="A837" s="163" t="s">
        <v>252</v>
      </c>
      <c r="B837" s="163"/>
      <c r="C837" s="163"/>
      <c r="D837" s="163"/>
      <c r="E837" s="16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250</v>
      </c>
      <c r="S837" s="74"/>
      <c r="T837" s="99">
        <f>IFERROR(J837,"")</f>
        <v>0</v>
      </c>
    </row>
    <row r="838" spans="1:20" ht="18" customHeight="1" x14ac:dyDescent="0.35">
      <c r="A838" s="162" t="s">
        <v>253</v>
      </c>
      <c r="B838" s="162"/>
      <c r="C838" s="162"/>
      <c r="D838" s="162"/>
      <c r="E838" s="162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254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Desktop CCO01</cp:lastModifiedBy>
  <cp:revision>0</cp:revision>
  <dcterms:created xsi:type="dcterms:W3CDTF">2026-06-05T19:56:02Z</dcterms:created>
  <dcterms:modified xsi:type="dcterms:W3CDTF">2026-08-19T22:30:44Z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