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931" documentId="13_ncr:1_{0A10D8D4-8450-4366-8075-B53B08E6B7EA}" xr6:coauthVersionLast="47" xr6:coauthVersionMax="47" xr10:uidLastSave="{0C691C44-87B4-496F-87A5-7BA2B940D951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H401" i="6" s="1"/>
  <c r="J401" i="6" s="1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H401" i="5" s="1"/>
  <c r="J401" i="5" s="1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H401" i="4" s="1"/>
  <c r="J401" i="4" s="1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9" i="4" l="1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<sst xmlns="http://schemas.openxmlformats.org/spreadsheetml/2006/main" count="6935" uniqueCount="353">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</sst>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7" activePane="bottomLeft" state="frozen"/>
      <selection pane="bottomLeft" activeCell="F402" sqref="F402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242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242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310</v>
      </c>
      <c r="G405" s="36">
        <f>SUM(G393:G404)</f>
        <v>1550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590</v>
      </c>
      <c r="G406" s="40">
        <f>G392+G405</f>
        <v>2965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G402" sqref="G40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5.1995254623761866E-2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0.19088414351265076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0.27560636573487307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25.200000000000003</v>
      </c>
      <c r="L398" s="26" t="s">
        <v>27</v>
      </c>
      <c r="M398" s="26"/>
      <c r="N398" s="26"/>
      <c r="O398" s="29">
        <v>0.16666666666666666</v>
      </c>
      <c r="P398" s="29"/>
      <c r="Q398" s="30">
        <f t="shared" ca="1" si="96"/>
        <v>6.8563657405320555E-3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100.80000000000001</v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4"/>
        <v>0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160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672</v>
      </c>
      <c r="L405" s="37"/>
      <c r="M405" s="37"/>
      <c r="N405" s="37"/>
      <c r="O405" s="37"/>
      <c r="P405" s="37"/>
      <c r="Q405" s="38">
        <f ca="1">IFERROR(SUM(Q393:Q404),"")</f>
        <v>9.2967476851643235E-2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326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1369.2000000000003</v>
      </c>
      <c r="L406" s="41"/>
      <c r="M406" s="41"/>
      <c r="N406" s="41"/>
      <c r="O406" s="41"/>
      <c r="P406" s="41"/>
      <c r="Q406" s="42">
        <f ca="1">IFERROR(Q392+Q405,"")</f>
        <v>0.16518969907386544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2" activePane="bottomLeft" state="frozen"/>
      <selection pane="bottomLeft" activeCell="G402" sqref="G40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 t="s">
        <v>27</v>
      </c>
      <c r="M395" s="33"/>
      <c r="N395" s="33"/>
      <c r="O395" s="29">
        <v>0.16666666666666666</v>
      </c>
      <c r="P395" s="29"/>
      <c r="Q395" s="35">
        <f t="shared" ca="1" si="94"/>
        <v>6.8563657405320555E-3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2"/>
        <v>0</v>
      </c>
      <c r="K396" s="28">
        <f t="shared" si="93"/>
        <v>29.400000000000002</v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2"/>
        <v>0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2"/>
        <v>0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2"/>
        <v>0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2"/>
        <v>0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2"/>
        <v>0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100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420.00000000000006</v>
      </c>
      <c r="L405" s="37"/>
      <c r="M405" s="37"/>
      <c r="N405" s="37"/>
      <c r="O405" s="37"/>
      <c r="P405" s="37"/>
      <c r="Q405" s="38">
        <f ca="1">IFERROR(SUM(Q393:Q404),"")</f>
        <v>2.6995254629420873E-2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192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777</v>
      </c>
      <c r="L406" s="41"/>
      <c r="M406" s="41"/>
      <c r="N406" s="41"/>
      <c r="O406" s="41"/>
      <c r="P406" s="41"/>
      <c r="Q406" s="42">
        <f ca="1">IFERROR(Q392+Q405,"")</f>
        <v>0.10060636574053206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79" activePane="bottomLeft" state="frozen"/>
      <selection pane="bottomLeft" activeCell="G402" sqref="G40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0.54574525462521706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0.61032858795855027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/>
      <c r="Q395" s="35">
        <f t="shared" ca="1" si="96"/>
        <v>1.7273032404773403E-2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4"/>
        <v>0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181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760.2</v>
      </c>
      <c r="L405" s="37"/>
      <c r="M405" s="37"/>
      <c r="N405" s="37"/>
      <c r="O405" s="61"/>
      <c r="P405" s="61"/>
      <c r="Q405" s="38">
        <f ca="1">IFERROR(SUM(Q393:Q404),"")</f>
        <v>5.2689699071440103E-2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321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1348.2</v>
      </c>
      <c r="L406" s="41"/>
      <c r="M406" s="41"/>
      <c r="N406" s="41"/>
      <c r="O406" s="63"/>
      <c r="P406" s="63"/>
      <c r="Q406" s="42">
        <f ca="1">IFERROR(Q392+Q405,"")</f>
        <v>0.66301828702999033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2026-08-16T08:10:10Z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