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400" documentId="8_{AF585B22-221D-4780-BB9C-493D365A6A02}" xr6:coauthVersionLast="47" xr6:coauthVersionMax="47" xr10:uidLastSave="{ED10495A-B528-4308-8B82-A6CDF8FB342B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40" i="3" l="1"/>
  <c r="M623" i="4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<sst xmlns="http://schemas.openxmlformats.org/spreadsheetml/2006/main" count="9842" uniqueCount="386">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</sst>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8" sqref="G2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2213310</v>
      </c>
      <c r="D27" s="11">
        <f>IFERROR('Linha 1'!O649,"")</f>
        <v>508090</v>
      </c>
      <c r="E27" s="11">
        <f>IFERROR('Linha 2'!O649,"")</f>
        <v>659370</v>
      </c>
      <c r="F27" s="11">
        <f>IFERROR('Linha 3'!O649,"")</f>
        <v>360420</v>
      </c>
      <c r="G27" s="12">
        <f t="shared" si="0"/>
        <v>1527880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73202308</v>
      </c>
      <c r="D35" s="13">
        <f>IFERROR(SUM(D4:D34),"")</f>
        <v>28724530</v>
      </c>
      <c r="E35" s="13">
        <f>IFERROR(SUM(E4:E34),"")</f>
        <v>16744270</v>
      </c>
      <c r="F35" s="13">
        <f>IFERROR(SUM(F4:F34),"")</f>
        <v>30758160</v>
      </c>
      <c r="G35" s="13">
        <f>IFERROR(SUM(G4:G34),"")</f>
        <v>76226960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19" activePane="bottomLeft" state="frozen"/>
      <selection pane="bottomLeft" activeCell="F644" sqref="F64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5</v>
      </c>
      <c r="G643" s="34">
        <f t="shared" si="141"/>
        <v>25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199</v>
      </c>
      <c r="G648" s="36">
        <f>SUM(G636:G647)</f>
        <v>995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532</v>
      </c>
      <c r="G649" s="40">
        <f>G635+G648</f>
        <v>2660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2213310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20" activePane="bottomLeft" state="frozen"/>
      <selection pane="bottomLeft" activeCell="F644" sqref="F64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0.89001030092185829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1.0476491898107472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1.1573714120329694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0.86848252314666752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1.0393158564800009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1.1844547453688898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35" t="str">
        <f ca="1">IFERROR(IF(K623="","",IF(#REF!="",MOD(NOW()-K623,1),IF(#REF!&gt;=K623,#REF!-K623,#REF!+1-K623))),"")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21">
        <v>0.55138888888888893</v>
      </c>
      <c r="M624" s="30">
        <f ca="1">IFERROR(IF(K624="","",IF(L623="",MOD(NOW()-K624,1),IF(L623&gt;=K624,L623-K624,L623+1-K624))),"")</f>
        <v>0.95833333333333315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0.77013888888888893</v>
      </c>
      <c r="M625" s="35">
        <f t="shared" ref="M625:M634" ca="1" si="140">IFERROR(IF(K625="","",IF(L625="",MOD(NOW()-K625,1),IF(L625&gt;=K625,L625-K625,L625+1-K625))),"")</f>
        <v>1.736111111111116E-2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0.97569444444444431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120</v>
      </c>
      <c r="G648" s="36">
        <f>SUM(G636:G647)</f>
        <v>504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213</v>
      </c>
      <c r="G649" s="40">
        <f>G635+G648</f>
        <v>894.59999999999991</v>
      </c>
      <c r="H649" s="41"/>
      <c r="I649" s="41"/>
      <c r="J649" s="41"/>
      <c r="K649" s="41"/>
      <c r="L649" s="41"/>
      <c r="M649" s="42">
        <f ca="1">IFERROR(M635+M648,"")</f>
        <v>1.0687499999999999</v>
      </c>
      <c r="N649" s="40" t="s">
        <v>236</v>
      </c>
      <c r="O649" s="83">
        <f>O635+O648</f>
        <v>508090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16" zoomScale="50" zoomScaleNormal="50" workbookViewId="0">
      <selection activeCell="F644" sqref="F64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311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276</v>
      </c>
      <c r="K141" s="29">
        <v>0.71597222222222223</v>
      </c>
      <c r="L141" s="29" t="s">
        <v>317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319</v>
      </c>
      <c r="N166" s="27" t="s">
        <v>320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335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336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337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65</v>
      </c>
      <c r="G648" s="36">
        <f>SUM(G636:G647)</f>
        <v>273</v>
      </c>
      <c r="H648" s="37"/>
      <c r="I648" s="37"/>
      <c r="J648" s="37"/>
      <c r="K648" s="37"/>
      <c r="L648" s="37"/>
      <c r="M648" s="38">
        <f ca="1">IFERROR(SUM(M636:M647),"")</f>
        <v>6.9444444444444448E-2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211</v>
      </c>
      <c r="G649" s="40">
        <f>G635+G648</f>
        <v>886.19999999999993</v>
      </c>
      <c r="H649" s="41"/>
      <c r="I649" s="41"/>
      <c r="J649" s="41"/>
      <c r="K649" s="41"/>
      <c r="L649" s="41"/>
      <c r="M649" s="42">
        <f ca="1">IFERROR(M635+M648,"")</f>
        <v>7.4999999999999983E-2</v>
      </c>
      <c r="N649" s="40" t="s">
        <v>236</v>
      </c>
      <c r="O649" s="48">
        <f>IFERROR(O635+O648,"")</f>
        <v>659370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20" activePane="bottomLeft" state="frozen"/>
      <selection pane="bottomLeft" activeCell="F642" sqref="F64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344</v>
      </c>
      <c r="L58" s="29">
        <v>0.54097222222222219</v>
      </c>
      <c r="M58" s="30" t="str">
        <f t="shared" ca="1" si="13"/>
        <v/>
      </c>
      <c r="N58" s="27" t="s">
        <v>345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311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0.88028807870432502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1.0795936342598806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1.4469547453709917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385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/>
      <c r="J638" s="26"/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22</v>
      </c>
      <c r="G648" s="36">
        <f>SUM(G636:G647)</f>
        <v>92.4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108</v>
      </c>
      <c r="G649" s="40">
        <f>G635+G648</f>
        <v>453.6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360420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2026-07-25T07:06:58Z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