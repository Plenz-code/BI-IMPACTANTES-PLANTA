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77" documentId="13_ncr:1_{A6DBCFB4-28D9-4249-9038-216934055CA6}" xr6:coauthVersionLast="47" xr6:coauthVersionMax="47" xr10:uidLastSave="{C6447711-2FBF-488C-B201-6F006D2C1445}"/>
  <bookViews>
    <workbookView xWindow="-110" yWindow="-110" windowWidth="25820" windowHeight="1550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3" i="5" l="1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<sst xmlns="http://schemas.openxmlformats.org/spreadsheetml/2006/main" count="9824" uniqueCount="421">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</sst>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I586" sqref="I58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/>
      <c r="E582" s="62" t="s">
        <v>260</v>
      </c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/>
      <c r="E583" s="62" t="s">
        <v>260</v>
      </c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/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/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/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/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378</v>
      </c>
      <c r="G595" s="1">
        <f>G581+G594</f>
        <v>1890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60" activePane="bottomLeft" state="frozen"/>
      <selection pane="bottomLeft" activeCell="D582" sqref="D58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0.68699467592523433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0.82588356481412206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0.91060578703634487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1.3194444444444509E-2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205.8</v>
      </c>
      <c r="L595" s="76"/>
      <c r="M595" s="76"/>
      <c r="N595" s="76"/>
      <c r="O595" s="76"/>
      <c r="P595" s="76"/>
      <c r="Q595" s="77">
        <f ca="1">IFERROR(Q581+Q594,"")</f>
        <v>0.41736111111111113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61" activePane="bottomLeft" state="frozen"/>
      <selection pane="bottomLeft" activeCell="D593" sqref="D59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/>
      <c r="H582" s="101" t="str">
        <f>IFERROR(IF($G582="","",$G582*$S$594/$G$594/Cadastro!$E$33),"")</f>
        <v/>
      </c>
      <c r="I582" s="102">
        <f>IFERROR(IF($D582="","",VLOOKUP($D582,Cadastro!$C$4:$G$7,5,FALSE())),"")</f>
        <v>0.6</v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/>
      <c r="H583" s="88" t="str">
        <f>IFERROR(IF($G583="","",$G583*$S$594/$G$594/Cadastro!$E$33),"")</f>
        <v/>
      </c>
      <c r="I583" s="90">
        <f>IFERROR(IF($D583="","",VLOOKUP($D583,Cadastro!$C$4:$G$7,5,FALSE())),"")</f>
        <v>0.6</v>
      </c>
      <c r="J583" s="91" t="str">
        <f t="shared" si="147"/>
        <v/>
      </c>
      <c r="K583" s="69" t="str">
        <f t="shared" si="148"/>
        <v/>
      </c>
      <c r="L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/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/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/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/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/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/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1.3194444444444509E-2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163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693.40000000000009</v>
      </c>
      <c r="L595" s="76"/>
      <c r="M595" s="76"/>
      <c r="N595" s="76"/>
      <c r="O595" s="76"/>
      <c r="P595" s="76"/>
      <c r="Q595" s="77">
        <f ca="1">IFERROR(Q581+Q594,"")</f>
        <v>0.16944444444444451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M505:M582 M584:M900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61" activePane="bottomLeft" state="frozen"/>
      <selection pane="bottomLeft" activeCell="E593" sqref="E59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/>
      <c r="E582" s="87" t="s">
        <v>275</v>
      </c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/>
      <c r="E583" s="87" t="s">
        <v>275</v>
      </c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/>
      <c r="E584" s="87" t="s">
        <v>275</v>
      </c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/>
      <c r="E585" s="87" t="s">
        <v>275</v>
      </c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/>
      <c r="E586" s="87" t="s">
        <v>275</v>
      </c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 t="s">
        <v>275</v>
      </c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 t="s">
        <v>275</v>
      </c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 t="s">
        <v>275</v>
      </c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 t="s">
        <v>275</v>
      </c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 t="s">
        <v>275</v>
      </c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 t="s">
        <v>275</v>
      </c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864.40000000000009</v>
      </c>
      <c r="L595" s="76"/>
      <c r="M595" s="76"/>
      <c r="N595" s="76"/>
      <c r="O595" s="135"/>
      <c r="P595" s="135"/>
      <c r="Q595" s="77">
        <f ca="1">IFERROR(Q581+Q594,"")</f>
        <v>0.13402777777777786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2026-08-22T23:24:48Z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