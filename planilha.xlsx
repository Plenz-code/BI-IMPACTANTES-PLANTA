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852" documentId="13_ncr:1_{A6DBCFB4-28D9-4249-9038-216934055CA6}" xr6:coauthVersionLast="47" xr6:coauthVersionMax="47" xr10:uidLastSave="{622B423D-9583-4C3E-A860-27B08FFA1020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<sst xmlns="http://schemas.openxmlformats.org/spreadsheetml/2006/main" count="8949" uniqueCount="401">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</sst>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19" activePane="bottomLeft" state="frozen"/>
      <selection pane="bottomLeft" activeCell="D529" sqref="D529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/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39</v>
      </c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17</v>
      </c>
      <c r="G540" s="2">
        <f>SUM(G528:G539)</f>
        <v>85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205</v>
      </c>
      <c r="G541" s="1">
        <f>G527+G540</f>
        <v>966.6</v>
      </c>
      <c r="H541" s="76"/>
      <c r="I541" s="76"/>
      <c r="J541" s="76"/>
      <c r="K541" s="76"/>
      <c r="L541" s="76"/>
      <c r="M541" s="77">
        <f ca="1">IFERROR(M527+M540,"")</f>
        <v>4.5138888888888951E-2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P529" sqref="P529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0.75843402777536539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0.89732291666425312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0.98204513888647593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/>
      <c r="H529" s="88" t="str">
        <f>IFERROR(IF($G529="","",$G529*$S$540/$G$540/Cadastro!$E$33),"")</f>
        <v/>
      </c>
      <c r="I529" s="90">
        <f>IFERROR(IF($D529="","",VLOOKUP($D529,Cadastro!$C$4:$G$7,5,FALSE())),"")</f>
        <v>0.6</v>
      </c>
      <c r="J529" s="91" t="str">
        <f t="shared" si="134"/>
        <v/>
      </c>
      <c r="K529" s="69" t="str">
        <f t="shared" si="135"/>
        <v/>
      </c>
      <c r="L529" s="70"/>
      <c r="M529" s="70"/>
      <c r="N529" s="70" t="s">
        <v>71</v>
      </c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/>
      <c r="H530" s="88" t="str">
        <f>IFERROR(IF($G530="","",$G530*$S$540/$G$540/Cadastro!$E$33),"")</f>
        <v/>
      </c>
      <c r="I530" s="90">
        <f>IFERROR(IF($D530="","",VLOOKUP($D530,Cadastro!$C$4:$G$7,5,FALSE())),"")</f>
        <v>0.6</v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7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29.400000000000002</v>
      </c>
      <c r="L540" s="72"/>
      <c r="M540" s="72"/>
      <c r="N540" s="72"/>
      <c r="O540" s="72"/>
      <c r="P540" s="72"/>
      <c r="Q540" s="73">
        <f ca="1">IFERROR(SUM(Q528:Q539),"")</f>
        <v>1.1805555555555625E-2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186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854.80000000000007</v>
      </c>
      <c r="L541" s="76"/>
      <c r="M541" s="76"/>
      <c r="N541" s="76"/>
      <c r="O541" s="76"/>
      <c r="P541" s="76"/>
      <c r="Q541" s="77">
        <f ca="1">IFERROR(Q527+Q540,"")</f>
        <v>7.6388888888888895E-2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15" activePane="bottomLeft" state="frozen"/>
      <selection pane="bottomLeft" activeCell="N547" sqref="N547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339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339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339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341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342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343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344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346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347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348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349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350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352</v>
      </c>
      <c r="Q222" s="66" t="str">
        <f t="shared" ca="1" si="49"/>
        <v/>
      </c>
      <c r="R222" s="63" t="s">
        <v>353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354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355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356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357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358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359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359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360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361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346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362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363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364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0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/>
      <c r="F529" s="88">
        <f>IFERROR(IF($D529="","",VLOOKUP($D529,Cadastro!$C$4:$E$7,3,FALSE())),"")</f>
        <v>0.24</v>
      </c>
      <c r="G529" s="89"/>
      <c r="H529" s="88" t="str">
        <f>IFERROR(IF($G529="","",$G529*$S$540/$G$540/Cadastro!$E$33),"")</f>
        <v/>
      </c>
      <c r="I529" s="90">
        <f>IFERROR(IF($D529="","",VLOOKUP($D529,Cadastro!$C$4:$G$7,5,FALSE())),"")</f>
        <v>0.6</v>
      </c>
      <c r="J529" s="91" t="str">
        <f t="shared" si="131"/>
        <v/>
      </c>
      <c r="K529" s="69" t="str">
        <f t="shared" si="132"/>
        <v/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31</v>
      </c>
      <c r="E530" s="87"/>
      <c r="F530" s="88">
        <f>IFERROR(IF($D530="","",VLOOKUP($D530,Cadastro!$C$4:$E$7,3,FALSE())),"")</f>
        <v>0.35</v>
      </c>
      <c r="G530" s="89"/>
      <c r="H530" s="88" t="str">
        <f>IFERROR(IF($G530="","",$G530*$S$540/$G$540/Cadastro!$E$33),"")</f>
        <v/>
      </c>
      <c r="I530" s="90">
        <f>IFERROR(IF($D530="","",VLOOKUP($D530,Cadastro!$C$4:$G$7,5,FALSE())),"")</f>
        <v>0.6</v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31</v>
      </c>
      <c r="E531" s="87"/>
      <c r="F531" s="88">
        <f>IFERROR(IF($D531="","",VLOOKUP($D531,Cadastro!$C$4:$E$7,3,FALSE())),"")</f>
        <v>0.35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31</v>
      </c>
      <c r="E532" s="87"/>
      <c r="F532" s="88">
        <f>IFERROR(IF($D532="","",VLOOKUP($D532,Cadastro!$C$4:$E$7,3,FALSE())),"")</f>
        <v>0.35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31</v>
      </c>
      <c r="E533" s="87"/>
      <c r="F533" s="88">
        <f>IFERROR(IF($D533="","",VLOOKUP($D533,Cadastro!$C$4:$E$7,3,FALSE())),"")</f>
        <v>0.35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31</v>
      </c>
      <c r="E534" s="87"/>
      <c r="F534" s="88">
        <f>IFERROR(IF($D534="","",VLOOKUP($D534,Cadastro!$C$4:$E$7,3,FALSE())),"")</f>
        <v>0.35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31</v>
      </c>
      <c r="E535" s="87"/>
      <c r="F535" s="88">
        <f>IFERROR(IF($D535="","",VLOOKUP($D535,Cadastro!$C$4:$E$7,3,FALSE())),"")</f>
        <v>0.35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19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79.8</v>
      </c>
      <c r="L540" s="72"/>
      <c r="M540" s="72"/>
      <c r="N540" s="72"/>
      <c r="O540" s="72"/>
      <c r="P540" s="72"/>
      <c r="Q540" s="73">
        <f ca="1">IFERROR(SUM(Q528:Q539),"")</f>
        <v>9.7222222222221877E-3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96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428.8</v>
      </c>
      <c r="L541" s="76"/>
      <c r="M541" s="76"/>
      <c r="N541" s="76"/>
      <c r="O541" s="76"/>
      <c r="P541" s="76"/>
      <c r="Q541" s="77">
        <f ca="1">IFERROR(Q527+Q540,"")</f>
        <v>7.847222222222211E-2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17" activePane="bottomLeft" state="frozen"/>
      <selection pane="bottomLeft" activeCell="E529" sqref="E529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339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339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339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339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361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7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35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/>
      <c r="Q529" s="71">
        <f t="shared" ca="1" si="136"/>
        <v>1.3295138887770008E-2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31</v>
      </c>
      <c r="E530" s="87" t="s">
        <v>274</v>
      </c>
      <c r="F530" s="88">
        <f>IFERROR(IF($D530="","",VLOOKUP($D530,Cadastro!$C$4:$E$7,3,FALSE())),"")</f>
        <v>0.35</v>
      </c>
      <c r="G530" s="89"/>
      <c r="H530" s="88" t="str">
        <f>IFERROR(IF($G530="","",$G530*$S$540/$G$540/Cadastro!$E$33),"")</f>
        <v/>
      </c>
      <c r="I530" s="90">
        <f>IFERROR(IF($D530="","",VLOOKUP($D530,Cadastro!$C$4:$G$7,5,FALSE())),"")</f>
        <v>0.6</v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31</v>
      </c>
      <c r="E531" s="87"/>
      <c r="F531" s="88">
        <f>IFERROR(IF($D531="","",VLOOKUP($D531,Cadastro!$C$4:$E$7,3,FALSE())),"")</f>
        <v>0.35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31</v>
      </c>
      <c r="E532" s="87"/>
      <c r="F532" s="88">
        <f>IFERROR(IF($D532="","",VLOOKUP($D532,Cadastro!$C$4:$E$7,3,FALSE())),"")</f>
        <v>0.35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31</v>
      </c>
      <c r="E533" s="87"/>
      <c r="F533" s="88">
        <f>IFERROR(IF($D533="","",VLOOKUP($D533,Cadastro!$C$4:$E$7,3,FALSE())),"")</f>
        <v>0.35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31</v>
      </c>
      <c r="E534" s="87"/>
      <c r="F534" s="88">
        <f>IFERROR(IF($D534="","",VLOOKUP($D534,Cadastro!$C$4:$E$7,3,FALSE())),"")</f>
        <v>0.35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31</v>
      </c>
      <c r="E535" s="87"/>
      <c r="F535" s="88">
        <f>IFERROR(IF($D535="","",VLOOKUP($D535,Cadastro!$C$4:$E$7,3,FALSE())),"")</f>
        <v>0.35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29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127.4</v>
      </c>
      <c r="L540" s="72"/>
      <c r="M540" s="72"/>
      <c r="N540" s="72"/>
      <c r="O540" s="134"/>
      <c r="P540" s="134"/>
      <c r="Q540" s="73">
        <f ca="1">IFERROR(SUM(Q528:Q539),"")</f>
        <v>1.5378472221103334E-2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226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1028.4000000000001</v>
      </c>
      <c r="L541" s="76"/>
      <c r="M541" s="76"/>
      <c r="N541" s="76"/>
      <c r="O541" s="135"/>
      <c r="P541" s="135"/>
      <c r="Q541" s="77">
        <f ca="1">IFERROR(Q527+Q540,"")</f>
        <v>6.5378472221103434E-2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2026-08-21T01:07:34Z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