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86" documentId="13_ncr:1_{A6DBCFB4-28D9-4249-9038-216934055CA6}" xr6:coauthVersionLast="47" xr6:coauthVersionMax="47" xr10:uidLastSave="{261A3BC7-2932-4F6E-B370-6F60B66D1A04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4" i="6" l="1"/>
  <c r="J585" i="6"/>
  <c r="J586" i="6"/>
  <c r="J587" i="6"/>
  <c r="J588" i="6"/>
  <c r="J589" i="6"/>
  <c r="J590" i="6"/>
  <c r="J591" i="6"/>
  <c r="J592" i="6"/>
  <c r="J593" i="6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<sst xmlns="http://schemas.openxmlformats.org/spreadsheetml/2006/main" count="10060" uniqueCount="428">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</sst>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79841380</v>
      </c>
      <c r="D35" s="30">
        <f t="shared" si="2"/>
        <v>25386150</v>
      </c>
      <c r="E35" s="30">
        <f t="shared" si="2"/>
        <v>14583440</v>
      </c>
      <c r="F35" s="30">
        <f t="shared" si="2"/>
        <v>34414330</v>
      </c>
      <c r="G35" s="30">
        <f t="shared" si="2"/>
        <v>74383920</v>
      </c>
      <c r="H35" s="31">
        <f t="shared" si="2"/>
        <v>7206.0576326915125</v>
      </c>
      <c r="I35" s="31">
        <f t="shared" si="2"/>
        <v>4967.05</v>
      </c>
      <c r="J35" s="32">
        <f>I35/H35</f>
        <v>0.68928813134467992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8" activePane="bottomLeft" state="frozen"/>
      <selection pane="bottomLeft" activeCell="J596" sqref="J596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/>
      <c r="M596" s="66">
        <f t="shared" ref="M596:M607" ca="1" si="129">IFERROR(IF(K596="","",IF(L596="",MOD(NOW()-K596,1),IF(L596&gt;=K596,L596-K596,L596+1-K596))),"")</f>
        <v>0.13533680555701721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0.13533680555701721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0.13533680555701721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99" sqref="G599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0.30547569444024703</v>
      </c>
      <c r="R53" s="80" t="s">
        <v>315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0.44436458332913475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0.52908680555135756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23.705806451612901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4.9782193548387088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23.705806451612901</v>
      </c>
      <c r="I583" s="90">
        <f>IFERROR(IF($D583="","",VLOOKUP($D583,Cadastro!$C$4:$G$7,5,FALSE())),"")</f>
        <v>0.6</v>
      </c>
      <c r="J583" s="91">
        <f t="shared" si="150"/>
        <v>4.9782193548387088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136.30838709677417</v>
      </c>
      <c r="I584" s="90">
        <f>IFERROR(IF($D584="","",VLOOKUP($D584,Cadastro!$C$4:$G$7,5,FALSE())),"")</f>
        <v>0.6</v>
      </c>
      <c r="J584" s="91">
        <f t="shared" si="150"/>
        <v>28.624761290322571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53.33806451612903</v>
      </c>
      <c r="I585" s="90">
        <f>IFERROR(IF($D585="","",VLOOKUP($D585,Cadastro!$C$4:$G$7,5,FALSE())),"")</f>
        <v>0.6</v>
      </c>
      <c r="J585" s="91">
        <f t="shared" si="150"/>
        <v>11.200993548387096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23.705806451612901</v>
      </c>
      <c r="I586" s="90">
        <f>IFERROR(IF($D586="","",VLOOKUP($D586,Cadastro!$C$4:$G$7,5,FALSE())),"")</f>
        <v>0.6</v>
      </c>
      <c r="J586" s="91">
        <f t="shared" si="150"/>
        <v>4.9782193548387088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23.705806451612901</v>
      </c>
      <c r="I587" s="90">
        <f>IFERROR(IF($D587="","",VLOOKUP($D587,Cadastro!$C$4:$G$7,5,FALSE())),"")</f>
        <v>0.6</v>
      </c>
      <c r="J587" s="91">
        <f t="shared" si="150"/>
        <v>4.9782193548387088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35.558709677419358</v>
      </c>
      <c r="I588" s="90">
        <f>IFERROR(IF($D588="","",VLOOKUP($D588,Cadastro!$C$4:$G$7,5,FALSE())),"")</f>
        <v>0.6</v>
      </c>
      <c r="J588" s="91">
        <f t="shared" si="150"/>
        <v>7.4673290322580641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118.52903225806452</v>
      </c>
      <c r="I589" s="90">
        <f>IFERROR(IF($D589="","",VLOOKUP($D589,Cadastro!$C$4:$G$7,5,FALSE())),"")</f>
        <v>0.6</v>
      </c>
      <c r="J589" s="91">
        <f t="shared" si="150"/>
        <v>24.891096774193546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59.264516129032259</v>
      </c>
      <c r="I590" s="90">
        <f>IFERROR(IF($D590="","",VLOOKUP($D590,Cadastro!$C$4:$G$7,5,FALSE())),"")</f>
        <v>0.6</v>
      </c>
      <c r="J590" s="91">
        <f t="shared" si="150"/>
        <v>12.445548387096773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35.558709677419358</v>
      </c>
      <c r="I591" s="90">
        <f>IFERROR(IF($D591="","",VLOOKUP($D591,Cadastro!$C$4:$G$7,5,FALSE())),"")</f>
        <v>0.6</v>
      </c>
      <c r="J591" s="91">
        <f t="shared" si="150"/>
        <v>7.4673290322580641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17.779354838709679</v>
      </c>
      <c r="I592" s="90">
        <f>IFERROR(IF($D592="","",VLOOKUP($D592,Cadastro!$C$4:$G$7,5,FALSE())),"")</f>
        <v>0.6</v>
      </c>
      <c r="J592" s="91">
        <f t="shared" si="150"/>
        <v>3.7336645161290321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551.15999999999985</v>
      </c>
      <c r="I594" s="106"/>
      <c r="J594" s="107">
        <f>IFERROR(SUM(J582:J593),"")</f>
        <v>115.74359999999999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726.69999999999982</v>
      </c>
      <c r="I595" s="110"/>
      <c r="J595" s="111">
        <f>IFERROR(J581+J594,"")</f>
        <v>152.60699999999997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109.2</v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4"/>
        <v>0</v>
      </c>
      <c r="K597" s="69">
        <f t="shared" si="155"/>
        <v>63</v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4"/>
        <v>0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46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193.2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46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193.2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99" sqref="G599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0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1"/>
        <v>0</v>
      </c>
      <c r="K597" s="69">
        <f t="shared" si="152"/>
        <v>12.600000000000001</v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1"/>
        <v>0</v>
      </c>
      <c r="K598" s="64">
        <f t="shared" si="152"/>
        <v>12.600000000000001</v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14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58.800000000000004</v>
      </c>
      <c r="L608" s="72"/>
      <c r="M608" s="72"/>
      <c r="N608" s="72"/>
      <c r="O608" s="72"/>
      <c r="P608" s="72"/>
      <c r="Q608" s="73">
        <f ca="1">IFERROR(SUM(Q596:Q607),"")</f>
        <v>2.9166666666666674E-2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14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58.800000000000004</v>
      </c>
      <c r="L622" s="76"/>
      <c r="M622" s="76"/>
      <c r="N622" s="76"/>
      <c r="O622" s="76"/>
      <c r="P622" s="76"/>
      <c r="Q622" s="77">
        <f ca="1">IFERROR(Q608+Q621,"")</f>
        <v>2.9166666666666674E-2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593" activePane="bottomLeft" state="frozen"/>
      <selection pane="bottomLeft" activeCell="G599" sqref="G599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427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4"/>
        <v>0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4"/>
        <v>0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33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138.6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33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138.6</v>
      </c>
      <c r="L622" s="76"/>
      <c r="M622" s="76"/>
      <c r="N622" s="76"/>
      <c r="O622" s="135"/>
      <c r="P622" s="135"/>
      <c r="Q622" s="77">
        <f ca="1">IFERROR(Q608+Q621,"")</f>
        <v>2.0833333333333315E-2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2026-08-23T14:15:15Z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