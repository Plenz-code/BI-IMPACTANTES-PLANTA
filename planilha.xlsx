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890" documentId="8_{C51EB6CB-002B-4D6B-B68F-DDEBDB4460C0}" xr6:coauthVersionLast="47" xr6:coauthVersionMax="47" xr10:uidLastSave="{1C9702C7-998E-4983-A7B5-611183806D3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<sst xmlns="http://schemas.openxmlformats.org/spreadsheetml/2006/main" count="4101" uniqueCount="299">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</sst>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1" sqref="G11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24036285</v>
      </c>
      <c r="D35" s="13">
        <f>IFERROR(SUM(D4:D34),"")</f>
        <v>7112730</v>
      </c>
      <c r="E35" s="13">
        <f>IFERROR(SUM(E4:E34),"")</f>
        <v>3636350</v>
      </c>
      <c r="F35" s="13">
        <f>IFERROR(SUM(F4:F34),"")</f>
        <v>9451500</v>
      </c>
      <c r="G35" s="13">
        <f>IFERROR(SUM(G4:G34),"")</f>
        <v>20200580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5" activePane="bottomLeft" state="frozen"/>
      <selection pane="bottomLeft" activeCell="F195" sqref="F19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143</v>
      </c>
      <c r="G203" s="36">
        <f>SUM(G191:G202)</f>
        <v>715</v>
      </c>
      <c r="H203" s="37"/>
      <c r="I203" s="37"/>
      <c r="J203" s="37"/>
      <c r="K203" s="37"/>
      <c r="L203" s="37"/>
      <c r="M203" s="38">
        <f ca="1">IFERROR(SUM(M191:M202),"")</f>
        <v>5.1388888888888873E-2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143</v>
      </c>
      <c r="G217" s="40">
        <f>G203+G216</f>
        <v>715</v>
      </c>
      <c r="H217" s="41"/>
      <c r="I217" s="41"/>
      <c r="J217" s="41"/>
      <c r="K217" s="41"/>
      <c r="L217" s="41"/>
      <c r="M217" s="42">
        <f ca="1">IFERROR(M203+M216,"")</f>
        <v>5.1388888888888873E-2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3" activePane="bottomLeft" state="frozen"/>
      <selection pane="bottomLeft" activeCell="J194" sqref="J1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0.45381643518339843</v>
      </c>
      <c r="N53" s="46" t="s">
        <v>258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0.59270532407228727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0.67742754629450963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267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271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272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73</v>
      </c>
      <c r="G203" s="36">
        <f>SUM(G191:G202)</f>
        <v>306.60000000000002</v>
      </c>
      <c r="H203" s="37"/>
      <c r="I203" s="37"/>
      <c r="J203" s="37"/>
      <c r="K203" s="37"/>
      <c r="L203" s="37"/>
      <c r="M203" s="38">
        <f ca="1">IFERROR(SUM(M191:M202),"")</f>
        <v>8.6111111111111083E-2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73</v>
      </c>
      <c r="G217" s="40">
        <f>G203+G216</f>
        <v>306.60000000000002</v>
      </c>
      <c r="H217" s="41"/>
      <c r="I217" s="41"/>
      <c r="J217" s="41"/>
      <c r="K217" s="41"/>
      <c r="L217" s="41"/>
      <c r="M217" s="42">
        <f ca="1">IFERROR(M203+M216,"")</f>
        <v>8.6111111111111083E-2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0" zoomScale="50" zoomScaleNormal="50" workbookViewId="0">
      <selection activeCell="F197" sqref="F19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271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271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4</v>
      </c>
      <c r="G203" s="36">
        <f>SUM(G191:G202)</f>
        <v>16.8</v>
      </c>
      <c r="H203" s="37"/>
      <c r="I203" s="37"/>
      <c r="J203" s="37"/>
      <c r="K203" s="37"/>
      <c r="L203" s="37"/>
      <c r="M203" s="38">
        <f ca="1">IFERROR(SUM(M191:M202),"")</f>
        <v>0.11944444444444441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4</v>
      </c>
      <c r="G217" s="40">
        <f>G203+G216</f>
        <v>16.8</v>
      </c>
      <c r="H217" s="41"/>
      <c r="I217" s="41"/>
      <c r="J217" s="41"/>
      <c r="K217" s="41"/>
      <c r="L217" s="41"/>
      <c r="M217" s="42">
        <f ca="1">IFERROR(M203+M216,"")</f>
        <v>0.11944444444444441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192" sqref="J19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284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287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288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289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290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291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292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293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294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295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297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/>
      <c r="M192" s="30">
        <f t="shared" ca="1" si="43"/>
        <v>2.3955324075359385E-2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89</v>
      </c>
      <c r="G203" s="36">
        <f>SUM(G191:G202)</f>
        <v>373.80000000000007</v>
      </c>
      <c r="H203" s="37"/>
      <c r="I203" s="37"/>
      <c r="J203" s="37"/>
      <c r="K203" s="61"/>
      <c r="L203" s="61"/>
      <c r="M203" s="38">
        <f ca="1">IFERROR(SUM(M191:M202),"")</f>
        <v>4.3399768519803816E-2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89</v>
      </c>
      <c r="G217" s="40">
        <f>G203+G216</f>
        <v>373.80000000000007</v>
      </c>
      <c r="H217" s="41"/>
      <c r="I217" s="41"/>
      <c r="J217" s="41"/>
      <c r="K217" s="63"/>
      <c r="L217" s="63"/>
      <c r="M217" s="42">
        <f ca="1">IFERROR(M203+M216,"")</f>
        <v>4.3399768519803816E-2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2026-08-08T17:49:34Z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