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199" documentId="13_ncr:1_{A6DBCFB4-28D9-4249-9038-216934055CA6}" xr6:coauthVersionLast="47" xr6:coauthVersionMax="47" xr10:uidLastSave="{CAC76A6C-6798-48BD-8BA6-2AD534F65F60}"/>
  <bookViews>
    <workbookView xWindow="-110" yWindow="-110" windowWidth="25820" windowHeight="1550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38" i="4" l="1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<sst xmlns="http://schemas.openxmlformats.org/spreadsheetml/2006/main" count="9721" uniqueCount="421">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</sst>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0</v>
      </c>
      <c r="G25" s="27">
        <f t="shared" si="0"/>
        <v>806870</v>
      </c>
      <c r="H25" s="21">
        <f>IFERROR('Linha 1'!T595+'Linha 2'!T595+'Linha 3'!T595,0)</f>
        <v>169.44269999999995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75100940</v>
      </c>
      <c r="D35" s="30">
        <f t="shared" si="2"/>
        <v>24834990</v>
      </c>
      <c r="E35" s="30">
        <f t="shared" si="2"/>
        <v>14126950</v>
      </c>
      <c r="F35" s="30">
        <f t="shared" si="2"/>
        <v>32668850</v>
      </c>
      <c r="G35" s="30">
        <f t="shared" si="2"/>
        <v>71630790</v>
      </c>
      <c r="H35" s="31">
        <f t="shared" si="2"/>
        <v>6627.9003326915117</v>
      </c>
      <c r="I35" s="31">
        <f t="shared" si="2"/>
        <v>4967.05</v>
      </c>
      <c r="J35" s="32">
        <f>I35/H35</f>
        <v>0.7494153126444103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3" activePane="bottomLeft" state="frozen"/>
      <selection pane="bottomLeft" activeCell="F581" sqref="F581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378</v>
      </c>
      <c r="G595" s="1">
        <f>G581+G594</f>
        <v>1890</v>
      </c>
      <c r="H595" s="76"/>
      <c r="I595" s="76"/>
      <c r="J595" s="76"/>
      <c r="K595" s="76"/>
      <c r="L595" s="76"/>
      <c r="M595" s="77">
        <f ca="1">IFERROR(M581+M594,"")</f>
        <v>7.7083333333333282E-2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7" activePane="bottomLeft" state="frozen"/>
      <selection pane="bottomLeft" activeCell="S581" sqref="S581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304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305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306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308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309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310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311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0.6597993055547704</v>
      </c>
      <c r="R53" s="80" t="s">
        <v>312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0.79868819444365813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0.88341041666588094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304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313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314</v>
      </c>
      <c r="Q96" s="66" t="str">
        <f t="shared" ref="Q96:Q107" ca="1" si="22">IFERROR(IF(O96="","",IF(P96="",MOD(NOW()-O96,1),IF(P96&gt;=O96,P96-O96,P96+1-O96))),"")</f>
        <v/>
      </c>
      <c r="R96" s="80" t="s">
        <v>315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316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317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318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319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320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321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323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324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325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318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313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327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328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329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330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331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332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333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325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320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313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334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335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336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337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338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339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340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341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342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343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320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344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345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346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/>
      <c r="Q570" s="66">
        <f t="shared" ca="1" si="148"/>
        <v>3.4104861115338281E-2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0.3938270833375605</v>
      </c>
      <c r="R581" s="2" t="s">
        <v>262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49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205.8</v>
      </c>
      <c r="L595" s="76"/>
      <c r="M595" s="76"/>
      <c r="N595" s="76"/>
      <c r="O595" s="76"/>
      <c r="P595" s="76"/>
      <c r="Q595" s="77">
        <f ca="1">IFERROR(Q581+Q594,"")</f>
        <v>0.3938270833375605</v>
      </c>
      <c r="R595" s="1" t="s">
        <v>265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55" activePane="bottomLeft" state="frozen"/>
      <selection pane="bottomLeft" activeCell="S581" activeCellId="1" sqref="G581 S581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307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313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321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313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324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360</v>
      </c>
      <c r="Q222" s="66" t="str">
        <f t="shared" ca="1" si="49"/>
        <v/>
      </c>
      <c r="R222" s="63" t="s">
        <v>361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331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332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313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335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313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313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313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313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/>
      <c r="Q573" s="71">
        <f t="shared" ca="1" si="145"/>
        <v>3.4104861115338281E-2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0.14591041667089388</v>
      </c>
      <c r="R581" s="2" t="s">
        <v>262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163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693.40000000000009</v>
      </c>
      <c r="L595" s="76"/>
      <c r="M595" s="76"/>
      <c r="N595" s="76"/>
      <c r="O595" s="76"/>
      <c r="P595" s="76"/>
      <c r="Q595" s="77">
        <f ca="1">IFERROR(Q581+Q594,"")</f>
        <v>0.14591041667089388</v>
      </c>
      <c r="R595" s="1" t="s">
        <v>265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43" activePane="bottomLeft" state="frozen"/>
      <selection pane="bottomLeft" activeCell="G581" sqref="G581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376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310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377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378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379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380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381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382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383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384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313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385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386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321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387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389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390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391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392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394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395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396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397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398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399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400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401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402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403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404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335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405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406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407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408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409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403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410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411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412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413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414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415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416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417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418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419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402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403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420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0</v>
      </c>
      <c r="I577" s="90">
        <f>IFERROR(IF($D577="","",VLOOKUP($D577,Cadastro!$C$4:$G$7,5,FALSE())),"")</f>
        <v>0.6</v>
      </c>
      <c r="J577" s="91">
        <f t="shared" si="146"/>
        <v>0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0</v>
      </c>
      <c r="I578" s="90">
        <f>IFERROR(IF($D578="","",VLOOKUP($D578,Cadastro!$C$4:$G$7,5,FALSE())),"")</f>
        <v>0.6</v>
      </c>
      <c r="J578" s="91">
        <f t="shared" si="146"/>
        <v>0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0</v>
      </c>
      <c r="I579" s="90">
        <f>IFERROR(IF($D579="","",VLOOKUP($D579,Cadastro!$C$4:$G$7,5,FALSE())),"")</f>
        <v>0.6</v>
      </c>
      <c r="J579" s="91">
        <f t="shared" si="146"/>
        <v>0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202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202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864.40000000000009</v>
      </c>
      <c r="L595" s="76"/>
      <c r="M595" s="76"/>
      <c r="N595" s="76"/>
      <c r="O595" s="135"/>
      <c r="P595" s="135"/>
      <c r="Q595" s="77">
        <f ca="1">IFERROR(Q581+Q594,"")</f>
        <v>0.13402777777777786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2026-08-22T22:45:39Z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