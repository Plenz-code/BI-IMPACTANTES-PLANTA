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71" documentId="8_{AF585B22-221D-4780-BB9C-493D365A6A02}" xr6:coauthVersionLast="47" xr6:coauthVersionMax="47" xr10:uidLastSave="{EBF0B0EF-FE7B-43C9-842C-5ED8E406EBE2}"/>
  <bookViews>
    <workbookView xWindow="-11170" yWindow="-10910" windowWidth="19420" windowHeight="10300" tabRatio="500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716" i="4" l="1"/>
  <c r="G730" i="4" s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<sst xmlns="http://schemas.openxmlformats.org/spreadsheetml/2006/main" count="10765" uniqueCount="404">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</sst>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H1" zoomScale="85" zoomScaleNormal="85" workbookViewId="0">
      <selection activeCell="J4" sqref="J4:J46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/>
    </row>
    <row r="58" spans="1:13" ht="15" customHeight="1" x14ac:dyDescent="0.25">
      <c r="H58" s="113"/>
      <c r="I58" s="16"/>
      <c r="J58" s="16"/>
      <c r="K58" s="16" t="s">
        <v>205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206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207</v>
      </c>
      <c r="L61" s="17"/>
      <c r="M61" s="17"/>
    </row>
    <row r="62" spans="1:13" ht="15" customHeight="1" x14ac:dyDescent="0.25">
      <c r="H62" s="113"/>
      <c r="I62" s="16"/>
      <c r="J62" s="16"/>
      <c r="K62" s="16" t="s">
        <v>208</v>
      </c>
      <c r="L62" s="16"/>
      <c r="M62" s="16"/>
    </row>
    <row r="63" spans="1:13" ht="15" customHeight="1" x14ac:dyDescent="0.25">
      <c r="H63" s="113"/>
      <c r="I63" s="17"/>
      <c r="J63" s="17"/>
      <c r="K63" s="17" t="s">
        <v>209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210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211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212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213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214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215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216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217</v>
      </c>
      <c r="L71" s="17"/>
      <c r="M71" s="17"/>
    </row>
    <row r="72" spans="8:13" ht="15" customHeight="1" x14ac:dyDescent="0.25">
      <c r="H72" s="113"/>
      <c r="I72" s="16"/>
      <c r="J72" s="16"/>
      <c r="K72" s="16" t="s">
        <v>218</v>
      </c>
      <c r="L72" s="16"/>
      <c r="M72" s="16"/>
    </row>
    <row r="73" spans="8:13" ht="15" customHeight="1" x14ac:dyDescent="0.25">
      <c r="H73" s="113"/>
      <c r="I73" s="17"/>
      <c r="J73" s="17"/>
      <c r="K73" s="17" t="s">
        <v>219</v>
      </c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88" activePane="bottomLeft" state="frozen"/>
      <selection pane="bottomLeft" activeCell="F711" sqref="F711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247</v>
      </c>
      <c r="G716" s="36">
        <f>SUM(G704:G715)</f>
        <v>1235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247</v>
      </c>
      <c r="G730" s="40">
        <f>G716+G729</f>
        <v>1235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11" sqref="F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0.43004814814776182</v>
      </c>
      <c r="N377" s="46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0.58768703703665071</v>
      </c>
      <c r="N378" s="36" t="s">
        <v>234</v>
      </c>
      <c r="O378" s="77">
        <v>511980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0.69740925925887287</v>
      </c>
      <c r="N379" s="40" t="s">
        <v>237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0.40852037037257105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0.57935370370590444</v>
      </c>
      <c r="N432" s="36" t="s">
        <v>234</v>
      </c>
      <c r="O432" s="77">
        <v>484540</v>
      </c>
    </row>
    <row r="433" spans="1:15" ht="18" customHeight="1" x14ac:dyDescent="0.25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0.72449259259479337</v>
      </c>
      <c r="N433" s="40" t="s">
        <v>237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 x14ac:dyDescent="0.25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0.15227037037402624</v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/>
      <c r="I710" s="26"/>
      <c r="J710" s="26" t="s">
        <v>129</v>
      </c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99</v>
      </c>
      <c r="G716" s="36">
        <f>SUM(G704:G715)</f>
        <v>415.8</v>
      </c>
      <c r="H716" s="37"/>
      <c r="I716" s="37"/>
      <c r="J716" s="37"/>
      <c r="K716" s="37"/>
      <c r="L716" s="37"/>
      <c r="M716" s="38">
        <f ca="1">IFERROR(SUM(M704:M715),"")</f>
        <v>0.20365925926291512</v>
      </c>
      <c r="N716" s="36" t="s">
        <v>234</v>
      </c>
      <c r="O716" s="77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99</v>
      </c>
      <c r="G730" s="40">
        <f>G716+G729</f>
        <v>415.8</v>
      </c>
      <c r="H730" s="41"/>
      <c r="I730" s="41"/>
      <c r="J730" s="41"/>
      <c r="K730" s="41"/>
      <c r="L730" s="41"/>
      <c r="M730" s="42">
        <f ca="1">IFERROR(M716+M729,"")</f>
        <v>0.20365925926291512</v>
      </c>
      <c r="N730" s="40" t="s">
        <v>237</v>
      </c>
      <c r="O730" s="83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11" sqref="F711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304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71</v>
      </c>
      <c r="G716" s="36">
        <f>SUM(G704:G715)</f>
        <v>298.2</v>
      </c>
      <c r="H716" s="37"/>
      <c r="I716" s="37"/>
      <c r="J716" s="37"/>
      <c r="K716" s="37"/>
      <c r="L716" s="37"/>
      <c r="M716" s="38">
        <f ca="1">IFERROR(SUM(M704:M715),"")</f>
        <v>6.8749999999999922E-2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71</v>
      </c>
      <c r="G730" s="40">
        <f>G716+G729</f>
        <v>298.2</v>
      </c>
      <c r="H730" s="41"/>
      <c r="I730" s="41"/>
      <c r="J730" s="41"/>
      <c r="K730" s="41"/>
      <c r="L730" s="41"/>
      <c r="M730" s="42">
        <f ca="1">IFERROR(M716+M729,"")</f>
        <v>6.8749999999999922E-2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60" zoomScaleNormal="60" workbookViewId="0">
      <pane ySplit="1" topLeftCell="A696" activePane="bottomLeft" state="frozen"/>
      <selection pane="bottomLeft" activeCell="H719" sqref="H719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 x14ac:dyDescent="0.25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 x14ac:dyDescent="0.25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 x14ac:dyDescent="0.25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 x14ac:dyDescent="0.25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0.42032592593022855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0.61963148148578417</v>
      </c>
      <c r="N135" s="36" t="s">
        <v>234</v>
      </c>
      <c r="O135" s="39">
        <v>729290</v>
      </c>
    </row>
    <row r="136" spans="1:18" ht="18" customHeight="1" x14ac:dyDescent="0.25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0.9869925925968952</v>
      </c>
      <c r="N136" s="40" t="s">
        <v>237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 x14ac:dyDescent="0.25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 x14ac:dyDescent="0.25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 x14ac:dyDescent="0.25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 x14ac:dyDescent="0.25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 x14ac:dyDescent="0.25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 x14ac:dyDescent="0.25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 x14ac:dyDescent="0.25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 x14ac:dyDescent="0.25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 x14ac:dyDescent="0.25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 x14ac:dyDescent="0.25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 x14ac:dyDescent="0.25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 x14ac:dyDescent="0.25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 x14ac:dyDescent="0.25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 x14ac:dyDescent="0.25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 x14ac:dyDescent="0.25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 x14ac:dyDescent="0.25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 x14ac:dyDescent="0.25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 x14ac:dyDescent="0.25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 x14ac:dyDescent="0.25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 x14ac:dyDescent="0.25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 x14ac:dyDescent="0.25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20</v>
      </c>
      <c r="I708" s="26" t="s">
        <v>47</v>
      </c>
      <c r="J708" s="26" t="s">
        <v>36</v>
      </c>
      <c r="K708" s="29">
        <v>0.61250000000000004</v>
      </c>
      <c r="L708" s="29"/>
      <c r="M708" s="30">
        <f t="shared" ca="1" si="157"/>
        <v>5.7131481480610091E-2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/>
      <c r="I709" s="33" t="s">
        <v>52</v>
      </c>
      <c r="J709" s="33" t="s">
        <v>128</v>
      </c>
      <c r="K709" s="29">
        <v>0.62916666666666665</v>
      </c>
      <c r="L709" s="29">
        <v>0.65347222222222223</v>
      </c>
      <c r="M709" s="35">
        <f t="shared" ca="1" si="157"/>
        <v>2.430555555555558E-2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106</v>
      </c>
      <c r="G716" s="36">
        <f>SUM(G704:G715)</f>
        <v>445.20000000000005</v>
      </c>
      <c r="H716" s="37"/>
      <c r="I716" s="37"/>
      <c r="J716" s="37"/>
      <c r="K716" s="61"/>
      <c r="L716" s="61"/>
      <c r="M716" s="38">
        <f ca="1">IFERROR(SUM(M704:M715),"")</f>
        <v>0.20643703703616562</v>
      </c>
      <c r="N716" s="36" t="s">
        <v>234</v>
      </c>
      <c r="O716" s="39"/>
    </row>
    <row r="717" spans="1:15" ht="15" customHeight="1" x14ac:dyDescent="0.25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 x14ac:dyDescent="0.25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106</v>
      </c>
      <c r="G730" s="40">
        <f>G716+G729</f>
        <v>445.20000000000005</v>
      </c>
      <c r="H730" s="41"/>
      <c r="I730" s="41"/>
      <c r="J730" s="41"/>
      <c r="K730" s="63"/>
      <c r="L730" s="63"/>
      <c r="M730" s="42">
        <f ca="1">IFERROR(M716+M729,"")</f>
        <v>0.20643703703616562</v>
      </c>
      <c r="N730" s="40" t="s">
        <v>237</v>
      </c>
      <c r="O730" s="48">
        <f>IFERROR(O716+O729,"")</f>
        <v>0</v>
      </c>
    </row>
    <row r="731" spans="1:15" ht="15" customHeight="1" x14ac:dyDescent="0.25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 x14ac:dyDescent="0.25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 x14ac:dyDescent="0.25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 x14ac:dyDescent="0.25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 x14ac:dyDescent="0.25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 x14ac:dyDescent="0.25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 x14ac:dyDescent="0.25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 x14ac:dyDescent="0.25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2026-07-27T20:05:49Z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