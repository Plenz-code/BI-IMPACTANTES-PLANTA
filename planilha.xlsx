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2" documentId="8_{AF585B22-221D-4780-BB9C-493D365A6A02}" xr6:coauthVersionLast="47" xr6:coauthVersionMax="47" xr10:uidLastSave="{B8B0367F-2084-4AC9-8814-EE2397045E2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<sst xmlns="http://schemas.openxmlformats.org/spreadsheetml/2006/main" count="1153" uniqueCount="202">
  <si>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</si>
  <si>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</si>
  <si>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</si>
  <si>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</si>
  <si>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</si>
  <si>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</si>
  <si>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</si>
  <si>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</si>
  <si>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</si>
  <si>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</si>
  <si>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</si>
  <si>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</si>
  <si>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</si>
  <si>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</si>
  <si>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</si>
  <si>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</si>
  <si>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</si>
  <si>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</si>
  <si>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</si>
  <si>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</si>
  <si>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</si>
  <si>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</si>
  <si>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</si>
  <si>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</si>
  <si>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</si>
  <si>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</si>
  <si>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</si>
  <si>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</si>
  <si>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</si>
  <si>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</si>
  <si>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</si>
  <si>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</si>
  <si>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</si>
  <si>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</si>
  <si>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</si>
  <si>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</si>
  <si>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</si>
  <si>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</si>
  <si>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</si>
  <si>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</si>
  <si>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</si>
  <si>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</si>
  <si>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</si>
  <si>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</si>
  <si>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</si>
  <si>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</si>
  <si>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</si>
  <si>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</si>
  <si>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</si>
  <si>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</si>
  <si>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</si>
  <si>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</si>
  <si>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</si>
  <si>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</si>
  <si>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</si>
  <si>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</si>
  <si>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</si>
  <si>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</si>
  <si>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</si>
  <si>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</si>
  <si>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</si>
  <si>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</si>
  <si>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</si>
  <si>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</si>
  <si>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</si>
  <si>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</si>
  <si>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</si>
  <si>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</si>
  <si>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</si>
  <si>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</si>
  <si>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</si>
  <si>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</si>
  <si>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</si>
  <si>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</si>
  <si>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</si>
  <si>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</si>
  <si>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</si>
  <si>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</si>
  <si>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</si>
  <si>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</si>
  <si>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</si>
  <si>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</si>
  <si>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</si>
  <si>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</si>
  <si>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</si>
  <si>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</si>
  <si>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</si>
  <si>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</si>
  <si>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</si>
  <si>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</si>
  <si>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</si>
  <si>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</si>
  <si>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</si>
  <si>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</si>
  <si>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</si>
  <si>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</si>
  <si>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</si>
  <si>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</si>
  <si>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</si>
  <si>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</si>
  <si>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</si>
  <si>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</si>
  <si>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</si>
  <si>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</si>
  <si>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</si>
  <si>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</si>
  <si>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</si>
  <si>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</si>
  <si>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</si>
  <si>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</si>
  <si>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</si>
  <si>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</si>
  <si>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</si>
  <si>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</si>
  <si>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</si>
  <si>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</si>
  <si>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</si>
  <si>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</si>
  <si>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</si>
  <si>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</si>
  <si>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</si>
  <si>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</si>
  <si>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</si>
  <si>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</si>
  <si>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</si>
  <si>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</si>
  <si>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</si>
  <si>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</si>
  <si>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</si>
  <si>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</si>
  <si>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</si>
  <si>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</si>
  <si>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</si>
  <si>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</si>
  <si>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</si>
  <si>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</si>
  <si>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</si>
  <si>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</si>
  <si>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</si>
  <si>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</si>
  <si>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</si>
  <si>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</si>
  <si>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</si>
  <si>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</si>
  <si>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</si>
  <si>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</si>
  <si>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</si>
  <si>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</si>
  <si>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</si>
  <si>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</si>
  <si>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</si>
  <si>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</si>
  <si>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</si>
  <si>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</si>
  <si>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</si>
  <si>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</si>
  <si>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</si>
  <si>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</si>
  <si>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</si>
  <si>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</si>
  <si>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</si>
  <si>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</si>
  <si>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</si>
  <si>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</si>
  <si>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</si>
  <si>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</si>
  <si>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</si>
  <si>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</si>
  <si>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</si>
  <si>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</si>
  <si>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</si>
  <si>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</si>
  <si>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</si>
  <si>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</si>
  <si>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</si>
  <si>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</si>
  <si>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</si>
  <si>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</si>
  <si>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</si>
  <si>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</si>
  <si>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</si>
  <si>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</si>
  <si>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</si>
  <si>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</si>
  <si>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</si>
  <si>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</si>
  <si>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</si>
  <si>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</si>
  <si>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</si>
  <si>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</si>
  <si>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</si>
  <si>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</si>
  <si>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</si>
  <si>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</si>
  <si>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</si>
  <si>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</si>
  <si>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14;00</t>
  </si>
  <si>
    <t>14;21</t>
  </si>
  <si>
    <t>solda na tampa do moinho</t>
  </si>
  <si>
    <t>9;10</t>
  </si>
  <si>
    <t>manutençao no rolamento do moinho 4</t>
  </si>
  <si>
    <t>15;30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</si>
</sst>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202</v>
      </c>
      <c r="G14" s="36">
        <f>SUM(G2:G13)</f>
        <v>1010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202</v>
      </c>
      <c r="G28" s="40">
        <f>G14+G27</f>
        <v>1010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112</v>
      </c>
      <c r="G14" s="36">
        <f>SUM(G2:G13)</f>
        <v>470.4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112</v>
      </c>
      <c r="G28" s="40">
        <f>G14+G27</f>
        <v>470.4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N7" sqref="N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196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 t="s">
        <v>197</v>
      </c>
      <c r="L6" s="29">
        <v>0.68611111111111112</v>
      </c>
      <c r="M6" s="30" t="str">
        <f t="shared" ca="1" si="1"/>
        <v/>
      </c>
      <c r="N6" s="27" t="s">
        <v>198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H3" sqref="H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199</v>
      </c>
      <c r="M2" s="30" t="str">
        <f t="shared" ref="M2:M13" ca="1" si="1">IFERROR(IF(K2="","",IF(L2="",MOD(NOW()-K2,1),IF(L2&gt;=K2,L2-K2,L2+1-K2))),"")</f>
        <v/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/>
      <c r="K3" s="29" t="s">
        <v>201</v>
      </c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2026-07-01T20:40:45Z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