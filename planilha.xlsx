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32" documentId="8_{AF585B22-221D-4780-BB9C-493D365A6A02}" xr6:coauthVersionLast="47" xr6:coauthVersionMax="47" xr10:uidLastSave="{9E9367A8-D28F-47F2-AD2F-09A1EAD5BA8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<sst xmlns="http://schemas.openxmlformats.org/spreadsheetml/2006/main" count="12569" uniqueCount="445">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</sst>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2" sqref="F8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174</v>
      </c>
      <c r="G837" s="109">
        <f>SUM(G825:G836)</f>
        <v>870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307</v>
      </c>
      <c r="G838" s="111">
        <f>G824+G837</f>
        <v>870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11" activePane="bottomLeft" state="frozen"/>
      <selection pane="bottomLeft" activeCell="K830" sqref="K8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0.8499501157348277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1.0075890046237166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1.1173112268459389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0.82842233795963693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0.99925567129297033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1.1443945601818593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/>
      <c r="I829" s="81"/>
      <c r="J829" s="81"/>
      <c r="K829" s="98">
        <v>8.8888888888888892E-2</v>
      </c>
      <c r="L829" s="98"/>
      <c r="M829" s="79">
        <f ca="1">IFERROR(IF(K829="","",IF(L829="",MOD(NOW()-K829,1),IF(L829&gt;=K829,L829-K829,L829+1-K829))),"")</f>
        <v>6.4456018299097195E-4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143</v>
      </c>
      <c r="G837" s="109">
        <f>SUM(G825:G836)</f>
        <v>613.40000000000009</v>
      </c>
      <c r="H837" s="37"/>
      <c r="I837" s="37"/>
      <c r="J837" s="37"/>
      <c r="K837" s="37"/>
      <c r="L837" s="37"/>
      <c r="M837" s="110">
        <f ca="1">IFERROR(SUM(M825:M836),"")</f>
        <v>2.8422337960768679E-2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312</v>
      </c>
      <c r="G838" s="111">
        <f>G824+G837</f>
        <v>1323.2000000000003</v>
      </c>
      <c r="H838" s="41"/>
      <c r="I838" s="41"/>
      <c r="J838" s="41"/>
      <c r="K838" s="41"/>
      <c r="L838" s="41"/>
      <c r="M838" s="112">
        <f ca="1">IFERROR(M824+M837,"")</f>
        <v>0.13328344907187981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F832" sqref="F8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/>
      <c r="M825" s="79">
        <f ca="1">IFERROR(IF(K825="","",IF(L825="",MOD(NOW()-K825,1),IF(L825&gt;=K825,L825-K825,L825+1-K825))),"")</f>
        <v>1.3390046296990477E-3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91</v>
      </c>
      <c r="G837" s="109">
        <f>SUM(G825:G836)</f>
        <v>391</v>
      </c>
      <c r="H837" s="37"/>
      <c r="I837" s="37"/>
      <c r="J837" s="37"/>
      <c r="K837" s="37"/>
      <c r="L837" s="37"/>
      <c r="M837" s="110">
        <f ca="1">IFERROR(SUM(M825:M836),"")</f>
        <v>1.3390046296990477E-3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186</v>
      </c>
      <c r="G838" s="111">
        <f>G824+G837</f>
        <v>790</v>
      </c>
      <c r="H838" s="41"/>
      <c r="I838" s="41"/>
      <c r="J838" s="41"/>
      <c r="K838" s="41"/>
      <c r="L838" s="41"/>
      <c r="M838" s="112">
        <f ca="1">IFERROR(M824+M837,"")</f>
        <v>5.8977893518587954E-2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2" sqref="F8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0.84022789351729443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1.0395334490728501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1.4068945601839611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79</v>
      </c>
      <c r="G837" s="109">
        <f>SUM(G825:G836)</f>
        <v>331.8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198</v>
      </c>
      <c r="G838" s="111">
        <f>G824+G837</f>
        <v>831.60000000000014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2026-08-01T06:09:25Z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