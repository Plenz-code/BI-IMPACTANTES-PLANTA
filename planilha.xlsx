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642" documentId="8_{AF585B22-221D-4780-BB9C-493D365A6A02}" xr6:coauthVersionLast="47" xr6:coauthVersionMax="47" xr10:uidLastSave="{3D0E6A92-3A3F-4F7E-BDFE-73B46D3FD5F4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<sst xmlns="http://schemas.openxmlformats.org/spreadsheetml/2006/main" count="8419" uniqueCount="363">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</sst>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36" sqref="F5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/>
      <c r="M529" s="35">
        <f t="shared" ref="M528:M539" ca="1" si="119">IFERROR(IF(K529="","",IF(L529="",MOD(NOW()-K529,1),IF(L529&gt;=K529,L529-K529,L529+1-K529))),"")</f>
        <v>9.2495138887898065E-2</v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173</v>
      </c>
      <c r="G540" s="36">
        <f>SUM(G528:G539)</f>
        <v>865</v>
      </c>
      <c r="H540" s="37"/>
      <c r="I540" s="37"/>
      <c r="J540" s="37"/>
      <c r="K540" s="37"/>
      <c r="L540" s="37"/>
      <c r="M540" s="38">
        <f ca="1">IFERROR(SUM(M528:M539),"")</f>
        <v>0.12582847222123139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347</v>
      </c>
      <c r="G541" s="40">
        <f>G527+G540</f>
        <v>1735</v>
      </c>
      <c r="H541" s="41"/>
      <c r="I541" s="41"/>
      <c r="J541" s="41"/>
      <c r="K541" s="41"/>
      <c r="L541" s="41"/>
      <c r="M541" s="42">
        <f ca="1">IFERROR(M527+M540,"")</f>
        <v>0.32235624999900914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6" activePane="bottomLeft" state="frozen"/>
      <selection pane="bottomLeft" activeCell="F536" sqref="F5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0.9105506944397348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1.0681895833286237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1.177911805550846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0.88902291666454403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1.0598562499978774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1.2049951388867663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92</v>
      </c>
      <c r="G540" s="36">
        <f>SUM(G528:G539)</f>
        <v>386.40000000000003</v>
      </c>
      <c r="H540" s="37"/>
      <c r="I540" s="37"/>
      <c r="J540" s="37"/>
      <c r="K540" s="37"/>
      <c r="L540" s="37"/>
      <c r="M540" s="38">
        <f ca="1">IFERROR(SUM(M528:M539),"")</f>
        <v>5.5555555555555629E-2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276</v>
      </c>
      <c r="G541" s="40">
        <f>G527+G540</f>
        <v>1159.2</v>
      </c>
      <c r="H541" s="41"/>
      <c r="I541" s="41"/>
      <c r="J541" s="41"/>
      <c r="K541" s="41"/>
      <c r="L541" s="41"/>
      <c r="M541" s="42">
        <f ca="1">IFERROR(M527+M540,"")</f>
        <v>0.14305555555555571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00" zoomScale="50" zoomScaleNormal="50" workbookViewId="0">
      <selection activeCell="L534" sqref="L5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93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27</v>
      </c>
      <c r="G540" s="36">
        <f>SUM(G528:G539)</f>
        <v>113.4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78</v>
      </c>
      <c r="G541" s="40">
        <f>G527+G540</f>
        <v>327.60000000000002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36" sqref="F5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328</v>
      </c>
      <c r="L58" s="29">
        <v>0.54097222222222219</v>
      </c>
      <c r="M58" s="30" t="str">
        <f t="shared" ca="1" si="13"/>
        <v/>
      </c>
      <c r="N58" s="27" t="s">
        <v>329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0.90082847222220153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1.1001340277777572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1.4674951388888682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62</v>
      </c>
      <c r="G540" s="36">
        <f>SUM(G528:G539)</f>
        <v>260.39999999999998</v>
      </c>
      <c r="H540" s="37"/>
      <c r="I540" s="37"/>
      <c r="J540" s="37"/>
      <c r="K540" s="61"/>
      <c r="L540" s="61"/>
      <c r="M540" s="38">
        <f ca="1">IFERROR(SUM(M528:M539),"")</f>
        <v>9.166666666666666E-2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142</v>
      </c>
      <c r="G541" s="40">
        <f>G527+G540</f>
        <v>596.40000000000009</v>
      </c>
      <c r="H541" s="41"/>
      <c r="I541" s="41"/>
      <c r="J541" s="41"/>
      <c r="K541" s="63"/>
      <c r="L541" s="63"/>
      <c r="M541" s="42">
        <f ca="1">IFERROR(M527+M540,"")</f>
        <v>0.40347222222222218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2026-07-21T07:36:45Z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