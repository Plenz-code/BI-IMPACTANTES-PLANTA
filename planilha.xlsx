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5" documentId="13_ncr:1_{0A10D8D4-8450-4366-8075-B53B08E6B7EA}" xr6:coauthVersionLast="47" xr6:coauthVersionMax="47" xr10:uidLastSave="{927C4BF6-E05E-4564-A7DC-68BDCDBE782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<sst xmlns="http://schemas.openxmlformats.org/spreadsheetml/2006/main" count="7546" uniqueCount="363">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</sst>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449020</v>
      </c>
      <c r="E20" s="8">
        <f>IFERROR('Linha 2'!S460,"")</f>
        <v>0</v>
      </c>
      <c r="F20" s="8">
        <f>IFERROR('Linha 3'!S460,"")</f>
        <v>0</v>
      </c>
      <c r="G20" s="9">
        <f t="shared" si="0"/>
        <v>449020</v>
      </c>
      <c r="H20" s="96">
        <f>IFERROR('Linha 1'!T460+'Linha 2'!T460+'Linha 3'!T460,0)</f>
        <v>94.294199999999989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19986290</v>
      </c>
      <c r="E35" s="13">
        <f t="shared" si="2"/>
        <v>10062440</v>
      </c>
      <c r="F35" s="13">
        <f t="shared" si="2"/>
        <v>24902370</v>
      </c>
      <c r="G35" s="13">
        <f t="shared" si="2"/>
        <v>54951100</v>
      </c>
      <c r="H35" s="97">
        <f t="shared" si="2"/>
        <v>3781.295732790732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6" sqref="F44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S447" sqref="S44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0.66308483795728534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0.80197372684617418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0.88669594906839655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6" sqref="G4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4"/>
        <v>0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6" sqref="G44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0</v>
      </c>
      <c r="I444" s="135">
        <f>IFERROR(IF($D444="","",VLOOKUP($D444,Cadastro!$C$4:$G$7,5,FALSE)),"")</f>
        <v>0.6</v>
      </c>
      <c r="J444" s="136">
        <f t="shared" si="106"/>
        <v>0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6"/>
        <v>0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