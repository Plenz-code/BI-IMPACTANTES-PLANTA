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54" documentId="13_ncr:1_{0A10D8D4-8450-4366-8075-B53B08E6B7EA}" xr6:coauthVersionLast="47" xr6:coauthVersionMax="47" xr10:uidLastSave="{1872F18C-E478-4F77-9E00-A378EF585400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2" i="5" l="1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<sst xmlns="http://schemas.openxmlformats.org/spreadsheetml/2006/main" count="8147" uniqueCount="381">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</sst>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84" sqref="F484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305</v>
      </c>
      <c r="G486" s="36">
        <f>SUM(G474:G485)</f>
        <v>1525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652</v>
      </c>
      <c r="G487" s="40">
        <f>G473+G486</f>
        <v>3260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E485" sqref="E48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9.5325115740706678E-2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0.23421400462959557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0.31893622685181788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16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579.6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331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1390.1999999999998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4" sqref="G48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6"/>
        <v>0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3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6"/>
        <v>0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3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6"/>
        <v>0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49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205.8</v>
      </c>
      <c r="L486" s="37"/>
      <c r="M486" s="37"/>
      <c r="N486" s="37"/>
      <c r="O486" s="37"/>
      <c r="P486" s="37"/>
      <c r="Q486" s="38">
        <f ca="1">IFERROR(SUM(Q474:Q485),"")</f>
        <v>8.4722222222222254E-2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115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483</v>
      </c>
      <c r="L487" s="41"/>
      <c r="M487" s="41"/>
      <c r="N487" s="41"/>
      <c r="O487" s="41"/>
      <c r="P487" s="41"/>
      <c r="Q487" s="42">
        <f ca="1">IFERROR(Q473+Q486,"")</f>
        <v>0.37638888888888888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59" activePane="bottomLeft" state="frozen"/>
      <selection pane="bottomLeft" activeCell="M479" sqref="M47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379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373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380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10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127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533.4</v>
      </c>
      <c r="L486" s="37"/>
      <c r="M486" s="37"/>
      <c r="N486" s="37"/>
      <c r="O486" s="61"/>
      <c r="P486" s="61"/>
      <c r="Q486" s="38">
        <f ca="1">IFERROR(SUM(Q474:Q485),"")</f>
        <v>0.14236111111111116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281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1180.2</v>
      </c>
      <c r="L487" s="41"/>
      <c r="M487" s="41"/>
      <c r="N487" s="41"/>
      <c r="O487" s="63"/>
      <c r="P487" s="63"/>
      <c r="Q487" s="42">
        <f ca="1">IFERROR(Q473+Q486,"")</f>
        <v>0.43541666666666651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2026-08-19T09:12:47Z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