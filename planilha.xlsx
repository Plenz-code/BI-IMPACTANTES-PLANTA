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132" documentId="8_{AF585B22-221D-4780-BB9C-493D365A6A02}" xr6:coauthVersionLast="47" xr6:coauthVersionMax="47" xr10:uidLastSave="{A04F22BC-7468-4041-A812-3C906360E13C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<sst xmlns="http://schemas.openxmlformats.org/spreadsheetml/2006/main" count="2375" uniqueCount="231">
  <si>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</si>
  <si>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</si>
  <si>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</si>
  <si>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</si>
  <si>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</si>
  <si>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</si>
  <si>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</si>
  <si>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</si>
  <si>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</si>
  <si>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</si>
  <si>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</si>
  <si>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</si>
  <si>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</si>
  <si>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</si>
  <si>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</si>
  <si>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</si>
  <si>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</si>
  <si>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</si>
  <si>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</si>
  <si>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</si>
  <si>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</si>
  <si>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</si>
  <si>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</si>
  <si>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</si>
  <si>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</si>
  <si>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</si>
  <si>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</si>
  <si>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</si>
  <si>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</si>
  <si>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</si>
  <si>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</si>
  <si>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</si>
  <si>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</si>
  <si>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</si>
  <si>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</si>
  <si>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</si>
  <si>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</si>
  <si>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</si>
  <si>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</si>
  <si>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</si>
  <si>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</si>
  <si>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</si>
  <si>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</si>
  <si>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</si>
  <si>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</si>
  <si>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</si>
  <si>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</si>
  <si>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</si>
  <si>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</si>
  <si>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</si>
  <si>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</si>
  <si>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</si>
  <si>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</si>
  <si>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</si>
  <si>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</si>
  <si>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</si>
  <si>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</si>
  <si>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</si>
  <si>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</si>
  <si>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</si>
  <si>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</si>
  <si>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</si>
  <si>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</si>
  <si>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</si>
  <si>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</si>
  <si>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</si>
  <si>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</si>
  <si>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</si>
  <si>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</si>
  <si>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</si>
  <si>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</si>
  <si>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</si>
  <si>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</si>
  <si>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</si>
  <si>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</si>
  <si>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</si>
  <si>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</si>
  <si>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</si>
  <si>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</si>
  <si>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</si>
  <si>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</si>
  <si>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</si>
  <si>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</si>
  <si>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</si>
  <si>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</si>
  <si>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</si>
  <si>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</si>
  <si>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</si>
  <si>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</si>
  <si>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</si>
  <si>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</si>
  <si>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</si>
  <si>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</si>
  <si>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</si>
  <si>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</si>
  <si>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</si>
  <si>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</si>
  <si>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</si>
  <si>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</si>
  <si>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</si>
  <si>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</si>
  <si>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</si>
  <si>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</si>
  <si>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</si>
  <si>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</si>
  <si>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</si>
  <si>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</si>
  <si>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</si>
  <si>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</si>
  <si>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</si>
  <si>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</si>
  <si>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</si>
  <si>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</si>
  <si>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</si>
  <si>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</si>
  <si>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</si>
  <si>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</si>
  <si>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</si>
  <si>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</si>
  <si>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</si>
  <si>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</si>
  <si>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</si>
  <si>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</si>
  <si>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</si>
  <si>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</si>
  <si>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</si>
  <si>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</si>
  <si>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</si>
  <si>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</si>
  <si>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</si>
  <si>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</si>
  <si>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</si>
  <si>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</si>
  <si>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</si>
  <si>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</si>
  <si>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</si>
  <si>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</si>
  <si>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</si>
  <si>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</si>
  <si>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</si>
  <si>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</si>
  <si>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</si>
  <si>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</si>
  <si>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</si>
  <si>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</si>
  <si>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</si>
  <si>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</si>
  <si>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</si>
  <si>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</si>
  <si>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</si>
  <si>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</si>
  <si>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</si>
  <si>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</si>
  <si>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</si>
  <si>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</si>
  <si>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</si>
  <si>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</si>
  <si>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</si>
  <si>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</si>
  <si>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</si>
  <si>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</si>
  <si>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</si>
  <si>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</si>
  <si>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</si>
  <si>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</si>
  <si>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</si>
  <si>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</si>
  <si>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</si>
  <si>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</si>
  <si>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</si>
  <si>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</si>
  <si>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</si>
  <si>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</si>
  <si>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</si>
  <si>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</si>
  <si>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</si>
  <si>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</si>
  <si>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</si>
  <si>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</si>
  <si>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</si>
  <si>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</si>
  <si>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</si>
  <si>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</si>
  <si>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</si>
  <si>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</si>
  <si>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</si>
  <si>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</si>
  <si>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</si>
  <si>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</si>
  <si>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</si>
  <si>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</si>
  <si>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</si>
  <si>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</si>
  <si>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</si>
  <si>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</si>
  <si>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</si>
  <si>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</si>
  <si>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</si>
  <si>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</si>
  <si>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</si>
  <si>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</si>
  <si>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</si>
  <si>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</si>
  <si>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</si>
  <si>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</si>
  <si>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</si>
  <si>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</si>
  <si>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</si>
  <si>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</si>
  <si>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</si>
  <si>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</si>
  <si>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</si>
  <si>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rolamento do moinho 1 estourado, operando apenas MM2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</si>
  <si>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</si>
  <si>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</si>
  <si>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</si>
  <si>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</si>
  <si>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</si>
  <si>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</si>
  <si>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</si>
  <si>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</si>
  <si>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</si>
  <si>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</si>
  <si>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</si>
  <si>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</si>
  <si>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</si>
  <si>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</si>
  <si>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</si>
  <si>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</si>
  <si>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</si>
  <si>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 xml:space="preserve">borracha da TC3 saindo do lugar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</si>
</sst>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1704450</v>
      </c>
      <c r="D7" s="11">
        <f>IFERROR('Linha 1'!O109,"")</f>
        <v>577610</v>
      </c>
      <c r="E7" s="11">
        <f>IFERROR('Linha 2'!O109,"")</f>
        <v>536290</v>
      </c>
      <c r="F7" s="11">
        <f>IFERROR('Linha 3'!O109,"")</f>
        <v>776910</v>
      </c>
      <c r="G7" s="12">
        <f t="shared" si="0"/>
        <v>1890810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8276020</v>
      </c>
      <c r="D35" s="13">
        <f>IFERROR(SUM(D4:D34),"")</f>
        <v>3014030</v>
      </c>
      <c r="E35" s="13">
        <f>IFERROR(SUM(E4:E34),"")</f>
        <v>2304980</v>
      </c>
      <c r="F35" s="13">
        <f>IFERROR(SUM(F4:F34),"")</f>
        <v>3413600</v>
      </c>
      <c r="G35" s="13">
        <f>IFERROR(SUM(G4:G34),"")</f>
        <v>8732610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2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/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73" activePane="bottomLeft" state="frozen"/>
      <selection pane="bottomLeft" activeCell="N97" sqref="N9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1704450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" activePane="bottomLeft" state="frozen"/>
      <selection pane="bottomLeft" activeCell="F101" sqref="F1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206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85">
        <v>276360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209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10</v>
      </c>
      <c r="G97" s="28">
        <f t="shared" si="21"/>
        <v>42</v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16</v>
      </c>
      <c r="G98" s="34">
        <f t="shared" si="21"/>
        <v>67.2</v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84</v>
      </c>
      <c r="G108" s="36">
        <f>SUM(G96:G107)</f>
        <v>352.8</v>
      </c>
      <c r="H108" s="37"/>
      <c r="I108" s="37"/>
      <c r="J108" s="37"/>
      <c r="K108" s="37"/>
      <c r="L108" s="37"/>
      <c r="M108" s="38">
        <f ca="1">IFERROR(SUM(M96:M107),"")</f>
        <v>2.430555555555558E-2</v>
      </c>
      <c r="N108" s="36" t="s">
        <v>198</v>
      </c>
      <c r="O108" s="54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196</v>
      </c>
      <c r="G109" s="40">
        <f>G95+G108</f>
        <v>872</v>
      </c>
      <c r="H109" s="41"/>
      <c r="I109" s="41"/>
      <c r="J109" s="41"/>
      <c r="K109" s="41"/>
      <c r="L109" s="41"/>
      <c r="M109" s="42">
        <f ca="1">IFERROR(M95+M108,"")</f>
        <v>0.28611111111111115</v>
      </c>
      <c r="N109" s="40" t="s">
        <v>201</v>
      </c>
      <c r="O109" s="83">
        <f>IFERROR(O95+O108,"")</f>
        <v>577610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80" activePane="bottomLeft" state="frozen"/>
      <selection pane="bottomLeft" activeCell="F101" sqref="F1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/>
      <c r="M96" s="30">
        <f t="shared" ref="M96:M107" ca="1" si="22">IFERROR(IF(K96="","",IF(L96="",MOD(NOW()-K96,1),IF(L96&gt;=K96,L96-K96,L96+1-K96))),"")</f>
        <v>0.16920416666107485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0.16920416666107485</v>
      </c>
      <c r="N108" s="36" t="s">
        <v>198</v>
      </c>
      <c r="O108" s="39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0.37059305554996375</v>
      </c>
      <c r="N109" s="40" t="s">
        <v>201</v>
      </c>
      <c r="O109" s="43">
        <f>IFERROR(O95+O108,"")</f>
        <v>536290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73" activePane="bottomLeft" state="frozen"/>
      <selection pane="bottomLeft" activeCell="F102" sqref="F10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197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199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9" t="s">
        <v>200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197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199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9" t="s">
        <v>200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223</v>
      </c>
      <c r="L58" s="29">
        <v>0.54097222222222219</v>
      </c>
      <c r="M58" s="30" t="str">
        <f t="shared" ca="1" si="13"/>
        <v/>
      </c>
      <c r="N58" s="27" t="s">
        <v>224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197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199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9" t="s">
        <v>200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197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20</v>
      </c>
      <c r="G98" s="34">
        <f t="shared" si="21"/>
        <v>84</v>
      </c>
      <c r="H98" s="26" t="s">
        <v>18</v>
      </c>
      <c r="I98" s="26" t="s">
        <v>75</v>
      </c>
      <c r="J98" s="26" t="s">
        <v>96</v>
      </c>
      <c r="K98" s="29">
        <v>0.99791666666666667</v>
      </c>
      <c r="L98" s="29"/>
      <c r="M98" s="35">
        <f t="shared" ca="1" si="22"/>
        <v>4.6981944440631196E-2</v>
      </c>
      <c r="N98" s="27" t="s">
        <v>230</v>
      </c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199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8.1704166662853517E-2</v>
      </c>
      <c r="N108" s="36" t="s">
        <v>198</v>
      </c>
      <c r="O108" s="39"/>
    </row>
    <row r="109" spans="1:15" ht="18" customHeight="1">
      <c r="A109" s="89" t="s">
        <v>200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0.26989861110729801</v>
      </c>
      <c r="N109" s="40" t="s">
        <v>201</v>
      </c>
      <c r="O109" s="48">
        <f>IFERROR(O95+O108,"")</f>
        <v>776910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197</v>
      </c>
      <c r="B122" s="87"/>
      <c r="C122" s="87"/>
      <c r="D122" s="87"/>
      <c r="E122" s="88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199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9" t="s">
        <v>200</v>
      </c>
      <c r="B136" s="90"/>
      <c r="C136" s="90"/>
      <c r="D136" s="90"/>
      <c r="E136" s="91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197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199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9" t="s">
        <v>200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197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199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9" t="s">
        <v>200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197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199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9" t="s">
        <v>200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197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199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9" t="s">
        <v>200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197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199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9" t="s">
        <v>200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197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199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9" t="s">
        <v>200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197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199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9" t="s">
        <v>200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197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199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9" t="s">
        <v>200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197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199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9" t="s">
        <v>200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197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199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9" t="s">
        <v>200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197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199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9" t="s">
        <v>200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197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199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9" t="s">
        <v>200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197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199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9" t="s">
        <v>200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197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199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9" t="s">
        <v>200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197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199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9" t="s">
        <v>200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197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199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9" t="s">
        <v>200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197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199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9" t="s">
        <v>200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197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199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9" t="s">
        <v>200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197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199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9" t="s">
        <v>200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197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199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9" t="s">
        <v>200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197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199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9" t="s">
        <v>200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197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199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9" t="s">
        <v>200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197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199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9" t="s">
        <v>200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197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199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9" t="s">
        <v>200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197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199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9" t="s">
        <v>200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2026-07-05T05:04:45Z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