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69" documentId="13_ncr:1_{9DFDFEE8-78F7-4C04-B87C-99924EE6CC37}" xr6:coauthVersionLast="47" xr6:coauthVersionMax="47" xr10:uidLastSave="{FD0FD0B0-1AC2-45A1-90EE-E9B2F5FA65A7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<sst xmlns="http://schemas.openxmlformats.org/spreadsheetml/2006/main" count="8732" uniqueCount="2873">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</sst>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1656.9</v>
      </c>
      <c r="J35" s="33">
        <f>IFERROR(IF(OR(H35="",I35="",H35=0,I35=0),"",MIN(H35,I35)/MAX(H35,I35)),"")</f>
        <v>0.94363990586099522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7" sqref="F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362</v>
      </c>
      <c r="G68" s="2">
        <f>SUM(G56:G67)</f>
        <v>1786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362</v>
      </c>
      <c r="G82" s="1">
        <f>G68+G81</f>
        <v>1786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67" sqref="G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161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676.19999999999993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161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676.19999999999993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67" sqref="G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119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499.8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119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499.8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0" activePane="bottomLeft" state="frozen"/>
      <selection pane="bottomLeft" activeCell="G67" sqref="G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0</v>
      </c>
      <c r="I65" s="109">
        <f>IFERROR(IF($D65="","",VLOOKUP($D65,Cadastro!$C$4:$G$20,5,FALSE())),"")</f>
        <v>0.6</v>
      </c>
      <c r="J65" s="110">
        <f t="shared" si="16"/>
        <v>0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0</v>
      </c>
      <c r="I66" s="109">
        <f>IFERROR(IF($D66="","",VLOOKUP($D66,Cadastro!$C$4:$G$20,5,FALSE())),"")</f>
        <v>0.6</v>
      </c>
      <c r="J66" s="110">
        <f t="shared" si="16"/>
        <v>0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184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772.8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184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772.8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2026-09-03T22:03:32Z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