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52" documentId="8_{C51EB6CB-002B-4D6B-B68F-DDEBDB4460C0}" xr6:coauthVersionLast="47" xr6:coauthVersionMax="47" xr10:uidLastSave="{B9D5B40D-E629-4400-A3FA-9B3E7F49E9AA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<sst xmlns="http://schemas.openxmlformats.org/spreadsheetml/2006/main" count="5663" uniqueCount="337">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</sst>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3" activePane="bottomLeft" state="frozen"/>
      <selection pane="bottomLeft" activeCell="E307" sqref="E307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241</v>
      </c>
      <c r="G311" s="90">
        <f>SUM(G299:G310)</f>
        <v>1205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241</v>
      </c>
      <c r="G325" s="40">
        <f>G311+G324</f>
        <v>1205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1" activePane="bottomLeft" state="frozen"/>
      <selection pane="bottomLeft" activeCell="F305" sqref="F30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0.45658819444361143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0.59547708333250027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0.68019930555472263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/>
      <c r="M302" s="30">
        <f t="shared" ca="1" si="67"/>
        <v>4.408819444506662E-2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97</v>
      </c>
      <c r="G311" s="36">
        <f>SUM(G299:G310)</f>
        <v>407.40000000000003</v>
      </c>
      <c r="H311" s="37"/>
      <c r="I311" s="37"/>
      <c r="J311" s="37"/>
      <c r="K311" s="37"/>
      <c r="L311" s="37"/>
      <c r="M311" s="38">
        <f ca="1">IFERROR(SUM(M299:M310),"")</f>
        <v>6.7699305556177758E-2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97</v>
      </c>
      <c r="G325" s="40">
        <f>G311+G324</f>
        <v>407.40000000000003</v>
      </c>
      <c r="H325" s="41"/>
      <c r="I325" s="41"/>
      <c r="J325" s="41"/>
      <c r="K325" s="41"/>
      <c r="L325" s="41"/>
      <c r="M325" s="42">
        <f ca="1">IFERROR(M311+M324,"")</f>
        <v>6.7699305556177758E-2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05" sqref="F30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0.38367152777937008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0.44547708333492564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0.50658819444603687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/>
      <c r="M300" s="30">
        <f t="shared" ca="1" si="67"/>
        <v>0.11978263888886431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74</v>
      </c>
      <c r="G311" s="36">
        <f>SUM(G299:G310)</f>
        <v>310.8</v>
      </c>
      <c r="H311" s="37"/>
      <c r="I311" s="37"/>
      <c r="J311" s="37"/>
      <c r="K311" s="37"/>
      <c r="L311" s="37"/>
      <c r="M311" s="38">
        <f ca="1">IFERROR(SUM(M299:M310),"")</f>
        <v>0.12325486111108652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74</v>
      </c>
      <c r="G325" s="40">
        <f>G311+G324</f>
        <v>310.8</v>
      </c>
      <c r="H325" s="41"/>
      <c r="I325" s="41"/>
      <c r="J325" s="41"/>
      <c r="K325" s="41"/>
      <c r="L325" s="41"/>
      <c r="M325" s="42">
        <f ca="1">IFERROR(M311+M324,"")</f>
        <v>0.12325486111108652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E310" sqref="E31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123</v>
      </c>
      <c r="G325" s="40">
        <f>G311+G324</f>
        <v>516.6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2026-08-12T17:52:50Z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