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922" documentId="8_{C51EB6CB-002B-4D6B-B68F-DDEBDB4460C0}" xr6:coauthVersionLast="47" xr6:coauthVersionMax="47" xr10:uidLastSave="{3E75CF68-6FC9-4E97-B4B4-641EA1B96ED3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<sst xmlns="http://schemas.openxmlformats.org/spreadsheetml/2006/main" count="1776" uniqueCount="256">
  <si>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</si>
  <si>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</si>
  <si>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</si>
  <si>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</si>
  <si>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</si>
  <si>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</si>
  <si>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</si>
  <si>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</si>
  <si>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</si>
  <si>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</si>
  <si>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</si>
  <si>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</si>
  <si>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</si>
  <si>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</si>
  <si>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</si>
  <si>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</si>
  <si>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</si>
  <si>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</si>
  <si>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</si>
  <si>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</si>
  <si>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</si>
  <si>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</si>
  <si>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</si>
  <si>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</si>
  <si>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</si>
  <si>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</si>
  <si>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</si>
  <si>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</si>
  <si>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</si>
  <si>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</si>
  <si>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</si>
  <si>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</si>
  <si>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</si>
  <si>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</si>
  <si>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</si>
  <si>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</si>
  <si>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</si>
  <si>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</si>
  <si>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</si>
  <si>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</si>
  <si>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</si>
  <si>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</si>
  <si>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</si>
  <si>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</si>
  <si>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</si>
  <si>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</si>
  <si>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</si>
  <si>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</si>
  <si>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</si>
  <si>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</si>
  <si>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</si>
  <si>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</si>
  <si>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</si>
  <si>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</si>
  <si>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</si>
  <si>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</si>
  <si>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</si>
  <si>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</si>
  <si>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</si>
  <si>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</si>
  <si>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</si>
  <si>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</si>
  <si>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</si>
  <si>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</si>
  <si>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</si>
  <si>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</si>
  <si>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</si>
  <si>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</si>
  <si>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</si>
  <si>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</si>
  <si>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</si>
  <si>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</si>
  <si>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</si>
  <si>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</si>
  <si>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</si>
  <si>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</si>
  <si>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</si>
  <si>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</si>
  <si>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</si>
  <si>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</si>
  <si>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</si>
  <si>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</si>
  <si>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</si>
  <si>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</si>
  <si>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</si>
  <si>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</si>
  <si>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</si>
  <si>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</si>
  <si>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</si>
  <si>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</si>
  <si>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</si>
  <si>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</si>
  <si>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</si>
  <si>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</si>
  <si>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</si>
  <si>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</si>
  <si>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</si>
  <si>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</si>
  <si>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</si>
  <si>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</si>
  <si>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</si>
  <si>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</si>
  <si>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</si>
  <si>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</si>
  <si>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</si>
  <si>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</si>
  <si>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</si>
  <si>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</si>
  <si>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</si>
  <si>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</si>
  <si>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</si>
  <si>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</si>
  <si>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</si>
  <si>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</si>
  <si>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</si>
  <si>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</si>
  <si>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</si>
  <si>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</si>
  <si>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</si>
  <si>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</si>
  <si>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</si>
  <si>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</si>
  <si>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</si>
  <si>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</si>
  <si>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</si>
  <si>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</si>
  <si>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</si>
  <si>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</si>
  <si>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</si>
  <si>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</si>
  <si>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</si>
  <si>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</si>
  <si>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</si>
  <si>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</si>
  <si>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</si>
  <si>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</si>
  <si>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</si>
  <si>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</si>
  <si>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</si>
  <si>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</si>
  <si>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</si>
  <si>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</si>
  <si>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</si>
  <si>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</si>
  <si>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</si>
  <si>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</si>
  <si>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</si>
  <si>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</si>
  <si>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</si>
  <si>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</si>
  <si>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</si>
  <si>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</si>
  <si>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</si>
  <si>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</si>
  <si>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</si>
  <si>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</si>
  <si>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</si>
  <si>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</si>
  <si>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</si>
  <si>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</si>
  <si>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</si>
  <si>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</si>
  <si>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</si>
  <si>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</si>
  <si>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</si>
  <si>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</si>
  <si>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</si>
  <si>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</si>
  <si>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</si>
  <si>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</si>
  <si>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</si>
  <si>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</si>
  <si>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</si>
  <si>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</si>
  <si>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</si>
  <si>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</si>
  <si>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</si>
  <si>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</si>
  <si>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</si>
  <si>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</si>
  <si>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</si>
  <si>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</si>
  <si>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</si>
  <si>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</si>
  <si>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</si>
  <si>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</si>
  <si>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</si>
  <si>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</si>
  <si>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</si>
  <si>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</si>
  <si>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</si>
  <si>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</si>
  <si>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</si>
  <si>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</si>
  <si>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</si>
  <si>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</si>
  <si>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</si>
  <si>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</si>
  <si>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</si>
  <si>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</si>
  <si>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</si>
  <si>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</si>
  <si>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</si>
  <si>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</si>
  <si>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</si>
  <si>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</si>
  <si>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</si>
  <si>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</si>
  <si>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</si>
  <si>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</si>
  <si>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</si>
  <si>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</si>
  <si>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</si>
  <si>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</si>
  <si>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</si>
  <si>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</si>
  <si>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</si>
  <si>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</si>
  <si>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</si>
  <si>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</si>
  <si>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</si>
  <si>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</si>
  <si>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</si>
  <si>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</si>
  <si>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</si>
  <si>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</si>
  <si>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</si>
  <si>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</si>
  <si>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</si>
  <si>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</si>
  <si>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</si>
  <si>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</si>
  <si>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</si>
  <si>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</si>
  <si>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</si>
  <si>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</si>
  <si>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</si>
  <si>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</si>
  <si>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</si>
  <si>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</si>
  <si>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</si>
  <si>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</si>
  <si>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</si>
  <si>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</si>
  <si>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</si>
  <si>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</si>
  <si>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</si>
  <si>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</si>
  <si>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</si>
  <si>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</si>
  <si>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troca de martelo</t>
  </si>
  <si>
    <t>processando blend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</si>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</sst>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1" activePane="bottomLeft" state="frozen"/>
      <selection pane="bottomLeft" activeCell="N43" sqref="N4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/>
      <c r="M42" s="30">
        <f t="shared" ref="M42:M53" ca="1" si="10">IFERROR(IF(K42="","",IF(L42="",MOD(NOW()-K42,1),IF(L42&gt;=K42,L42-K42,L42+1-K42))),"")</f>
        <v>7.6044791669119149E-2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45</v>
      </c>
      <c r="G54" s="36">
        <f>SUM(G42:G53)</f>
        <v>225</v>
      </c>
      <c r="H54" s="37"/>
      <c r="I54" s="37"/>
      <c r="J54" s="37"/>
      <c r="K54" s="37"/>
      <c r="L54" s="37"/>
      <c r="M54" s="38">
        <f ca="1">IFERROR(SUM(M42:M53),"")</f>
        <v>7.6044791669119149E-2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298</v>
      </c>
      <c r="G55" s="40">
        <f>G41+G54</f>
        <v>920</v>
      </c>
      <c r="H55" s="41"/>
      <c r="I55" s="41"/>
      <c r="J55" s="41"/>
      <c r="K55" s="41"/>
      <c r="L55" s="41"/>
      <c r="M55" s="42">
        <f ca="1">IFERROR(M41+M54,"")</f>
        <v>0.13576701389134133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8" activePane="bottomLeft" state="frozen"/>
      <selection pane="bottomLeft" activeCell="F45" sqref="F4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6</v>
      </c>
      <c r="G44" s="34">
        <f t="shared" si="9"/>
        <v>25.200000000000003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/>
      <c r="G46" s="34" t="str">
        <f t="shared" si="9"/>
        <v/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/>
      <c r="G47" s="28" t="str">
        <f t="shared" si="9"/>
        <v/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/>
      <c r="M47" s="30">
        <f t="shared" ca="1" si="11"/>
        <v>9.3781250034226105E-3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30</v>
      </c>
      <c r="G54" s="36">
        <f>SUM(G42:G53)</f>
        <v>126.00000000000001</v>
      </c>
      <c r="H54" s="37"/>
      <c r="I54" s="37"/>
      <c r="J54" s="37"/>
      <c r="K54" s="37"/>
      <c r="L54" s="37"/>
      <c r="M54" s="38">
        <f ca="1">IFERROR(SUM(M42:M53),"")</f>
        <v>3.993368055897828E-2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110</v>
      </c>
      <c r="G55" s="40">
        <f>G41+G54</f>
        <v>449.4</v>
      </c>
      <c r="H55" s="41"/>
      <c r="I55" s="41"/>
      <c r="J55" s="41"/>
      <c r="K55" s="41"/>
      <c r="L55" s="41"/>
      <c r="M55" s="42">
        <f ca="1">IFERROR(M41+M54,"")</f>
        <v>0.1246559027812006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" zoomScale="50" zoomScaleNormal="50" workbookViewId="0">
      <selection activeCell="F45" sqref="F4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/>
      <c r="M43" s="35">
        <f t="shared" ca="1" si="10"/>
        <v>1.7017013888107613E-2</v>
      </c>
      <c r="N43" s="27" t="s">
        <v>251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10</v>
      </c>
      <c r="G44" s="34">
        <f t="shared" si="9"/>
        <v>42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18</v>
      </c>
      <c r="G54" s="36">
        <f>SUM(G42:G53)</f>
        <v>75.599999999999994</v>
      </c>
      <c r="H54" s="37"/>
      <c r="I54" s="37"/>
      <c r="J54" s="37"/>
      <c r="K54" s="37"/>
      <c r="L54" s="37"/>
      <c r="M54" s="38">
        <f ca="1">IFERROR(SUM(M42:M53),"")</f>
        <v>5.8683680554774353E-2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95</v>
      </c>
      <c r="G55" s="40">
        <f>G41+G54</f>
        <v>399</v>
      </c>
      <c r="H55" s="41"/>
      <c r="I55" s="41"/>
      <c r="J55" s="41"/>
      <c r="K55" s="41"/>
      <c r="L55" s="41"/>
      <c r="M55" s="42">
        <f ca="1">IFERROR(M41+M54,"")</f>
        <v>7.9517013888107724E-2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0" activePane="bottomLeft" state="frozen"/>
      <selection pane="bottomLeft" activeCell="F45" sqref="F4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252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 t="str">
        <f>IF(F50="","",IF(E39="PC 17",F50*4.2,IF(E39="PC 19",F50*5,IF(E39="CB",F50*24,""))))</f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558.6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20</v>
      </c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 t="s">
        <v>251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39</v>
      </c>
      <c r="G54" s="36">
        <f>SUM(G42:G53)</f>
        <v>163.80000000000001</v>
      </c>
      <c r="H54" s="37"/>
      <c r="I54" s="37"/>
      <c r="J54" s="37"/>
      <c r="K54" s="61"/>
      <c r="L54" s="61"/>
      <c r="M54" s="38">
        <f ca="1">IFERROR(SUM(M42:M53),"")</f>
        <v>3.472222222222221E-2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180</v>
      </c>
      <c r="G55" s="40">
        <f>G41+G54</f>
        <v>722.40000000000009</v>
      </c>
      <c r="H55" s="41"/>
      <c r="I55" s="41"/>
      <c r="J55" s="41"/>
      <c r="K55" s="63"/>
      <c r="L55" s="63"/>
      <c r="M55" s="42">
        <f ca="1">IFERROR(M41+M54,"")</f>
        <v>4.5833333333333282E-2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2026-08-03T02:00:44Z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