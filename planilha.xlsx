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00" documentId="8_{C51EB6CB-002B-4D6B-B68F-DDEBDB4460C0}" xr6:coauthVersionLast="47" xr6:coauthVersionMax="47" xr10:uidLastSave="{457CC8C5-6529-43D3-A452-592878C19F4A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<sst xmlns="http://schemas.openxmlformats.org/spreadsheetml/2006/main" count="3894" uniqueCount="296">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</sst>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59" activePane="bottomLeft" state="frozen"/>
      <selection pane="bottomLeft" activeCell="F183" sqref="F1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200</v>
      </c>
      <c r="G189" s="36">
        <f>SUM(G177:G188)</f>
        <v>1000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602</v>
      </c>
      <c r="G190" s="40">
        <f>G176+G189</f>
        <v>3010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3" sqref="F1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0.94963263888348592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1.0885215277723748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1.1732437499945971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58</v>
      </c>
      <c r="G189" s="36">
        <f>SUM(G177:G188)</f>
        <v>243.60000000000002</v>
      </c>
      <c r="H189" s="37"/>
      <c r="I189" s="37"/>
      <c r="J189" s="37"/>
      <c r="K189" s="37"/>
      <c r="L189" s="37"/>
      <c r="M189" s="38">
        <f ca="1">IFERROR(SUM(M177:M188),"")</f>
        <v>0.12708333333333349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127</v>
      </c>
      <c r="G190" s="40">
        <f>G176+G189</f>
        <v>533.40000000000009</v>
      </c>
      <c r="H190" s="41"/>
      <c r="I190" s="41"/>
      <c r="J190" s="41"/>
      <c r="K190" s="41"/>
      <c r="L190" s="41"/>
      <c r="M190" s="42">
        <f ca="1">IFERROR(M176+M189,"")</f>
        <v>0.20972222222222242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3" sqref="F1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</v>
      </c>
      <c r="G189" s="36">
        <f>SUM(G177:G188)</f>
        <v>37.799999999999997</v>
      </c>
      <c r="H189" s="37"/>
      <c r="I189" s="37"/>
      <c r="J189" s="37"/>
      <c r="K189" s="37"/>
      <c r="L189" s="37"/>
      <c r="M189" s="38">
        <f ca="1">IFERROR(SUM(M177:M188),"")</f>
        <v>0.18680555555555559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74</v>
      </c>
      <c r="G190" s="40">
        <f>G176+G189</f>
        <v>310.8</v>
      </c>
      <c r="H190" s="41"/>
      <c r="I190" s="41"/>
      <c r="J190" s="41"/>
      <c r="K190" s="41"/>
      <c r="L190" s="41"/>
      <c r="M190" s="42">
        <f ca="1">IFERROR(M176+M189,"")</f>
        <v>0.27152777777777781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3" sqref="F1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72</v>
      </c>
      <c r="G189" s="36">
        <f>SUM(G177:G188)</f>
        <v>302.40000000000003</v>
      </c>
      <c r="H189" s="37"/>
      <c r="I189" s="37"/>
      <c r="J189" s="37"/>
      <c r="K189" s="61"/>
      <c r="L189" s="61"/>
      <c r="M189" s="38">
        <f ca="1">IFERROR(SUM(M177:M188),"")</f>
        <v>0.10277777777777786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72</v>
      </c>
      <c r="G190" s="40">
        <f>G176+G189</f>
        <v>982.8</v>
      </c>
      <c r="H190" s="41"/>
      <c r="I190" s="41"/>
      <c r="J190" s="41"/>
      <c r="K190" s="63"/>
      <c r="L190" s="63"/>
      <c r="M190" s="42">
        <f ca="1">IFERROR(M176+M189,"")</f>
        <v>0.23541666666666683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2026-08-08T05:42:59Z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