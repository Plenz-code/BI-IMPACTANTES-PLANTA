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69" documentId="13_ncr:1_{0A10D8D4-8450-4366-8075-B53B08E6B7EA}" xr6:coauthVersionLast="47" xr6:coauthVersionMax="47" xr10:uidLastSave="{BD320B55-B7F8-4893-8E28-DB1FC328DA4B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3" i="6" s="1"/>
  <c r="J333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2" i="5" s="1"/>
  <c r="J332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2" i="4" s="1"/>
  <c r="J332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1" i="6" l="1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<sst xmlns="http://schemas.openxmlformats.org/spreadsheetml/2006/main" count="5919" uniqueCount="338">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</sst>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293" activePane="bottomLeft" state="frozen"/>
      <selection pane="bottomLeft" activeCell="F334" sqref="F33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22</v>
      </c>
      <c r="I327" s="33"/>
      <c r="J327" s="33" t="s">
        <v>30</v>
      </c>
      <c r="K327" s="29">
        <v>0.63124999999999998</v>
      </c>
      <c r="L327" s="29"/>
      <c r="M327" s="35">
        <f t="shared" ca="1" si="68"/>
        <v>2.2714120350428857E-3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111</v>
      </c>
      <c r="G338" s="36">
        <f>SUM(G326:G337)</f>
        <v>555</v>
      </c>
      <c r="H338" s="37"/>
      <c r="I338" s="37"/>
      <c r="J338" s="37"/>
      <c r="K338" s="37"/>
      <c r="L338" s="37"/>
      <c r="M338" s="38">
        <f ca="1">IFERROR(SUM(M326:M337),"")</f>
        <v>5.574363425726514E-2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111</v>
      </c>
      <c r="G352" s="40">
        <f>G338+G351</f>
        <v>555</v>
      </c>
      <c r="H352" s="41"/>
      <c r="I352" s="41"/>
      <c r="J352" s="41"/>
      <c r="K352" s="41"/>
      <c r="L352" s="41"/>
      <c r="M352" s="42">
        <f ca="1">IFERROR(M338+M351,"")</f>
        <v>5.574363425726514E-2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L332" sqref="L33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0.51199363425257616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0.650882523141465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0.73560474536368736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/>
      <c r="Q331" s="35">
        <f t="shared" ca="1" si="76"/>
        <v>6.8938078700739425E-2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/>
      <c r="M332" s="26"/>
      <c r="N332" s="26"/>
      <c r="O332" s="29">
        <v>0.63124999999999998</v>
      </c>
      <c r="P332" s="29"/>
      <c r="Q332" s="30">
        <f t="shared" ca="1" si="76"/>
        <v>2.2714120350428857E-3</v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0.20107060184689329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0.20107060184689329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O330" sqref="O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309</v>
      </c>
      <c r="Q222" s="30" t="str">
        <f t="shared" ca="1" si="49"/>
        <v/>
      </c>
      <c r="R222" s="27" t="s">
        <v>310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6.8938078700739425E-2</v>
      </c>
      <c r="R329" s="27" t="s">
        <v>295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>
        <v>15</v>
      </c>
      <c r="P330" s="29"/>
      <c r="Q330" s="30">
        <f t="shared" ca="1" si="74"/>
        <v>0.63352141203358769</v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0.75801504628988259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0.75801504628988259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34" sqref="G33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330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336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/>
      <c r="Q327" s="35">
        <f t="shared" ca="1" si="75"/>
        <v>2.2714120350428857E-3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162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737.2</v>
      </c>
      <c r="L338" s="37"/>
      <c r="M338" s="37"/>
      <c r="N338" s="37"/>
      <c r="O338" s="61"/>
      <c r="P338" s="61"/>
      <c r="Q338" s="38">
        <f ca="1">IFERROR(SUM(Q326:Q337),"")</f>
        <v>1.4076967590598455E-2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162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737.2</v>
      </c>
      <c r="L352" s="41"/>
      <c r="M352" s="41"/>
      <c r="N352" s="41"/>
      <c r="O352" s="63"/>
      <c r="P352" s="63"/>
      <c r="Q352" s="42">
        <f ca="1">IFERROR(Q338+Q351,"")</f>
        <v>1.4076967590598455E-2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2026-08-13T19:14:08Z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