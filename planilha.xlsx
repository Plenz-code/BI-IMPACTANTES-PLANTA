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496" documentId="8_{AF585B22-221D-4780-BB9C-493D365A6A02}" xr6:coauthVersionLast="47" xr6:coauthVersionMax="47" xr10:uidLastSave="{42702A75-39CF-4146-8B9C-B0FF39FB3859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<sst xmlns="http://schemas.openxmlformats.org/spreadsheetml/2006/main" count="10749" uniqueCount="404">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</sst>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88" activePane="bottomLeft" state="frozen"/>
      <selection pane="bottomLeft" activeCell="J705" sqref="J70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88</v>
      </c>
      <c r="G716" s="36">
        <f>SUM(G704:G715)</f>
        <v>440</v>
      </c>
      <c r="H716" s="37"/>
      <c r="I716" s="37"/>
      <c r="J716" s="37"/>
      <c r="K716" s="37"/>
      <c r="L716" s="37"/>
      <c r="M716" s="38">
        <f ca="1">IFERROR(SUM(M704:M715),"")</f>
        <v>4.4444444444444398E-2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88</v>
      </c>
      <c r="G730" s="40">
        <f>G716+G729</f>
        <v>440</v>
      </c>
      <c r="H730" s="41"/>
      <c r="I730" s="41"/>
      <c r="J730" s="41"/>
      <c r="K730" s="41"/>
      <c r="L730" s="41"/>
      <c r="M730" s="42">
        <f ca="1">IFERROR(M716+M729,"")</f>
        <v>4.4444444444444398E-2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90" activePane="bottomLeft" state="frozen"/>
      <selection pane="bottomLeft" activeCell="L707" sqref="L70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268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269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270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271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272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273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274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275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276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277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278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280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282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284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285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286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287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288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282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289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290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291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293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294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296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297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298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0.2392415509239072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0.39688043981279608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0.50660266203501825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282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299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300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0.21771377314871643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0.38854710648204982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0.53368599537093875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302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303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304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305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306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307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308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309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310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311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312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313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314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315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317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318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319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320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321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322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323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324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63</v>
      </c>
      <c r="G716" s="36">
        <f>SUM(G704:G715)</f>
        <v>264.60000000000002</v>
      </c>
      <c r="H716" s="37"/>
      <c r="I716" s="37"/>
      <c r="J716" s="37"/>
      <c r="K716" s="37"/>
      <c r="L716" s="37"/>
      <c r="M716" s="38">
        <f ca="1">IFERROR(SUM(M704:M715),"")</f>
        <v>4.3055555555555569E-2</v>
      </c>
      <c r="N716" s="36" t="s">
        <v>234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63</v>
      </c>
      <c r="G730" s="40">
        <f>G716+G729</f>
        <v>264.60000000000002</v>
      </c>
      <c r="H730" s="41"/>
      <c r="I730" s="41"/>
      <c r="J730" s="41"/>
      <c r="K730" s="41"/>
      <c r="L730" s="41"/>
      <c r="M730" s="42">
        <f ca="1">IFERROR(M716+M729,"")</f>
        <v>4.3055555555555569E-2</v>
      </c>
      <c r="N730" s="40" t="s">
        <v>237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2" zoomScale="50" zoomScaleNormal="50" workbookViewId="0">
      <selection activeCell="F708" sqref="F70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318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304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281</v>
      </c>
      <c r="K141" s="29">
        <v>0.71597222222222223</v>
      </c>
      <c r="L141" s="29" t="s">
        <v>330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332</v>
      </c>
      <c r="N166" s="27" t="s">
        <v>333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301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320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320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353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35</v>
      </c>
      <c r="G716" s="36">
        <f>SUM(G704:G715)</f>
        <v>147</v>
      </c>
      <c r="H716" s="37"/>
      <c r="I716" s="37"/>
      <c r="J716" s="37"/>
      <c r="K716" s="37"/>
      <c r="L716" s="37"/>
      <c r="M716" s="38">
        <f ca="1">IFERROR(SUM(M704:M715),"")</f>
        <v>1.5972222222222221E-2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35</v>
      </c>
      <c r="G730" s="40">
        <f>G716+G729</f>
        <v>147</v>
      </c>
      <c r="H730" s="41"/>
      <c r="I730" s="41"/>
      <c r="J730" s="41"/>
      <c r="K730" s="41"/>
      <c r="L730" s="41"/>
      <c r="M730" s="42">
        <f ca="1">IFERROR(M716+M729,"")</f>
        <v>1.5972222222222221E-2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89" activePane="bottomLeft" state="frozen"/>
      <selection pane="bottomLeft" activeCell="J704" sqref="J70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304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358</v>
      </c>
      <c r="L58" s="29">
        <v>0.54097222222222219</v>
      </c>
      <c r="M58" s="30" t="str">
        <f t="shared" ca="1" si="13"/>
        <v/>
      </c>
      <c r="N58" s="27" t="s">
        <v>359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318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0.22951932870637393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279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0.42882488426192955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0.79618599537304058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276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304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20</v>
      </c>
      <c r="I704" s="26" t="s">
        <v>52</v>
      </c>
      <c r="J704" s="26" t="s">
        <v>181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276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20</v>
      </c>
      <c r="I706" s="26" t="s">
        <v>57</v>
      </c>
      <c r="J706" s="26" t="s">
        <v>181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318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46</v>
      </c>
      <c r="G716" s="36">
        <f>SUM(G704:G715)</f>
        <v>193.2</v>
      </c>
      <c r="H716" s="37"/>
      <c r="I716" s="37"/>
      <c r="J716" s="37"/>
      <c r="K716" s="61"/>
      <c r="L716" s="61"/>
      <c r="M716" s="38">
        <f ca="1">IFERROR(SUM(M704:M715),"")</f>
        <v>0.12499999999999994</v>
      </c>
      <c r="N716" s="36" t="s">
        <v>234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46</v>
      </c>
      <c r="G730" s="40">
        <f>G716+G729</f>
        <v>193.2</v>
      </c>
      <c r="H730" s="41"/>
      <c r="I730" s="41"/>
      <c r="J730" s="41"/>
      <c r="K730" s="63"/>
      <c r="L730" s="63"/>
      <c r="M730" s="42">
        <f ca="1">IFERROR(M716+M729,"")</f>
        <v>0.12499999999999994</v>
      </c>
      <c r="N730" s="40" t="s">
        <v>237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2026-07-27T15:29:40Z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