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36" documentId="8_{C51EB6CB-002B-4D6B-B68F-DDEBDB4460C0}" xr6:coauthVersionLast="47" xr6:coauthVersionMax="47" xr10:uidLastSave="{C85F04F6-C58E-47BF-B292-6C783FBD86BC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<sst xmlns="http://schemas.openxmlformats.org/spreadsheetml/2006/main" count="3446" uniqueCount="284">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</sst>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L150" sqref="L1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/>
      <c r="G150" s="28" t="str">
        <f t="shared" ref="G150:G161" si="33">IF(F150="","",IF(E150="PC 17",F150*4.2,IF(E150="PC 19",F150*5,IF(E150="CB",F150*35,""))))</f>
        <v/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/>
      <c r="M150" s="30">
        <f t="shared" ref="M150:M161" ca="1" si="34">IFERROR(IF(K150="","",IF(L150="",MOD(NOW()-K150,1),IF(L150&gt;=K150,L150-K150,L150+1-K150))),"")</f>
        <v>1.6310069440805819E-2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1.6310069440805819E-2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289</v>
      </c>
      <c r="G163" s="40">
        <f>G149+G162</f>
        <v>1445</v>
      </c>
      <c r="H163" s="41"/>
      <c r="I163" s="41"/>
      <c r="J163" s="41"/>
      <c r="K163" s="41"/>
      <c r="L163" s="41"/>
      <c r="M163" s="42">
        <f ca="1">IFERROR(M149+M162,"")</f>
        <v>0.11492118055191697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0" sqref="F1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0.7121434027721989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0.85103229166108774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0.9357545138833101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2.0138888888888928E-2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140</v>
      </c>
      <c r="G163" s="40">
        <f>G149+G162</f>
        <v>588</v>
      </c>
      <c r="H163" s="41"/>
      <c r="I163" s="41"/>
      <c r="J163" s="41"/>
      <c r="K163" s="41"/>
      <c r="L163" s="41"/>
      <c r="M163" s="42">
        <f ca="1">IFERROR(M149+M162,"")</f>
        <v>0.19583333333333336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0" sqref="F1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/>
      <c r="G150" s="28" t="str">
        <f t="shared" ref="G150:G161" si="33">IF(F150="","",IF(E150="PC 17",F150*4.2,IF(E150="PC 19",F150*5,IF(E150="CB",F150*24,""))))</f>
        <v/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2.0138888888888928E-2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</v>
      </c>
      <c r="G163" s="40">
        <f>G149+G162</f>
        <v>138.6</v>
      </c>
      <c r="H163" s="41"/>
      <c r="I163" s="41"/>
      <c r="J163" s="41"/>
      <c r="K163" s="41"/>
      <c r="L163" s="41"/>
      <c r="M163" s="42">
        <f ca="1">IFERROR(M149+M162,"")</f>
        <v>0.1736111111111111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F151" sqref="F1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10</v>
      </c>
      <c r="G162" s="36">
        <f>SUM(G150:G161)</f>
        <v>42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192</v>
      </c>
      <c r="G163" s="40">
        <f>G149+G162</f>
        <v>806.40000000000009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2026-08-07T00:00:31Z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