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852" documentId="8_{AF585B22-221D-4780-BB9C-493D365A6A02}" xr6:coauthVersionLast="47" xr6:coauthVersionMax="47" xr10:uidLastSave="{F46E418B-08A3-41E1-8300-6512298F4941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<sst xmlns="http://schemas.openxmlformats.org/spreadsheetml/2006/main" count="4526" uniqueCount="285">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</sst>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7" activePane="bottomLeft" state="frozen"/>
      <selection pane="bottomLeft" activeCell="F261" sqref="F26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64</v>
      </c>
      <c r="G270" s="36">
        <f>SUM(G258:G269)</f>
        <v>320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414</v>
      </c>
      <c r="G271" s="40">
        <f>G257+G270</f>
        <v>2070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33" activePane="bottomLeft" state="frozen"/>
      <selection pane="bottomLeft" activeCell="N260" sqref="N26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19</v>
      </c>
      <c r="I259" s="50" t="s">
        <v>155</v>
      </c>
      <c r="J259" s="50" t="s">
        <v>27</v>
      </c>
      <c r="K259" s="29">
        <v>0.91666666666666663</v>
      </c>
      <c r="L259" s="29"/>
      <c r="M259" s="35">
        <f t="shared" ca="1" si="58"/>
        <v>1.9290277778054588E-2</v>
      </c>
      <c r="N259" s="46" t="s">
        <v>237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39</v>
      </c>
      <c r="G270" s="36">
        <f>SUM(G258:G269)</f>
        <v>170.2</v>
      </c>
      <c r="H270" s="37"/>
      <c r="I270" s="37"/>
      <c r="J270" s="37"/>
      <c r="K270" s="37"/>
      <c r="L270" s="37"/>
      <c r="M270" s="38">
        <f ca="1">IFERROR(SUM(M258:M269),"")</f>
        <v>4.0123611111387847E-2</v>
      </c>
      <c r="N270" s="36" t="s">
        <v>216</v>
      </c>
      <c r="O270" s="78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204</v>
      </c>
      <c r="G271" s="40">
        <f>G257+G270</f>
        <v>863.19999999999982</v>
      </c>
      <c r="H271" s="41"/>
      <c r="I271" s="41"/>
      <c r="J271" s="41"/>
      <c r="K271" s="41"/>
      <c r="L271" s="41"/>
      <c r="M271" s="42">
        <f ca="1">IFERROR(M257+M270,"")</f>
        <v>0.11234583333361009</v>
      </c>
      <c r="N271" s="40" t="s">
        <v>219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45" zoomScale="50" zoomScaleNormal="50" workbookViewId="0">
      <selection activeCell="F261" sqref="F26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257</v>
      </c>
      <c r="N166" s="27" t="s">
        <v>258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16</v>
      </c>
      <c r="G270" s="36">
        <f>SUM(G258:G269)</f>
        <v>67.2</v>
      </c>
      <c r="H270" s="37"/>
      <c r="I270" s="37"/>
      <c r="J270" s="37"/>
      <c r="K270" s="37"/>
      <c r="L270" s="37"/>
      <c r="M270" s="38">
        <f ca="1">IFERROR(SUM(M258:M269),"")</f>
        <v>1.1805555555555625E-2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155</v>
      </c>
      <c r="G271" s="40">
        <f>G257+G270</f>
        <v>651</v>
      </c>
      <c r="H271" s="41"/>
      <c r="I271" s="41"/>
      <c r="J271" s="41"/>
      <c r="K271" s="41"/>
      <c r="L271" s="41"/>
      <c r="M271" s="42">
        <f ca="1">IFERROR(M257+M270,"")</f>
        <v>7.9166666666666829E-2</v>
      </c>
      <c r="N271" s="40" t="s">
        <v>219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51" activePane="bottomLeft" state="frozen"/>
      <selection pane="bottomLeft" activeCell="J259" sqref="J25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264</v>
      </c>
      <c r="L58" s="29">
        <v>0.54097222222222219</v>
      </c>
      <c r="M58" s="30" t="str">
        <f t="shared" ca="1" si="13"/>
        <v/>
      </c>
      <c r="N58" s="27" t="s">
        <v>265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0.68665138888900401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0.88595694444455964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1.2533180555556707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56</v>
      </c>
      <c r="G270" s="36">
        <f>SUM(G258:G269)</f>
        <v>235.20000000000002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246</v>
      </c>
      <c r="G271" s="40">
        <f>G257+G270</f>
        <v>1033.1999999999998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2026-07-11T02:28:17Z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