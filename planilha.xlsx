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06" documentId="8_{AF585B22-221D-4780-BB9C-493D365A6A02}" xr6:coauthVersionLast="47" xr6:coauthVersionMax="47" xr10:uidLastSave="{94B21F7F-7615-4B8A-B0AA-01729BF115F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<sst xmlns="http://schemas.openxmlformats.org/spreadsheetml/2006/main" count="12499" uniqueCount="443">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</sst>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E827" sqref="E8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</v>
      </c>
      <c r="G837" s="109">
        <f>SUM(G825:G836)</f>
        <v>130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159</v>
      </c>
      <c r="G838" s="111">
        <f>G824+G837</f>
        <v>130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04" activePane="bottomLeft" state="frozen"/>
      <selection pane="bottomLeft" activeCell="E826" sqref="E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0.63977384258760139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0.79741273147649028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0.90713495369871244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0.61824606481241062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0.78907939814574402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0.93421828703463294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35</v>
      </c>
      <c r="G837" s="109">
        <f>SUM(G825:G836)</f>
        <v>159.80000000000001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204</v>
      </c>
      <c r="G838" s="111">
        <f>G824+G837</f>
        <v>869.60000000000014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E826" sqref="E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18</v>
      </c>
      <c r="G837" s="109">
        <f>SUM(G825:G836)</f>
        <v>84.4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113</v>
      </c>
      <c r="G838" s="111">
        <f>G824+G837</f>
        <v>483.4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L827" sqref="L8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0.63005162037006812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0.82935717592562375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1.1967182870367348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/>
      <c r="G826" s="104" t="str">
        <f>IF(F826="","",IF(E826="PC 17",F826*4.2,IF(E826="PC 19",F826*5,"")))</f>
        <v/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</v>
      </c>
      <c r="G837" s="109">
        <f>SUM(G825:G836)</f>
        <v>42</v>
      </c>
      <c r="H837" s="37"/>
      <c r="I837" s="37"/>
      <c r="J837" s="37"/>
      <c r="K837" s="37"/>
      <c r="L837" s="37"/>
      <c r="M837" s="110">
        <f ca="1">IFERROR(SUM(M825:M836),"")</f>
        <v>9.7222222222221877E-3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129</v>
      </c>
      <c r="G838" s="111">
        <f>G824+G837</f>
        <v>541.80000000000007</v>
      </c>
      <c r="H838" s="41"/>
      <c r="I838" s="41"/>
      <c r="J838" s="41"/>
      <c r="K838" s="41"/>
      <c r="L838" s="41"/>
      <c r="M838" s="112">
        <f ca="1">IFERROR(M824+M837,"")</f>
        <v>0.12569444444444433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2026-08-01T01:06:48Z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