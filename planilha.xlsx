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25" documentId="8_{C51EB6CB-002B-4D6B-B68F-DDEBDB4460C0}" xr6:coauthVersionLast="47" xr6:coauthVersionMax="47" xr10:uidLastSave="{75A0976E-D969-41D2-AE78-70F97553320E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<sst xmlns="http://schemas.openxmlformats.org/spreadsheetml/2006/main" count="5106" uniqueCount="326">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</sst>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898190</v>
      </c>
      <c r="E13" s="11">
        <f>IFERROR('Linha 2'!O271,"")</f>
        <v>549440</v>
      </c>
      <c r="F13" s="11">
        <f>IFERROR('Linha 3'!O271,"")</f>
        <v>803560</v>
      </c>
      <c r="G13" s="12">
        <f t="shared" si="0"/>
        <v>2251190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10551290</v>
      </c>
      <c r="E35" s="13">
        <f>IFERROR(SUM(E4:E34),"")</f>
        <v>5109380</v>
      </c>
      <c r="F35" s="13">
        <f>IFERROR(SUM(F4:F34),"")</f>
        <v>13202780</v>
      </c>
      <c r="G35" s="13">
        <f>IFERROR(SUM(G4:G34),"")</f>
        <v>28863450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4" activePane="bottomLeft" state="frozen"/>
      <selection pane="bottomLeft" activeCell="O271" sqref="O2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F270" sqref="F2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0.15723530092509463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0.29612418981398353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0.38084641203620584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898190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F270" sqref="F2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8.4318634260853287E-2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0.14612418981640884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0.20723530092752002</v>
      </c>
      <c r="N271" s="40" t="s">
        <v>240</v>
      </c>
      <c r="O271" s="48">
        <f>IFERROR(O257+O270,"")</f>
        <v>549440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F270" sqref="F27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/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803560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2026-08-11T10:41:58Z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