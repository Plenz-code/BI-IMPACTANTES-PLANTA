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9146" documentId="8_{AF585B22-221D-4780-BB9C-493D365A6A02}" xr6:coauthVersionLast="47" xr6:coauthVersionMax="47" xr10:uidLastSave="{D865ECE4-6649-472D-8FAD-AEAE3FE23A97}"/>
  <bookViews>
    <workbookView xWindow="-110" yWindow="-110" windowWidth="25820" windowHeight="15500" tabRatio="500" firstSheet="3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466" i="3" l="1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<sst xmlns="http://schemas.openxmlformats.org/spreadsheetml/2006/main" count="8003" uniqueCount="354">
  <si>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</si>
  <si>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</si>
  <si>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</si>
  <si>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</si>
  <si>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</si>
  <si>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</si>
  <si>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</si>
  <si>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</si>
  <si>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</si>
  <si>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</si>
  <si>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</si>
  <si>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</si>
  <si>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</si>
  <si>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</si>
  <si>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</si>
  <si>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</si>
  <si>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</si>
  <si>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</si>
  <si>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</si>
  <si>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</si>
  <si>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</si>
  <si>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</si>
  <si>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</si>
  <si>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</si>
  <si>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</si>
  <si>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</si>
  <si>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</si>
  <si>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</si>
  <si>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</si>
  <si>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</si>
  <si>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</si>
  <si>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</si>
  <si>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</si>
  <si>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</si>
  <si>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</si>
  <si>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</si>
  <si>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</si>
  <si>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</si>
  <si>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</si>
  <si>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</si>
  <si>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</si>
  <si>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</si>
  <si>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</si>
  <si>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</si>
  <si>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</si>
  <si>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</si>
  <si>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</si>
  <si>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</si>
  <si>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</si>
  <si>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</si>
  <si>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</si>
  <si>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</si>
  <si>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</si>
  <si>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</si>
  <si>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</si>
  <si>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</si>
  <si>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</si>
  <si>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</si>
  <si>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</si>
  <si>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</si>
  <si>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</si>
  <si>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</si>
  <si>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</si>
  <si>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</si>
  <si>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</si>
  <si>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</si>
  <si>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</si>
  <si>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</si>
  <si>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</si>
  <si>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</si>
  <si>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</si>
  <si>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</si>
  <si>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</si>
  <si>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</si>
  <si>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</si>
  <si>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</si>
  <si>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</si>
  <si>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</si>
  <si>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</si>
  <si>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</si>
  <si>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</si>
  <si>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</si>
  <si>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</si>
  <si>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</si>
  <si>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</si>
  <si>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</si>
  <si>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</si>
  <si>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</si>
  <si>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</si>
  <si>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</si>
  <si>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</si>
  <si>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</si>
  <si>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</si>
  <si>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</si>
  <si>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</si>
  <si>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</si>
  <si>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</si>
  <si>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</si>
  <si>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</si>
  <si>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</si>
  <si>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</si>
  <si>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</si>
  <si>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</si>
  <si>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</si>
  <si>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</si>
  <si>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</si>
  <si>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</si>
  <si>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</si>
  <si>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</si>
  <si>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</si>
  <si>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</si>
  <si>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</si>
  <si>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</si>
  <si>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</si>
  <si>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</si>
  <si>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</si>
  <si>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</si>
  <si>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</si>
  <si>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</si>
  <si>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</si>
  <si>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</si>
  <si>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</si>
  <si>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</si>
  <si>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</si>
  <si>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</si>
  <si>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</si>
  <si>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</si>
  <si>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</si>
  <si>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</si>
  <si>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</si>
  <si>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</si>
  <si>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</si>
  <si>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</si>
  <si>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</si>
  <si>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</si>
  <si>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</si>
  <si>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</si>
  <si>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</si>
  <si>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</si>
  <si>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</si>
  <si>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</si>
  <si>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</si>
  <si>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</si>
  <si>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</si>
  <si>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</si>
  <si>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</si>
  <si>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</si>
  <si>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</si>
  <si>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</si>
  <si>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</si>
  <si>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</si>
  <si>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</si>
  <si>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</si>
  <si>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</si>
  <si>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</si>
  <si>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</si>
  <si>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</si>
  <si>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</si>
  <si>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</si>
  <si>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</si>
  <si>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</si>
  <si>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</si>
  <si>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</si>
  <si>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</si>
  <si>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</si>
  <si>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</si>
  <si>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</si>
  <si>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</si>
  <si>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</si>
  <si>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</si>
  <si>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</si>
  <si>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</si>
  <si>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</si>
  <si>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</si>
  <si>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</si>
  <si>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</si>
  <si>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</si>
  <si>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</si>
  <si>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</si>
  <si>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</si>
  <si>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</si>
  <si>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</si>
  <si>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</si>
  <si>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</si>
  <si>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</si>
  <si>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</si>
  <si>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</si>
  <si>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</si>
  <si>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</si>
  <si>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</si>
  <si>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</si>
  <si>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</si>
  <si>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</si>
  <si>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</si>
  <si>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</si>
  <si>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</si>
  <si>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</si>
  <si>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</si>
  <si>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</si>
  <si>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</si>
  <si>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</si>
  <si>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</si>
  <si>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</si>
  <si>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</si>
  <si>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</si>
  <si>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</si>
  <si>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</si>
  <si>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</si>
  <si>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</si>
  <si>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</si>
  <si>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</si>
  <si>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</si>
  <si>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</si>
  <si>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</si>
  <si>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</si>
  <si>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</si>
  <si>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</si>
  <si>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</si>
  <si>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</si>
  <si>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</si>
  <si>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</si>
  <si>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</si>
  <si>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</si>
  <si>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</si>
  <si>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</si>
  <si>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</si>
  <si>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</si>
  <si>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</si>
  <si>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</si>
  <si>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</si>
  <si>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</si>
  <si>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</si>
  <si>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</si>
  <si>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</si>
  <si>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</si>
  <si>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</si>
  <si>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</si>
  <si>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</si>
  <si>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</si>
  <si>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</si>
  <si>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</si>
  <si>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</si>
  <si>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</si>
  <si>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</si>
  <si>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</si>
  <si>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</si>
  <si>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</si>
  <si>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</si>
  <si>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</si>
  <si>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</si>
  <si>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</si>
  <si>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</si>
  <si>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</si>
  <si>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</si>
  <si>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</si>
  <si>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</si>
  <si>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</si>
  <si>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</si>
  <si>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</si>
  <si>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</si>
  <si>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</si>
  <si>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</si>
  <si>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</si>
  <si>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</si>
  <si>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</si>
  <si>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</si>
  <si>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</si>
  <si>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</si>
  <si>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</si>
  <si>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</si>
  <si>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</si>
  <si>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</si>
  <si>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</si>
  <si>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</si>
  <si>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</si>
  <si>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</si>
  <si>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</si>
  <si>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</si>
  <si>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</si>
  <si>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</si>
  <si>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</si>
  <si>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</si>
  <si>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</si>
  <si>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</si>
  <si>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</si>
  <si>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</si>
  <si>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</si>
  <si>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</si>
  <si>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</si>
  <si>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</si>
  <si>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</si>
  <si>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</si>
  <si>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</si>
  <si>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</si>
  <si>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</si>
  <si>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</si>
  <si>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</si>
  <si>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</si>
  <si>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</si>
  <si>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</si>
  <si>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</si>
  <si>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</si>
  <si>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</si>
  <si>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</si>
  <si>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</si>
  <si>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</si>
  <si>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</si>
  <si>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</si>
  <si>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</si>
  <si>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</si>
  <si>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</si>
  <si>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</si>
  <si>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</si>
  <si>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</si>
  <si>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</si>
  <si>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</si>
  <si>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</si>
  <si>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</si>
  <si>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</si>
  <si>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</si>
  <si>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</si>
  <si>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</si>
  <si>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</si>
  <si>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</si>
  <si>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</si>
  <si>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</si>
  <si>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</si>
  <si>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</si>
  <si>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</si>
  <si>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</si>
  <si>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</si>
  <si>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</si>
  <si>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</si>
  <si>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</si>
  <si>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</si>
  <si>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</si>
  <si>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</si>
  <si>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</si>
  <si>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</si>
  <si>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</si>
  <si>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</si>
  <si>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</si>
  <si>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</si>
  <si>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</si>
  <si>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</si>
  <si>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</si>
  <si>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</si>
  <si>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</si>
  <si>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</si>
  <si>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</si>
  <si>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</si>
  <si>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pc19</t>
  </si>
  <si>
    <t>desobstrução do moinho de bola 4, troca de martelo moinho 4</t>
  </si>
  <si>
    <t>troca de martelo 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</si>
</sst>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1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35" sqref="G35"/>
    </sheetView>
  </sheetViews>
  <sheetFormatPr defaultColWidth="8.5703125" defaultRowHeight="14.45"/>
  <cols>
    <col min="1" max="1" width="17.5703125" customWidth="1"/>
    <col min="2" max="2" width="21" style="71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5" t="s">
        <v>0</v>
      </c>
      <c r="B1" s="105"/>
      <c r="C1" s="105"/>
      <c r="D1" s="105"/>
      <c r="E1" s="105"/>
      <c r="F1" s="105"/>
      <c r="G1" s="105"/>
    </row>
    <row r="2" spans="1:7" ht="24.75" customHeight="1">
      <c r="A2" s="106"/>
      <c r="B2" s="106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3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4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3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4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3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4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3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 t="shared" si="0"/>
        <v>3265480</v>
      </c>
    </row>
    <row r="19" spans="1:7" ht="15.75" customHeight="1">
      <c r="A19" s="10">
        <v>16</v>
      </c>
      <c r="B19" s="74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3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4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3">
        <v>46222</v>
      </c>
      <c r="C22" s="8">
        <f>IFERROR(Britador!O514,"")</f>
        <v>2098690</v>
      </c>
      <c r="D22" s="8">
        <f>IFERROR('Linha 1'!O514,"")</f>
        <v>751110</v>
      </c>
      <c r="E22" s="8">
        <f>IFERROR('Linha 2'!O514,"")</f>
        <v>316430</v>
      </c>
      <c r="F22" s="8">
        <f>IFERROR('Linha 3'!O514,"")</f>
        <v>1031150</v>
      </c>
      <c r="G22" s="9">
        <f t="shared" si="0"/>
        <v>2098690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7" t="s">
        <v>9</v>
      </c>
      <c r="B35" s="107"/>
      <c r="C35" s="13">
        <f>IFERROR(SUM(C4:C34),"")</f>
        <v>58684012</v>
      </c>
      <c r="D35" s="13">
        <f>IFERROR(SUM(D4:D34),"")</f>
        <v>21837300</v>
      </c>
      <c r="E35" s="13">
        <f>IFERROR(SUM(E4:E34),"")</f>
        <v>13133660</v>
      </c>
      <c r="F35" s="13">
        <f>IFERROR(SUM(F4:F34),"")</f>
        <v>26457640</v>
      </c>
      <c r="G35" s="13">
        <f>IFERROR(SUM(G4:G34),"")</f>
        <v>61428600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42" zoomScale="85" zoomScaleNormal="85" workbookViewId="0">
      <selection activeCell="M56" sqref="M56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8" t="s">
        <v>10</v>
      </c>
      <c r="B1" s="108"/>
      <c r="C1" s="108"/>
      <c r="D1" s="108"/>
      <c r="E1" s="108"/>
      <c r="F1" s="108"/>
      <c r="G1" s="108"/>
      <c r="H1" s="109"/>
      <c r="I1" s="110" t="s">
        <v>11</v>
      </c>
      <c r="J1" s="110"/>
      <c r="K1" s="110"/>
      <c r="L1" s="110"/>
      <c r="M1" s="110"/>
    </row>
    <row r="2" spans="1:13" ht="4.5" customHeight="1">
      <c r="H2" s="109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9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9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9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9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9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9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9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9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9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9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9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09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09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09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9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9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09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09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09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09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09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09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09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09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09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09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09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09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09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09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09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09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09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09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09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09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09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09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09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09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09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09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09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09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09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09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09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09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09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09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09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09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09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09"/>
      <c r="I56" s="16"/>
      <c r="J56" s="16"/>
      <c r="K56" s="16" t="s">
        <v>202</v>
      </c>
      <c r="L56" s="16"/>
      <c r="M56" s="16"/>
    </row>
    <row r="57" spans="1:13" ht="15" customHeight="1">
      <c r="H57" s="109"/>
      <c r="I57" s="17"/>
      <c r="J57" s="17"/>
      <c r="K57" s="17" t="s">
        <v>50</v>
      </c>
      <c r="L57" s="17"/>
      <c r="M57" s="17"/>
    </row>
    <row r="58" spans="1:13" ht="15" customHeight="1">
      <c r="H58" s="109"/>
      <c r="I58" s="16"/>
      <c r="J58" s="16"/>
      <c r="K58" s="16" t="s">
        <v>203</v>
      </c>
      <c r="L58" s="16"/>
      <c r="M58" s="16"/>
    </row>
    <row r="59" spans="1:13" ht="15" customHeight="1">
      <c r="H59" s="109"/>
      <c r="I59" s="17"/>
      <c r="J59" s="17"/>
      <c r="K59" s="17" t="s">
        <v>204</v>
      </c>
      <c r="L59" s="17"/>
      <c r="M59" s="17"/>
    </row>
    <row r="60" spans="1:13" ht="15" customHeight="1">
      <c r="H60" s="109"/>
      <c r="I60" s="16"/>
      <c r="J60" s="16"/>
      <c r="K60" s="87" t="s">
        <v>105</v>
      </c>
      <c r="L60" s="16"/>
      <c r="M60" s="16"/>
    </row>
    <row r="61" spans="1:13" ht="15" customHeight="1">
      <c r="H61" s="109"/>
      <c r="I61" s="17"/>
      <c r="J61" s="17"/>
      <c r="K61" s="17" t="s">
        <v>205</v>
      </c>
      <c r="L61" s="17"/>
      <c r="M61" s="17"/>
    </row>
    <row r="62" spans="1:13" ht="15" customHeight="1">
      <c r="H62" s="109"/>
      <c r="I62" s="16"/>
      <c r="J62" s="16"/>
      <c r="K62" s="16" t="s">
        <v>206</v>
      </c>
      <c r="L62" s="16"/>
      <c r="M62" s="16"/>
    </row>
    <row r="63" spans="1:13" ht="15" customHeight="1">
      <c r="H63" s="109"/>
      <c r="I63" s="17"/>
      <c r="J63" s="17"/>
      <c r="K63" s="17" t="s">
        <v>207</v>
      </c>
      <c r="L63" s="17"/>
      <c r="M63" s="17"/>
    </row>
    <row r="64" spans="1:13" ht="15" customHeight="1">
      <c r="H64" s="109"/>
      <c r="I64" s="16"/>
      <c r="J64" s="16"/>
      <c r="K64" s="16" t="s">
        <v>208</v>
      </c>
      <c r="L64" s="16"/>
      <c r="M64" s="16"/>
    </row>
    <row r="65" spans="8:13" ht="15" customHeight="1">
      <c r="H65" s="109"/>
      <c r="I65" s="17"/>
      <c r="J65" s="17"/>
      <c r="K65" s="17" t="s">
        <v>209</v>
      </c>
      <c r="L65" s="17"/>
      <c r="M65" s="17"/>
    </row>
    <row r="66" spans="8:13" ht="15" customHeight="1">
      <c r="H66" s="109"/>
      <c r="I66" s="16"/>
      <c r="J66" s="16"/>
      <c r="K66" s="16" t="s">
        <v>210</v>
      </c>
      <c r="L66" s="16"/>
      <c r="M66" s="16"/>
    </row>
    <row r="67" spans="8:13" ht="15" customHeight="1">
      <c r="H67" s="109"/>
      <c r="I67" s="17"/>
      <c r="J67" s="17"/>
      <c r="K67" s="17" t="s">
        <v>211</v>
      </c>
      <c r="L67" s="17"/>
      <c r="M67" s="17"/>
    </row>
    <row r="68" spans="8:13" ht="15" customHeight="1">
      <c r="H68" s="109"/>
      <c r="I68" s="16"/>
      <c r="J68" s="16"/>
      <c r="K68" s="16" t="s">
        <v>212</v>
      </c>
      <c r="L68" s="16"/>
      <c r="M68" s="16"/>
    </row>
    <row r="69" spans="8:13" ht="15" customHeight="1">
      <c r="H69" s="109"/>
      <c r="I69" s="17"/>
      <c r="J69" s="17"/>
      <c r="K69" s="17" t="s">
        <v>213</v>
      </c>
      <c r="L69" s="17"/>
      <c r="M69" s="17"/>
    </row>
    <row r="70" spans="8:13" ht="15" customHeight="1">
      <c r="H70" s="109"/>
      <c r="I70" s="16"/>
      <c r="J70" s="16"/>
      <c r="K70" s="16" t="s">
        <v>214</v>
      </c>
      <c r="L70" s="16"/>
      <c r="M70" s="16"/>
    </row>
    <row r="71" spans="8:13" ht="15" customHeight="1">
      <c r="H71" s="109"/>
      <c r="I71" s="17"/>
      <c r="J71" s="17"/>
      <c r="K71" s="17" t="s">
        <v>215</v>
      </c>
      <c r="L71" s="17"/>
      <c r="M71" s="17"/>
    </row>
    <row r="72" spans="8:13" ht="15" customHeight="1">
      <c r="H72" s="109"/>
      <c r="I72" s="16"/>
      <c r="J72" s="16"/>
      <c r="K72" s="16"/>
      <c r="L72" s="16"/>
      <c r="M72" s="16"/>
    </row>
    <row r="73" spans="8:13" ht="15" customHeight="1">
      <c r="H73" s="109"/>
      <c r="I73" s="17"/>
      <c r="J73" s="17"/>
      <c r="K73" s="17"/>
      <c r="L73" s="17"/>
      <c r="M73" s="17"/>
    </row>
    <row r="74" spans="8:13" ht="15" customHeight="1">
      <c r="H74" s="109"/>
      <c r="I74" s="16"/>
      <c r="J74" s="16"/>
      <c r="K74" s="16"/>
      <c r="L74" s="16"/>
      <c r="M74" s="16"/>
    </row>
    <row r="75" spans="8:13" ht="15" customHeight="1">
      <c r="H75" s="109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472" activePane="bottomLeft" state="frozen"/>
      <selection pane="bottomLeft" activeCell="F505" sqref="F505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29.85546875" style="20" customWidth="1"/>
    <col min="15" max="15" width="14" customWidth="1"/>
  </cols>
  <sheetData>
    <row r="1" spans="1:15" ht="37.5" customHeight="1">
      <c r="A1" s="68" t="s">
        <v>7</v>
      </c>
      <c r="B1" s="23" t="s">
        <v>216</v>
      </c>
      <c r="C1" s="23" t="s">
        <v>12</v>
      </c>
      <c r="D1" s="22" t="s">
        <v>13</v>
      </c>
      <c r="E1" s="22" t="s">
        <v>217</v>
      </c>
      <c r="F1" s="23" t="s">
        <v>218</v>
      </c>
      <c r="G1" s="23" t="s">
        <v>219</v>
      </c>
      <c r="H1" s="23" t="s">
        <v>14</v>
      </c>
      <c r="I1" s="23" t="s">
        <v>15</v>
      </c>
      <c r="J1" s="23" t="s">
        <v>220</v>
      </c>
      <c r="K1" s="23" t="s">
        <v>221</v>
      </c>
      <c r="L1" s="23" t="s">
        <v>222</v>
      </c>
      <c r="M1" s="24" t="s">
        <v>223</v>
      </c>
      <c r="N1" s="23" t="s">
        <v>224</v>
      </c>
      <c r="O1" s="23" t="s">
        <v>225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226</v>
      </c>
      <c r="E2" s="59" t="s">
        <v>227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228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227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142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227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227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227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227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227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227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227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227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227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227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9" t="s">
        <v>229</v>
      </c>
      <c r="B14" s="100"/>
      <c r="C14" s="100"/>
      <c r="D14" s="100"/>
      <c r="E14" s="101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230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227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227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227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227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227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227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227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227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227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227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227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227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9" t="s">
        <v>231</v>
      </c>
      <c r="B27" s="100"/>
      <c r="C27" s="100"/>
      <c r="D27" s="100"/>
      <c r="E27" s="101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230</v>
      </c>
      <c r="O27" s="39">
        <v>1183060</v>
      </c>
    </row>
    <row r="28" spans="1:15" ht="18" customHeight="1">
      <c r="A28" s="102" t="s">
        <v>232</v>
      </c>
      <c r="B28" s="103"/>
      <c r="C28" s="103"/>
      <c r="D28" s="103"/>
      <c r="E28" s="104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233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227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227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183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234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227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227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227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227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227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227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227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227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227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227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229</v>
      </c>
      <c r="B41" s="100"/>
      <c r="C41" s="100"/>
      <c r="D41" s="100"/>
      <c r="E41" s="101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230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227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227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227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227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227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227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227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227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227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227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227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227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231</v>
      </c>
      <c r="B54" s="100"/>
      <c r="C54" s="100"/>
      <c r="D54" s="100"/>
      <c r="E54" s="101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230</v>
      </c>
      <c r="O54" s="39">
        <v>959290</v>
      </c>
    </row>
    <row r="55" spans="1:15" ht="18" customHeight="1">
      <c r="A55" s="102" t="s">
        <v>232</v>
      </c>
      <c r="B55" s="103"/>
      <c r="C55" s="103"/>
      <c r="D55" s="103"/>
      <c r="E55" s="104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233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227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227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227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227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227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227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227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227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227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227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227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227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229</v>
      </c>
      <c r="B68" s="100"/>
      <c r="C68" s="100"/>
      <c r="D68" s="100"/>
      <c r="E68" s="101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230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227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180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227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131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235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227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227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227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227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227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227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227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227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227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227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231</v>
      </c>
      <c r="B81" s="100"/>
      <c r="C81" s="100"/>
      <c r="D81" s="100"/>
      <c r="E81" s="101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230</v>
      </c>
      <c r="O81" s="39">
        <v>878050</v>
      </c>
    </row>
    <row r="82" spans="1:15" ht="18" customHeight="1">
      <c r="A82" s="102" t="s">
        <v>232</v>
      </c>
      <c r="B82" s="103"/>
      <c r="C82" s="103"/>
      <c r="D82" s="103"/>
      <c r="E82" s="104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233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227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166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236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227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227</v>
      </c>
      <c r="F85" s="27">
        <v>0</v>
      </c>
      <c r="G85" s="28">
        <f t="shared" si="18"/>
        <v>0</v>
      </c>
      <c r="H85" s="33" t="s">
        <v>20</v>
      </c>
      <c r="I85" s="33" t="s">
        <v>143</v>
      </c>
      <c r="J85" s="33" t="s">
        <v>128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227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192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227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227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227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227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227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227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227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227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229</v>
      </c>
      <c r="B95" s="100"/>
      <c r="C95" s="100"/>
      <c r="D95" s="100"/>
      <c r="E95" s="101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230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237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231</v>
      </c>
      <c r="B108" s="100"/>
      <c r="C108" s="100"/>
      <c r="D108" s="100"/>
      <c r="E108" s="101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230</v>
      </c>
      <c r="O108" s="39">
        <v>1700000</v>
      </c>
    </row>
    <row r="109" spans="1:15" ht="18" customHeight="1">
      <c r="A109" s="102" t="s">
        <v>232</v>
      </c>
      <c r="B109" s="103"/>
      <c r="C109" s="103"/>
      <c r="D109" s="103"/>
      <c r="E109" s="104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233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227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200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227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227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227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227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227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227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227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227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227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227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227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229</v>
      </c>
      <c r="B122" s="100"/>
      <c r="C122" s="100"/>
      <c r="D122" s="100"/>
      <c r="E122" s="101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230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186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227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188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231</v>
      </c>
      <c r="B135" s="100"/>
      <c r="C135" s="100"/>
      <c r="D135" s="100"/>
      <c r="E135" s="101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230</v>
      </c>
      <c r="O135" s="39">
        <v>862330</v>
      </c>
    </row>
    <row r="136" spans="1:15" ht="18" customHeight="1">
      <c r="A136" s="102" t="s">
        <v>232</v>
      </c>
      <c r="B136" s="103"/>
      <c r="C136" s="103"/>
      <c r="D136" s="103"/>
      <c r="E136" s="104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233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227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186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227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227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227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227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227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227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227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227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227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227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227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229</v>
      </c>
      <c r="B149" s="100"/>
      <c r="C149" s="100"/>
      <c r="D149" s="100"/>
      <c r="E149" s="101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230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227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163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227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142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227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227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227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227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227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227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227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227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227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227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231</v>
      </c>
      <c r="B162" s="100"/>
      <c r="C162" s="100"/>
      <c r="D162" s="100"/>
      <c r="E162" s="101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230</v>
      </c>
      <c r="O162" s="44">
        <v>1546080</v>
      </c>
    </row>
    <row r="163" spans="1:15" ht="18" customHeight="1">
      <c r="A163" s="102" t="s">
        <v>232</v>
      </c>
      <c r="B163" s="103"/>
      <c r="C163" s="103"/>
      <c r="D163" s="103"/>
      <c r="E163" s="104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233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227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127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227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227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227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227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227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227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227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227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227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227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227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229</v>
      </c>
      <c r="B176" s="100"/>
      <c r="C176" s="100"/>
      <c r="D176" s="100"/>
      <c r="E176" s="101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230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227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227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227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227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227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227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227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227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227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227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227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227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231</v>
      </c>
      <c r="B189" s="100"/>
      <c r="C189" s="100"/>
      <c r="D189" s="100"/>
      <c r="E189" s="101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230</v>
      </c>
      <c r="O189" s="39">
        <v>2355810</v>
      </c>
    </row>
    <row r="190" spans="1:15" ht="18" customHeight="1">
      <c r="A190" s="102" t="s">
        <v>232</v>
      </c>
      <c r="B190" s="103"/>
      <c r="C190" s="103"/>
      <c r="D190" s="103"/>
      <c r="E190" s="104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233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227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227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227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227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227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227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227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227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227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227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227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227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229</v>
      </c>
      <c r="B203" s="100"/>
      <c r="C203" s="100"/>
      <c r="D203" s="100"/>
      <c r="E203" s="101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230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227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227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153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227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227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227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227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227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227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227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227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227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227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231</v>
      </c>
      <c r="B216" s="100"/>
      <c r="C216" s="100"/>
      <c r="D216" s="100"/>
      <c r="E216" s="101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230</v>
      </c>
      <c r="O216" s="45">
        <v>2013260</v>
      </c>
    </row>
    <row r="217" spans="1:15" ht="18" customHeight="1">
      <c r="A217" s="102" t="s">
        <v>232</v>
      </c>
      <c r="B217" s="103"/>
      <c r="C217" s="103"/>
      <c r="D217" s="103"/>
      <c r="E217" s="104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233</v>
      </c>
      <c r="O217" s="48">
        <f>IFERROR(O203+O216,"")</f>
        <v>3908370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227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238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227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227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227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227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227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227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227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227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227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227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227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9" t="s">
        <v>229</v>
      </c>
      <c r="B230" s="100"/>
      <c r="C230" s="100"/>
      <c r="D230" s="100"/>
      <c r="E230" s="101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230</v>
      </c>
      <c r="O230" s="39">
        <v>1436170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227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186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227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227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227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227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227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227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227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227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227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227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227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231</v>
      </c>
      <c r="B243" s="100"/>
      <c r="C243" s="100"/>
      <c r="D243" s="100"/>
      <c r="E243" s="101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230</v>
      </c>
      <c r="O243" s="39">
        <v>1545480</v>
      </c>
    </row>
    <row r="244" spans="1:15" ht="18" customHeight="1">
      <c r="A244" s="102" t="s">
        <v>232</v>
      </c>
      <c r="B244" s="103"/>
      <c r="C244" s="103"/>
      <c r="D244" s="103"/>
      <c r="E244" s="104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233</v>
      </c>
      <c r="O244" s="48">
        <f>IFERROR(O230+O243,"")</f>
        <v>2981650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227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163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239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227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227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227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227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227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227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227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227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227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227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227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229</v>
      </c>
      <c r="B257" s="100"/>
      <c r="C257" s="100"/>
      <c r="D257" s="100"/>
      <c r="E257" s="101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230</v>
      </c>
      <c r="O257" s="39">
        <v>2070060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227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227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227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227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227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227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227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227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227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227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227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227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231</v>
      </c>
      <c r="B270" s="100"/>
      <c r="C270" s="100"/>
      <c r="D270" s="100"/>
      <c r="E270" s="101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230</v>
      </c>
      <c r="O270" s="39">
        <v>1182690</v>
      </c>
    </row>
    <row r="271" spans="1:15" ht="18" customHeight="1">
      <c r="A271" s="102" t="s">
        <v>232</v>
      </c>
      <c r="B271" s="103"/>
      <c r="C271" s="103"/>
      <c r="D271" s="103"/>
      <c r="E271" s="104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233</v>
      </c>
      <c r="O271" s="48">
        <f>IFERROR(O257+O270,"")</f>
        <v>3252750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227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227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227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227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227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227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227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227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227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227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227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227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229</v>
      </c>
      <c r="B284" s="100"/>
      <c r="C284" s="100"/>
      <c r="D284" s="100"/>
      <c r="E284" s="101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230</v>
      </c>
      <c r="O284" s="39">
        <v>2448000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227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240</v>
      </c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227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227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227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227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241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227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241</v>
      </c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227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241</v>
      </c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227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241</v>
      </c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227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241</v>
      </c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227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241</v>
      </c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227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241</v>
      </c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227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241</v>
      </c>
      <c r="O296" s="47"/>
    </row>
    <row r="297" spans="1:15" ht="15.75" customHeight="1">
      <c r="A297" s="99" t="s">
        <v>231</v>
      </c>
      <c r="B297" s="100"/>
      <c r="C297" s="100"/>
      <c r="D297" s="100"/>
      <c r="E297" s="101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230</v>
      </c>
      <c r="O297" s="39">
        <v>1843460</v>
      </c>
    </row>
    <row r="298" spans="1:15" ht="18" customHeight="1">
      <c r="A298" s="102" t="s">
        <v>232</v>
      </c>
      <c r="B298" s="103"/>
      <c r="C298" s="103"/>
      <c r="D298" s="103"/>
      <c r="E298" s="104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233</v>
      </c>
      <c r="O298" s="48">
        <f>IFERROR(O284+O297,"")</f>
        <v>4291460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227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127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242</v>
      </c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227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227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131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243</v>
      </c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227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227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227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227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227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227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227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227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227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229</v>
      </c>
      <c r="B311" s="100"/>
      <c r="C311" s="100"/>
      <c r="D311" s="100"/>
      <c r="E311" s="101">
        <f>SUM(E299:E310)</f>
        <v>0</v>
      </c>
      <c r="F311" s="36">
        <f>SUM(F299:F310)</f>
        <v>217</v>
      </c>
      <c r="G311" s="91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230</v>
      </c>
      <c r="O311" s="39">
        <v>955688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227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244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244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227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244</v>
      </c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244</v>
      </c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244</v>
      </c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227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244</v>
      </c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231</v>
      </c>
      <c r="B324" s="100"/>
      <c r="C324" s="100"/>
      <c r="D324" s="100"/>
      <c r="E324" s="101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230</v>
      </c>
      <c r="O324" s="39">
        <v>1940000</v>
      </c>
    </row>
    <row r="325" spans="1:15" ht="18" customHeight="1">
      <c r="A325" s="102" t="s">
        <v>232</v>
      </c>
      <c r="B325" s="103"/>
      <c r="C325" s="103"/>
      <c r="D325" s="103"/>
      <c r="E325" s="104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233</v>
      </c>
      <c r="O325" s="48">
        <f>IFERROR(O311+O324,"")</f>
        <v>2895688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227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131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245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227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227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227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227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227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227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227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227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227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227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227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229</v>
      </c>
      <c r="B338" s="100"/>
      <c r="C338" s="100"/>
      <c r="D338" s="100"/>
      <c r="E338" s="101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230</v>
      </c>
      <c r="O338" s="39">
        <v>1525000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227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227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227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176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227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176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227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227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227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227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227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227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227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227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231</v>
      </c>
      <c r="B351" s="100"/>
      <c r="C351" s="100"/>
      <c r="D351" s="100"/>
      <c r="E351" s="101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230</v>
      </c>
      <c r="O351" s="39">
        <v>701874</v>
      </c>
    </row>
    <row r="352" spans="1:15" ht="18" customHeight="1">
      <c r="A352" s="102" t="s">
        <v>232</v>
      </c>
      <c r="B352" s="103"/>
      <c r="C352" s="103"/>
      <c r="D352" s="103"/>
      <c r="E352" s="104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233</v>
      </c>
      <c r="O352" s="48">
        <f>IFERROR(O338+O351,"")</f>
        <v>2226874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227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180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246</v>
      </c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227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186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227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227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227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227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227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227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227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227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227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227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229</v>
      </c>
      <c r="B365" s="100"/>
      <c r="C365" s="100"/>
      <c r="D365" s="100"/>
      <c r="E365" s="101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230</v>
      </c>
      <c r="O365" s="39">
        <v>2064210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227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186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227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186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227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227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227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227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227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227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227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227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227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227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9" t="s">
        <v>231</v>
      </c>
      <c r="B378" s="100"/>
      <c r="C378" s="100"/>
      <c r="D378" s="100"/>
      <c r="E378" s="101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230</v>
      </c>
      <c r="O378" s="39">
        <v>1088710</v>
      </c>
    </row>
    <row r="379" spans="1:15" ht="18" customHeight="1">
      <c r="A379" s="102" t="s">
        <v>232</v>
      </c>
      <c r="B379" s="103"/>
      <c r="C379" s="103"/>
      <c r="D379" s="103"/>
      <c r="E379" s="104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233</v>
      </c>
      <c r="O379" s="48">
        <f>IFERROR(O365+O378,"")</f>
        <v>3152920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227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209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227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247</v>
      </c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227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248</v>
      </c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227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227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199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227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227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227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227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227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227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227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229</v>
      </c>
      <c r="B392" s="100"/>
      <c r="C392" s="100"/>
      <c r="D392" s="100"/>
      <c r="E392" s="101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230</v>
      </c>
      <c r="O392" s="39">
        <v>1576070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227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163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227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227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131</v>
      </c>
      <c r="K395" s="29">
        <v>0.21180555555555555</v>
      </c>
      <c r="L395" s="29" t="s">
        <v>249</v>
      </c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227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227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227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227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227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227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227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227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227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231</v>
      </c>
      <c r="B405" s="100"/>
      <c r="C405" s="100"/>
      <c r="D405" s="100"/>
      <c r="E405" s="101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230</v>
      </c>
      <c r="O405" s="39">
        <v>1202270</v>
      </c>
    </row>
    <row r="406" spans="1:15" ht="18" customHeight="1">
      <c r="A406" s="102" t="s">
        <v>232</v>
      </c>
      <c r="B406" s="103"/>
      <c r="C406" s="103"/>
      <c r="D406" s="103"/>
      <c r="E406" s="104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233</v>
      </c>
      <c r="O406" s="48">
        <f>IFERROR(O392+O405,"")</f>
        <v>2778340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30</v>
      </c>
      <c r="E407" s="62" t="s">
        <v>227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250</v>
      </c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227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163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227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131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251</v>
      </c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227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227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227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227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227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227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252</v>
      </c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227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252</v>
      </c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227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227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229</v>
      </c>
      <c r="B419" s="100"/>
      <c r="C419" s="100"/>
      <c r="D419" s="100"/>
      <c r="E419" s="101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230</v>
      </c>
      <c r="O419" s="39">
        <v>1600690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227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227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227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227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227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227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227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227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227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227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227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227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9" t="s">
        <v>231</v>
      </c>
      <c r="B432" s="100"/>
      <c r="C432" s="100"/>
      <c r="D432" s="100"/>
      <c r="E432" s="101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230</v>
      </c>
      <c r="O432" s="39">
        <v>1801910</v>
      </c>
    </row>
    <row r="433" spans="1:15" ht="18" customHeight="1">
      <c r="A433" s="102" t="s">
        <v>232</v>
      </c>
      <c r="B433" s="103"/>
      <c r="C433" s="103"/>
      <c r="D433" s="103"/>
      <c r="E433" s="104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233</v>
      </c>
      <c r="O433" s="48">
        <f>IFERROR(O419+O432,"")</f>
        <v>3402600</v>
      </c>
    </row>
    <row r="434" spans="1:15" ht="15" customHeight="1">
      <c r="A434" s="69">
        <v>46220</v>
      </c>
      <c r="B434" s="25">
        <v>0.33333333333333298</v>
      </c>
      <c r="C434" s="26" t="s">
        <v>21</v>
      </c>
      <c r="D434" s="59" t="s">
        <v>30</v>
      </c>
      <c r="E434" s="59" t="s">
        <v>227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213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253</v>
      </c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227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227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227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227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227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227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227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227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227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227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227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229</v>
      </c>
      <c r="B446" s="100"/>
      <c r="C446" s="100"/>
      <c r="D446" s="100"/>
      <c r="E446" s="101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230</v>
      </c>
      <c r="O446" s="39">
        <v>1241480</v>
      </c>
    </row>
    <row r="447" spans="1:15" ht="15" customHeight="1">
      <c r="A447" s="70">
        <v>46220</v>
      </c>
      <c r="B447" s="32">
        <v>0.83333333333333304</v>
      </c>
      <c r="C447" s="33" t="s">
        <v>45</v>
      </c>
      <c r="D447" s="62" t="s">
        <v>30</v>
      </c>
      <c r="E447" s="62" t="s">
        <v>254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214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254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254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254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254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254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254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254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254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254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254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254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231</v>
      </c>
      <c r="B459" s="100"/>
      <c r="C459" s="100"/>
      <c r="D459" s="100"/>
      <c r="E459" s="101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230</v>
      </c>
      <c r="O459" s="39">
        <v>2675000</v>
      </c>
    </row>
    <row r="460" spans="1:15" ht="18" customHeight="1">
      <c r="A460" s="102" t="s">
        <v>232</v>
      </c>
      <c r="B460" s="103"/>
      <c r="C460" s="103"/>
      <c r="D460" s="103"/>
      <c r="E460" s="104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233</v>
      </c>
      <c r="O460" s="48">
        <f>IFERROR(O446+O459,"")</f>
        <v>3916480</v>
      </c>
    </row>
    <row r="461" spans="1:15" ht="15" customHeight="1">
      <c r="A461" s="70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227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227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229</v>
      </c>
      <c r="B473" s="100"/>
      <c r="C473" s="100"/>
      <c r="D473" s="100"/>
      <c r="E473" s="101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230</v>
      </c>
      <c r="O473" s="39">
        <v>2034810</v>
      </c>
    </row>
    <row r="474" spans="1:15" ht="15" customHeight="1">
      <c r="A474" s="69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227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231</v>
      </c>
      <c r="B486" s="100"/>
      <c r="C486" s="100"/>
      <c r="D486" s="100"/>
      <c r="E486" s="101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230</v>
      </c>
      <c r="O486" s="39">
        <v>2310070</v>
      </c>
    </row>
    <row r="487" spans="1:15" ht="18" customHeight="1">
      <c r="A487" s="102" t="s">
        <v>232</v>
      </c>
      <c r="B487" s="103"/>
      <c r="C487" s="103"/>
      <c r="D487" s="103"/>
      <c r="E487" s="104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233</v>
      </c>
      <c r="O487" s="48">
        <f>IFERROR(O473+O486,"")</f>
        <v>4344880</v>
      </c>
    </row>
    <row r="488" spans="1:15" ht="15" customHeight="1">
      <c r="A488" s="69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163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186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254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254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227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227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227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227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227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229</v>
      </c>
      <c r="B500" s="100"/>
      <c r="C500" s="100"/>
      <c r="D500" s="100"/>
      <c r="E500" s="101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230</v>
      </c>
      <c r="O500" s="39">
        <v>2098690</v>
      </c>
    </row>
    <row r="501" spans="1:15" ht="15" customHeight="1">
      <c r="A501" s="70">
        <v>46222</v>
      </c>
      <c r="B501" s="32">
        <v>0.83333333333333304</v>
      </c>
      <c r="C501" s="33" t="s">
        <v>45</v>
      </c>
      <c r="D501" s="62" t="s">
        <v>30</v>
      </c>
      <c r="E501" s="62" t="s">
        <v>227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227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227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227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227</v>
      </c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227</v>
      </c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227</v>
      </c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227</v>
      </c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227</v>
      </c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227</v>
      </c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227</v>
      </c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227</v>
      </c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9" t="s">
        <v>231</v>
      </c>
      <c r="B513" s="100"/>
      <c r="C513" s="100"/>
      <c r="D513" s="100"/>
      <c r="E513" s="101">
        <f>SUM(E501:E512)</f>
        <v>0</v>
      </c>
      <c r="F513" s="36">
        <f>SUM(F501:F512)</f>
        <v>73</v>
      </c>
      <c r="G513" s="36">
        <f>SUM(G501:G512)</f>
        <v>365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230</v>
      </c>
      <c r="O513" s="39"/>
    </row>
    <row r="514" spans="1:15" ht="18" customHeight="1">
      <c r="A514" s="102" t="s">
        <v>232</v>
      </c>
      <c r="B514" s="103"/>
      <c r="C514" s="103"/>
      <c r="D514" s="103"/>
      <c r="E514" s="104">
        <f>E500+E513</f>
        <v>0</v>
      </c>
      <c r="F514" s="40">
        <f>F500+F513</f>
        <v>304</v>
      </c>
      <c r="G514" s="40">
        <f>G500+G513</f>
        <v>1447.2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233</v>
      </c>
      <c r="O514" s="48">
        <f>IFERROR(O500+O513,"")</f>
        <v>2098690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229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230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9" t="s">
        <v>231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230</v>
      </c>
      <c r="O540" s="39"/>
    </row>
    <row r="541" spans="1:15" ht="18" customHeight="1">
      <c r="A541" s="102" t="s">
        <v>232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233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229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230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231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230</v>
      </c>
      <c r="O567" s="39"/>
    </row>
    <row r="568" spans="1:15" ht="18" customHeight="1">
      <c r="A568" s="102" t="s">
        <v>232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233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229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230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231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230</v>
      </c>
      <c r="O594" s="39"/>
    </row>
    <row r="595" spans="1:15" ht="18" customHeight="1">
      <c r="A595" s="102" t="s">
        <v>232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233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229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230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231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230</v>
      </c>
      <c r="O621" s="39"/>
    </row>
    <row r="622" spans="1:15" ht="18" customHeight="1">
      <c r="A622" s="102" t="s">
        <v>232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233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9" t="s">
        <v>229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230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231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230</v>
      </c>
      <c r="O648" s="39"/>
    </row>
    <row r="649" spans="1:15" ht="18" customHeight="1">
      <c r="A649" s="102" t="s">
        <v>232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233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229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230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231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230</v>
      </c>
      <c r="O675" s="39"/>
    </row>
    <row r="676" spans="1:15" ht="18" customHeight="1">
      <c r="A676" s="102" t="s">
        <v>232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233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229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230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231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230</v>
      </c>
      <c r="O702" s="39"/>
    </row>
    <row r="703" spans="1:15" ht="18" customHeight="1">
      <c r="A703" s="102" t="s">
        <v>232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233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229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230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231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230</v>
      </c>
      <c r="O729" s="39"/>
    </row>
    <row r="730" spans="1:15" ht="18" customHeight="1">
      <c r="A730" s="102" t="s">
        <v>232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233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229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230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231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2" t="s">
        <v>232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233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229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230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231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2" t="s">
        <v>232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233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229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230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231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59" t="s">
        <v>227</v>
      </c>
      <c r="B811" s="92"/>
      <c r="C811" s="92"/>
      <c r="D811" s="92"/>
      <c r="E811" s="9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233</v>
      </c>
      <c r="O811" s="43">
        <f>IFERROR(O797+O810,"")</f>
        <v>0</v>
      </c>
    </row>
    <row r="812" spans="1:15" ht="15"/>
  </sheetData>
  <mergeCells count="89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482" activePane="bottomLeft" state="frozen"/>
      <selection pane="bottomLeft" activeCell="F505" sqref="F505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8" t="s">
        <v>7</v>
      </c>
      <c r="B1" s="23" t="s">
        <v>216</v>
      </c>
      <c r="C1" s="23" t="s">
        <v>12</v>
      </c>
      <c r="D1" s="22" t="s">
        <v>13</v>
      </c>
      <c r="E1" s="22" t="s">
        <v>217</v>
      </c>
      <c r="F1" s="23" t="s">
        <v>218</v>
      </c>
      <c r="G1" s="23" t="s">
        <v>219</v>
      </c>
      <c r="H1" s="23" t="s">
        <v>14</v>
      </c>
      <c r="I1" s="23" t="s">
        <v>15</v>
      </c>
      <c r="J1" s="23" t="s">
        <v>220</v>
      </c>
      <c r="K1" s="23" t="s">
        <v>221</v>
      </c>
      <c r="L1" s="23" t="s">
        <v>222</v>
      </c>
      <c r="M1" s="24" t="s">
        <v>223</v>
      </c>
      <c r="N1" s="23" t="s">
        <v>224</v>
      </c>
      <c r="O1" s="23" t="s">
        <v>225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254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254</v>
      </c>
      <c r="F3" s="27">
        <v>10</v>
      </c>
      <c r="G3" s="34">
        <f t="shared" si="0"/>
        <v>42</v>
      </c>
      <c r="H3" s="33" t="s">
        <v>19</v>
      </c>
      <c r="I3" s="33" t="s">
        <v>156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254</v>
      </c>
      <c r="F4" s="27">
        <v>8</v>
      </c>
      <c r="G4" s="28">
        <f t="shared" si="0"/>
        <v>33.6</v>
      </c>
      <c r="H4" s="26" t="s">
        <v>19</v>
      </c>
      <c r="I4" s="26" t="s">
        <v>156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254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254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254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254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254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254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254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254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254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9" t="s">
        <v>229</v>
      </c>
      <c r="B14" s="100"/>
      <c r="C14" s="100"/>
      <c r="D14" s="100"/>
      <c r="E14" s="101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230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254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156</v>
      </c>
      <c r="J15" s="33" t="s">
        <v>163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254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254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254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254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254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254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254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254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254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254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254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9" t="s">
        <v>231</v>
      </c>
      <c r="B27" s="100"/>
      <c r="C27" s="100"/>
      <c r="D27" s="100"/>
      <c r="E27" s="101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230</v>
      </c>
      <c r="O27" s="78">
        <v>393200</v>
      </c>
    </row>
    <row r="28" spans="1:15" ht="18" customHeight="1">
      <c r="A28" s="102" t="s">
        <v>232</v>
      </c>
      <c r="B28" s="103"/>
      <c r="C28" s="103"/>
      <c r="D28" s="103"/>
      <c r="E28" s="104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233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254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255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254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192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254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164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254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254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254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254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254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254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254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254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254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9" t="s">
        <v>229</v>
      </c>
      <c r="B41" s="100"/>
      <c r="C41" s="100"/>
      <c r="D41" s="100"/>
      <c r="E41" s="101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230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254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254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254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256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254</v>
      </c>
      <c r="F45" s="27">
        <v>0</v>
      </c>
      <c r="G45" s="28">
        <f t="shared" si="9"/>
        <v>0</v>
      </c>
      <c r="H45" s="33" t="s">
        <v>20</v>
      </c>
      <c r="I45" s="33" t="s">
        <v>156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254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254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254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254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254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254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254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254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9" t="s">
        <v>231</v>
      </c>
      <c r="B54" s="100"/>
      <c r="C54" s="100"/>
      <c r="D54" s="100"/>
      <c r="E54" s="101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230</v>
      </c>
      <c r="O54" s="85">
        <v>276360</v>
      </c>
    </row>
    <row r="55" spans="1:15" ht="18" customHeight="1">
      <c r="A55" s="102" t="s">
        <v>232</v>
      </c>
      <c r="B55" s="103"/>
      <c r="C55" s="103"/>
      <c r="D55" s="103"/>
      <c r="E55" s="104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233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257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258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9" t="s">
        <v>229</v>
      </c>
      <c r="B68" s="100"/>
      <c r="C68" s="100"/>
      <c r="D68" s="100"/>
      <c r="E68" s="101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230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254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254</v>
      </c>
      <c r="F70" s="27">
        <v>18</v>
      </c>
      <c r="G70" s="28">
        <f t="shared" si="15"/>
        <v>75.600000000000009</v>
      </c>
      <c r="H70" s="26" t="s">
        <v>19</v>
      </c>
      <c r="I70" s="26" t="s">
        <v>156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254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254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254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254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254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254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254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254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254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254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9" t="s">
        <v>231</v>
      </c>
      <c r="B81" s="100"/>
      <c r="C81" s="100"/>
      <c r="D81" s="100"/>
      <c r="E81" s="101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230</v>
      </c>
      <c r="O81" s="54">
        <v>787860</v>
      </c>
    </row>
    <row r="82" spans="1:15" ht="18" customHeight="1">
      <c r="A82" s="102" t="s">
        <v>232</v>
      </c>
      <c r="B82" s="103"/>
      <c r="C82" s="103"/>
      <c r="D82" s="103"/>
      <c r="E82" s="104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233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254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259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254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184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254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254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254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227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227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227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227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227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227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227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9" t="s">
        <v>229</v>
      </c>
      <c r="B95" s="100"/>
      <c r="C95" s="100"/>
      <c r="D95" s="100"/>
      <c r="E95" s="101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230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254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144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260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254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261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254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153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262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254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254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254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254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254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254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254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254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254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9" t="s">
        <v>231</v>
      </c>
      <c r="B108" s="100"/>
      <c r="C108" s="100"/>
      <c r="D108" s="100"/>
      <c r="E108" s="101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230</v>
      </c>
      <c r="O108" s="54">
        <v>1087080</v>
      </c>
    </row>
    <row r="109" spans="1:15" ht="18" customHeight="1">
      <c r="A109" s="102" t="s">
        <v>232</v>
      </c>
      <c r="B109" s="103"/>
      <c r="C109" s="103"/>
      <c r="D109" s="103"/>
      <c r="E109" s="104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233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254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254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164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263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254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254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254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254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254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254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254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254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254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254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9" t="s">
        <v>229</v>
      </c>
      <c r="B122" s="100"/>
      <c r="C122" s="100"/>
      <c r="D122" s="100"/>
      <c r="E122" s="101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230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227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163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264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227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227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153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245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227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153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265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227</v>
      </c>
      <c r="F127" s="27">
        <v>4</v>
      </c>
      <c r="G127" s="34">
        <f t="shared" si="27"/>
        <v>20</v>
      </c>
      <c r="H127" s="33" t="s">
        <v>18</v>
      </c>
      <c r="I127" s="33" t="s">
        <v>156</v>
      </c>
      <c r="J127" s="33" t="s">
        <v>163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227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191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227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198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266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227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198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227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227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227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227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9" t="s">
        <v>231</v>
      </c>
      <c r="B135" s="100"/>
      <c r="C135" s="100"/>
      <c r="D135" s="100"/>
      <c r="E135" s="101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230</v>
      </c>
      <c r="O135" s="54">
        <v>794480</v>
      </c>
    </row>
    <row r="136" spans="1:15" ht="18" customHeight="1">
      <c r="A136" s="102" t="s">
        <v>232</v>
      </c>
      <c r="B136" s="103"/>
      <c r="C136" s="103"/>
      <c r="D136" s="103"/>
      <c r="E136" s="104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233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227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198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227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227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267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227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268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227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227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227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227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227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227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227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227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9" t="s">
        <v>229</v>
      </c>
      <c r="B149" s="100"/>
      <c r="C149" s="100"/>
      <c r="D149" s="100"/>
      <c r="E149" s="101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230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227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269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227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204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254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270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254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254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254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254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254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254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254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254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254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9" t="s">
        <v>231</v>
      </c>
      <c r="B162" s="100"/>
      <c r="C162" s="100"/>
      <c r="D162" s="100"/>
      <c r="E162" s="101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230</v>
      </c>
      <c r="O162" s="54">
        <v>882280</v>
      </c>
    </row>
    <row r="163" spans="1:15" ht="18" customHeight="1">
      <c r="A163" s="102" t="s">
        <v>232</v>
      </c>
      <c r="B163" s="103"/>
      <c r="C163" s="103"/>
      <c r="D163" s="103"/>
      <c r="E163" s="104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233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254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254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254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254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254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254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254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254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254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254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254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254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9" t="s">
        <v>229</v>
      </c>
      <c r="B176" s="100"/>
      <c r="C176" s="100"/>
      <c r="D176" s="100"/>
      <c r="E176" s="101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230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9" t="s">
        <v>231</v>
      </c>
      <c r="B189" s="100"/>
      <c r="C189" s="100"/>
      <c r="D189" s="100"/>
      <c r="E189" s="101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230</v>
      </c>
      <c r="O189" s="78"/>
    </row>
    <row r="190" spans="1:15" ht="18" customHeight="1">
      <c r="A190" s="102" t="s">
        <v>232</v>
      </c>
      <c r="B190" s="103"/>
      <c r="C190" s="103"/>
      <c r="D190" s="103"/>
      <c r="E190" s="104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233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9" t="s">
        <v>229</v>
      </c>
      <c r="B203" s="100"/>
      <c r="C203" s="100"/>
      <c r="D203" s="100"/>
      <c r="E203" s="101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230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254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227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153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254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144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271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254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272</v>
      </c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254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254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254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254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254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254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254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254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231</v>
      </c>
      <c r="B216" s="100"/>
      <c r="C216" s="100"/>
      <c r="D216" s="100"/>
      <c r="E216" s="101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230</v>
      </c>
      <c r="O216" s="78">
        <v>648410</v>
      </c>
    </row>
    <row r="217" spans="1:15" ht="18" customHeight="1">
      <c r="A217" s="102" t="s">
        <v>232</v>
      </c>
      <c r="B217" s="103"/>
      <c r="C217" s="103"/>
      <c r="D217" s="103"/>
      <c r="E217" s="104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233</v>
      </c>
      <c r="O217" s="84">
        <f>IFERROR(O203+O216,"")</f>
        <v>648410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254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273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254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127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274</v>
      </c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254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254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254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254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254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254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254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254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254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254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229</v>
      </c>
      <c r="B230" s="89"/>
      <c r="C230" s="89"/>
      <c r="D230" s="59"/>
      <c r="E230" s="90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230</v>
      </c>
      <c r="O230" s="78">
        <v>482110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254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204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227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275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254</v>
      </c>
      <c r="F233" s="27">
        <v>15</v>
      </c>
      <c r="G233" s="34">
        <f t="shared" si="51"/>
        <v>63</v>
      </c>
      <c r="H233" s="33" t="s">
        <v>20</v>
      </c>
      <c r="I233" s="33" t="s">
        <v>146</v>
      </c>
      <c r="J233" s="33" t="s">
        <v>179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254</v>
      </c>
      <c r="F234" s="27">
        <v>8</v>
      </c>
      <c r="G234" s="28">
        <f t="shared" si="51"/>
        <v>33.6</v>
      </c>
      <c r="H234" s="26" t="s">
        <v>20</v>
      </c>
      <c r="I234" s="26" t="s">
        <v>146</v>
      </c>
      <c r="J234" s="26" t="s">
        <v>179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269</v>
      </c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254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138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254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254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254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254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254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254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254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231</v>
      </c>
      <c r="B243" s="100"/>
      <c r="C243" s="100"/>
      <c r="D243" s="100"/>
      <c r="E243" s="101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230</v>
      </c>
      <c r="O243" s="78">
        <v>849060</v>
      </c>
    </row>
    <row r="244" spans="1:15" ht="18" customHeight="1">
      <c r="A244" s="102" t="s">
        <v>232</v>
      </c>
      <c r="B244" s="103"/>
      <c r="C244" s="103"/>
      <c r="D244" s="103"/>
      <c r="E244" s="104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233</v>
      </c>
      <c r="O244" s="84">
        <f>IFERROR(O230+O243,"")</f>
        <v>1331170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254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276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254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254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254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254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254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254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254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254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254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254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254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229</v>
      </c>
      <c r="B257" s="100"/>
      <c r="C257" s="100"/>
      <c r="D257" s="100"/>
      <c r="E257" s="101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230</v>
      </c>
      <c r="O257" s="78">
        <v>631580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227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124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254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254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254</v>
      </c>
      <c r="F261" s="27">
        <v>3</v>
      </c>
      <c r="G261" s="28">
        <f t="shared" si="57"/>
        <v>12.600000000000001</v>
      </c>
      <c r="H261" s="33" t="s">
        <v>19</v>
      </c>
      <c r="I261" s="33" t="s">
        <v>156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254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153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254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254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254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254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254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254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254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231</v>
      </c>
      <c r="B270" s="100"/>
      <c r="C270" s="100"/>
      <c r="D270" s="100"/>
      <c r="E270" s="101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230</v>
      </c>
      <c r="O270" s="78">
        <v>625070</v>
      </c>
    </row>
    <row r="271" spans="1:15" ht="18" customHeight="1">
      <c r="A271" s="102" t="s">
        <v>232</v>
      </c>
      <c r="B271" s="103"/>
      <c r="C271" s="103"/>
      <c r="D271" s="103"/>
      <c r="E271" s="104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233</v>
      </c>
      <c r="O271" s="84">
        <f>IFERROR(O257+O270,"")</f>
        <v>1256650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254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277</v>
      </c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254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278</v>
      </c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254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254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254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254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254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254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254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254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254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254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229</v>
      </c>
      <c r="B284" s="100"/>
      <c r="C284" s="100"/>
      <c r="D284" s="100"/>
      <c r="E284" s="101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230</v>
      </c>
      <c r="O284" s="78">
        <v>623460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254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254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127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279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254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254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227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254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153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254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254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254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254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254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254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9" t="s">
        <v>231</v>
      </c>
      <c r="B297" s="100"/>
      <c r="C297" s="100"/>
      <c r="D297" s="100"/>
      <c r="E297" s="101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230</v>
      </c>
      <c r="O297" s="78">
        <v>761660</v>
      </c>
    </row>
    <row r="298" spans="1:15" ht="18" customHeight="1">
      <c r="A298" s="102" t="s">
        <v>232</v>
      </c>
      <c r="B298" s="103"/>
      <c r="C298" s="103"/>
      <c r="D298" s="103"/>
      <c r="E298" s="104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233</v>
      </c>
      <c r="O298" s="84">
        <f>IFERROR(O284+O297,"")</f>
        <v>1385120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254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254</v>
      </c>
      <c r="F300" s="27">
        <v>6</v>
      </c>
      <c r="G300" s="28">
        <f t="shared" si="66"/>
        <v>25.200000000000003</v>
      </c>
      <c r="H300" s="26" t="s">
        <v>17</v>
      </c>
      <c r="I300" s="26" t="s">
        <v>135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254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254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280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254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280</v>
      </c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254</v>
      </c>
      <c r="F304" s="27">
        <v>8</v>
      </c>
      <c r="G304" s="28">
        <f t="shared" si="66"/>
        <v>33.6</v>
      </c>
      <c r="H304" s="26" t="s">
        <v>19</v>
      </c>
      <c r="I304" s="26" t="s">
        <v>156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254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254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254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254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254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254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229</v>
      </c>
      <c r="B311" s="100"/>
      <c r="C311" s="100"/>
      <c r="D311" s="100"/>
      <c r="E311" s="101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230</v>
      </c>
      <c r="O311" s="78">
        <v>605560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254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154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254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281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254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282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254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254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254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254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254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254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254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254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227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231</v>
      </c>
      <c r="B324" s="100"/>
      <c r="C324" s="100"/>
      <c r="D324" s="100"/>
      <c r="E324" s="101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230</v>
      </c>
      <c r="O324" s="78">
        <v>524410</v>
      </c>
    </row>
    <row r="325" spans="1:15" ht="18" customHeight="1">
      <c r="A325" s="102" t="s">
        <v>232</v>
      </c>
      <c r="B325" s="103"/>
      <c r="C325" s="103"/>
      <c r="D325" s="103"/>
      <c r="E325" s="104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233</v>
      </c>
      <c r="O325" s="84">
        <f>IFERROR(O311+O324,"")</f>
        <v>1129970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254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156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254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254</v>
      </c>
      <c r="F328" s="27">
        <v>10</v>
      </c>
      <c r="G328" s="28">
        <f t="shared" si="72"/>
        <v>42</v>
      </c>
      <c r="H328" s="26" t="s">
        <v>20</v>
      </c>
      <c r="I328" s="26" t="s">
        <v>120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254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283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227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254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254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254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254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254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254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254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229</v>
      </c>
      <c r="B338" s="100"/>
      <c r="C338" s="100"/>
      <c r="D338" s="100"/>
      <c r="E338" s="101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230</v>
      </c>
      <c r="O338" s="78">
        <v>837000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254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120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254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284</v>
      </c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254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254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285</v>
      </c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254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254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254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254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254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254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254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254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231</v>
      </c>
      <c r="B351" s="100"/>
      <c r="C351" s="100"/>
      <c r="D351" s="100"/>
      <c r="E351" s="101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230</v>
      </c>
      <c r="O351" s="78">
        <v>598420</v>
      </c>
    </row>
    <row r="352" spans="1:15" ht="18" customHeight="1">
      <c r="A352" s="102" t="s">
        <v>232</v>
      </c>
      <c r="B352" s="103"/>
      <c r="C352" s="103"/>
      <c r="D352" s="103"/>
      <c r="E352" s="104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233</v>
      </c>
      <c r="O352" s="84">
        <f>IFERROR(O338+O351,"")</f>
        <v>1435420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254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156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254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254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156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254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128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254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254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254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254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254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254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254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254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229</v>
      </c>
      <c r="B365" s="100"/>
      <c r="C365" s="100"/>
      <c r="D365" s="100"/>
      <c r="E365" s="101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230</v>
      </c>
      <c r="O365" s="78">
        <v>808550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254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128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254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128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254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254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254</v>
      </c>
      <c r="F370" s="27">
        <v>20</v>
      </c>
      <c r="G370" s="28">
        <f t="shared" si="81"/>
        <v>84</v>
      </c>
      <c r="H370" s="26" t="s">
        <v>20</v>
      </c>
      <c r="I370" s="26" t="s">
        <v>154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254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128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254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254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131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128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128</v>
      </c>
      <c r="K377" s="29">
        <v>0.23958333333333334</v>
      </c>
      <c r="L377" s="29"/>
      <c r="M377" s="35">
        <f t="shared" ca="1" si="82"/>
        <v>0.74965150462958263</v>
      </c>
      <c r="N377" s="46"/>
      <c r="O377" s="47"/>
    </row>
    <row r="378" spans="1:15" ht="15.75" customHeight="1">
      <c r="A378" s="99" t="s">
        <v>231</v>
      </c>
      <c r="B378" s="100"/>
      <c r="C378" s="100"/>
      <c r="D378" s="100"/>
      <c r="E378" s="101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0.90729039351847152</v>
      </c>
      <c r="N378" s="36" t="s">
        <v>230</v>
      </c>
      <c r="O378" s="78">
        <v>511980</v>
      </c>
    </row>
    <row r="379" spans="1:15" ht="18" customHeight="1">
      <c r="A379" s="102" t="s">
        <v>232</v>
      </c>
      <c r="B379" s="103"/>
      <c r="C379" s="103"/>
      <c r="D379" s="103"/>
      <c r="E379" s="104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1.0170126157406938</v>
      </c>
      <c r="N379" s="40" t="s">
        <v>233</v>
      </c>
      <c r="O379" s="84">
        <f>IFERROR(O365+O378,"")</f>
        <v>1320530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254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156</v>
      </c>
      <c r="J380" s="26" t="s">
        <v>118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254</v>
      </c>
      <c r="F381" s="27">
        <v>15</v>
      </c>
      <c r="G381" s="34">
        <f t="shared" si="84"/>
        <v>63</v>
      </c>
      <c r="H381" s="33" t="s">
        <v>18</v>
      </c>
      <c r="I381" s="33" t="s">
        <v>117</v>
      </c>
      <c r="J381" s="33" t="s">
        <v>210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254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193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254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269</v>
      </c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254</v>
      </c>
      <c r="F384" s="27">
        <v>0</v>
      </c>
      <c r="G384" s="28">
        <f t="shared" si="84"/>
        <v>0</v>
      </c>
      <c r="H384" s="26" t="s">
        <v>16</v>
      </c>
      <c r="I384" s="26" t="s">
        <v>156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286</v>
      </c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254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254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254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254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254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254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254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229</v>
      </c>
      <c r="B392" s="100"/>
      <c r="C392" s="100"/>
      <c r="D392" s="100"/>
      <c r="E392" s="101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230</v>
      </c>
      <c r="O392" s="78">
        <v>281950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254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156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287</v>
      </c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254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245</v>
      </c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254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198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254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254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254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254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254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254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254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254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254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231</v>
      </c>
      <c r="B405" s="100"/>
      <c r="C405" s="100"/>
      <c r="D405" s="100"/>
      <c r="E405" s="101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230</v>
      </c>
      <c r="O405" s="78">
        <v>552440</v>
      </c>
    </row>
    <row r="406" spans="1:15" ht="18" customHeight="1">
      <c r="A406" s="102" t="s">
        <v>232</v>
      </c>
      <c r="B406" s="103"/>
      <c r="C406" s="103"/>
      <c r="D406" s="103"/>
      <c r="E406" s="104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233</v>
      </c>
      <c r="O406" s="84">
        <f>IFERROR(O392+O405,"")</f>
        <v>834390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30</v>
      </c>
      <c r="E407" s="62" t="s">
        <v>254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254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254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254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254</v>
      </c>
      <c r="F411" s="27">
        <v>9</v>
      </c>
      <c r="G411" s="34">
        <f t="shared" si="90"/>
        <v>37.800000000000004</v>
      </c>
      <c r="H411" s="33" t="s">
        <v>17</v>
      </c>
      <c r="I411" s="33" t="s">
        <v>135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254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254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254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227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227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254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254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229</v>
      </c>
      <c r="B419" s="100"/>
      <c r="C419" s="100"/>
      <c r="D419" s="100"/>
      <c r="E419" s="101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230</v>
      </c>
      <c r="O419" s="78">
        <v>700000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254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165</v>
      </c>
      <c r="J420" s="26" t="s">
        <v>211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254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288</v>
      </c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254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254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0.72812372685439186</v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254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254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254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254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254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254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254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254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8" t="s">
        <v>231</v>
      </c>
      <c r="B432" s="89"/>
      <c r="C432" s="89"/>
      <c r="D432" s="89"/>
      <c r="E432" s="89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0.89895706018772525</v>
      </c>
      <c r="N432" s="36" t="s">
        <v>230</v>
      </c>
      <c r="O432" s="78">
        <v>484540</v>
      </c>
    </row>
    <row r="433" spans="1:15" ht="18" customHeight="1">
      <c r="A433" s="94" t="s">
        <v>232</v>
      </c>
      <c r="B433" s="92"/>
      <c r="C433" s="92"/>
      <c r="D433" s="92"/>
      <c r="E433" s="92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1.0440959490766142</v>
      </c>
      <c r="N433" s="40" t="s">
        <v>233</v>
      </c>
      <c r="O433" s="84">
        <f>IFERROR(O419+O432,"")</f>
        <v>1184540</v>
      </c>
    </row>
    <row r="434" spans="1:15" ht="15" customHeight="1">
      <c r="A434" s="69">
        <v>46220</v>
      </c>
      <c r="B434" s="25">
        <v>0.33333333333333298</v>
      </c>
      <c r="C434" s="26" t="s">
        <v>21</v>
      </c>
      <c r="D434" s="59" t="s">
        <v>30</v>
      </c>
      <c r="E434" s="59" t="s">
        <v>254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289</v>
      </c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254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153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254</v>
      </c>
      <c r="F436" s="27">
        <v>20</v>
      </c>
      <c r="G436" s="28">
        <f t="shared" si="96"/>
        <v>84</v>
      </c>
      <c r="H436" s="26" t="s">
        <v>19</v>
      </c>
      <c r="I436" s="26" t="s">
        <v>156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290</v>
      </c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254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254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254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254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254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254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254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254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254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229</v>
      </c>
      <c r="B446" s="100"/>
      <c r="C446" s="100"/>
      <c r="D446" s="100"/>
      <c r="E446" s="101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230</v>
      </c>
      <c r="O446" s="78">
        <v>849430</v>
      </c>
    </row>
    <row r="447" spans="1:15" ht="15" customHeight="1">
      <c r="A447" s="70">
        <v>46220</v>
      </c>
      <c r="B447" s="32">
        <v>0.83333333333333304</v>
      </c>
      <c r="C447" s="33" t="s">
        <v>45</v>
      </c>
      <c r="D447" s="62" t="s">
        <v>30</v>
      </c>
      <c r="E447" s="62" t="s">
        <v>227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227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291</v>
      </c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227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227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227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227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227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227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227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227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227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227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231</v>
      </c>
      <c r="B459" s="100"/>
      <c r="C459" s="100"/>
      <c r="D459" s="100"/>
      <c r="E459" s="101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230</v>
      </c>
      <c r="O459" s="78">
        <v>631190</v>
      </c>
    </row>
    <row r="460" spans="1:15" ht="18" customHeight="1">
      <c r="A460" s="102" t="s">
        <v>232</v>
      </c>
      <c r="B460" s="103"/>
      <c r="C460" s="103"/>
      <c r="D460" s="103"/>
      <c r="E460" s="104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233</v>
      </c>
      <c r="O460" s="84">
        <f>IFERROR(O446+O459,"")</f>
        <v>1480620</v>
      </c>
    </row>
    <row r="461" spans="1:15" ht="15" customHeight="1">
      <c r="A461" s="70">
        <v>46221</v>
      </c>
      <c r="B461" s="32">
        <v>0.33333333333333298</v>
      </c>
      <c r="C461" s="33" t="s">
        <v>21</v>
      </c>
      <c r="D461" s="62" t="s">
        <v>30</v>
      </c>
      <c r="E461" s="62" t="s">
        <v>227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292</v>
      </c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227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227</v>
      </c>
      <c r="F463" s="27">
        <v>17</v>
      </c>
      <c r="G463" s="34">
        <f t="shared" si="102"/>
        <v>85</v>
      </c>
      <c r="H463" s="33" t="s">
        <v>18</v>
      </c>
      <c r="I463" s="33" t="s">
        <v>146</v>
      </c>
      <c r="J463" s="33" t="s">
        <v>127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227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153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293</v>
      </c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227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164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294</v>
      </c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227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227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227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227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227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227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227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229</v>
      </c>
      <c r="B473" s="100"/>
      <c r="C473" s="100"/>
      <c r="D473" s="100"/>
      <c r="E473" s="101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230</v>
      </c>
      <c r="O473" s="78">
        <v>870930</v>
      </c>
    </row>
    <row r="474" spans="1:15" ht="15" customHeight="1">
      <c r="A474" s="69">
        <v>46221</v>
      </c>
      <c r="B474" s="25">
        <v>0.83333333333333304</v>
      </c>
      <c r="C474" s="26" t="s">
        <v>45</v>
      </c>
      <c r="D474" s="59" t="s">
        <v>30</v>
      </c>
      <c r="E474" s="59" t="s">
        <v>227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227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295</v>
      </c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227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227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227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227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227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227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227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227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227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227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231</v>
      </c>
      <c r="B486" s="100"/>
      <c r="C486" s="100"/>
      <c r="D486" s="100"/>
      <c r="E486" s="101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230</v>
      </c>
      <c r="O486" s="78">
        <v>969510</v>
      </c>
    </row>
    <row r="487" spans="1:15" ht="18" customHeight="1">
      <c r="A487" s="102" t="s">
        <v>232</v>
      </c>
      <c r="B487" s="103"/>
      <c r="C487" s="103"/>
      <c r="D487" s="103"/>
      <c r="E487" s="104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233</v>
      </c>
      <c r="O487" s="84">
        <f>IFERROR(O473+O486,"")</f>
        <v>1840440</v>
      </c>
    </row>
    <row r="488" spans="1:15" ht="15" customHeight="1">
      <c r="A488" s="69">
        <v>46222</v>
      </c>
      <c r="B488" s="25">
        <v>0.33333333333333298</v>
      </c>
      <c r="C488" s="26" t="s">
        <v>21</v>
      </c>
      <c r="D488" s="59" t="s">
        <v>30</v>
      </c>
      <c r="E488" s="59" t="s">
        <v>227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156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227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163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227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227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296</v>
      </c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227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254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254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254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254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254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254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254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229</v>
      </c>
      <c r="B500" s="100"/>
      <c r="C500" s="100"/>
      <c r="D500" s="100"/>
      <c r="E500" s="101">
        <f>SUM(E488:E499)</f>
        <v>0</v>
      </c>
      <c r="F500" s="36">
        <f>SUM(F488:F499)</f>
        <v>130</v>
      </c>
      <c r="G500" s="36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230</v>
      </c>
      <c r="O500" s="78">
        <v>751110</v>
      </c>
    </row>
    <row r="501" spans="1:15" ht="15" customHeight="1">
      <c r="A501" s="70">
        <v>46222</v>
      </c>
      <c r="B501" s="32">
        <v>0.83333333333333304</v>
      </c>
      <c r="C501" s="33" t="s">
        <v>45</v>
      </c>
      <c r="D501" s="62" t="s">
        <v>30</v>
      </c>
      <c r="E501" s="62" t="s">
        <v>254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156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227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254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254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254</v>
      </c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254</v>
      </c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254</v>
      </c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254</v>
      </c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254</v>
      </c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254</v>
      </c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254</v>
      </c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254</v>
      </c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9" t="s">
        <v>231</v>
      </c>
      <c r="B513" s="100"/>
      <c r="C513" s="100"/>
      <c r="D513" s="100"/>
      <c r="E513" s="101">
        <f>SUM(E501:E512)</f>
        <v>0</v>
      </c>
      <c r="F513" s="36">
        <f>SUM(F501:F512)</f>
        <v>56</v>
      </c>
      <c r="G513" s="36">
        <f>SUM(G501:G512)</f>
        <v>244.8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230</v>
      </c>
      <c r="O513" s="78"/>
    </row>
    <row r="514" spans="1:15" ht="18" customHeight="1">
      <c r="A514" s="102" t="s">
        <v>232</v>
      </c>
      <c r="B514" s="103"/>
      <c r="C514" s="103"/>
      <c r="D514" s="103"/>
      <c r="E514" s="104">
        <f>E500+E513</f>
        <v>0</v>
      </c>
      <c r="F514" s="40">
        <f>F500+F513</f>
        <v>186</v>
      </c>
      <c r="G514" s="40">
        <f>G500+G513</f>
        <v>835.59999999999991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233</v>
      </c>
      <c r="O514" s="84">
        <f>IFERROR(O500+O513,"")</f>
        <v>751110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229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230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9" t="s">
        <v>231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230</v>
      </c>
      <c r="O540" s="78"/>
    </row>
    <row r="541" spans="1:15" ht="18" customHeight="1">
      <c r="A541" s="102" t="s">
        <v>232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233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229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230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231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230</v>
      </c>
      <c r="O567" s="78"/>
    </row>
    <row r="568" spans="1:15" ht="18" customHeight="1">
      <c r="A568" s="102" t="s">
        <v>232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233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229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230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231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230</v>
      </c>
      <c r="O594" s="78"/>
    </row>
    <row r="595" spans="1:15" ht="18" customHeight="1">
      <c r="A595" s="102" t="s">
        <v>232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233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229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230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231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230</v>
      </c>
      <c r="O621" s="78"/>
    </row>
    <row r="622" spans="1:15" ht="18" customHeight="1">
      <c r="A622" s="102" t="s">
        <v>232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233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9" t="s">
        <v>229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230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231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230</v>
      </c>
      <c r="O648" s="78"/>
    </row>
    <row r="649" spans="1:15" ht="18" customHeight="1">
      <c r="A649" s="102" t="s">
        <v>232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233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229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230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231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230</v>
      </c>
      <c r="O675" s="78"/>
    </row>
    <row r="676" spans="1:15" ht="18" customHeight="1">
      <c r="A676" s="102" t="s">
        <v>232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233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229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230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231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230</v>
      </c>
      <c r="O702" s="78"/>
    </row>
    <row r="703" spans="1:15" ht="18" customHeight="1">
      <c r="A703" s="102" t="s">
        <v>232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233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229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230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231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230</v>
      </c>
      <c r="O729" s="78"/>
    </row>
    <row r="730" spans="1:15" ht="18" customHeight="1">
      <c r="A730" s="102" t="s">
        <v>232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233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229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230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231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2" t="s">
        <v>232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233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229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230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231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2" t="s">
        <v>232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233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229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230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231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102" t="s">
        <v>232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233</v>
      </c>
      <c r="O811" s="83">
        <f>IFERROR(O797+O810,"")</f>
        <v>0</v>
      </c>
    </row>
  </sheetData>
  <mergeCells count="87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29:E431 E434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 H406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474" zoomScale="50" zoomScaleNormal="50" workbookViewId="0">
      <selection activeCell="F505" sqref="F505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27.85546875" style="20" customWidth="1"/>
    <col min="15" max="15" width="14" customWidth="1"/>
  </cols>
  <sheetData>
    <row r="1" spans="1:15" ht="37.5" customHeight="1">
      <c r="A1" s="68" t="s">
        <v>7</v>
      </c>
      <c r="B1" s="23" t="s">
        <v>216</v>
      </c>
      <c r="C1" s="23" t="s">
        <v>12</v>
      </c>
      <c r="D1" s="22" t="s">
        <v>13</v>
      </c>
      <c r="E1" s="22" t="s">
        <v>217</v>
      </c>
      <c r="F1" s="23" t="s">
        <v>218</v>
      </c>
      <c r="G1" s="23" t="s">
        <v>219</v>
      </c>
      <c r="H1" s="23" t="s">
        <v>14</v>
      </c>
      <c r="I1" s="23" t="s">
        <v>15</v>
      </c>
      <c r="J1" s="23" t="s">
        <v>220</v>
      </c>
      <c r="K1" s="23" t="s">
        <v>221</v>
      </c>
      <c r="L1" s="23" t="s">
        <v>222</v>
      </c>
      <c r="M1" s="24" t="s">
        <v>223</v>
      </c>
      <c r="N1" s="23" t="s">
        <v>224</v>
      </c>
      <c r="O1" s="23" t="s">
        <v>225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254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254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254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297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254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254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298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254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163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254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254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254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254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254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254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9" t="s">
        <v>229</v>
      </c>
      <c r="B14" s="100"/>
      <c r="C14" s="100"/>
      <c r="D14" s="100"/>
      <c r="E14" s="101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230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254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254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254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254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254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254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254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254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254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254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254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254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9" t="s">
        <v>231</v>
      </c>
      <c r="B27" s="100"/>
      <c r="C27" s="100"/>
      <c r="D27" s="100"/>
      <c r="E27" s="101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230</v>
      </c>
      <c r="O27" s="39">
        <v>308500</v>
      </c>
    </row>
    <row r="28" spans="1:15" ht="18" customHeight="1">
      <c r="A28" s="102" t="s">
        <v>232</v>
      </c>
      <c r="B28" s="103"/>
      <c r="C28" s="103"/>
      <c r="D28" s="103"/>
      <c r="E28" s="104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233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254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164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299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254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254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254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254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254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254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254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254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254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254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254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229</v>
      </c>
      <c r="B41" s="100"/>
      <c r="C41" s="100"/>
      <c r="D41" s="100"/>
      <c r="E41" s="101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230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254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254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254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254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254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254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254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254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254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254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254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254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231</v>
      </c>
      <c r="B54" s="100"/>
      <c r="C54" s="100"/>
      <c r="D54" s="100"/>
      <c r="E54" s="101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230</v>
      </c>
      <c r="O54" s="39">
        <v>124290</v>
      </c>
    </row>
    <row r="55" spans="1:15" ht="18" customHeight="1">
      <c r="A55" s="102" t="s">
        <v>232</v>
      </c>
      <c r="B55" s="103"/>
      <c r="C55" s="103"/>
      <c r="D55" s="103"/>
      <c r="E55" s="104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233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254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254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254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254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300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254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254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254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254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254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254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254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254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229</v>
      </c>
      <c r="B68" s="100"/>
      <c r="C68" s="100"/>
      <c r="D68" s="100"/>
      <c r="E68" s="101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230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254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164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291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254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254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254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254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254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254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254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254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254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254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254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231</v>
      </c>
      <c r="B81" s="100"/>
      <c r="C81" s="100"/>
      <c r="D81" s="100"/>
      <c r="E81" s="101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230</v>
      </c>
      <c r="O81" s="39">
        <v>396340</v>
      </c>
    </row>
    <row r="82" spans="1:15" ht="18" customHeight="1">
      <c r="A82" s="102" t="s">
        <v>232</v>
      </c>
      <c r="B82" s="103"/>
      <c r="C82" s="103"/>
      <c r="D82" s="103"/>
      <c r="E82" s="104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233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227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227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227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227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227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227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301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227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227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227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227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227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227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229</v>
      </c>
      <c r="B95" s="100"/>
      <c r="C95" s="100"/>
      <c r="D95" s="100"/>
      <c r="E95" s="101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230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254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254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254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254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254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254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254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254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254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254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254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254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231</v>
      </c>
      <c r="B108" s="100"/>
      <c r="C108" s="100"/>
      <c r="D108" s="100"/>
      <c r="E108" s="101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230</v>
      </c>
      <c r="O108" s="39">
        <v>41230</v>
      </c>
    </row>
    <row r="109" spans="1:15" ht="18" customHeight="1">
      <c r="A109" s="102" t="s">
        <v>232</v>
      </c>
      <c r="B109" s="103"/>
      <c r="C109" s="103"/>
      <c r="D109" s="103"/>
      <c r="E109" s="104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233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254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254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254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254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254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254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254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254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254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254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254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254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229</v>
      </c>
      <c r="B122" s="100"/>
      <c r="C122" s="100"/>
      <c r="D122" s="100"/>
      <c r="E122" s="101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230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227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227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191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227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227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227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227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227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266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227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227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227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227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227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231</v>
      </c>
      <c r="B135" s="100"/>
      <c r="C135" s="100"/>
      <c r="D135" s="100"/>
      <c r="E135" s="101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230</v>
      </c>
      <c r="O135" s="39">
        <v>381250</v>
      </c>
    </row>
    <row r="136" spans="1:15" ht="18" customHeight="1">
      <c r="A136" s="102" t="s">
        <v>232</v>
      </c>
      <c r="B136" s="103"/>
      <c r="C136" s="103"/>
      <c r="D136" s="103"/>
      <c r="E136" s="104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233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227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227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302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227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227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227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268</v>
      </c>
      <c r="K141" s="29">
        <v>0.71597222222222223</v>
      </c>
      <c r="L141" s="29" t="s">
        <v>303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227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227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227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227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227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227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227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229</v>
      </c>
      <c r="B149" s="100"/>
      <c r="C149" s="100"/>
      <c r="D149" s="100"/>
      <c r="E149" s="101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230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227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304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227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254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270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254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254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254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254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254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254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254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254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254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231</v>
      </c>
      <c r="B162" s="100"/>
      <c r="C162" s="100"/>
      <c r="D162" s="100"/>
      <c r="E162" s="101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230</v>
      </c>
      <c r="O162" s="39">
        <v>337120</v>
      </c>
    </row>
    <row r="163" spans="1:15" ht="18" customHeight="1">
      <c r="A163" s="102" t="s">
        <v>232</v>
      </c>
      <c r="B163" s="103"/>
      <c r="C163" s="103"/>
      <c r="D163" s="103"/>
      <c r="E163" s="104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233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227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254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254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127</v>
      </c>
      <c r="K166" s="29">
        <v>0.45694444444444443</v>
      </c>
      <c r="L166" s="29">
        <v>0.47222222222222221</v>
      </c>
      <c r="M166" s="30" t="s">
        <v>305</v>
      </c>
      <c r="N166" s="27" t="s">
        <v>306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254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254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254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254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254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254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254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254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254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229</v>
      </c>
      <c r="B176" s="100"/>
      <c r="C176" s="100"/>
      <c r="D176" s="100"/>
      <c r="E176" s="101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230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254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254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254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254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254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254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254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254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254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254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254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254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231</v>
      </c>
      <c r="B189" s="100"/>
      <c r="C189" s="100"/>
      <c r="D189" s="100"/>
      <c r="E189" s="101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230</v>
      </c>
      <c r="O189" s="39">
        <v>747210</v>
      </c>
    </row>
    <row r="190" spans="1:15" ht="18" customHeight="1">
      <c r="A190" s="102" t="s">
        <v>232</v>
      </c>
      <c r="B190" s="103"/>
      <c r="C190" s="103"/>
      <c r="D190" s="103"/>
      <c r="E190" s="104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233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254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135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254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169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307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254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254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161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254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254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254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254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254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254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254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254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229</v>
      </c>
      <c r="B203" s="100"/>
      <c r="C203" s="100"/>
      <c r="D203" s="100"/>
      <c r="E203" s="101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230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254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227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254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254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254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254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254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254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254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254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254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254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9" t="s">
        <v>231</v>
      </c>
      <c r="B216" s="100"/>
      <c r="C216" s="100"/>
      <c r="D216" s="100"/>
      <c r="E216" s="101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230</v>
      </c>
      <c r="O216" s="39">
        <v>468430</v>
      </c>
    </row>
    <row r="217" spans="1:15" ht="18" customHeight="1">
      <c r="A217" s="102" t="s">
        <v>232</v>
      </c>
      <c r="B217" s="103"/>
      <c r="C217" s="103"/>
      <c r="D217" s="103"/>
      <c r="E217" s="104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233</v>
      </c>
      <c r="O217" s="48">
        <f>IFERROR(O203+O216,"")</f>
        <v>793270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254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254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254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254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254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254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254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254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254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254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254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254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9" t="s">
        <v>229</v>
      </c>
      <c r="B230" s="100"/>
      <c r="C230" s="100"/>
      <c r="D230" s="100"/>
      <c r="E230" s="101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230</v>
      </c>
      <c r="O230" s="39">
        <v>469520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254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146</v>
      </c>
      <c r="J231" s="33" t="s">
        <v>179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227</v>
      </c>
      <c r="F232" s="27">
        <v>7</v>
      </c>
      <c r="G232" s="28">
        <f t="shared" si="51"/>
        <v>35</v>
      </c>
      <c r="H232" s="26" t="s">
        <v>20</v>
      </c>
      <c r="I232" s="26" t="s">
        <v>146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254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138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254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254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254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254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254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254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254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227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254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9" t="s">
        <v>231</v>
      </c>
      <c r="B243" s="100"/>
      <c r="C243" s="100"/>
      <c r="D243" s="100"/>
      <c r="E243" s="101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230</v>
      </c>
      <c r="O243" s="39">
        <v>575930</v>
      </c>
    </row>
    <row r="244" spans="1:15" ht="18" customHeight="1">
      <c r="A244" s="102" t="s">
        <v>232</v>
      </c>
      <c r="B244" s="103"/>
      <c r="C244" s="103"/>
      <c r="D244" s="103"/>
      <c r="E244" s="104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233</v>
      </c>
      <c r="O244" s="48">
        <f>IFERROR(O230+O243,"")</f>
        <v>1045450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254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206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254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254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254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254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254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254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254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254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254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254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254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9" t="s">
        <v>229</v>
      </c>
      <c r="B257" s="100"/>
      <c r="C257" s="100"/>
      <c r="D257" s="100"/>
      <c r="E257" s="101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230</v>
      </c>
      <c r="O257" s="39">
        <v>456270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254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254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195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308</v>
      </c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254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254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254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121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254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309</v>
      </c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254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254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254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254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254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254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9" t="s">
        <v>231</v>
      </c>
      <c r="B270" s="100"/>
      <c r="C270" s="100"/>
      <c r="D270" s="100"/>
      <c r="E270" s="101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230</v>
      </c>
      <c r="O270" s="39">
        <v>483510</v>
      </c>
    </row>
    <row r="271" spans="1:15" ht="18" customHeight="1">
      <c r="A271" s="102" t="s">
        <v>232</v>
      </c>
      <c r="B271" s="103"/>
      <c r="C271" s="103"/>
      <c r="D271" s="103"/>
      <c r="E271" s="104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233</v>
      </c>
      <c r="O271" s="48">
        <f>IFERROR(O257+O270,"")</f>
        <v>939780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254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254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254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254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254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254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254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254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254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254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254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254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9" t="s">
        <v>229</v>
      </c>
      <c r="B284" s="100"/>
      <c r="C284" s="100"/>
      <c r="D284" s="100"/>
      <c r="E284" s="101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230</v>
      </c>
      <c r="O284" s="39">
        <v>303720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254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254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127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310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254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254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254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311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254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254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254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254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254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254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254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9" t="s">
        <v>231</v>
      </c>
      <c r="B297" s="100"/>
      <c r="C297" s="100"/>
      <c r="D297" s="100"/>
      <c r="E297" s="101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230</v>
      </c>
      <c r="O297" s="39">
        <v>487980</v>
      </c>
    </row>
    <row r="298" spans="1:15" ht="18" customHeight="1">
      <c r="A298" s="102" t="s">
        <v>232</v>
      </c>
      <c r="B298" s="103"/>
      <c r="C298" s="103"/>
      <c r="D298" s="103"/>
      <c r="E298" s="104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233</v>
      </c>
      <c r="O298" s="48">
        <f>IFERROR(O284+O297,"")</f>
        <v>791700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254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254</v>
      </c>
      <c r="F300" s="27">
        <v>7</v>
      </c>
      <c r="G300" s="28">
        <f t="shared" si="66"/>
        <v>29.400000000000002</v>
      </c>
      <c r="H300" s="26" t="s">
        <v>20</v>
      </c>
      <c r="I300" s="26" t="s">
        <v>132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254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254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312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254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254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254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254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254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254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254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227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9" t="s">
        <v>229</v>
      </c>
      <c r="B311" s="100"/>
      <c r="C311" s="100"/>
      <c r="D311" s="100"/>
      <c r="E311" s="101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230</v>
      </c>
      <c r="O311" s="39">
        <v>373300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254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313</v>
      </c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254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254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254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314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254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254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254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254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254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254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254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227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9" t="s">
        <v>231</v>
      </c>
      <c r="B324" s="100"/>
      <c r="C324" s="100"/>
      <c r="D324" s="100"/>
      <c r="E324" s="101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230</v>
      </c>
      <c r="O324" s="39">
        <v>609460</v>
      </c>
    </row>
    <row r="325" spans="1:15" ht="18" customHeight="1">
      <c r="A325" s="102" t="s">
        <v>232</v>
      </c>
      <c r="B325" s="103"/>
      <c r="C325" s="103"/>
      <c r="D325" s="103"/>
      <c r="E325" s="104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233</v>
      </c>
      <c r="O325" s="48">
        <f>IFERROR(O311+O324,"")</f>
        <v>982760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38</v>
      </c>
      <c r="E326" s="59" t="s">
        <v>254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315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254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254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254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197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291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227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254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302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254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127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254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254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254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254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254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9" t="s">
        <v>229</v>
      </c>
      <c r="B338" s="100"/>
      <c r="C338" s="100"/>
      <c r="D338" s="100"/>
      <c r="E338" s="101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230</v>
      </c>
      <c r="O338" s="39">
        <v>168000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254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254</v>
      </c>
      <c r="F340" s="27">
        <v>8</v>
      </c>
      <c r="G340" s="28">
        <f t="shared" si="75"/>
        <v>33.6</v>
      </c>
      <c r="H340" s="26" t="s">
        <v>20</v>
      </c>
      <c r="I340" s="26" t="s">
        <v>120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254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254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254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254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254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254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254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254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254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254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9" t="s">
        <v>231</v>
      </c>
      <c r="B351" s="100"/>
      <c r="C351" s="100"/>
      <c r="D351" s="100"/>
      <c r="E351" s="101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230</v>
      </c>
      <c r="O351" s="39">
        <v>437940</v>
      </c>
    </row>
    <row r="352" spans="1:15" ht="18" customHeight="1">
      <c r="A352" s="102" t="s">
        <v>232</v>
      </c>
      <c r="B352" s="103"/>
      <c r="C352" s="103"/>
      <c r="D352" s="103"/>
      <c r="E352" s="104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233</v>
      </c>
      <c r="O352" s="48">
        <f>IFERROR(O338+O351,"")</f>
        <v>605940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254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254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254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254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254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254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254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254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254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254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254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254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9" t="s">
        <v>229</v>
      </c>
      <c r="B365" s="100"/>
      <c r="C365" s="100"/>
      <c r="D365" s="100"/>
      <c r="E365" s="101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230</v>
      </c>
      <c r="O365" s="39">
        <v>29130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254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254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254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254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254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254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254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254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254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254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254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254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9" t="s">
        <v>231</v>
      </c>
      <c r="B378" s="100"/>
      <c r="C378" s="100"/>
      <c r="D378" s="100"/>
      <c r="E378" s="101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230</v>
      </c>
      <c r="O378" s="39">
        <v>473310</v>
      </c>
    </row>
    <row r="379" spans="1:15" ht="18" customHeight="1">
      <c r="A379" s="102" t="s">
        <v>232</v>
      </c>
      <c r="B379" s="103"/>
      <c r="C379" s="103"/>
      <c r="D379" s="103"/>
      <c r="E379" s="104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233</v>
      </c>
      <c r="O379" s="48">
        <f>IFERROR(O365+O378,"")</f>
        <v>502440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46</v>
      </c>
      <c r="E380" s="59" t="s">
        <v>254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254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254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254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254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254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254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254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254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254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254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254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9" t="s">
        <v>229</v>
      </c>
      <c r="B392" s="100"/>
      <c r="C392" s="100"/>
      <c r="D392" s="100"/>
      <c r="E392" s="101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230</v>
      </c>
      <c r="O392" s="39">
        <v>399940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227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254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254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254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254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254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254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254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254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254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254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254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9" t="s">
        <v>231</v>
      </c>
      <c r="B405" s="100"/>
      <c r="C405" s="100"/>
      <c r="D405" s="100"/>
      <c r="E405" s="101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230</v>
      </c>
      <c r="O405" s="39">
        <v>507450</v>
      </c>
    </row>
    <row r="406" spans="1:15" ht="18" customHeight="1">
      <c r="A406" s="102" t="s">
        <v>232</v>
      </c>
      <c r="B406" s="103"/>
      <c r="C406" s="103"/>
      <c r="D406" s="103"/>
      <c r="E406" s="104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233</v>
      </c>
      <c r="O406" s="48">
        <f>IFERROR(O392+O405,"")</f>
        <v>907390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46</v>
      </c>
      <c r="E407" s="62" t="s">
        <v>254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254</v>
      </c>
      <c r="F408" s="27">
        <v>5</v>
      </c>
      <c r="G408" s="28">
        <f t="shared" si="90"/>
        <v>21</v>
      </c>
      <c r="H408" s="26" t="s">
        <v>17</v>
      </c>
      <c r="I408" s="26" t="s">
        <v>135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254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254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254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254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254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254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227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227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254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254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99" t="s">
        <v>229</v>
      </c>
      <c r="B419" s="100"/>
      <c r="C419" s="100"/>
      <c r="D419" s="100"/>
      <c r="E419" s="101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230</v>
      </c>
      <c r="O419" s="39">
        <v>209000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227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165</v>
      </c>
      <c r="J420" s="26" t="s">
        <v>115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254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6">
        <f t="shared" ca="1" si="94"/>
        <v>1.5972222222222276E-2</v>
      </c>
      <c r="N421" s="98" t="s">
        <v>288</v>
      </c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254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5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254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254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254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254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254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254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254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254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254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9" t="s">
        <v>231</v>
      </c>
      <c r="B432" s="100"/>
      <c r="C432" s="100"/>
      <c r="D432" s="100"/>
      <c r="E432" s="101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230</v>
      </c>
      <c r="O432" s="39">
        <v>229150</v>
      </c>
    </row>
    <row r="433" spans="1:15" ht="18" customHeight="1">
      <c r="A433" s="102" t="s">
        <v>232</v>
      </c>
      <c r="B433" s="103"/>
      <c r="C433" s="103"/>
      <c r="D433" s="103"/>
      <c r="E433" s="104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233</v>
      </c>
      <c r="O433" s="48">
        <f>IFERROR(O419+O432,"")</f>
        <v>438150</v>
      </c>
    </row>
    <row r="434" spans="1:15" ht="15" customHeight="1">
      <c r="A434" s="69">
        <v>46220</v>
      </c>
      <c r="B434" s="25">
        <v>0.33333333333333298</v>
      </c>
      <c r="C434" s="26" t="s">
        <v>21</v>
      </c>
      <c r="D434" s="59" t="s">
        <v>30</v>
      </c>
      <c r="E434" s="59" t="s">
        <v>254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316</v>
      </c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254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254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254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254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254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254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254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254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254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254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254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9" t="s">
        <v>229</v>
      </c>
      <c r="B446" s="100"/>
      <c r="C446" s="100"/>
      <c r="D446" s="100"/>
      <c r="E446" s="101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230</v>
      </c>
      <c r="O446" s="39">
        <v>191330</v>
      </c>
    </row>
    <row r="447" spans="1:15" ht="15" customHeight="1">
      <c r="A447" s="70">
        <v>46220</v>
      </c>
      <c r="B447" s="32">
        <v>0.83333333333333304</v>
      </c>
      <c r="C447" s="33" t="s">
        <v>45</v>
      </c>
      <c r="D447" s="62" t="s">
        <v>30</v>
      </c>
      <c r="E447" s="62" t="s">
        <v>227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227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227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227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227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227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227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227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227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227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227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227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9" t="s">
        <v>231</v>
      </c>
      <c r="B459" s="100"/>
      <c r="C459" s="100"/>
      <c r="D459" s="100"/>
      <c r="E459" s="101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230</v>
      </c>
      <c r="O459" s="39">
        <v>409980</v>
      </c>
    </row>
    <row r="460" spans="1:15" ht="18" customHeight="1">
      <c r="A460" s="102" t="s">
        <v>232</v>
      </c>
      <c r="B460" s="103"/>
      <c r="C460" s="103"/>
      <c r="D460" s="103"/>
      <c r="E460" s="104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233</v>
      </c>
      <c r="O460" s="48">
        <f>IFERROR(O446+O459,"")</f>
        <v>601310</v>
      </c>
    </row>
    <row r="461" spans="1:15" ht="15" customHeight="1">
      <c r="A461" s="70">
        <v>46221</v>
      </c>
      <c r="B461" s="32">
        <v>0.33333333333333298</v>
      </c>
      <c r="C461" s="33" t="s">
        <v>21</v>
      </c>
      <c r="D461" s="62" t="s">
        <v>30</v>
      </c>
      <c r="E461" s="62" t="s">
        <v>227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227</v>
      </c>
      <c r="F462" s="27">
        <v>7</v>
      </c>
      <c r="G462" s="28">
        <f t="shared" si="102"/>
        <v>35</v>
      </c>
      <c r="H462" s="26" t="s">
        <v>18</v>
      </c>
      <c r="I462" s="26" t="s">
        <v>146</v>
      </c>
      <c r="J462" s="26" t="s">
        <v>127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227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201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227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227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227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227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227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227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227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227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227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9" t="s">
        <v>229</v>
      </c>
      <c r="B473" s="100"/>
      <c r="C473" s="100"/>
      <c r="D473" s="100"/>
      <c r="E473" s="101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230</v>
      </c>
      <c r="O473" s="39">
        <v>228940</v>
      </c>
    </row>
    <row r="474" spans="1:15" ht="15" customHeight="1">
      <c r="A474" s="69">
        <v>46221</v>
      </c>
      <c r="B474" s="25">
        <v>0.83333333333333304</v>
      </c>
      <c r="C474" s="26" t="s">
        <v>45</v>
      </c>
      <c r="D474" s="59" t="s">
        <v>30</v>
      </c>
      <c r="E474" s="59" t="s">
        <v>227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227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227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227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227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227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227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227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227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227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227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227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9" t="s">
        <v>231</v>
      </c>
      <c r="B486" s="100"/>
      <c r="C486" s="100"/>
      <c r="D486" s="100"/>
      <c r="E486" s="101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230</v>
      </c>
      <c r="O486" s="39">
        <v>341550</v>
      </c>
    </row>
    <row r="487" spans="1:15" ht="18" customHeight="1">
      <c r="A487" s="102" t="s">
        <v>232</v>
      </c>
      <c r="B487" s="103"/>
      <c r="C487" s="103"/>
      <c r="D487" s="103"/>
      <c r="E487" s="104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233</v>
      </c>
      <c r="O487" s="48">
        <f>IFERROR(O473+O486,"")</f>
        <v>570490</v>
      </c>
    </row>
    <row r="488" spans="1:15" ht="15" customHeight="1">
      <c r="A488" s="69">
        <v>46222</v>
      </c>
      <c r="B488" s="25">
        <v>0.33333333333333298</v>
      </c>
      <c r="C488" s="26" t="s">
        <v>21</v>
      </c>
      <c r="D488" s="59" t="s">
        <v>30</v>
      </c>
      <c r="E488" s="59" t="s">
        <v>227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317</v>
      </c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227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227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227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227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227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254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254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254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254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254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254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9" t="s">
        <v>229</v>
      </c>
      <c r="B500" s="100"/>
      <c r="C500" s="100"/>
      <c r="D500" s="100"/>
      <c r="E500" s="101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230</v>
      </c>
      <c r="O500" s="39">
        <v>316430</v>
      </c>
    </row>
    <row r="501" spans="1:15" ht="15" customHeight="1">
      <c r="A501" s="70">
        <v>46222</v>
      </c>
      <c r="B501" s="32">
        <v>0.83333333333333304</v>
      </c>
      <c r="C501" s="33" t="s">
        <v>45</v>
      </c>
      <c r="D501" s="62" t="s">
        <v>30</v>
      </c>
      <c r="E501" s="62" t="s">
        <v>254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227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254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254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254</v>
      </c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254</v>
      </c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254</v>
      </c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254</v>
      </c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254</v>
      </c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254</v>
      </c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254</v>
      </c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254</v>
      </c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9" t="s">
        <v>231</v>
      </c>
      <c r="B513" s="100"/>
      <c r="C513" s="100"/>
      <c r="D513" s="100"/>
      <c r="E513" s="101">
        <f>SUM(E501:E512)</f>
        <v>0</v>
      </c>
      <c r="F513" s="36">
        <f>SUM(F501:F512)</f>
        <v>30</v>
      </c>
      <c r="G513" s="36">
        <f>SUM(G501:G512)</f>
        <v>130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230</v>
      </c>
      <c r="O513" s="39"/>
    </row>
    <row r="514" spans="1:15" ht="18" customHeight="1">
      <c r="A514" s="102" t="s">
        <v>232</v>
      </c>
      <c r="B514" s="103"/>
      <c r="C514" s="103"/>
      <c r="D514" s="103"/>
      <c r="E514" s="104">
        <f>E500+E513</f>
        <v>0</v>
      </c>
      <c r="F514" s="40">
        <f>F500+F513</f>
        <v>84</v>
      </c>
      <c r="G514" s="40">
        <f>G500+G513</f>
        <v>378.40000000000003</v>
      </c>
      <c r="H514" s="41"/>
      <c r="I514" s="41"/>
      <c r="J514" s="41"/>
      <c r="K514" s="41"/>
      <c r="L514" s="41"/>
      <c r="M514" s="42">
        <f ca="1">IFERROR(M500+M513,"")</f>
        <v>1.736111111111116E-2</v>
      </c>
      <c r="N514" s="40" t="s">
        <v>233</v>
      </c>
      <c r="O514" s="48">
        <f>IFERROR(O500+O513,"")</f>
        <v>316430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9" t="s">
        <v>229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230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9" t="s">
        <v>231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230</v>
      </c>
      <c r="O540" s="39"/>
    </row>
    <row r="541" spans="1:15" ht="18" customHeight="1">
      <c r="A541" s="102" t="s">
        <v>232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233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9" t="s">
        <v>229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230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9" t="s">
        <v>231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230</v>
      </c>
      <c r="O567" s="39"/>
    </row>
    <row r="568" spans="1:15" ht="18" customHeight="1">
      <c r="A568" s="102" t="s">
        <v>232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233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9" t="s">
        <v>229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230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9" t="s">
        <v>231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230</v>
      </c>
      <c r="O594" s="39"/>
    </row>
    <row r="595" spans="1:15" ht="18" customHeight="1">
      <c r="A595" s="102" t="s">
        <v>232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233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9" t="s">
        <v>229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230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9" t="s">
        <v>231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230</v>
      </c>
      <c r="O621" s="39"/>
    </row>
    <row r="622" spans="1:15" ht="18" customHeight="1">
      <c r="A622" s="102" t="s">
        <v>232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233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9" t="s">
        <v>229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230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9" t="s">
        <v>231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230</v>
      </c>
      <c r="O648" s="39"/>
    </row>
    <row r="649" spans="1:15" ht="18" customHeight="1">
      <c r="A649" s="102" t="s">
        <v>232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233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9" t="s">
        <v>229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230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9" t="s">
        <v>231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230</v>
      </c>
      <c r="O675" s="39"/>
    </row>
    <row r="676" spans="1:15" ht="18" customHeight="1">
      <c r="A676" s="102" t="s">
        <v>232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233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9" t="s">
        <v>229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230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9" t="s">
        <v>231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230</v>
      </c>
      <c r="O702" s="39"/>
    </row>
    <row r="703" spans="1:15" ht="18" customHeight="1">
      <c r="A703" s="102" t="s">
        <v>232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233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9" t="s">
        <v>229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230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9" t="s">
        <v>231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230</v>
      </c>
      <c r="O729" s="39"/>
    </row>
    <row r="730" spans="1:15" ht="18" customHeight="1">
      <c r="A730" s="102" t="s">
        <v>232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233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9" t="s">
        <v>229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230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9" t="s">
        <v>231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2" t="s">
        <v>232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233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9" t="s">
        <v>229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230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9" t="s">
        <v>231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2" t="s">
        <v>232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233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9" t="s">
        <v>229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230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9" t="s">
        <v>231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102" t="s">
        <v>232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233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2">
    <dataValidation type="list" allowBlank="1" showErrorMessage="1" errorTitle="Valor inválido" error="Selecione PC 17 ou PC 19 da lista." sqref="E15:E26 E2:E13 E29:E380 E382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tabSelected="1" zoomScale="50" zoomScaleNormal="50" workbookViewId="0">
      <pane ySplit="1" topLeftCell="A487" activePane="bottomLeft" state="frozen"/>
      <selection pane="bottomLeft" activeCell="J502" sqref="J502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50" style="57" customWidth="1"/>
    <col min="15" max="15" width="14" customWidth="1"/>
    <col min="16" max="16" width="9.42578125" bestFit="1" customWidth="1"/>
  </cols>
  <sheetData>
    <row r="1" spans="1:15" ht="37.5" customHeight="1">
      <c r="A1" s="68" t="s">
        <v>7</v>
      </c>
      <c r="B1" s="23" t="s">
        <v>216</v>
      </c>
      <c r="C1" s="23" t="s">
        <v>12</v>
      </c>
      <c r="D1" s="22" t="s">
        <v>13</v>
      </c>
      <c r="E1" s="22" t="s">
        <v>217</v>
      </c>
      <c r="F1" s="23" t="s">
        <v>218</v>
      </c>
      <c r="G1" s="23" t="s">
        <v>219</v>
      </c>
      <c r="H1" s="23" t="s">
        <v>14</v>
      </c>
      <c r="I1" s="23" t="s">
        <v>15</v>
      </c>
      <c r="J1" s="23" t="s">
        <v>220</v>
      </c>
      <c r="K1" s="23" t="s">
        <v>221</v>
      </c>
      <c r="L1" s="23" t="s">
        <v>222</v>
      </c>
      <c r="M1" s="24" t="s">
        <v>223</v>
      </c>
      <c r="N1" s="23" t="s">
        <v>224</v>
      </c>
      <c r="O1" s="23" t="s">
        <v>225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254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138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318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254</v>
      </c>
      <c r="F3" s="27">
        <v>0</v>
      </c>
      <c r="G3" s="34">
        <f t="shared" si="0"/>
        <v>0</v>
      </c>
      <c r="H3" s="33" t="s">
        <v>18</v>
      </c>
      <c r="I3" s="33" t="s">
        <v>159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291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254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190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254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254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254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254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254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254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254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254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254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9" t="s">
        <v>229</v>
      </c>
      <c r="B14" s="100"/>
      <c r="C14" s="100"/>
      <c r="D14" s="100"/>
      <c r="E14" s="101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230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254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254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319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254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254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254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254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254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254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254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254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254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254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9" t="s">
        <v>231</v>
      </c>
      <c r="B27" s="100"/>
      <c r="C27" s="100"/>
      <c r="D27" s="100"/>
      <c r="E27" s="101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230</v>
      </c>
      <c r="O27" s="39">
        <v>202230</v>
      </c>
    </row>
    <row r="28" spans="1:15" ht="18" customHeight="1">
      <c r="A28" s="102" t="s">
        <v>232</v>
      </c>
      <c r="B28" s="103"/>
      <c r="C28" s="103"/>
      <c r="D28" s="103"/>
      <c r="E28" s="104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233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254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126</v>
      </c>
      <c r="J29" s="33" t="s">
        <v>194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320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254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254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254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254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254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321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254</v>
      </c>
      <c r="F35" s="27">
        <v>0</v>
      </c>
      <c r="G35" s="28">
        <f t="shared" si="6"/>
        <v>0</v>
      </c>
      <c r="H35" s="33" t="s">
        <v>20</v>
      </c>
      <c r="I35" s="33" t="s">
        <v>149</v>
      </c>
      <c r="J35" s="33" t="s">
        <v>179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254</v>
      </c>
      <c r="F36" s="27">
        <v>0</v>
      </c>
      <c r="G36" s="34">
        <f t="shared" si="6"/>
        <v>0</v>
      </c>
      <c r="H36" s="26" t="s">
        <v>20</v>
      </c>
      <c r="I36" s="26" t="s">
        <v>149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254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254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254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254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9" t="s">
        <v>229</v>
      </c>
      <c r="B41" s="100"/>
      <c r="C41" s="100"/>
      <c r="D41" s="100"/>
      <c r="E41" s="101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230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254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254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254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254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254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254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254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254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254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254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254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254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9" t="s">
        <v>231</v>
      </c>
      <c r="B54" s="100"/>
      <c r="C54" s="100"/>
      <c r="D54" s="100"/>
      <c r="E54" s="101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230</v>
      </c>
      <c r="O54" s="39">
        <v>473910</v>
      </c>
    </row>
    <row r="55" spans="1:15" ht="18" customHeight="1">
      <c r="A55" s="102" t="s">
        <v>232</v>
      </c>
      <c r="B55" s="103"/>
      <c r="C55" s="103"/>
      <c r="D55" s="103"/>
      <c r="E55" s="104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233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254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254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254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322</v>
      </c>
      <c r="L58" s="29">
        <v>0.54097222222222219</v>
      </c>
      <c r="M58" s="30" t="str">
        <f t="shared" ca="1" si="13"/>
        <v/>
      </c>
      <c r="N58" s="27" t="s">
        <v>323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254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254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254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254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254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254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254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254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254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9" t="s">
        <v>229</v>
      </c>
      <c r="B68" s="100"/>
      <c r="C68" s="100"/>
      <c r="D68" s="100"/>
      <c r="E68" s="101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230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254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254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297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254</v>
      </c>
      <c r="F71" s="27">
        <v>12</v>
      </c>
      <c r="G71" s="34">
        <f t="shared" si="15"/>
        <v>50.400000000000006</v>
      </c>
      <c r="H71" s="33" t="s">
        <v>18</v>
      </c>
      <c r="I71" s="33" t="s">
        <v>126</v>
      </c>
      <c r="J71" s="33" t="s">
        <v>196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254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164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324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254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164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325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254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326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254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164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327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254</v>
      </c>
      <c r="F76" s="27">
        <v>1</v>
      </c>
      <c r="G76" s="28">
        <f t="shared" si="15"/>
        <v>4.2</v>
      </c>
      <c r="H76" s="26" t="s">
        <v>20</v>
      </c>
      <c r="I76" s="26" t="s">
        <v>149</v>
      </c>
      <c r="J76" s="26" t="s">
        <v>182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254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254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254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254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9" t="s">
        <v>231</v>
      </c>
      <c r="B81" s="100"/>
      <c r="C81" s="100"/>
      <c r="D81" s="100"/>
      <c r="E81" s="101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230</v>
      </c>
      <c r="O81" s="39">
        <v>565120</v>
      </c>
    </row>
    <row r="82" spans="1:15" ht="18" customHeight="1">
      <c r="A82" s="102" t="s">
        <v>232</v>
      </c>
      <c r="B82" s="103"/>
      <c r="C82" s="103"/>
      <c r="D82" s="103"/>
      <c r="E82" s="104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233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254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328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254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254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254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254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227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227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227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227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227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227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227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9" t="s">
        <v>229</v>
      </c>
      <c r="B95" s="100"/>
      <c r="C95" s="100"/>
      <c r="D95" s="100"/>
      <c r="E95" s="101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230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254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159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254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254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198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254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254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254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254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254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254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254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254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254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9" t="s">
        <v>231</v>
      </c>
      <c r="B108" s="100"/>
      <c r="C108" s="100"/>
      <c r="D108" s="100"/>
      <c r="E108" s="101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230</v>
      </c>
      <c r="O108" s="39">
        <v>558590</v>
      </c>
    </row>
    <row r="109" spans="1:15" ht="18" customHeight="1">
      <c r="A109" s="102" t="s">
        <v>232</v>
      </c>
      <c r="B109" s="103"/>
      <c r="C109" s="103"/>
      <c r="D109" s="103"/>
      <c r="E109" s="104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233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254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198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329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254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254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254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254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254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254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254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254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254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254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254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9" t="s">
        <v>229</v>
      </c>
      <c r="B122" s="100"/>
      <c r="C122" s="100"/>
      <c r="D122" s="100"/>
      <c r="E122" s="101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230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227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227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330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227</v>
      </c>
      <c r="F125" s="27">
        <v>20</v>
      </c>
      <c r="G125" s="34">
        <f t="shared" si="27"/>
        <v>100</v>
      </c>
      <c r="H125" s="33" t="s">
        <v>18</v>
      </c>
      <c r="I125" s="33" t="s">
        <v>126</v>
      </c>
      <c r="J125" s="33" t="s">
        <v>202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331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227</v>
      </c>
      <c r="F126" s="27">
        <v>23</v>
      </c>
      <c r="G126" s="28">
        <f t="shared" si="27"/>
        <v>115</v>
      </c>
      <c r="H126" s="26" t="s">
        <v>19</v>
      </c>
      <c r="I126" s="26" t="s">
        <v>159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227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191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227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0.73992928241204936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227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266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227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227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227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227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227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9" t="s">
        <v>231</v>
      </c>
      <c r="B135" s="100"/>
      <c r="C135" s="100"/>
      <c r="D135" s="100"/>
      <c r="E135" s="101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0.93923483796760499</v>
      </c>
      <c r="N135" s="36" t="s">
        <v>230</v>
      </c>
      <c r="O135" s="39">
        <v>729290</v>
      </c>
    </row>
    <row r="136" spans="1:18" ht="18" customHeight="1">
      <c r="A136" s="102" t="s">
        <v>232</v>
      </c>
      <c r="B136" s="103"/>
      <c r="C136" s="103"/>
      <c r="D136" s="103"/>
      <c r="E136" s="104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1.306595949078716</v>
      </c>
      <c r="N136" s="40" t="s">
        <v>233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227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227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227</v>
      </c>
      <c r="F139" s="27">
        <v>28</v>
      </c>
      <c r="G139" s="34">
        <f t="shared" si="30"/>
        <v>140</v>
      </c>
      <c r="H139" s="33" t="s">
        <v>19</v>
      </c>
      <c r="I139" s="33" t="s">
        <v>159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332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227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268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227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227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227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227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227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227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227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227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229</v>
      </c>
      <c r="B149" s="100"/>
      <c r="C149" s="100"/>
      <c r="D149" s="100"/>
      <c r="E149" s="101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230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227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302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227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254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164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333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254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254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254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254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254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254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254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254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254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231</v>
      </c>
      <c r="B162" s="100"/>
      <c r="C162" s="100"/>
      <c r="D162" s="100"/>
      <c r="E162" s="101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230</v>
      </c>
      <c r="O162" s="39">
        <v>697320</v>
      </c>
    </row>
    <row r="163" spans="1:15" ht="18" customHeight="1">
      <c r="A163" s="102" t="s">
        <v>232</v>
      </c>
      <c r="B163" s="103"/>
      <c r="C163" s="103"/>
      <c r="D163" s="103"/>
      <c r="E163" s="104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233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227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254</v>
      </c>
      <c r="F165" s="27">
        <v>20</v>
      </c>
      <c r="G165" s="34">
        <f t="shared" si="36"/>
        <v>84</v>
      </c>
      <c r="H165" s="33" t="s">
        <v>20</v>
      </c>
      <c r="I165" s="33" t="s">
        <v>138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254</v>
      </c>
      <c r="F166" s="27">
        <v>10</v>
      </c>
      <c r="G166" s="28">
        <f t="shared" si="36"/>
        <v>42</v>
      </c>
      <c r="H166" s="26" t="s">
        <v>19</v>
      </c>
      <c r="I166" s="26" t="s">
        <v>138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254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254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334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254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254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254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254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254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254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254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229</v>
      </c>
      <c r="B176" s="100"/>
      <c r="C176" s="100"/>
      <c r="D176" s="100"/>
      <c r="E176" s="101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230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254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159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254</v>
      </c>
      <c r="F178" s="27">
        <v>16</v>
      </c>
      <c r="G178" s="28">
        <f t="shared" si="39"/>
        <v>67.2</v>
      </c>
      <c r="H178" s="26" t="s">
        <v>20</v>
      </c>
      <c r="I178" s="26" t="s">
        <v>138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254</v>
      </c>
      <c r="F179" s="27">
        <v>20</v>
      </c>
      <c r="G179" s="34">
        <f t="shared" si="39"/>
        <v>84</v>
      </c>
      <c r="H179" s="33" t="s">
        <v>20</v>
      </c>
      <c r="I179" s="33" t="s">
        <v>138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254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254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254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254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254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254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254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254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254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231</v>
      </c>
      <c r="B189" s="100"/>
      <c r="C189" s="100"/>
      <c r="D189" s="100"/>
      <c r="E189" s="101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230</v>
      </c>
      <c r="O189" s="39">
        <v>973580</v>
      </c>
    </row>
    <row r="190" spans="1:15" ht="18" customHeight="1">
      <c r="A190" s="102" t="s">
        <v>232</v>
      </c>
      <c r="B190" s="103"/>
      <c r="C190" s="103"/>
      <c r="D190" s="103"/>
      <c r="E190" s="104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233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254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140</v>
      </c>
      <c r="J191" s="33" t="s">
        <v>127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254</v>
      </c>
      <c r="F192" s="27">
        <v>15</v>
      </c>
      <c r="G192" s="28">
        <f t="shared" si="42"/>
        <v>63</v>
      </c>
      <c r="H192" s="26" t="s">
        <v>19</v>
      </c>
      <c r="I192" s="26" t="s">
        <v>159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254</v>
      </c>
      <c r="F193" s="27">
        <v>15</v>
      </c>
      <c r="G193" s="34">
        <f t="shared" si="42"/>
        <v>63</v>
      </c>
      <c r="H193" s="33" t="s">
        <v>18</v>
      </c>
      <c r="I193" s="33" t="s">
        <v>138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335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254</v>
      </c>
      <c r="F194" s="27">
        <v>15</v>
      </c>
      <c r="G194" s="28">
        <f t="shared" si="42"/>
        <v>63</v>
      </c>
      <c r="H194" s="26" t="s">
        <v>19</v>
      </c>
      <c r="I194" s="26" t="s">
        <v>159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336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254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254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254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254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254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254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254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254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229</v>
      </c>
      <c r="B203" s="100"/>
      <c r="C203" s="100"/>
      <c r="D203" s="100"/>
      <c r="E203" s="101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230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254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227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254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163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337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254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254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254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254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254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254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254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254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254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9" t="s">
        <v>231</v>
      </c>
      <c r="B216" s="100"/>
      <c r="C216" s="100"/>
      <c r="D216" s="100"/>
      <c r="E216" s="101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230</v>
      </c>
      <c r="O216" s="45">
        <v>1060630</v>
      </c>
    </row>
    <row r="217" spans="1:15" ht="18" customHeight="1">
      <c r="A217" s="102" t="s">
        <v>232</v>
      </c>
      <c r="B217" s="103"/>
      <c r="C217" s="103"/>
      <c r="D217" s="103"/>
      <c r="E217" s="104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233</v>
      </c>
      <c r="O217" s="48">
        <f>IFERROR(O203+O216,"")</f>
        <v>1735070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254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338</v>
      </c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254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254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339</v>
      </c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254</v>
      </c>
      <c r="F221" s="27">
        <v>10</v>
      </c>
      <c r="G221" s="34">
        <f t="shared" si="48"/>
        <v>42</v>
      </c>
      <c r="H221" s="33" t="s">
        <v>20</v>
      </c>
      <c r="I221" s="33" t="s">
        <v>138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254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254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254</v>
      </c>
      <c r="F224" s="27">
        <v>30</v>
      </c>
      <c r="G224" s="28">
        <f t="shared" si="48"/>
        <v>126</v>
      </c>
      <c r="H224" s="26" t="s">
        <v>20</v>
      </c>
      <c r="I224" s="26" t="s">
        <v>138</v>
      </c>
      <c r="J224" s="26" t="s">
        <v>182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254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340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254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254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254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254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9" t="s">
        <v>229</v>
      </c>
      <c r="B230" s="100"/>
      <c r="C230" s="100"/>
      <c r="D230" s="100"/>
      <c r="E230" s="101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230</v>
      </c>
      <c r="O230" s="39">
        <v>587230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254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227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341</v>
      </c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254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153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254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254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254</v>
      </c>
      <c r="F236" s="27">
        <v>27</v>
      </c>
      <c r="G236" s="28">
        <f t="shared" si="51"/>
        <v>113.4</v>
      </c>
      <c r="H236" s="50" t="s">
        <v>20</v>
      </c>
      <c r="I236" s="50" t="s">
        <v>138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254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254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227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254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227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254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9" t="s">
        <v>231</v>
      </c>
      <c r="B243" s="100"/>
      <c r="C243" s="100"/>
      <c r="D243" s="100"/>
      <c r="E243" s="101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230</v>
      </c>
      <c r="O243" s="39">
        <v>982340</v>
      </c>
    </row>
    <row r="244" spans="1:15" ht="18" customHeight="1">
      <c r="A244" s="102" t="s">
        <v>232</v>
      </c>
      <c r="B244" s="103"/>
      <c r="C244" s="103"/>
      <c r="D244" s="103"/>
      <c r="E244" s="104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233</v>
      </c>
      <c r="O244" s="48">
        <f>IFERROR(O230+O243,"")</f>
        <v>1569570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254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159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342</v>
      </c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254</v>
      </c>
      <c r="F246" s="27">
        <v>20</v>
      </c>
      <c r="G246" s="34">
        <f t="shared" si="54"/>
        <v>84</v>
      </c>
      <c r="H246" s="33" t="s">
        <v>18</v>
      </c>
      <c r="I246" s="26" t="s">
        <v>137</v>
      </c>
      <c r="J246" s="33" t="s">
        <v>205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254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254</v>
      </c>
      <c r="F248" s="27">
        <v>5</v>
      </c>
      <c r="G248" s="34">
        <f t="shared" si="54"/>
        <v>21</v>
      </c>
      <c r="H248" s="26" t="s">
        <v>20</v>
      </c>
      <c r="I248" s="26" t="s">
        <v>154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254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254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254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254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254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254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254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254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9" t="s">
        <v>229</v>
      </c>
      <c r="B257" s="100"/>
      <c r="C257" s="100"/>
      <c r="D257" s="100"/>
      <c r="E257" s="101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230</v>
      </c>
      <c r="O257" s="39">
        <v>874480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254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154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254</v>
      </c>
      <c r="F259" s="27">
        <v>19</v>
      </c>
      <c r="G259" s="28">
        <f t="shared" si="57"/>
        <v>79.8</v>
      </c>
      <c r="H259" s="50" t="s">
        <v>19</v>
      </c>
      <c r="I259" s="50" t="s">
        <v>159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254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254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254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254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254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254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254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254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254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254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9" t="s">
        <v>231</v>
      </c>
      <c r="B270" s="100"/>
      <c r="C270" s="100"/>
      <c r="D270" s="100"/>
      <c r="E270" s="101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230</v>
      </c>
      <c r="O270" s="39">
        <v>1208450</v>
      </c>
    </row>
    <row r="271" spans="1:15" ht="18" customHeight="1">
      <c r="A271" s="102" t="s">
        <v>232</v>
      </c>
      <c r="B271" s="103"/>
      <c r="C271" s="103"/>
      <c r="D271" s="103"/>
      <c r="E271" s="104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233</v>
      </c>
      <c r="O271" s="48">
        <f>IFERROR(O257+O270,"")</f>
        <v>2082930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254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159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254</v>
      </c>
      <c r="F273" s="27">
        <v>25</v>
      </c>
      <c r="G273" s="34">
        <f t="shared" si="60"/>
        <v>105</v>
      </c>
      <c r="H273" s="33" t="s">
        <v>20</v>
      </c>
      <c r="I273" s="33" t="s">
        <v>154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254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159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254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254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254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254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254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254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254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254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254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9" t="s">
        <v>229</v>
      </c>
      <c r="B284" s="100"/>
      <c r="C284" s="100"/>
      <c r="D284" s="100"/>
      <c r="E284" s="101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230</v>
      </c>
      <c r="O284" s="39">
        <v>787000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254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254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254</v>
      </c>
      <c r="F287" s="27">
        <v>40</v>
      </c>
      <c r="G287" s="34">
        <f t="shared" si="63"/>
        <v>168</v>
      </c>
      <c r="H287" s="33" t="s">
        <v>20</v>
      </c>
      <c r="I287" s="33" t="s">
        <v>154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254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227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254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254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254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254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254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254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254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9" t="s">
        <v>231</v>
      </c>
      <c r="B297" s="100"/>
      <c r="C297" s="100"/>
      <c r="D297" s="100"/>
      <c r="E297" s="101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230</v>
      </c>
      <c r="O297" s="39">
        <v>1049090</v>
      </c>
    </row>
    <row r="298" spans="1:15" ht="18" customHeight="1">
      <c r="A298" s="102" t="s">
        <v>232</v>
      </c>
      <c r="B298" s="103"/>
      <c r="C298" s="103"/>
      <c r="D298" s="103"/>
      <c r="E298" s="104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233</v>
      </c>
      <c r="O298" s="48">
        <f>IFERROR(O284+O297,"")</f>
        <v>1836090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254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343</v>
      </c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254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207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254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208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254</v>
      </c>
      <c r="F302" s="27">
        <v>0</v>
      </c>
      <c r="G302" s="28">
        <f t="shared" si="66"/>
        <v>0</v>
      </c>
      <c r="H302" s="26" t="s">
        <v>18</v>
      </c>
      <c r="I302" s="26" t="s">
        <v>137</v>
      </c>
      <c r="J302" s="26" t="s">
        <v>127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254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254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254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254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254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254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254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254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9" t="s">
        <v>229</v>
      </c>
      <c r="B311" s="100"/>
      <c r="C311" s="100"/>
      <c r="D311" s="100"/>
      <c r="E311" s="101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230</v>
      </c>
      <c r="O311" s="39">
        <v>145580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227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137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254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169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254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254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254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254</v>
      </c>
      <c r="F317" s="27">
        <v>20</v>
      </c>
      <c r="G317" s="34">
        <f t="shared" si="69"/>
        <v>84</v>
      </c>
      <c r="H317" s="33" t="s">
        <v>20</v>
      </c>
      <c r="I317" s="33" t="s">
        <v>129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254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263</v>
      </c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254</v>
      </c>
      <c r="F319" s="27">
        <v>26</v>
      </c>
      <c r="G319" s="34">
        <f t="shared" si="69"/>
        <v>109.2</v>
      </c>
      <c r="H319" s="33" t="s">
        <v>20</v>
      </c>
      <c r="I319" s="33" t="s">
        <v>154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254</v>
      </c>
      <c r="F320" s="27">
        <v>30</v>
      </c>
      <c r="G320" s="28">
        <f t="shared" si="69"/>
        <v>126</v>
      </c>
      <c r="H320" s="26" t="s">
        <v>19</v>
      </c>
      <c r="I320" s="26" t="s">
        <v>159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254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254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227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9" t="s">
        <v>231</v>
      </c>
      <c r="B324" s="100"/>
      <c r="C324" s="100"/>
      <c r="D324" s="100"/>
      <c r="E324" s="101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230</v>
      </c>
      <c r="O324" s="39">
        <v>1063720</v>
      </c>
    </row>
    <row r="325" spans="1:15" ht="18" customHeight="1">
      <c r="A325" s="102" t="s">
        <v>232</v>
      </c>
      <c r="B325" s="103"/>
      <c r="C325" s="103"/>
      <c r="D325" s="103"/>
      <c r="E325" s="104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233</v>
      </c>
      <c r="O325" s="48">
        <f>IFERROR(O311+O324,"")</f>
        <v>1209300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7" t="s">
        <v>254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70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254</v>
      </c>
      <c r="F327" s="27">
        <v>20</v>
      </c>
      <c r="G327" s="34">
        <v>84</v>
      </c>
      <c r="H327" s="33" t="s">
        <v>18</v>
      </c>
      <c r="I327" s="33" t="s">
        <v>159</v>
      </c>
      <c r="J327" s="33" t="s">
        <v>118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291</v>
      </c>
      <c r="O327" s="60"/>
    </row>
    <row r="328" spans="1:15" ht="15" customHeight="1">
      <c r="A328" s="69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254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129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70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254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9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227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70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254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9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254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70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254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9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254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70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254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9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254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70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254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9" t="s">
        <v>229</v>
      </c>
      <c r="B338" s="100"/>
      <c r="C338" s="100"/>
      <c r="D338" s="100"/>
      <c r="E338" s="101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230</v>
      </c>
      <c r="O338" s="39">
        <v>780000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254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254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254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254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254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254</v>
      </c>
      <c r="F344" s="27">
        <v>20</v>
      </c>
      <c r="G344" s="28">
        <f t="shared" si="75"/>
        <v>84</v>
      </c>
      <c r="H344" s="26" t="s">
        <v>20</v>
      </c>
      <c r="I344" s="26" t="s">
        <v>154</v>
      </c>
      <c r="J344" s="26" t="s">
        <v>74</v>
      </c>
      <c r="K344" s="29" t="s">
        <v>344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254</v>
      </c>
      <c r="F345" s="27">
        <v>5</v>
      </c>
      <c r="G345" s="34">
        <f t="shared" si="75"/>
        <v>21</v>
      </c>
      <c r="H345" s="33" t="s">
        <v>20</v>
      </c>
      <c r="I345" s="33" t="s">
        <v>154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254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254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345</v>
      </c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254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254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254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9" t="s">
        <v>231</v>
      </c>
      <c r="B351" s="100"/>
      <c r="C351" s="100"/>
      <c r="D351" s="100"/>
      <c r="E351" s="101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230</v>
      </c>
      <c r="O351" s="39">
        <v>696140</v>
      </c>
    </row>
    <row r="352" spans="1:15" ht="18" customHeight="1">
      <c r="A352" s="102" t="s">
        <v>232</v>
      </c>
      <c r="B352" s="103"/>
      <c r="C352" s="103"/>
      <c r="D352" s="103"/>
      <c r="E352" s="104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233</v>
      </c>
      <c r="O352" s="48">
        <f>IFERROR(O338+O351,"")</f>
        <v>1476140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254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254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254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302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254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254</v>
      </c>
      <c r="F357" s="27">
        <v>10</v>
      </c>
      <c r="G357" s="34">
        <f t="shared" si="78"/>
        <v>42</v>
      </c>
      <c r="H357" s="33" t="s">
        <v>18</v>
      </c>
      <c r="I357" s="33" t="s">
        <v>137</v>
      </c>
      <c r="J357" s="33" t="s">
        <v>127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254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254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254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254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254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254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254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8" t="s">
        <v>229</v>
      </c>
      <c r="B365" s="89"/>
      <c r="C365" s="89"/>
      <c r="D365" s="89"/>
      <c r="E365" s="90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230</v>
      </c>
      <c r="O365" s="39">
        <v>597930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46</v>
      </c>
      <c r="E366" s="59" t="s">
        <v>254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254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254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346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254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254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254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254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254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254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254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118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254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254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99" t="s">
        <v>231</v>
      </c>
      <c r="B378" s="100"/>
      <c r="C378" s="100"/>
      <c r="D378" s="100"/>
      <c r="E378" s="101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230</v>
      </c>
      <c r="O378" s="39">
        <v>704750</v>
      </c>
    </row>
    <row r="379" spans="1:15" ht="18" customHeight="1">
      <c r="A379" s="102" t="s">
        <v>232</v>
      </c>
      <c r="B379" s="103"/>
      <c r="C379" s="103"/>
      <c r="D379" s="103"/>
      <c r="E379" s="104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233</v>
      </c>
      <c r="O379" s="48">
        <f>IFERROR(O365+O378,"")</f>
        <v>1302680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254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347</v>
      </c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254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254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334</v>
      </c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254</v>
      </c>
      <c r="F383" s="27">
        <v>0</v>
      </c>
      <c r="G383" s="34">
        <f t="shared" si="84"/>
        <v>0</v>
      </c>
      <c r="H383" s="33" t="s">
        <v>18</v>
      </c>
      <c r="I383" s="33" t="s">
        <v>137</v>
      </c>
      <c r="J383" s="33" t="s">
        <v>127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254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254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254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254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254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254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254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254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9" t="s">
        <v>229</v>
      </c>
      <c r="B392" s="100"/>
      <c r="C392" s="100"/>
      <c r="D392" s="100"/>
      <c r="E392" s="101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230</v>
      </c>
      <c r="O392" s="39">
        <v>565570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227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159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254</v>
      </c>
      <c r="F394" s="27">
        <v>10</v>
      </c>
      <c r="G394" s="28">
        <f t="shared" si="87"/>
        <v>42</v>
      </c>
      <c r="H394" s="26" t="s">
        <v>20</v>
      </c>
      <c r="I394" s="26" t="s">
        <v>137</v>
      </c>
      <c r="J394" s="26" t="s">
        <v>180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348</v>
      </c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254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254</v>
      </c>
      <c r="F396" s="27">
        <v>21</v>
      </c>
      <c r="G396" s="28">
        <f t="shared" si="87"/>
        <v>88.2</v>
      </c>
      <c r="H396" s="26" t="s">
        <v>16</v>
      </c>
      <c r="I396" s="26" t="s">
        <v>159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254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254</v>
      </c>
      <c r="F398" s="27">
        <v>15</v>
      </c>
      <c r="G398" s="28">
        <f t="shared" si="87"/>
        <v>63</v>
      </c>
      <c r="H398" s="26" t="s">
        <v>19</v>
      </c>
      <c r="I398" s="26" t="s">
        <v>159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349</v>
      </c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254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254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254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254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254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254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9" t="s">
        <v>231</v>
      </c>
      <c r="B405" s="100"/>
      <c r="C405" s="100"/>
      <c r="D405" s="100"/>
      <c r="E405" s="101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230</v>
      </c>
      <c r="O405" s="39">
        <v>958130</v>
      </c>
    </row>
    <row r="406" spans="1:15" ht="18" customHeight="1">
      <c r="A406" s="102" t="s">
        <v>232</v>
      </c>
      <c r="B406" s="103"/>
      <c r="C406" s="103"/>
      <c r="D406" s="103"/>
      <c r="E406" s="104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233</v>
      </c>
      <c r="O406" s="48">
        <f>IFERROR(O392+O405,"")</f>
        <v>1523700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30</v>
      </c>
      <c r="E407" s="62" t="s">
        <v>254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254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118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254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254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137</v>
      </c>
      <c r="J410" s="26" t="s">
        <v>127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254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254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254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254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227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254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254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227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9" t="s">
        <v>229</v>
      </c>
      <c r="B419" s="100"/>
      <c r="C419" s="100"/>
      <c r="D419" s="100"/>
      <c r="E419" s="101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230</v>
      </c>
      <c r="O419" s="39">
        <v>491520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254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165</v>
      </c>
      <c r="J420" s="26" t="s">
        <v>211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254</v>
      </c>
      <c r="F421" s="27">
        <v>0</v>
      </c>
      <c r="G421" s="34">
        <f t="shared" si="93"/>
        <v>0</v>
      </c>
      <c r="H421" s="33" t="s">
        <v>20</v>
      </c>
      <c r="I421" s="33" t="s">
        <v>154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254</v>
      </c>
      <c r="F422" s="27">
        <v>0</v>
      </c>
      <c r="G422" s="28">
        <f t="shared" si="93"/>
        <v>0</v>
      </c>
      <c r="H422" s="26" t="s">
        <v>20</v>
      </c>
      <c r="I422" s="26" t="s">
        <v>138</v>
      </c>
      <c r="J422" s="26" t="s">
        <v>179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254</v>
      </c>
      <c r="F423" s="27">
        <v>0</v>
      </c>
      <c r="G423" s="34">
        <f t="shared" si="93"/>
        <v>0</v>
      </c>
      <c r="H423" s="33" t="s">
        <v>20</v>
      </c>
      <c r="I423" s="33" t="s">
        <v>154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254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254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350</v>
      </c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254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163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254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254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254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254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254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9" t="s">
        <v>231</v>
      </c>
      <c r="B432" s="100"/>
      <c r="C432" s="100"/>
      <c r="D432" s="100"/>
      <c r="E432" s="101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230</v>
      </c>
      <c r="O432" s="39">
        <v>605220</v>
      </c>
    </row>
    <row r="433" spans="1:17" ht="18" customHeight="1">
      <c r="A433" s="102" t="s">
        <v>232</v>
      </c>
      <c r="B433" s="103"/>
      <c r="C433" s="103"/>
      <c r="D433" s="103"/>
      <c r="E433" s="104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233</v>
      </c>
      <c r="O433" s="48">
        <f>IFERROR(O419+O432,"")</f>
        <v>1096740</v>
      </c>
    </row>
    <row r="434" spans="1:17" ht="15" customHeight="1">
      <c r="A434" s="69">
        <v>46220</v>
      </c>
      <c r="B434" s="25">
        <v>0.33333333333333298</v>
      </c>
      <c r="C434" s="26" t="s">
        <v>21</v>
      </c>
      <c r="D434" s="59" t="s">
        <v>30</v>
      </c>
      <c r="E434" s="59" t="s">
        <v>254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212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254</v>
      </c>
      <c r="F435" s="27">
        <v>6</v>
      </c>
      <c r="G435" s="28">
        <f t="shared" si="96"/>
        <v>25.200000000000003</v>
      </c>
      <c r="H435" s="33" t="s">
        <v>19</v>
      </c>
      <c r="I435" s="33" t="s">
        <v>159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254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137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254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254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254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254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254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254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254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254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254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9" t="s">
        <v>229</v>
      </c>
      <c r="B446" s="100"/>
      <c r="C446" s="100"/>
      <c r="D446" s="100"/>
      <c r="E446" s="101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230</v>
      </c>
      <c r="O446" s="39">
        <v>878370</v>
      </c>
    </row>
    <row r="447" spans="1:17" ht="15" customHeight="1">
      <c r="A447" s="70">
        <v>46220</v>
      </c>
      <c r="B447" s="32">
        <v>0.83333333333333304</v>
      </c>
      <c r="C447" s="33" t="s">
        <v>45</v>
      </c>
      <c r="D447" s="62" t="s">
        <v>30</v>
      </c>
      <c r="E447" s="62" t="s">
        <v>227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227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227</v>
      </c>
      <c r="F449" s="27">
        <v>6</v>
      </c>
      <c r="G449" s="34">
        <f t="shared" si="99"/>
        <v>30</v>
      </c>
      <c r="H449" s="33" t="s">
        <v>18</v>
      </c>
      <c r="I449" s="33" t="s">
        <v>137</v>
      </c>
      <c r="J449" s="33" t="s">
        <v>127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351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227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227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227</v>
      </c>
      <c r="F453" s="27">
        <v>3</v>
      </c>
      <c r="G453" s="34">
        <f t="shared" si="99"/>
        <v>15</v>
      </c>
      <c r="H453" s="33" t="s">
        <v>20</v>
      </c>
      <c r="I453" s="33" t="s">
        <v>149</v>
      </c>
      <c r="J453" s="33" t="s">
        <v>179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227</v>
      </c>
      <c r="F454" s="27">
        <v>12</v>
      </c>
      <c r="G454" s="28">
        <f t="shared" si="99"/>
        <v>60</v>
      </c>
      <c r="H454" s="26" t="s">
        <v>18</v>
      </c>
      <c r="I454" s="26" t="s">
        <v>137</v>
      </c>
      <c r="J454" s="26" t="s">
        <v>127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227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215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227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227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227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9" t="s">
        <v>231</v>
      </c>
      <c r="B459" s="100"/>
      <c r="C459" s="100"/>
      <c r="D459" s="100"/>
      <c r="E459" s="101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230</v>
      </c>
      <c r="O459" s="39">
        <v>615330</v>
      </c>
    </row>
    <row r="460" spans="1:15" ht="18" customHeight="1">
      <c r="A460" s="102" t="s">
        <v>232</v>
      </c>
      <c r="B460" s="103"/>
      <c r="C460" s="103"/>
      <c r="D460" s="103"/>
      <c r="E460" s="104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233</v>
      </c>
      <c r="O460" s="48">
        <f>IFERROR(O446+O459,"")</f>
        <v>1493700</v>
      </c>
    </row>
    <row r="461" spans="1:15" ht="15" customHeight="1">
      <c r="A461" s="70">
        <v>46221</v>
      </c>
      <c r="B461" s="32">
        <v>0.33333333333333298</v>
      </c>
      <c r="C461" s="33" t="s">
        <v>21</v>
      </c>
      <c r="D461" s="62" t="s">
        <v>30</v>
      </c>
      <c r="E461" s="62" t="s">
        <v>227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127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352</v>
      </c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227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353</v>
      </c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227</v>
      </c>
      <c r="F463" s="27">
        <v>4</v>
      </c>
      <c r="G463" s="34">
        <f t="shared" si="102"/>
        <v>20</v>
      </c>
      <c r="H463" s="33" t="s">
        <v>20</v>
      </c>
      <c r="I463" s="33" t="s">
        <v>138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227</v>
      </c>
      <c r="F464" s="27">
        <v>20</v>
      </c>
      <c r="G464" s="28">
        <f t="shared" si="102"/>
        <v>100</v>
      </c>
      <c r="H464" s="26" t="s">
        <v>18</v>
      </c>
      <c r="I464" s="26" t="s">
        <v>138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227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164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327</v>
      </c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227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227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227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227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227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227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227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9" t="s">
        <v>229</v>
      </c>
      <c r="B473" s="100"/>
      <c r="C473" s="100"/>
      <c r="D473" s="100"/>
      <c r="E473" s="101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230</v>
      </c>
      <c r="O473" s="39">
        <v>774200</v>
      </c>
    </row>
    <row r="474" spans="1:15" ht="15" customHeight="1">
      <c r="A474" s="69">
        <v>46221</v>
      </c>
      <c r="B474" s="25">
        <v>0.83333333333333304</v>
      </c>
      <c r="C474" s="26" t="s">
        <v>45</v>
      </c>
      <c r="D474" s="59" t="s">
        <v>30</v>
      </c>
      <c r="E474" s="59" t="s">
        <v>227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159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227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227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227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227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227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227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227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227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227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227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227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9" t="s">
        <v>231</v>
      </c>
      <c r="B486" s="100"/>
      <c r="C486" s="100"/>
      <c r="D486" s="100"/>
      <c r="E486" s="101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230</v>
      </c>
      <c r="O486" s="39">
        <v>1120830</v>
      </c>
    </row>
    <row r="487" spans="1:15" ht="18" customHeight="1">
      <c r="A487" s="102" t="s">
        <v>232</v>
      </c>
      <c r="B487" s="103"/>
      <c r="C487" s="103"/>
      <c r="D487" s="103"/>
      <c r="E487" s="104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233</v>
      </c>
      <c r="O487" s="48">
        <f>IFERROR(O473+O486,"")</f>
        <v>1895030</v>
      </c>
    </row>
    <row r="488" spans="1:15" ht="15" customHeight="1">
      <c r="A488" s="69">
        <v>46222</v>
      </c>
      <c r="B488" s="25">
        <v>0.33333333333333298</v>
      </c>
      <c r="C488" s="26" t="s">
        <v>21</v>
      </c>
      <c r="D488" s="59" t="s">
        <v>30</v>
      </c>
      <c r="E488" s="59" t="s">
        <v>227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227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164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327</v>
      </c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227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227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227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227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254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254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254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254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254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254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9" t="s">
        <v>229</v>
      </c>
      <c r="B500" s="100"/>
      <c r="C500" s="100"/>
      <c r="D500" s="100"/>
      <c r="E500" s="101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230</v>
      </c>
      <c r="O500" s="39">
        <v>1031150</v>
      </c>
    </row>
    <row r="501" spans="1:15" ht="15" customHeight="1">
      <c r="A501" s="70">
        <v>46222</v>
      </c>
      <c r="B501" s="32">
        <v>0.83333333333333304</v>
      </c>
      <c r="C501" s="33" t="s">
        <v>45</v>
      </c>
      <c r="D501" s="62" t="s">
        <v>30</v>
      </c>
      <c r="E501" s="62" t="s">
        <v>254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159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227</v>
      </c>
      <c r="F502" s="27">
        <v>6</v>
      </c>
      <c r="G502" s="28">
        <f t="shared" si="111"/>
        <v>30</v>
      </c>
      <c r="H502" s="26" t="s">
        <v>20</v>
      </c>
      <c r="I502" s="26" t="s">
        <v>129</v>
      </c>
      <c r="J502" s="26" t="s">
        <v>113</v>
      </c>
      <c r="K502" s="29">
        <v>0.98819444444444449</v>
      </c>
      <c r="L502" s="29"/>
      <c r="M502" s="30">
        <f t="shared" ca="1" si="112"/>
        <v>1.0403935229987837E-3</v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254</v>
      </c>
      <c r="F503" s="27">
        <v>10</v>
      </c>
      <c r="G503" s="34">
        <f t="shared" si="111"/>
        <v>42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254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254</v>
      </c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254</v>
      </c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254</v>
      </c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254</v>
      </c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254</v>
      </c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254</v>
      </c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254</v>
      </c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254</v>
      </c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9" t="s">
        <v>231</v>
      </c>
      <c r="B513" s="100"/>
      <c r="C513" s="100"/>
      <c r="D513" s="100"/>
      <c r="E513" s="101">
        <f>SUM(E501:E512)</f>
        <v>0</v>
      </c>
      <c r="F513" s="36">
        <f>SUM(F501:F512)</f>
        <v>48</v>
      </c>
      <c r="G513" s="36">
        <f>SUM(G501:G512)</f>
        <v>206.4</v>
      </c>
      <c r="H513" s="37"/>
      <c r="I513" s="37"/>
      <c r="J513" s="37"/>
      <c r="K513" s="61"/>
      <c r="L513" s="61"/>
      <c r="M513" s="38">
        <f ca="1">IFERROR(SUM(M501:M512),"")</f>
        <v>3.0207060189665458E-2</v>
      </c>
      <c r="N513" s="36" t="s">
        <v>230</v>
      </c>
      <c r="O513" s="39"/>
    </row>
    <row r="514" spans="1:15" ht="18" customHeight="1">
      <c r="A514" s="102" t="s">
        <v>232</v>
      </c>
      <c r="B514" s="103"/>
      <c r="C514" s="103"/>
      <c r="D514" s="103"/>
      <c r="E514" s="104">
        <f>E500+E513</f>
        <v>0</v>
      </c>
      <c r="F514" s="40">
        <f>F500+F513</f>
        <v>203</v>
      </c>
      <c r="G514" s="40">
        <f>G500+G513</f>
        <v>920.60000000000014</v>
      </c>
      <c r="H514" s="41"/>
      <c r="I514" s="41"/>
      <c r="J514" s="41"/>
      <c r="K514" s="63"/>
      <c r="L514" s="63"/>
      <c r="M514" s="42">
        <f ca="1">IFERROR(M500+M513,"")</f>
        <v>7.9512615745220894E-2</v>
      </c>
      <c r="N514" s="40" t="s">
        <v>233</v>
      </c>
      <c r="O514" s="48">
        <f>IFERROR(O500+O513,"")</f>
        <v>1031150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9" t="s">
        <v>229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230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9" t="s">
        <v>231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230</v>
      </c>
      <c r="O540" s="39"/>
    </row>
    <row r="541" spans="1:15" ht="18" customHeight="1">
      <c r="A541" s="102" t="s">
        <v>232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233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9" t="s">
        <v>229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230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9" t="s">
        <v>231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230</v>
      </c>
      <c r="O567" s="39"/>
    </row>
    <row r="568" spans="1:15" ht="18" customHeight="1">
      <c r="A568" s="102" t="s">
        <v>232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233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9" t="s">
        <v>229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230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9" t="s">
        <v>231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230</v>
      </c>
      <c r="O594" s="39"/>
    </row>
    <row r="595" spans="1:15" ht="18" customHeight="1">
      <c r="A595" s="102" t="s">
        <v>232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233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9" t="s">
        <v>229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230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9" t="s">
        <v>231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230</v>
      </c>
      <c r="O621" s="39"/>
    </row>
    <row r="622" spans="1:15" ht="18" customHeight="1">
      <c r="A622" s="102" t="s">
        <v>232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233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9" t="s">
        <v>229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230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9" t="s">
        <v>231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230</v>
      </c>
      <c r="O648" s="39"/>
    </row>
    <row r="649" spans="1:15" ht="18" customHeight="1">
      <c r="A649" s="102" t="s">
        <v>232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233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9" t="s">
        <v>229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230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9" t="s">
        <v>231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230</v>
      </c>
      <c r="O675" s="39"/>
    </row>
    <row r="676" spans="1:15" ht="18" customHeight="1">
      <c r="A676" s="102" t="s">
        <v>232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233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9" t="s">
        <v>229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230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9" t="s">
        <v>231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230</v>
      </c>
      <c r="O702" s="39"/>
    </row>
    <row r="703" spans="1:15" ht="18" customHeight="1">
      <c r="A703" s="102" t="s">
        <v>232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233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9" t="s">
        <v>229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230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9" t="s">
        <v>231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230</v>
      </c>
      <c r="O729" s="39"/>
    </row>
    <row r="730" spans="1:15" ht="18" customHeight="1">
      <c r="A730" s="102" t="s">
        <v>232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233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9" t="s">
        <v>229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230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9" t="s">
        <v>231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2" t="s">
        <v>232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233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9" t="s">
        <v>229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230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9" t="s">
        <v>231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2" t="s">
        <v>232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233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9" t="s">
        <v>229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230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9" t="s">
        <v>231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102" t="s">
        <v>232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233</v>
      </c>
      <c r="O811" s="43">
        <f>IFERROR(O797+O810,"")</f>
        <v>0</v>
      </c>
    </row>
  </sheetData>
  <mergeCells count="89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2026-07-20T03:45:03Z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