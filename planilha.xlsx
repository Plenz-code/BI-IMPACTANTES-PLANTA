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137" documentId="8_{AF585B22-221D-4780-BB9C-493D365A6A02}" xr6:coauthVersionLast="47" xr6:coauthVersionMax="47" xr10:uidLastSave="{F15C7367-24A0-4BB8-B490-B409022ABC6F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<sst xmlns="http://schemas.openxmlformats.org/spreadsheetml/2006/main" count="7126" uniqueCount="341">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</sst>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48323962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/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28" activePane="bottomLeft" state="frozen"/>
      <selection pane="bottomLeft" activeCell="F441" sqref="F44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5.0000000000000044E-2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179</v>
      </c>
      <c r="G460" s="40">
        <f>G446+G459</f>
        <v>895</v>
      </c>
      <c r="H460" s="41"/>
      <c r="I460" s="41"/>
      <c r="J460" s="41"/>
      <c r="K460" s="41"/>
      <c r="L460" s="41"/>
      <c r="M460" s="42">
        <f ca="1">IFERROR(M446+M459,"")</f>
        <v>5.0000000000000044E-2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6" activePane="bottomLeft" state="frozen"/>
      <selection pane="bottomLeft" activeCell="F443" sqref="F44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0.43120451388676884</v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0.58884340277565772</v>
      </c>
      <c r="N378" s="36" t="s">
        <v>227</v>
      </c>
      <c r="O378" s="78">
        <v>511980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0.69856562499787989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0.40967673611157807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0.58051006944491146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0.72564895833380039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287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163</v>
      </c>
      <c r="G446" s="36">
        <f>SUM(G434:G445)</f>
        <v>684.60000000000014</v>
      </c>
      <c r="H446" s="37"/>
      <c r="I446" s="37"/>
      <c r="J446" s="37"/>
      <c r="K446" s="37"/>
      <c r="L446" s="37"/>
      <c r="M446" s="38">
        <f ca="1">IFERROR(SUM(M434:M445),"")</f>
        <v>5.2083333333333315E-2</v>
      </c>
      <c r="N446" s="36" t="s">
        <v>227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163</v>
      </c>
      <c r="G460" s="40">
        <f>G446+G459</f>
        <v>684.60000000000014</v>
      </c>
      <c r="H460" s="41"/>
      <c r="I460" s="41"/>
      <c r="J460" s="41"/>
      <c r="K460" s="41"/>
      <c r="L460" s="41"/>
      <c r="M460" s="42">
        <f ca="1">IFERROR(M446+M459,"")</f>
        <v>5.2083333333333315E-2</v>
      </c>
      <c r="N460" s="40" t="s">
        <v>230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 E432:E433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6" zoomScale="50" zoomScaleNormal="50" workbookViewId="0">
      <selection activeCell="F441" sqref="F4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/>
      <c r="M434" s="30">
        <f t="shared" ref="M434:M445" ca="1" si="97">IFERROR(IF(K434="","",IF(L434="",MOD(NOW()-K434,1),IF(L434&gt;=K434,L434-K434,L434+1-K434))),"")</f>
        <v>0.12912118055828614</v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32</v>
      </c>
      <c r="G446" s="36">
        <f>SUM(G434:G445)</f>
        <v>134.40000000000003</v>
      </c>
      <c r="H446" s="37"/>
      <c r="I446" s="37"/>
      <c r="J446" s="37"/>
      <c r="K446" s="37"/>
      <c r="L446" s="37"/>
      <c r="M446" s="38">
        <f ca="1">IFERROR(SUM(M434:M445),"")</f>
        <v>0.12912118055828614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32</v>
      </c>
      <c r="G460" s="40">
        <f>G446+G459</f>
        <v>134.40000000000003</v>
      </c>
      <c r="H460" s="41"/>
      <c r="I460" s="41"/>
      <c r="J460" s="41"/>
      <c r="K460" s="41"/>
      <c r="L460" s="41"/>
      <c r="M460" s="42">
        <f ca="1">IFERROR(M446+M459,"")</f>
        <v>0.12912118055828614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18" activePane="bottomLeft" state="frozen"/>
      <selection pane="bottomLeft" activeCell="F443" sqref="F44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312</v>
      </c>
      <c r="L58" s="29">
        <v>0.54097222222222219</v>
      </c>
      <c r="M58" s="30" t="str">
        <f t="shared" ca="1" si="13"/>
        <v/>
      </c>
      <c r="N58" s="27" t="s">
        <v>313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0.42148229166923556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0.62078784722479119</v>
      </c>
      <c r="N135" s="36" t="s">
        <v>227</v>
      </c>
      <c r="O135" s="39">
        <v>729290</v>
      </c>
    </row>
    <row r="136" spans="1:18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0.98814895833590222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/>
      <c r="M436" s="30">
        <f t="shared" ca="1" si="97"/>
        <v>7.5934027772746049E-3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161</v>
      </c>
      <c r="G446" s="36">
        <f>SUM(G434:G445)</f>
        <v>676.19999999999993</v>
      </c>
      <c r="H446" s="37"/>
      <c r="I446" s="37"/>
      <c r="J446" s="37"/>
      <c r="K446" s="61"/>
      <c r="L446" s="61"/>
      <c r="M446" s="38">
        <f ca="1">IFERROR(SUM(M434:M445),"")</f>
        <v>4.0926736110608042E-2</v>
      </c>
      <c r="N446" s="36" t="s">
        <v>227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161</v>
      </c>
      <c r="G460" s="40">
        <f>G446+G459</f>
        <v>676.19999999999993</v>
      </c>
      <c r="H460" s="41"/>
      <c r="I460" s="41"/>
      <c r="J460" s="41"/>
      <c r="K460" s="63"/>
      <c r="L460" s="63"/>
      <c r="M460" s="42">
        <f ca="1">IFERROR(M446+M459,"")</f>
        <v>4.0926736110608042E-2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2026-07-17T20:07:54Z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