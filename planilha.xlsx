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53" documentId="8_{AF585B22-221D-4780-BB9C-493D365A6A02}" xr6:coauthVersionLast="47" xr6:coauthVersionMax="47" xr10:uidLastSave="{815B0003-C662-4F9D-A564-149F20FBE36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<sst xmlns="http://schemas.openxmlformats.org/spreadsheetml/2006/main" count="7129" uniqueCount="341">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</sst>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J435" sqref="J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/>
      <c r="M435" s="35">
        <f t="shared" ca="1" si="97"/>
        <v>0.13580960647959728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0.18580960647959732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0.18580960647959732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44" sqref="F4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0.47955960647959728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0.63719849536848616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0.74692071759070833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0.45803182870440651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0.6288651620377399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0.77400405092662883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187</v>
      </c>
      <c r="G446" s="36">
        <f>SUM(G434:G445)</f>
        <v>785.40000000000009</v>
      </c>
      <c r="H446" s="37"/>
      <c r="I446" s="37"/>
      <c r="J446" s="37"/>
      <c r="K446" s="37"/>
      <c r="L446" s="37"/>
      <c r="M446" s="38">
        <f ca="1">IFERROR(SUM(M434:M445),"")</f>
        <v>5.2083333333333315E-2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187</v>
      </c>
      <c r="G460" s="40">
        <f>G446+G459</f>
        <v>785.40000000000009</v>
      </c>
      <c r="H460" s="41"/>
      <c r="I460" s="41"/>
      <c r="J460" s="41"/>
      <c r="K460" s="41"/>
      <c r="L460" s="41"/>
      <c r="M460" s="42">
        <f ca="1">IFERROR(M446+M459,"")</f>
        <v>5.2083333333333315E-2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F444" sqref="F4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/>
      <c r="M434" s="30">
        <f t="shared" ref="M434:M445" ca="1" si="97">IFERROR(IF(K434="","",IF(L434="",MOD(NOW()-K434,1),IF(L434&gt;=K434,L434-K434,L434+1-K434))),"")</f>
        <v>0.17747627315111458</v>
      </c>
      <c r="N434" s="27" t="s">
        <v>292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33</v>
      </c>
      <c r="G446" s="36">
        <f>SUM(G434:G445)</f>
        <v>138.60000000000002</v>
      </c>
      <c r="H446" s="37"/>
      <c r="I446" s="37"/>
      <c r="J446" s="37"/>
      <c r="K446" s="37"/>
      <c r="L446" s="37"/>
      <c r="M446" s="38">
        <f ca="1">IFERROR(SUM(M434:M445),"")</f>
        <v>0.17747627315111458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33</v>
      </c>
      <c r="G460" s="40">
        <f>G446+G459</f>
        <v>138.60000000000002</v>
      </c>
      <c r="H460" s="41"/>
      <c r="I460" s="41"/>
      <c r="J460" s="41"/>
      <c r="K460" s="41"/>
      <c r="L460" s="41"/>
      <c r="M460" s="42">
        <f ca="1">IFERROR(M446+M459,"")</f>
        <v>0.17747627315111458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44" sqref="F4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312</v>
      </c>
      <c r="L58" s="29">
        <v>0.54097222222222219</v>
      </c>
      <c r="M58" s="30" t="str">
        <f t="shared" ca="1" si="13"/>
        <v/>
      </c>
      <c r="N58" s="27" t="s">
        <v>313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0.46983738426206401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0.66914293981761963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1.0365040509287307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182</v>
      </c>
      <c r="G446" s="36">
        <f>SUM(G434:G445)</f>
        <v>764.4</v>
      </c>
      <c r="H446" s="37"/>
      <c r="I446" s="37"/>
      <c r="J446" s="37"/>
      <c r="K446" s="61"/>
      <c r="L446" s="61"/>
      <c r="M446" s="38">
        <f ca="1">IFERROR(SUM(M434:M445),"")</f>
        <v>4.7222222222222388E-2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182</v>
      </c>
      <c r="G460" s="40">
        <f>G446+G459</f>
        <v>764.4</v>
      </c>
      <c r="H460" s="41"/>
      <c r="I460" s="41"/>
      <c r="J460" s="41"/>
      <c r="K460" s="63"/>
      <c r="L460" s="63"/>
      <c r="M460" s="42">
        <f ca="1">IFERROR(M446+M459,"")</f>
        <v>4.7222222222222388E-2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2026-07-17T21:15:51Z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