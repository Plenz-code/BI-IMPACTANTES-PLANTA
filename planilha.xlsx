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45" documentId="8_{AF585B22-221D-4780-BB9C-493D365A6A02}" xr6:coauthVersionLast="47" xr6:coauthVersionMax="47" xr10:uidLastSave="{10C98B04-C481-41A0-B4AA-B50D1D43D4B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<sst xmlns="http://schemas.openxmlformats.org/spreadsheetml/2006/main" count="6889" uniqueCount="332">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</sst>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5" sqref="F4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159</v>
      </c>
      <c r="G432" s="36">
        <f>SUM(G420:G431)</f>
        <v>795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380</v>
      </c>
      <c r="G433" s="40">
        <f>G419+G432</f>
        <v>1900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7" activePane="bottomLeft" state="frozen"/>
      <selection pane="bottomLeft" activeCell="H420" sqref="H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0.77017407407402061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0.92781296296290949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1.0375351851851318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16</v>
      </c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24</v>
      </c>
      <c r="G432" s="36">
        <f>SUM(G420:G431)</f>
        <v>100.8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163</v>
      </c>
      <c r="G433" s="40">
        <f>G419+G432</f>
        <v>697.40000000000009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4" sqref="F4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</v>
      </c>
      <c r="G432" s="36">
        <f>SUM(G420:G431)</f>
        <v>57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74</v>
      </c>
      <c r="G433" s="40">
        <f>G419+G432</f>
        <v>317.2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24" sqref="F4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0.76045185185648734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0.95975740741204296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1.327118518523154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0</v>
      </c>
      <c r="G420" s="28">
        <f t="shared" ref="G420:G431" si="93">IF(F420="","",IF(E420="PC 17",F420*4.2,IF(E420="PC 19",F420*5,"")))</f>
        <v>0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14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0.14444444444444449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128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0.37847222222222227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2026-07-17T04:14:33Z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