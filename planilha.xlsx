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897" documentId="8_{1D11E9C4-FEA4-4128-910F-91CB6BBF9255}" xr6:coauthVersionLast="47" xr6:coauthVersionMax="47" xr10:uidLastSave="{5CBDB3AC-B688-4CA9-A4E1-DF88F1CB804B}"/>
  <bookViews>
    <workbookView xWindow="-110" yWindow="-110" windowWidth="25820" windowHeight="15500" tabRatio="500" firstSheet="3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<sst xmlns="http://schemas.openxmlformats.org/spreadsheetml/2006/main" count="8285" uniqueCount="370">
  <si>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</si>
  <si>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</si>
  <si>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</si>
  <si>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</si>
  <si>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</si>
  <si>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</si>
  <si>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</si>
  <si>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</si>
  <si>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</si>
  <si>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</si>
  <si>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</si>
  <si>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</si>
  <si>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</si>
  <si>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</si>
  <si>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</si>
  <si>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</si>
  <si>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</si>
  <si>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</si>
  <si>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</si>
  <si>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</si>
  <si>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</si>
  <si>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</si>
  <si>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</si>
  <si>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</si>
  <si>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</si>
  <si>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</si>
  <si>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</si>
  <si>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</si>
  <si>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</si>
  <si>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</si>
  <si>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</si>
  <si>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</si>
  <si>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</si>
  <si>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</si>
  <si>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</si>
  <si>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</si>
  <si>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</si>
  <si>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</si>
  <si>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</si>
  <si>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</si>
  <si>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</si>
  <si>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</si>
  <si>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</si>
  <si>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</si>
  <si>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</si>
  <si>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</si>
  <si>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</si>
  <si>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</si>
  <si>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</si>
  <si>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</si>
  <si>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</si>
  <si>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</si>
  <si>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</si>
  <si>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</si>
  <si>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</si>
  <si>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</si>
  <si>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</si>
  <si>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</si>
  <si>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</si>
  <si>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</si>
  <si>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</si>
  <si>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</si>
  <si>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</si>
  <si>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</si>
  <si>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</si>
  <si>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</si>
  <si>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</si>
  <si>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</si>
  <si>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</si>
  <si>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</si>
  <si>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</si>
  <si>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</si>
  <si>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</si>
  <si>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</si>
  <si>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</si>
  <si>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</si>
  <si>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</si>
  <si>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</si>
  <si>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</si>
  <si>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</si>
  <si>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</si>
  <si>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</si>
  <si>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</si>
  <si>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</si>
  <si>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</si>
  <si>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</si>
  <si>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</si>
  <si>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</si>
  <si>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</si>
  <si>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</si>
  <si>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</si>
  <si>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</si>
  <si>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</si>
  <si>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</si>
  <si>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</si>
  <si>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</si>
  <si>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</si>
  <si>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</si>
  <si>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</si>
  <si>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</si>
  <si>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</si>
  <si>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</si>
  <si>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</si>
  <si>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</si>
  <si>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</si>
  <si>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</si>
  <si>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</si>
  <si>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</si>
  <si>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</si>
  <si>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</si>
  <si>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</si>
  <si>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</si>
  <si>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</si>
  <si>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</si>
  <si>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</si>
  <si>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</si>
  <si>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</si>
  <si>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</si>
  <si>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</si>
  <si>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</si>
  <si>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</si>
  <si>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</si>
  <si>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</si>
  <si>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</si>
  <si>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</si>
  <si>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</si>
  <si>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</si>
  <si>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</si>
  <si>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</si>
  <si>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</si>
  <si>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</si>
  <si>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</si>
  <si>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</si>
  <si>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</si>
  <si>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</si>
  <si>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</si>
  <si>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</si>
  <si>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</si>
  <si>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</si>
  <si>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</si>
  <si>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</si>
  <si>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</si>
  <si>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</si>
  <si>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</si>
  <si>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</si>
  <si>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</si>
  <si>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</si>
  <si>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</si>
  <si>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</si>
  <si>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</si>
  <si>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</si>
  <si>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</si>
  <si>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</si>
  <si>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</si>
  <si>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</si>
  <si>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</si>
  <si>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</si>
  <si>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</si>
  <si>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</si>
  <si>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</si>
  <si>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</si>
  <si>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</si>
  <si>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</si>
  <si>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</si>
  <si>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</si>
  <si>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</si>
  <si>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</si>
  <si>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</si>
  <si>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</si>
  <si>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</si>
  <si>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</si>
  <si>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</si>
  <si>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</si>
  <si>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</si>
  <si>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</si>
  <si>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</si>
  <si>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</si>
  <si>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</si>
  <si>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</si>
  <si>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</si>
  <si>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</si>
  <si>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</si>
  <si>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</si>
  <si>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</si>
  <si>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</si>
  <si>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</si>
  <si>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</si>
  <si>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</si>
  <si>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</si>
  <si>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</si>
  <si>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</si>
  <si>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</si>
  <si>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</si>
  <si>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</si>
  <si>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</si>
  <si>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</si>
  <si>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</si>
  <si>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</si>
  <si>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</si>
  <si>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</si>
  <si>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</si>
  <si>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</si>
  <si>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</si>
  <si>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</si>
  <si>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</si>
  <si>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</si>
  <si>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</si>
  <si>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</si>
  <si>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</si>
  <si>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</si>
  <si>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</si>
  <si>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</si>
  <si>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</si>
  <si>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</si>
  <si>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</si>
  <si>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</si>
  <si>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</si>
  <si>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</si>
  <si>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</si>
  <si>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</si>
  <si>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</si>
  <si>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</si>
  <si>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</si>
  <si>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</si>
  <si>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</si>
  <si>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</si>
  <si>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</si>
  <si>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</si>
  <si>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douglas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</si>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</sst>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48801910</v>
      </c>
      <c r="D34" s="55">
        <f t="shared" si="1"/>
        <v>24197620</v>
      </c>
      <c r="E34" s="55">
        <f t="shared" si="1"/>
        <v>9657450</v>
      </c>
      <c r="F34" s="55">
        <f t="shared" si="1"/>
        <v>27814745</v>
      </c>
      <c r="G34" s="55">
        <f t="shared" si="1"/>
        <v>61669815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L19" sqref="L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6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6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6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6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6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6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6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6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6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6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6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6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6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6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6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6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6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6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174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175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176</v>
      </c>
      <c r="L48" s="3"/>
      <c r="M48" s="3"/>
    </row>
    <row r="49" spans="1:13" ht="18" customHeight="1">
      <c r="H49" s="106"/>
      <c r="I49" s="4"/>
      <c r="J49" s="4"/>
      <c r="K49" s="4" t="s">
        <v>177</v>
      </c>
      <c r="L49" s="4"/>
      <c r="M49" s="4"/>
    </row>
    <row r="50" spans="1:13" ht="21" customHeight="1">
      <c r="A50" s="6" t="s">
        <v>178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1" activePane="bottomLeft" state="frozen"/>
      <selection pane="bottomLeft" activeCell="J758" sqref="J758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8" t="s">
        <v>13</v>
      </c>
      <c r="E1" s="8" t="s">
        <v>180</v>
      </c>
      <c r="F1" s="8" t="s">
        <v>181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188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189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190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191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190</v>
      </c>
      <c r="N27" s="20">
        <v>0</v>
      </c>
    </row>
    <row r="28" spans="1:14" ht="18" customHeight="1">
      <c r="A28" s="98" t="s">
        <v>192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193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194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189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190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191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190</v>
      </c>
      <c r="N54" s="20">
        <v>125660</v>
      </c>
    </row>
    <row r="55" spans="1:14" ht="18" customHeight="1">
      <c r="A55" s="98" t="s">
        <v>192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193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189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190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191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190</v>
      </c>
      <c r="N81" s="20">
        <v>580300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193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188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189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190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195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194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191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190</v>
      </c>
      <c r="N108" s="20">
        <v>652520</v>
      </c>
    </row>
    <row r="109" spans="1:14" ht="18" customHeight="1">
      <c r="A109" s="98" t="s">
        <v>192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193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196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189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190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191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190</v>
      </c>
      <c r="N135" s="20">
        <v>909050</v>
      </c>
    </row>
    <row r="136" spans="1:14" ht="18" customHeight="1">
      <c r="A136" s="98" t="s">
        <v>192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193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188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189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190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191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190</v>
      </c>
      <c r="N162" s="27">
        <v>1048880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193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196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197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189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190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191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190</v>
      </c>
      <c r="N189" s="20">
        <v>797540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193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196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198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189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190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191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190</v>
      </c>
      <c r="N216" s="28">
        <v>203080</v>
      </c>
    </row>
    <row r="217" spans="1:14" ht="18" customHeight="1">
      <c r="A217" s="98" t="s">
        <v>192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193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189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190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191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190</v>
      </c>
      <c r="N243" s="20">
        <v>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193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189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190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191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190</v>
      </c>
      <c r="N270" s="20">
        <f>346400+269080</f>
        <v>615480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193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199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189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190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191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190</v>
      </c>
      <c r="N297" s="20">
        <f>35160+383610</f>
        <v>418770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193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200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189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190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201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191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190</v>
      </c>
      <c r="N324" s="20">
        <f>411220+466620</f>
        <v>877840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193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202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189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190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191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190</v>
      </c>
      <c r="N351" s="20"/>
    </row>
    <row r="352" spans="1:14" ht="18" customHeight="1">
      <c r="A352" s="98" t="s">
        <v>192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193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203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189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190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204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205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191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190</v>
      </c>
      <c r="N378" s="20">
        <v>1299920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193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189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190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191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190</v>
      </c>
      <c r="N405" s="20">
        <v>1342790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193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206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189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190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207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191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190</v>
      </c>
      <c r="N432" s="20">
        <v>963120</v>
      </c>
    </row>
    <row r="433" spans="1:14" ht="18" customHeight="1">
      <c r="A433" s="98" t="s">
        <v>192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193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189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190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191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190</v>
      </c>
      <c r="N459" s="20">
        <v>534910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193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208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209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189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190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191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190</v>
      </c>
      <c r="N486" s="20">
        <v>557170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193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189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190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210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191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190</v>
      </c>
      <c r="N513" s="20">
        <v>701090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193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211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211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212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189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190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191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190</v>
      </c>
      <c r="N540" s="20">
        <v>915770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193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213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214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215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189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190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191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190</v>
      </c>
      <c r="N567" s="20">
        <v>636740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193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216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217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189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190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218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191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190</v>
      </c>
      <c r="N594" s="20">
        <v>394820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193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219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220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220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221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189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190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222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174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191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190</v>
      </c>
      <c r="N621" s="20">
        <v>587370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193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175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189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190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223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191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190</v>
      </c>
      <c r="N648" s="20">
        <v>635110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193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189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190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191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190</v>
      </c>
      <c r="N675" s="20">
        <v>1608610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193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175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177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224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225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189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190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191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190</v>
      </c>
      <c r="N702" s="20">
        <f>316300+609860</f>
        <v>926160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193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226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227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189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190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191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190</v>
      </c>
      <c r="N729" s="20">
        <v>706600</v>
      </c>
    </row>
    <row r="730" spans="1:14" ht="18" customHeight="1">
      <c r="A730" s="98" t="s">
        <v>192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193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189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190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191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190</v>
      </c>
      <c r="N756" s="20">
        <v>1646670</v>
      </c>
    </row>
    <row r="757" spans="1:14" ht="18" customHeight="1">
      <c r="A757" s="22" t="s">
        <v>192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193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7" t="s">
        <v>228</v>
      </c>
      <c r="D758" s="10" t="s">
        <v>30</v>
      </c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29</v>
      </c>
      <c r="D759" s="10" t="s">
        <v>30</v>
      </c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29</v>
      </c>
      <c r="D760" s="10" t="s">
        <v>30</v>
      </c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29</v>
      </c>
      <c r="D761" s="10" t="s">
        <v>30</v>
      </c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29</v>
      </c>
      <c r="D762" s="10" t="s">
        <v>30</v>
      </c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29</v>
      </c>
      <c r="D763" s="10" t="s">
        <v>30</v>
      </c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29</v>
      </c>
      <c r="D764" s="10" t="s">
        <v>30</v>
      </c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29</v>
      </c>
      <c r="D765" s="10" t="s">
        <v>30</v>
      </c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29</v>
      </c>
      <c r="D766" s="10" t="s">
        <v>30</v>
      </c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29</v>
      </c>
      <c r="D767" s="10" t="s">
        <v>30</v>
      </c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29</v>
      </c>
      <c r="D768" s="10" t="s">
        <v>30</v>
      </c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29</v>
      </c>
      <c r="D769" s="10" t="s">
        <v>30</v>
      </c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189</v>
      </c>
      <c r="B770" s="82"/>
      <c r="C770" s="82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191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189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190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191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190</v>
      </c>
      <c r="N810" s="20"/>
    </row>
    <row r="811" spans="1:14" ht="18" customHeight="1">
      <c r="A811" s="98" t="s">
        <v>192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193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C771:C900 C759:C769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24" zoomScale="85" zoomScaleNormal="85" workbookViewId="0">
      <selection activeCell="E759" sqref="E75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8" t="s">
        <v>13</v>
      </c>
      <c r="E1" s="8" t="s">
        <v>180</v>
      </c>
      <c r="F1" s="8" t="s">
        <v>229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189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190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191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190</v>
      </c>
      <c r="N27" s="20">
        <v>1035240</v>
      </c>
    </row>
    <row r="28" spans="1:14" ht="18" customHeight="1">
      <c r="A28" s="98" t="s">
        <v>192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193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230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189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190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191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190</v>
      </c>
      <c r="N54" s="20">
        <v>871960</v>
      </c>
    </row>
    <row r="55" spans="1:14" ht="18" customHeight="1">
      <c r="A55" s="98" t="s">
        <v>192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193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231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189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190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232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191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190</v>
      </c>
      <c r="N81" s="20">
        <v>482250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193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233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189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190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234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191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190</v>
      </c>
      <c r="N108" s="20">
        <v>529500</v>
      </c>
    </row>
    <row r="109" spans="1:14" ht="18" customHeight="1">
      <c r="A109" s="98" t="s">
        <v>192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193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234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234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189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190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234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235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191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190</v>
      </c>
      <c r="N135" s="20">
        <v>666150</v>
      </c>
    </row>
    <row r="136" spans="1:14" ht="18" customHeight="1">
      <c r="A136" s="98" t="s">
        <v>192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193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233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236</v>
      </c>
      <c r="I139" s="16" t="s">
        <v>237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234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189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190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191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190</v>
      </c>
      <c r="N162" s="35">
        <v>183240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193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189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190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238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238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238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238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238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238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238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238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191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190</v>
      </c>
      <c r="N189" s="20">
        <v>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193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238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239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189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190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191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190</v>
      </c>
      <c r="N216" s="28">
        <v>525070</v>
      </c>
    </row>
    <row r="217" spans="1:14" ht="18" customHeight="1">
      <c r="A217" s="98" t="s">
        <v>192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193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240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189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190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191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190</v>
      </c>
      <c r="N243" s="20">
        <v>244000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193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241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242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189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190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243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191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190</v>
      </c>
      <c r="N270" s="20">
        <v>8130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193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244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189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190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191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190</v>
      </c>
      <c r="N297" s="20">
        <f>229280+228660</f>
        <v>457940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193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245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246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246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247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189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190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248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249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250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251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191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190</v>
      </c>
      <c r="N324" s="20">
        <f>217310+197670</f>
        <v>414980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193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252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253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189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190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254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255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191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190</v>
      </c>
      <c r="N351" s="20">
        <f>135270+304860</f>
        <v>440130</v>
      </c>
    </row>
    <row r="352" spans="1:14" ht="18" customHeight="1">
      <c r="A352" s="98" t="s">
        <v>192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193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257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258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189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190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191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190</v>
      </c>
      <c r="N378" s="20">
        <f>291750+291000</f>
        <v>582750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193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189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190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259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260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191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190</v>
      </c>
      <c r="N405" s="20">
        <v>305810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193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261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262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263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189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190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264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265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191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190</v>
      </c>
      <c r="N432" s="20">
        <v>522180</v>
      </c>
    </row>
    <row r="433" spans="1:14" ht="18" customHeight="1">
      <c r="A433" s="98" t="s">
        <v>192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193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266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267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268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189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190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269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191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190</v>
      </c>
      <c r="N459" s="20">
        <v>560220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193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270</v>
      </c>
      <c r="J465" s="13">
        <v>0.70833333333333337</v>
      </c>
      <c r="K465" s="13" t="s">
        <v>271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272</v>
      </c>
      <c r="N472" s="30"/>
    </row>
    <row r="473" spans="1:14" ht="15.75" customHeight="1">
      <c r="A473" s="97" t="s">
        <v>189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190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273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274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191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190</v>
      </c>
      <c r="N486" s="20">
        <v>400000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193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189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190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275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191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190</v>
      </c>
      <c r="N513" s="20">
        <f>1031250+71560</f>
        <v>1102810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193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211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211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189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190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276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277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278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279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280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280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191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190</v>
      </c>
      <c r="N540" s="20">
        <v>504470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193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281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189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190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191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190</v>
      </c>
      <c r="N567" s="20">
        <v>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193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189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190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282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191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190</v>
      </c>
      <c r="N594" s="20">
        <v>258960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193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283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284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285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189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190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286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287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191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190</v>
      </c>
      <c r="N621" s="20">
        <v>687740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193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288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189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190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289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290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291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191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190</v>
      </c>
      <c r="N648" s="20">
        <f>47050+58630</f>
        <v>105680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193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189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190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292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293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294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191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190</v>
      </c>
      <c r="N675" s="20">
        <v>546550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193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295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189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190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296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297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191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190</v>
      </c>
      <c r="N702" s="20">
        <f>430070+116100</f>
        <v>546170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193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298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189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190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191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190</v>
      </c>
      <c r="N729" s="20">
        <v>477920</v>
      </c>
    </row>
    <row r="730" spans="1:14" ht="18" customHeight="1">
      <c r="A730" s="98" t="s">
        <v>192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193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299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189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190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300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191</v>
      </c>
      <c r="B756" s="97"/>
      <c r="C756" s="97"/>
      <c r="D756" s="97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190</v>
      </c>
      <c r="N756" s="20">
        <v>379890</v>
      </c>
    </row>
    <row r="757" spans="1:14" ht="18" customHeight="1">
      <c r="A757" s="98" t="s">
        <v>192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193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29</v>
      </c>
      <c r="D758" s="10" t="s">
        <v>30</v>
      </c>
      <c r="E758" s="11">
        <v>2</v>
      </c>
      <c r="F758" s="12">
        <f t="shared" ref="F758:F769" si="169">IF(E758="","",E758*4)</f>
        <v>8</v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29</v>
      </c>
      <c r="D759" s="10" t="s">
        <v>30</v>
      </c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29</v>
      </c>
      <c r="D760" s="10" t="s">
        <v>30</v>
      </c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29</v>
      </c>
      <c r="D761" s="10" t="s">
        <v>30</v>
      </c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29</v>
      </c>
      <c r="D762" s="10" t="s">
        <v>30</v>
      </c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29</v>
      </c>
      <c r="D763" s="10" t="s">
        <v>30</v>
      </c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29</v>
      </c>
      <c r="D764" s="10" t="s">
        <v>30</v>
      </c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29</v>
      </c>
      <c r="D765" s="10" t="s">
        <v>30</v>
      </c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29</v>
      </c>
      <c r="D766" s="10" t="s">
        <v>30</v>
      </c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29</v>
      </c>
      <c r="D767" s="10" t="s">
        <v>30</v>
      </c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29</v>
      </c>
      <c r="D768" s="10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29</v>
      </c>
      <c r="D769" s="10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189</v>
      </c>
      <c r="B770" s="97"/>
      <c r="C770" s="97"/>
      <c r="D770" s="97"/>
      <c r="E770" s="19">
        <f>SUM(E758:E769)</f>
        <v>2</v>
      </c>
      <c r="F770" s="19">
        <f>SUM(F758:F769)</f>
        <v>8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191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2</v>
      </c>
      <c r="F784" s="22">
        <f>F770+F783</f>
        <v>8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189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190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191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190</v>
      </c>
      <c r="N810" s="20"/>
    </row>
    <row r="811" spans="1:14" ht="18" customHeight="1">
      <c r="A811" s="98" t="s">
        <v>192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193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36" activePane="bottomLeft" state="frozen"/>
      <selection pane="bottomLeft" activeCell="E758" sqref="E75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8" t="s">
        <v>13</v>
      </c>
      <c r="E1" s="8" t="s">
        <v>180</v>
      </c>
      <c r="F1" s="8" t="s">
        <v>301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189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190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191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190</v>
      </c>
      <c r="N27" s="20"/>
    </row>
    <row r="28" spans="1:14" ht="18" customHeight="1">
      <c r="A28" s="98" t="s">
        <v>192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193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189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190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191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190</v>
      </c>
      <c r="N54" s="20"/>
    </row>
    <row r="55" spans="1:14" ht="18" customHeight="1">
      <c r="A55" s="98" t="s">
        <v>192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193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189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190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302</v>
      </c>
      <c r="I80" s="10" t="s">
        <v>232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191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190</v>
      </c>
      <c r="N81" s="20">
        <v>206440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193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189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190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191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190</v>
      </c>
      <c r="N108" s="20"/>
    </row>
    <row r="109" spans="1:14" ht="18" customHeight="1">
      <c r="A109" s="98" t="s">
        <v>192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193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189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190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191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190</v>
      </c>
      <c r="N135" s="20"/>
    </row>
    <row r="136" spans="1:14" ht="18" customHeight="1">
      <c r="A136" s="98" t="s">
        <v>192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193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189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190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191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190</v>
      </c>
      <c r="N162" s="20">
        <v>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193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189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190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191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190</v>
      </c>
      <c r="N189" s="20">
        <v>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193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189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190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191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190</v>
      </c>
      <c r="N216" s="20"/>
    </row>
    <row r="217" spans="1:14" ht="18" customHeight="1">
      <c r="A217" s="98" t="s">
        <v>192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193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189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190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191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190</v>
      </c>
      <c r="N243" s="20">
        <v>180000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193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303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303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189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190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243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191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190</v>
      </c>
      <c r="N270" s="20">
        <f>103170+137770</f>
        <v>240940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193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189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190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304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191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190</v>
      </c>
      <c r="N297" s="20">
        <f>110740+118380</f>
        <v>229120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193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305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189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190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250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191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190</v>
      </c>
      <c r="N324" s="20">
        <f>119730+227060</f>
        <v>346790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193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189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190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255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191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190</v>
      </c>
      <c r="N351" s="20">
        <f>50730+24450</f>
        <v>75180</v>
      </c>
    </row>
    <row r="352" spans="1:14" ht="18" customHeight="1">
      <c r="A352" s="98" t="s">
        <v>192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193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258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307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189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190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191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190</v>
      </c>
      <c r="N378" s="20">
        <f>151130+160740</f>
        <v>311870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193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189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190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191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190</v>
      </c>
      <c r="N405" s="20">
        <v>340530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193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189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190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191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190</v>
      </c>
      <c r="N432" s="20">
        <v>169230</v>
      </c>
    </row>
    <row r="433" spans="1:14" ht="18" customHeight="1">
      <c r="A433" s="98" t="s">
        <v>192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193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308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268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189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190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309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191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190</v>
      </c>
      <c r="N459" s="20">
        <v>221750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193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270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272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272</v>
      </c>
      <c r="N472" s="30"/>
    </row>
    <row r="473" spans="1:14" ht="15.75" customHeight="1">
      <c r="A473" s="97" t="s">
        <v>189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190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191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190</v>
      </c>
      <c r="N486" s="20">
        <v>240000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193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189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190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191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190</v>
      </c>
      <c r="N513" s="20">
        <v>3930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193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189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190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310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278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191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190</v>
      </c>
      <c r="N540" s="20">
        <v>304230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193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266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189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190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191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190</v>
      </c>
      <c r="N567" s="20">
        <v>437260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193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311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189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190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312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250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191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190</v>
      </c>
      <c r="N594" s="20">
        <v>269570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193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189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190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313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191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190</v>
      </c>
      <c r="N621" s="20">
        <v>176650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193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314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189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190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315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191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190</v>
      </c>
      <c r="N648" s="20">
        <f>154590+56700</f>
        <v>211290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193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189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190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191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190</v>
      </c>
      <c r="N675" s="20">
        <v>234010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193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316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189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190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191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190</v>
      </c>
      <c r="N702" s="20">
        <f>151740+85690</f>
        <v>237430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193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221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189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190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191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190</v>
      </c>
      <c r="N729" s="20">
        <v>377030</v>
      </c>
    </row>
    <row r="730" spans="1:14" ht="18" customHeight="1">
      <c r="A730" s="98" t="s">
        <v>192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193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299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317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189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190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300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191</v>
      </c>
      <c r="B756" s="97"/>
      <c r="C756" s="97"/>
      <c r="D756" s="97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190</v>
      </c>
      <c r="N756" s="20">
        <v>265090</v>
      </c>
    </row>
    <row r="757" spans="1:14" ht="18" customHeight="1">
      <c r="A757" s="98" t="s">
        <v>192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193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29</v>
      </c>
      <c r="D758" s="10" t="s">
        <v>38</v>
      </c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29</v>
      </c>
      <c r="D759" s="10" t="s">
        <v>38</v>
      </c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29</v>
      </c>
      <c r="D760" s="10" t="s">
        <v>38</v>
      </c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29</v>
      </c>
      <c r="D761" s="10" t="s">
        <v>38</v>
      </c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29</v>
      </c>
      <c r="D762" s="10" t="s">
        <v>38</v>
      </c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29</v>
      </c>
      <c r="D763" s="10" t="s">
        <v>38</v>
      </c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29</v>
      </c>
      <c r="D764" s="10" t="s">
        <v>38</v>
      </c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29</v>
      </c>
      <c r="D765" s="10" t="s">
        <v>38</v>
      </c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29</v>
      </c>
      <c r="D766" s="10" t="s">
        <v>38</v>
      </c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29</v>
      </c>
      <c r="D767" s="10" t="s">
        <v>38</v>
      </c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29</v>
      </c>
      <c r="D768" s="10" t="s">
        <v>38</v>
      </c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29</v>
      </c>
      <c r="D769" s="10" t="s">
        <v>38</v>
      </c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189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191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189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190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191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190</v>
      </c>
      <c r="N810" s="20"/>
    </row>
    <row r="811" spans="1:14" ht="18" customHeight="1">
      <c r="A811" s="98" t="s">
        <v>192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193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34" activePane="bottomLeft" state="frozen"/>
      <selection pane="bottomLeft" activeCell="E759" sqref="E759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57" t="s">
        <v>13</v>
      </c>
      <c r="E1" s="8" t="s">
        <v>180</v>
      </c>
      <c r="F1" s="8" t="s">
        <v>318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319</v>
      </c>
      <c r="I2" s="10" t="s">
        <v>320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319</v>
      </c>
      <c r="I3" s="16" t="s">
        <v>320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319</v>
      </c>
      <c r="I4" s="10" t="s">
        <v>320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319</v>
      </c>
      <c r="I5" s="16" t="s">
        <v>320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319</v>
      </c>
      <c r="I6" s="10" t="s">
        <v>320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319</v>
      </c>
      <c r="I7" s="16" t="s">
        <v>320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319</v>
      </c>
      <c r="I8" s="10" t="s">
        <v>320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319</v>
      </c>
      <c r="I9" s="16" t="s">
        <v>320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319</v>
      </c>
      <c r="I10" s="10" t="s">
        <v>320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319</v>
      </c>
      <c r="I11" s="16" t="s">
        <v>320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319</v>
      </c>
      <c r="I12" s="10" t="s">
        <v>320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319</v>
      </c>
      <c r="I13" s="16" t="s">
        <v>320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189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190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321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191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190</v>
      </c>
      <c r="N27" s="20">
        <v>537710</v>
      </c>
    </row>
    <row r="28" spans="1:14" ht="18" customHeight="1">
      <c r="A28" s="98" t="s">
        <v>192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193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322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323</v>
      </c>
      <c r="I33" s="16" t="s">
        <v>324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188</v>
      </c>
      <c r="H36" s="10" t="s">
        <v>325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189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190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232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191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190</v>
      </c>
      <c r="N54" s="20">
        <v>800250</v>
      </c>
    </row>
    <row r="55" spans="1:14" ht="18" customHeight="1">
      <c r="A55" s="98" t="s">
        <v>192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193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189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190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325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191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190</v>
      </c>
      <c r="N81" s="20">
        <v>423590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193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189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190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326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191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190</v>
      </c>
      <c r="N108" s="20">
        <v>784300</v>
      </c>
    </row>
    <row r="109" spans="1:14" ht="18" customHeight="1">
      <c r="A109" s="98" t="s">
        <v>192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193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189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190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188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191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190</v>
      </c>
      <c r="N135" s="20">
        <v>527600</v>
      </c>
    </row>
    <row r="136" spans="1:14" ht="18" customHeight="1">
      <c r="A136" s="98" t="s">
        <v>192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193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188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189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190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191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190</v>
      </c>
      <c r="N162" s="20">
        <v>215370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193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189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190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191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190</v>
      </c>
      <c r="N189" s="20">
        <v>400530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193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327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189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190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235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191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190</v>
      </c>
      <c r="N216" s="28">
        <v>704110</v>
      </c>
    </row>
    <row r="217" spans="1:14" ht="18" customHeight="1">
      <c r="A217" s="98" t="s">
        <v>192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193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328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250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189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190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191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190</v>
      </c>
      <c r="N243" s="20">
        <v>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193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329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189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190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191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190</v>
      </c>
      <c r="N270" s="20">
        <f>214250+252630</f>
        <v>466880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193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330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189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190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331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332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333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191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190</v>
      </c>
      <c r="N297" s="20">
        <f>124260+105220</f>
        <v>229480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193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332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334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305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189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190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335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335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335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336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191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190</v>
      </c>
      <c r="N324" s="20">
        <f>311920+165290</f>
        <v>477210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193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189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190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337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255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191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190</v>
      </c>
      <c r="N351" s="20">
        <f>117790+390790</f>
        <v>508580</v>
      </c>
    </row>
    <row r="352" spans="1:14" ht="18" customHeight="1">
      <c r="A352" s="98" t="s">
        <v>192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193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338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339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307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189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190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191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190</v>
      </c>
      <c r="N378" s="20">
        <f>490380+390690</f>
        <v>881070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193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189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190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191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190</v>
      </c>
      <c r="N405" s="20">
        <v>745910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193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340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341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342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189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190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191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190</v>
      </c>
      <c r="N432" s="20">
        <v>669300</v>
      </c>
    </row>
    <row r="433" spans="1:16" ht="18" customHeight="1">
      <c r="A433" s="98" t="s">
        <v>192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193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189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190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332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332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191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190</v>
      </c>
      <c r="N459" s="20">
        <v>561580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193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272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272</v>
      </c>
      <c r="N472" s="41"/>
    </row>
    <row r="473" spans="1:14" ht="15.75" customHeight="1">
      <c r="A473" s="97" t="s">
        <v>189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190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343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344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345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191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190</v>
      </c>
      <c r="N486" s="20">
        <v>508000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193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189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190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346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347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191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190</v>
      </c>
      <c r="N513" s="20">
        <v>745760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193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189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190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348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349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250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191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190</v>
      </c>
      <c r="N540" s="20">
        <v>426450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193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350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351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189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190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352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191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190</v>
      </c>
      <c r="N567" s="20">
        <v>652080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193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353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354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189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190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355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276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250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191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190</v>
      </c>
      <c r="N594" s="20">
        <v>800310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193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356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189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190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357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191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190</v>
      </c>
      <c r="N621" s="20">
        <v>141320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193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344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189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190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358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176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359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191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190</v>
      </c>
      <c r="N648" s="20">
        <f>89640+153770</f>
        <v>243410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193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189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190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360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191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190</v>
      </c>
      <c r="N675" s="20">
        <v>425320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193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189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190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361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362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191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190</v>
      </c>
      <c r="N702" s="20">
        <f>626540+94190</f>
        <v>720730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193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363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364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365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189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190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366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367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191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190</v>
      </c>
      <c r="N729" s="20">
        <v>874110</v>
      </c>
    </row>
    <row r="730" spans="1:14" ht="18" customHeight="1">
      <c r="A730" s="98" t="s">
        <v>192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193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368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299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317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189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190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300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191</v>
      </c>
      <c r="B756" s="97"/>
      <c r="C756" s="97"/>
      <c r="D756" s="97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190</v>
      </c>
      <c r="N756" s="20">
        <v>1001690</v>
      </c>
    </row>
    <row r="757" spans="1:14" ht="18" customHeight="1">
      <c r="A757" s="98" t="s">
        <v>192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193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29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29</v>
      </c>
      <c r="D759" s="62" t="s">
        <v>30</v>
      </c>
      <c r="E759" s="11"/>
      <c r="F759" s="17" t="str">
        <f t="shared" si="169"/>
        <v/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369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29</v>
      </c>
      <c r="D760" s="62" t="s">
        <v>30</v>
      </c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29</v>
      </c>
      <c r="D761" s="62" t="s">
        <v>30</v>
      </c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29</v>
      </c>
      <c r="D762" s="62" t="s">
        <v>30</v>
      </c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29</v>
      </c>
      <c r="D763" s="62" t="s">
        <v>30</v>
      </c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29</v>
      </c>
      <c r="D764" s="62" t="s">
        <v>30</v>
      </c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29</v>
      </c>
      <c r="D765" s="62" t="s">
        <v>30</v>
      </c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29</v>
      </c>
      <c r="D766" s="62" t="s">
        <v>30</v>
      </c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29</v>
      </c>
      <c r="D767" s="62" t="s">
        <v>30</v>
      </c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29</v>
      </c>
      <c r="D768" s="62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29</v>
      </c>
      <c r="D769" s="62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189</v>
      </c>
      <c r="B770" s="97"/>
      <c r="C770" s="97"/>
      <c r="D770" s="97"/>
      <c r="E770" s="19">
        <f>SUM(E758:E769)</f>
        <v>5</v>
      </c>
      <c r="F770" s="19">
        <f>SUM(F758:F769)</f>
        <v>20</v>
      </c>
      <c r="G770" s="38"/>
      <c r="H770" s="38"/>
      <c r="I770" s="38"/>
      <c r="J770" s="38"/>
      <c r="K770" s="38"/>
      <c r="L770" s="72">
        <f>IFERROR(SUM(L758:L769),"")</f>
        <v>3.4027777777777768E-2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191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5</v>
      </c>
      <c r="F784" s="22">
        <f>F770+F783</f>
        <v>20</v>
      </c>
      <c r="G784" s="39"/>
      <c r="H784" s="39"/>
      <c r="I784" s="39"/>
      <c r="J784" s="39"/>
      <c r="K784" s="39"/>
      <c r="L784" s="73">
        <f>IFERROR(L770+L783,"")</f>
        <v>3.4027777777777768E-2</v>
      </c>
      <c r="M784" s="22" t="s">
        <v>193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189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190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191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190</v>
      </c>
      <c r="N810" s="20"/>
    </row>
    <row r="811" spans="1:14" ht="18" customHeight="1">
      <c r="A811" s="110" t="s">
        <v>192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193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2026-06-29T11:52:05Z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