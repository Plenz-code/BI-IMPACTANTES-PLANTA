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8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10185" documentId="8_{AF585B22-221D-4780-BB9C-493D365A6A02}" xr6:coauthVersionLast="47" xr6:coauthVersionMax="47" xr10:uidLastSave="{2D10F1FE-59DE-4E45-8B1D-4BA10C5A2DD6}"/>
  <bookViews>
    <workbookView xWindow="-110" yWindow="-110" windowWidth="25820" windowHeight="15500" tabRatio="500" firstSheet="4" activeTab="3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466" i="3" l="1"/>
  <c r="G412" i="4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<sst xmlns="http://schemas.openxmlformats.org/spreadsheetml/2006/main" count="8799" uniqueCount="373">
  <si>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</si>
  <si>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</si>
  <si>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</si>
  <si>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</si>
  <si>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</si>
  <si>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</si>
  <si>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</si>
  <si>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</si>
  <si>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</si>
  <si>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</si>
  <si>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</si>
  <si>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</si>
  <si>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</si>
  <si>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</si>
  <si>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</si>
  <si>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</si>
  <si>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</si>
  <si>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</si>
  <si>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</si>
  <si>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</si>
  <si>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</si>
  <si>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</si>
  <si>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</si>
  <si>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</si>
  <si>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</si>
  <si>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</si>
  <si>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</si>
  <si>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</si>
  <si>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</si>
  <si>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</si>
  <si>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</si>
  <si>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</si>
  <si>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</si>
  <si>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</si>
  <si>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</si>
  <si>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</si>
  <si>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</si>
  <si>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</si>
  <si>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</si>
  <si>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</si>
  <si>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</si>
  <si>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</si>
  <si>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</si>
  <si>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</si>
  <si>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</si>
  <si>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</si>
  <si>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</si>
  <si>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</si>
  <si>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</si>
  <si>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</si>
  <si>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</si>
  <si>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</si>
  <si>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</si>
  <si>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</si>
  <si>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</si>
  <si>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</si>
  <si>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</si>
  <si>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</si>
  <si>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</si>
  <si>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</si>
  <si>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</si>
  <si>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</si>
  <si>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</si>
  <si>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</si>
  <si>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</si>
  <si>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</si>
  <si>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</si>
  <si>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</si>
  <si>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</si>
  <si>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</si>
  <si>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</si>
  <si>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</si>
  <si>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</si>
  <si>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</si>
  <si>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</si>
  <si>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</si>
  <si>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</si>
  <si>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</si>
  <si>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</si>
  <si>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</si>
  <si>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</si>
  <si>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</si>
  <si>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</si>
  <si>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</si>
  <si>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</si>
  <si>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</si>
  <si>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</si>
  <si>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</si>
  <si>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</si>
  <si>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</si>
  <si>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</si>
  <si>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</si>
  <si>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</si>
  <si>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</si>
  <si>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</si>
  <si>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</si>
  <si>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</si>
  <si>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</si>
  <si>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</si>
  <si>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</si>
  <si>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</si>
  <si>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</si>
  <si>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</si>
  <si>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</si>
  <si>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</si>
  <si>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</si>
  <si>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</si>
  <si>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</si>
  <si>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</si>
  <si>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</si>
  <si>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</si>
  <si>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</si>
  <si>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</si>
  <si>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</si>
  <si>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</si>
  <si>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</si>
  <si>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</si>
  <si>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</si>
  <si>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</si>
  <si>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</si>
  <si>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</si>
  <si>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</si>
  <si>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</si>
  <si>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</si>
  <si>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</si>
  <si>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</si>
  <si>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</si>
  <si>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</si>
  <si>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</si>
  <si>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</si>
  <si>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</si>
  <si>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</si>
  <si>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</si>
  <si>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</si>
  <si>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</si>
  <si>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</si>
  <si>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</si>
  <si>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</si>
  <si>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</si>
  <si>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</si>
  <si>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</si>
  <si>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</si>
  <si>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</si>
  <si>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</si>
  <si>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</si>
  <si>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</si>
  <si>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</si>
  <si>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</si>
  <si>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</si>
  <si>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</si>
  <si>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</si>
  <si>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</si>
  <si>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</si>
  <si>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</si>
  <si>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</si>
  <si>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</si>
  <si>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</si>
  <si>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</si>
  <si>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</si>
  <si>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</si>
  <si>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</si>
  <si>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</si>
  <si>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</si>
  <si>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</si>
  <si>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</si>
  <si>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</si>
  <si>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</si>
  <si>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</si>
  <si>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</si>
  <si>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</si>
  <si>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</si>
  <si>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</si>
  <si>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</si>
  <si>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</si>
  <si>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</si>
  <si>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</si>
  <si>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</si>
  <si>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</si>
  <si>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</si>
  <si>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</si>
  <si>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</si>
  <si>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</si>
  <si>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</si>
  <si>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</si>
  <si>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</si>
  <si>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</si>
  <si>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</si>
  <si>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</si>
  <si>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</si>
  <si>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</si>
  <si>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</si>
  <si>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</si>
  <si>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</si>
  <si>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</si>
  <si>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</si>
  <si>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</si>
  <si>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</si>
  <si>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</si>
  <si>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</si>
  <si>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</si>
  <si>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</si>
  <si>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</si>
  <si>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</si>
  <si>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</si>
  <si>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</si>
  <si>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</si>
  <si>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</si>
  <si>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</si>
  <si>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</si>
  <si>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</si>
  <si>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</si>
  <si>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</si>
  <si>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</si>
  <si>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</si>
  <si>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</si>
  <si>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</si>
  <si>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</si>
  <si>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</si>
  <si>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</si>
  <si>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</si>
  <si>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</si>
  <si>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</si>
  <si>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</si>
  <si>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</si>
  <si>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</si>
  <si>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</si>
  <si>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</si>
  <si>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</si>
  <si>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</si>
  <si>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</si>
  <si>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</si>
  <si>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</si>
  <si>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</si>
  <si>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</si>
  <si>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</si>
  <si>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</si>
  <si>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</si>
  <si>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</si>
  <si>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</si>
  <si>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</si>
  <si>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</si>
  <si>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</si>
  <si>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</si>
  <si>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</si>
  <si>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</si>
  <si>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</si>
  <si>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</si>
  <si>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</si>
  <si>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</si>
  <si>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</si>
  <si>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</si>
  <si>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</si>
  <si>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</si>
  <si>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</si>
  <si>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</si>
  <si>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</si>
  <si>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troca de facas, engraxamento dos mancais,, troca de balata</t>
  </si>
  <si>
    <t>teve que a fasta o roto um pouco prolado</t>
  </si>
  <si>
    <t>ajuste no rolamento do rotor do britador, 5s, feito tampa do chute do britador, colocado rolete na TC1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</si>
  <si>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</si>
  <si>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</si>
  <si>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</si>
  <si>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</si>
  <si>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</si>
  <si>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</si>
  <si>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</si>
  <si>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</si>
  <si>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</si>
  <si>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</si>
  <si>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</si>
  <si>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</si>
  <si>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</si>
  <si>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</si>
  <si>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</si>
  <si>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</si>
  <si>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</si>
  <si>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</si>
  <si>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</si>
  <si>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</si>
  <si>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</si>
  <si>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</si>
  <si>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</si>
  <si>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</si>
  <si>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</si>
  <si>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</si>
  <si>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</si>
  <si>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</si>
  <si>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</si>
  <si>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</si>
  <si>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</si>
  <si>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</si>
  <si>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</si>
  <si>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</si>
  <si>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</si>
  <si>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</si>
  <si>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troca de martelo</t>
  </si>
  <si>
    <t>borracha da bica caiu no moinho 1</t>
  </si>
  <si>
    <t>solda na grelha, troca de martelo 1 e 2</t>
  </si>
  <si>
    <t>troca de martelo moinho 1</t>
  </si>
  <si>
    <t>e troca de martelo 1e2</t>
  </si>
  <si>
    <t>troca de martelo moinho 2 e solda na grelha</t>
  </si>
  <si>
    <t xml:space="preserve">obstrução no moinho 1 </t>
  </si>
  <si>
    <t>solda para sanar vazamento</t>
  </si>
  <si>
    <t>e troca de martelo mm1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</si>
  <si>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</si>
  <si>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</si>
  <si>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</si>
  <si>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</si>
  <si>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</si>
  <si>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</si>
  <si>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</si>
  <si>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</si>
  <si>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</si>
  <si>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</si>
  <si>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</si>
  <si>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</si>
  <si>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</si>
  <si>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</si>
  <si>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</si>
  <si>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</si>
  <si>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</si>
  <si>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</si>
  <si>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</si>
  <si>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</si>
  <si>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troca de martelo moinho 3</t>
  </si>
  <si>
    <t>um sevico de solda nas grelhas</t>
  </si>
  <si>
    <t>coloca grelha no moinho moendo grosso</t>
  </si>
  <si>
    <t>arrebentou as balata e quebrou as grelhas e teve troca de martelo</t>
  </si>
  <si>
    <t>solda na tampa do mancal</t>
  </si>
  <si>
    <t>nos martelo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</si>
  <si>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</si>
  <si>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</si>
  <si>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</si>
  <si>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</si>
  <si>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</si>
  <si>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</si>
  <si>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</si>
  <si>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</si>
  <si>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</si>
  <si>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</si>
  <si>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</si>
  <si>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</si>
  <si>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</si>
  <si>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</si>
  <si>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</si>
  <si>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</si>
  <si>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</si>
  <si>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</si>
  <si>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</si>
  <si>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</si>
  <si>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</si>
  <si>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</si>
  <si>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</si>
  <si>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</si>
  <si>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</si>
  <si>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</si>
  <si>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</si>
  <si>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</si>
  <si>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</si>
  <si>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</si>
  <si>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</si>
  <si>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</si>
  <si>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</si>
  <si>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pc19</t>
  </si>
  <si>
    <t>desobstrução do moinho de bola 4, troca de martelo moinho 4</t>
  </si>
  <si>
    <t>troca de martelo 4</t>
  </si>
  <si>
    <t>reajute nas grelhas correia da moega esta rasgada</t>
  </si>
  <si>
    <t xml:space="preserve">manutenção no acoplamento do moinho de bola 3, solda na chapa da alimentação </t>
  </si>
  <si>
    <t>mm4 e mm5 trocado martelo</t>
  </si>
  <si>
    <t>ajuste para limpar caixa e trocar a bomba de pola 3</t>
  </si>
  <si>
    <t>solda no anel de vedação do mancal</t>
  </si>
  <si>
    <t>troca de rolamento mm5</t>
  </si>
  <si>
    <t>correia esta patinando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</si>
</sst>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1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18" sqref="G18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5" t="s">
        <v>0</v>
      </c>
      <c r="B1" s="105"/>
      <c r="C1" s="105"/>
      <c r="D1" s="105"/>
      <c r="E1" s="105"/>
      <c r="F1" s="105"/>
      <c r="G1" s="105"/>
    </row>
    <row r="2" spans="1:7" ht="24.75" customHeight="1">
      <c r="A2" s="106"/>
      <c r="B2" s="106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3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2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3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2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3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2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3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2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3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2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3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2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3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2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 t="shared" si="0"/>
        <v>3265480</v>
      </c>
    </row>
    <row r="19" spans="1:7" ht="15.75" customHeight="1">
      <c r="A19" s="10">
        <v>16</v>
      </c>
      <c r="B19" s="73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2">
        <v>46220</v>
      </c>
      <c r="C20" s="8">
        <f>IFERROR(Britador!O460,"")</f>
        <v>3916480</v>
      </c>
      <c r="D20" s="8">
        <f>IFERROR('Linha 1'!O460,"")</f>
        <v>1480620</v>
      </c>
      <c r="E20" s="8">
        <f>IFERROR('Linha 2'!O460,"")</f>
        <v>601310</v>
      </c>
      <c r="F20" s="8">
        <f>IFERROR('Linha 3'!O460,"")</f>
        <v>1493700</v>
      </c>
      <c r="G20" s="9">
        <f t="shared" si="0"/>
        <v>3575630</v>
      </c>
    </row>
    <row r="21" spans="1:7" ht="15.75" customHeight="1">
      <c r="A21" s="10">
        <v>18</v>
      </c>
      <c r="B21" s="73">
        <v>46221</v>
      </c>
      <c r="C21" s="11">
        <f>IFERROR(Britador!O487,"")</f>
        <v>4344880</v>
      </c>
      <c r="D21" s="11">
        <f>IFERROR('Linha 1'!O487,"")</f>
        <v>1840440</v>
      </c>
      <c r="E21" s="11">
        <f>IFERROR('Linha 2'!O487,"")</f>
        <v>570490</v>
      </c>
      <c r="F21" s="11">
        <f>IFERROR('Linha 3'!O487,"")</f>
        <v>1895030</v>
      </c>
      <c r="G21" s="12">
        <f t="shared" si="0"/>
        <v>4305960</v>
      </c>
    </row>
    <row r="22" spans="1:7" ht="15.75" customHeight="1">
      <c r="A22" s="7">
        <v>19</v>
      </c>
      <c r="B22" s="72">
        <v>46222</v>
      </c>
      <c r="C22" s="8">
        <f>IFERROR(Britador!O514,"")</f>
        <v>3397119</v>
      </c>
      <c r="D22" s="8">
        <f>IFERROR('Linha 1'!O514,"")</f>
        <v>1307150</v>
      </c>
      <c r="E22" s="8">
        <f>IFERROR('Linha 2'!O514,"")</f>
        <v>593040</v>
      </c>
      <c r="F22" s="8">
        <f>IFERROR('Linha 3'!O514,"")</f>
        <v>1447870</v>
      </c>
      <c r="G22" s="9">
        <f t="shared" si="0"/>
        <v>3348060</v>
      </c>
    </row>
    <row r="23" spans="1:7" ht="15.75" customHeight="1">
      <c r="A23" s="10">
        <v>20</v>
      </c>
      <c r="B23" s="73">
        <v>46223</v>
      </c>
      <c r="C23" s="11">
        <f>IFERROR(Britador!O541,"")</f>
        <v>2402710</v>
      </c>
      <c r="D23" s="11">
        <f>IFERROR('Linha 1'!O541,"")</f>
        <v>1375020</v>
      </c>
      <c r="E23" s="11">
        <f>IFERROR('Linha 2'!O541,"")</f>
        <v>429840</v>
      </c>
      <c r="F23" s="11">
        <f>IFERROR('Linha 3'!O541,"")</f>
        <v>766880</v>
      </c>
      <c r="G23" s="12">
        <f t="shared" si="0"/>
        <v>2571740</v>
      </c>
    </row>
    <row r="24" spans="1:7" ht="15.75" customHeight="1">
      <c r="A24" s="7">
        <v>21</v>
      </c>
      <c r="B24" s="72">
        <v>46224</v>
      </c>
      <c r="C24" s="8">
        <f>IFERROR(Britador!O568,"")</f>
        <v>2208200</v>
      </c>
      <c r="D24" s="8">
        <f>IFERROR('Linha 1'!O568,"")</f>
        <v>1725890</v>
      </c>
      <c r="E24" s="8">
        <f>IFERROR('Linha 2'!O568,"")</f>
        <v>171920</v>
      </c>
      <c r="F24" s="8">
        <f>IFERROR('Linha 3'!O568,"")</f>
        <v>583380</v>
      </c>
      <c r="G24" s="9">
        <f t="shared" si="0"/>
        <v>2481190</v>
      </c>
    </row>
    <row r="25" spans="1:7" ht="15.75" customHeight="1">
      <c r="A25" s="10">
        <v>22</v>
      </c>
      <c r="B25" s="73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7" t="s">
        <v>9</v>
      </c>
      <c r="B35" s="107"/>
      <c r="C35" s="13">
        <f>IFERROR(SUM(C4:C34),"")</f>
        <v>64593351</v>
      </c>
      <c r="D35" s="13">
        <f>IFERROR(SUM(D4:D34),"")</f>
        <v>25494250</v>
      </c>
      <c r="E35" s="13">
        <f>IFERROR(SUM(E4:E34),"")</f>
        <v>14012030</v>
      </c>
      <c r="F35" s="13">
        <f>IFERROR(SUM(F4:F34),"")</f>
        <v>28224620</v>
      </c>
      <c r="G35" s="13">
        <f>IFERROR(SUM(G4:G34),"")</f>
        <v>67730900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16" zoomScale="85" zoomScaleNormal="85" workbookViewId="0">
      <selection activeCell="K73" sqref="K73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8" t="s">
        <v>10</v>
      </c>
      <c r="B1" s="108"/>
      <c r="C1" s="108"/>
      <c r="D1" s="108"/>
      <c r="E1" s="108"/>
      <c r="F1" s="108"/>
      <c r="G1" s="108"/>
      <c r="H1" s="109"/>
      <c r="I1" s="110" t="s">
        <v>11</v>
      </c>
      <c r="J1" s="110"/>
      <c r="K1" s="110"/>
      <c r="L1" s="110"/>
      <c r="M1" s="110"/>
    </row>
    <row r="2" spans="1:13" ht="4.5" customHeight="1">
      <c r="H2" s="109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9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9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9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9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9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9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9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9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9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9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9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09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09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09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09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9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09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09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09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09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09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09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09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09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09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09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09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09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09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09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09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09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09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09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09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09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09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09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09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09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09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09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09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09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09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09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09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09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09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09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09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09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09"/>
      <c r="I55" s="17"/>
      <c r="J55" s="17"/>
      <c r="K55" s="17" t="s">
        <v>200</v>
      </c>
      <c r="L55" s="17"/>
      <c r="M55" s="17" t="s">
        <v>201</v>
      </c>
    </row>
    <row r="56" spans="1:13" ht="15" customHeight="1">
      <c r="H56" s="109"/>
      <c r="I56" s="16"/>
      <c r="J56" s="16"/>
      <c r="K56" s="16" t="s">
        <v>202</v>
      </c>
      <c r="L56" s="16"/>
      <c r="M56" s="16"/>
    </row>
    <row r="57" spans="1:13" ht="15" customHeight="1">
      <c r="H57" s="109"/>
      <c r="I57" s="17"/>
      <c r="J57" s="17"/>
      <c r="K57" s="17" t="s">
        <v>50</v>
      </c>
      <c r="L57" s="17"/>
      <c r="M57" s="17"/>
    </row>
    <row r="58" spans="1:13" ht="15" customHeight="1">
      <c r="H58" s="109"/>
      <c r="I58" s="16"/>
      <c r="J58" s="16"/>
      <c r="K58" s="16" t="s">
        <v>203</v>
      </c>
      <c r="L58" s="16"/>
      <c r="M58" s="16"/>
    </row>
    <row r="59" spans="1:13" ht="15" customHeight="1">
      <c r="H59" s="109"/>
      <c r="I59" s="17"/>
      <c r="J59" s="17"/>
      <c r="K59" s="17" t="s">
        <v>204</v>
      </c>
      <c r="L59" s="17"/>
      <c r="M59" s="17"/>
    </row>
    <row r="60" spans="1:13" ht="15" customHeight="1">
      <c r="H60" s="109"/>
      <c r="I60" s="16"/>
      <c r="J60" s="16"/>
      <c r="K60" s="86" t="s">
        <v>105</v>
      </c>
      <c r="L60" s="16"/>
      <c r="M60" s="16"/>
    </row>
    <row r="61" spans="1:13" ht="15" customHeight="1">
      <c r="H61" s="109"/>
      <c r="I61" s="17"/>
      <c r="J61" s="17"/>
      <c r="K61" s="17" t="s">
        <v>205</v>
      </c>
      <c r="L61" s="17"/>
      <c r="M61" s="17"/>
    </row>
    <row r="62" spans="1:13" ht="15" customHeight="1">
      <c r="H62" s="109"/>
      <c r="I62" s="16"/>
      <c r="J62" s="16"/>
      <c r="K62" s="16" t="s">
        <v>206</v>
      </c>
      <c r="L62" s="16"/>
      <c r="M62" s="16"/>
    </row>
    <row r="63" spans="1:13" ht="15" customHeight="1">
      <c r="H63" s="109"/>
      <c r="I63" s="17"/>
      <c r="J63" s="17"/>
      <c r="K63" s="17" t="s">
        <v>207</v>
      </c>
      <c r="L63" s="17"/>
      <c r="M63" s="17"/>
    </row>
    <row r="64" spans="1:13" ht="15" customHeight="1">
      <c r="H64" s="109"/>
      <c r="I64" s="16"/>
      <c r="J64" s="16"/>
      <c r="K64" s="16" t="s">
        <v>208</v>
      </c>
      <c r="L64" s="16"/>
      <c r="M64" s="16"/>
    </row>
    <row r="65" spans="8:13" ht="15" customHeight="1">
      <c r="H65" s="109"/>
      <c r="I65" s="17"/>
      <c r="J65" s="17"/>
      <c r="K65" s="17" t="s">
        <v>209</v>
      </c>
      <c r="L65" s="17"/>
      <c r="M65" s="17"/>
    </row>
    <row r="66" spans="8:13" ht="15" customHeight="1">
      <c r="H66" s="109"/>
      <c r="I66" s="16"/>
      <c r="J66" s="16"/>
      <c r="K66" s="16" t="s">
        <v>210</v>
      </c>
      <c r="L66" s="16"/>
      <c r="M66" s="16"/>
    </row>
    <row r="67" spans="8:13" ht="15" customHeight="1">
      <c r="H67" s="109"/>
      <c r="I67" s="17"/>
      <c r="J67" s="17"/>
      <c r="K67" s="17" t="s">
        <v>211</v>
      </c>
      <c r="L67" s="17"/>
      <c r="M67" s="17"/>
    </row>
    <row r="68" spans="8:13" ht="15" customHeight="1">
      <c r="H68" s="109"/>
      <c r="I68" s="16"/>
      <c r="J68" s="16"/>
      <c r="K68" s="16" t="s">
        <v>212</v>
      </c>
      <c r="L68" s="16"/>
      <c r="M68" s="16"/>
    </row>
    <row r="69" spans="8:13" ht="15" customHeight="1">
      <c r="H69" s="109"/>
      <c r="I69" s="17"/>
      <c r="J69" s="17"/>
      <c r="K69" s="17" t="s">
        <v>213</v>
      </c>
      <c r="L69" s="17"/>
      <c r="M69" s="17"/>
    </row>
    <row r="70" spans="8:13" ht="15" customHeight="1">
      <c r="H70" s="109"/>
      <c r="I70" s="16"/>
      <c r="J70" s="16"/>
      <c r="K70" s="16" t="s">
        <v>214</v>
      </c>
      <c r="L70" s="16"/>
      <c r="M70" s="16"/>
    </row>
    <row r="71" spans="8:13" ht="15" customHeight="1">
      <c r="H71" s="109"/>
      <c r="I71" s="17"/>
      <c r="J71" s="17"/>
      <c r="K71" s="17" t="s">
        <v>215</v>
      </c>
      <c r="L71" s="17"/>
      <c r="M71" s="17"/>
    </row>
    <row r="72" spans="8:13" ht="15" customHeight="1">
      <c r="H72" s="109"/>
      <c r="I72" s="16"/>
      <c r="J72" s="16"/>
      <c r="K72" s="16" t="s">
        <v>216</v>
      </c>
      <c r="L72" s="16"/>
      <c r="M72" s="16"/>
    </row>
    <row r="73" spans="8:13" ht="15" customHeight="1">
      <c r="H73" s="109"/>
      <c r="I73" s="17"/>
      <c r="J73" s="17"/>
      <c r="K73" s="17"/>
      <c r="L73" s="17"/>
      <c r="M73" s="17"/>
    </row>
    <row r="74" spans="8:13" ht="15" customHeight="1">
      <c r="H74" s="109"/>
      <c r="I74" s="16"/>
      <c r="J74" s="16"/>
      <c r="K74" s="16"/>
      <c r="L74" s="16"/>
      <c r="M74" s="16"/>
    </row>
    <row r="75" spans="8:13" ht="15" customHeight="1">
      <c r="H75" s="109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zoomScale="60" zoomScaleNormal="60" workbookViewId="0">
      <pane ySplit="1" topLeftCell="A530" activePane="bottomLeft" state="frozen"/>
      <selection pane="bottomLeft" activeCell="O568" sqref="O568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85.85546875" style="20" customWidth="1"/>
    <col min="15" max="15" width="14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20" t="s">
        <v>227</v>
      </c>
      <c r="E2" s="59" t="s">
        <v>228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229</v>
      </c>
      <c r="O2" s="31"/>
    </row>
    <row r="3" spans="1:15" ht="15" customHeight="1">
      <c r="A3" s="69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228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142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8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228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228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228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228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228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228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228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228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228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228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2" t="s">
        <v>230</v>
      </c>
      <c r="B14" s="103"/>
      <c r="C14" s="103"/>
      <c r="D14" s="103"/>
      <c r="E14" s="104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231</v>
      </c>
      <c r="O14" s="39">
        <v>1489420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228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228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228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228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228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228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228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228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228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228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228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228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2" t="s">
        <v>232</v>
      </c>
      <c r="B27" s="103"/>
      <c r="C27" s="103"/>
      <c r="D27" s="103"/>
      <c r="E27" s="104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231</v>
      </c>
      <c r="O27" s="39">
        <v>1183060</v>
      </c>
    </row>
    <row r="28" spans="1:15" ht="18" customHeight="1">
      <c r="A28" s="99" t="s">
        <v>233</v>
      </c>
      <c r="B28" s="100"/>
      <c r="C28" s="100"/>
      <c r="D28" s="100"/>
      <c r="E28" s="101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234</v>
      </c>
      <c r="O28" s="43">
        <f>IFERROR(O14+O27,"")</f>
        <v>2672480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228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228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183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235</v>
      </c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228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228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228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228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228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228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228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228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228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228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2" t="s">
        <v>230</v>
      </c>
      <c r="B41" s="103"/>
      <c r="C41" s="103"/>
      <c r="D41" s="103"/>
      <c r="E41" s="104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231</v>
      </c>
      <c r="O41" s="39">
        <v>108620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228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228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228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228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228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228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228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228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228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228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228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228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2" t="s">
        <v>232</v>
      </c>
      <c r="B54" s="103"/>
      <c r="C54" s="103"/>
      <c r="D54" s="103"/>
      <c r="E54" s="104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231</v>
      </c>
      <c r="O54" s="39">
        <v>959290</v>
      </c>
    </row>
    <row r="55" spans="1:15" ht="18" customHeight="1">
      <c r="A55" s="99" t="s">
        <v>233</v>
      </c>
      <c r="B55" s="100"/>
      <c r="C55" s="100"/>
      <c r="D55" s="100"/>
      <c r="E55" s="101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234</v>
      </c>
      <c r="O55" s="43">
        <f>IFERROR(O41+O54,"")</f>
        <v>1067910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228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228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228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228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228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228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228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228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228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228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228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228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2" t="s">
        <v>230</v>
      </c>
      <c r="B68" s="103"/>
      <c r="C68" s="103"/>
      <c r="D68" s="103"/>
      <c r="E68" s="104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231</v>
      </c>
      <c r="O68" s="39">
        <v>1953130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228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180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228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131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236</v>
      </c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228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228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228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228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228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228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228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228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228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228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2" t="s">
        <v>232</v>
      </c>
      <c r="B81" s="103"/>
      <c r="C81" s="103"/>
      <c r="D81" s="103"/>
      <c r="E81" s="104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231</v>
      </c>
      <c r="O81" s="39">
        <v>878050</v>
      </c>
    </row>
    <row r="82" spans="1:15" ht="18" customHeight="1">
      <c r="A82" s="99" t="s">
        <v>233</v>
      </c>
      <c r="B82" s="100"/>
      <c r="C82" s="100"/>
      <c r="D82" s="100"/>
      <c r="E82" s="101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234</v>
      </c>
      <c r="O82" s="43">
        <f>IFERROR(O68+O81,"")</f>
        <v>2831180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228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166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237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228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228</v>
      </c>
      <c r="F85" s="27">
        <v>0</v>
      </c>
      <c r="G85" s="28">
        <f t="shared" si="18"/>
        <v>0</v>
      </c>
      <c r="H85" s="33" t="s">
        <v>20</v>
      </c>
      <c r="I85" s="33" t="s">
        <v>143</v>
      </c>
      <c r="J85" s="33" t="s">
        <v>128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228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192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228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228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228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228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228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228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228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228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2" t="s">
        <v>230</v>
      </c>
      <c r="B95" s="103"/>
      <c r="C95" s="103"/>
      <c r="D95" s="103"/>
      <c r="E95" s="104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231</v>
      </c>
      <c r="O95" s="39">
        <v>1704450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238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2" t="s">
        <v>232</v>
      </c>
      <c r="B108" s="103"/>
      <c r="C108" s="103"/>
      <c r="D108" s="103"/>
      <c r="E108" s="104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231</v>
      </c>
      <c r="O108" s="39">
        <v>1700000</v>
      </c>
    </row>
    <row r="109" spans="1:15" ht="18" customHeight="1">
      <c r="A109" s="99" t="s">
        <v>233</v>
      </c>
      <c r="B109" s="100"/>
      <c r="C109" s="100"/>
      <c r="D109" s="100"/>
      <c r="E109" s="101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234</v>
      </c>
      <c r="O109" s="43">
        <f>IFERROR(O95+O108,"")</f>
        <v>3404450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228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200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228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228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228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228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228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228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228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228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228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228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228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2" t="s">
        <v>230</v>
      </c>
      <c r="B122" s="103"/>
      <c r="C122" s="103"/>
      <c r="D122" s="103"/>
      <c r="E122" s="104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231</v>
      </c>
      <c r="O122" s="39">
        <v>1625420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186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228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188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2" t="s">
        <v>232</v>
      </c>
      <c r="B135" s="103"/>
      <c r="C135" s="103"/>
      <c r="D135" s="103"/>
      <c r="E135" s="104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231</v>
      </c>
      <c r="O135" s="39">
        <v>862330</v>
      </c>
    </row>
    <row r="136" spans="1:15" ht="18" customHeight="1">
      <c r="A136" s="99" t="s">
        <v>233</v>
      </c>
      <c r="B136" s="100"/>
      <c r="C136" s="100"/>
      <c r="D136" s="100"/>
      <c r="E136" s="101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234</v>
      </c>
      <c r="O136" s="43">
        <f>IFERROR(O122+O135,"")</f>
        <v>2487750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228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186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228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228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228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228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228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228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228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228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228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228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228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2" t="s">
        <v>230</v>
      </c>
      <c r="B149" s="103"/>
      <c r="C149" s="103"/>
      <c r="D149" s="103"/>
      <c r="E149" s="104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231</v>
      </c>
      <c r="O149" s="44">
        <v>1121220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228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163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228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142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228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228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228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228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228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228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228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228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228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228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2" t="s">
        <v>232</v>
      </c>
      <c r="B162" s="103"/>
      <c r="C162" s="103"/>
      <c r="D162" s="103"/>
      <c r="E162" s="104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231</v>
      </c>
      <c r="O162" s="44">
        <v>1546080</v>
      </c>
    </row>
    <row r="163" spans="1:15" ht="18" customHeight="1">
      <c r="A163" s="99" t="s">
        <v>233</v>
      </c>
      <c r="B163" s="100"/>
      <c r="C163" s="100"/>
      <c r="D163" s="100"/>
      <c r="E163" s="101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234</v>
      </c>
      <c r="O163" s="43">
        <f>IFERROR(O149+O162,"")</f>
        <v>2667300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228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127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228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228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228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228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228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228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228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228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228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228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228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2" t="s">
        <v>230</v>
      </c>
      <c r="B176" s="103"/>
      <c r="C176" s="103"/>
      <c r="D176" s="103"/>
      <c r="E176" s="104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231</v>
      </c>
      <c r="O176" s="39">
        <v>1946430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228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228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228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228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228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228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228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228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228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228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228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228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2" t="s">
        <v>232</v>
      </c>
      <c r="B189" s="103"/>
      <c r="C189" s="103"/>
      <c r="D189" s="103"/>
      <c r="E189" s="104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231</v>
      </c>
      <c r="O189" s="39">
        <v>2355810</v>
      </c>
    </row>
    <row r="190" spans="1:15" ht="18" customHeight="1">
      <c r="A190" s="99" t="s">
        <v>233</v>
      </c>
      <c r="B190" s="100"/>
      <c r="C190" s="100"/>
      <c r="D190" s="100"/>
      <c r="E190" s="101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234</v>
      </c>
      <c r="O190" s="43">
        <f>IFERROR(O176+O189,"")</f>
        <v>4302240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30</v>
      </c>
      <c r="E191" s="62" t="s">
        <v>228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228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228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228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228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228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228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228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228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228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228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228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2" t="s">
        <v>230</v>
      </c>
      <c r="B203" s="103"/>
      <c r="C203" s="103"/>
      <c r="D203" s="103"/>
      <c r="E203" s="104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231</v>
      </c>
      <c r="O203" s="45">
        <v>1895110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228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228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153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228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228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228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228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228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228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228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228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228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228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2" t="s">
        <v>232</v>
      </c>
      <c r="B216" s="103"/>
      <c r="C216" s="103"/>
      <c r="D216" s="103"/>
      <c r="E216" s="104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231</v>
      </c>
      <c r="O216" s="45">
        <v>2013260</v>
      </c>
    </row>
    <row r="217" spans="1:15" ht="18" customHeight="1">
      <c r="A217" s="99" t="s">
        <v>233</v>
      </c>
      <c r="B217" s="100"/>
      <c r="C217" s="100"/>
      <c r="D217" s="100"/>
      <c r="E217" s="101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234</v>
      </c>
      <c r="O217" s="48">
        <f>IFERROR(O203+O216,"")</f>
        <v>3908370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228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239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228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228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228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228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228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228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228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228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228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228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228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2" t="s">
        <v>230</v>
      </c>
      <c r="B230" s="103"/>
      <c r="C230" s="103"/>
      <c r="D230" s="103"/>
      <c r="E230" s="104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231</v>
      </c>
      <c r="O230" s="39">
        <v>1436170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228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186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228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228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228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228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228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228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228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228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228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228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228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2" t="s">
        <v>232</v>
      </c>
      <c r="B243" s="103"/>
      <c r="C243" s="103"/>
      <c r="D243" s="103"/>
      <c r="E243" s="104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231</v>
      </c>
      <c r="O243" s="39">
        <v>1545480</v>
      </c>
    </row>
    <row r="244" spans="1:15" ht="18" customHeight="1">
      <c r="A244" s="99" t="s">
        <v>233</v>
      </c>
      <c r="B244" s="100"/>
      <c r="C244" s="100"/>
      <c r="D244" s="100"/>
      <c r="E244" s="101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234</v>
      </c>
      <c r="O244" s="48">
        <f>IFERROR(O230+O243,"")</f>
        <v>2981650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228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163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240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228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228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228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228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228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228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228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228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228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228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228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2" t="s">
        <v>230</v>
      </c>
      <c r="B257" s="103"/>
      <c r="C257" s="103"/>
      <c r="D257" s="103"/>
      <c r="E257" s="104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231</v>
      </c>
      <c r="O257" s="39">
        <v>2070060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228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228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228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228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228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228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228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228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228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228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228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228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2" t="s">
        <v>232</v>
      </c>
      <c r="B270" s="103"/>
      <c r="C270" s="103"/>
      <c r="D270" s="103"/>
      <c r="E270" s="104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231</v>
      </c>
      <c r="O270" s="39">
        <v>1182690</v>
      </c>
    </row>
    <row r="271" spans="1:15" ht="18" customHeight="1">
      <c r="A271" s="99" t="s">
        <v>233</v>
      </c>
      <c r="B271" s="100"/>
      <c r="C271" s="100"/>
      <c r="D271" s="100"/>
      <c r="E271" s="101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234</v>
      </c>
      <c r="O271" s="48">
        <f>IFERROR(O257+O270,"")</f>
        <v>3252750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228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228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228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228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228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228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228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228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228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228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228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228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2" t="s">
        <v>230</v>
      </c>
      <c r="B284" s="103"/>
      <c r="C284" s="103"/>
      <c r="D284" s="103"/>
      <c r="E284" s="104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231</v>
      </c>
      <c r="O284" s="39">
        <v>2448000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228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241</v>
      </c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228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228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228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228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242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228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242</v>
      </c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228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242</v>
      </c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228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242</v>
      </c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228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242</v>
      </c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228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242</v>
      </c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228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242</v>
      </c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228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242</v>
      </c>
      <c r="O296" s="47"/>
    </row>
    <row r="297" spans="1:15" ht="15.75" customHeight="1">
      <c r="A297" s="102" t="s">
        <v>232</v>
      </c>
      <c r="B297" s="103"/>
      <c r="C297" s="103"/>
      <c r="D297" s="103"/>
      <c r="E297" s="104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231</v>
      </c>
      <c r="O297" s="39">
        <v>1843460</v>
      </c>
    </row>
    <row r="298" spans="1:15" ht="18" customHeight="1">
      <c r="A298" s="99" t="s">
        <v>233</v>
      </c>
      <c r="B298" s="100"/>
      <c r="C298" s="100"/>
      <c r="D298" s="100"/>
      <c r="E298" s="101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234</v>
      </c>
      <c r="O298" s="48">
        <f>IFERROR(O284+O297,"")</f>
        <v>4291460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228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127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243</v>
      </c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228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228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131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244</v>
      </c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228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228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228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228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228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228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228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228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228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2" t="s">
        <v>230</v>
      </c>
      <c r="B311" s="103"/>
      <c r="C311" s="103"/>
      <c r="D311" s="103"/>
      <c r="E311" s="104">
        <f>SUM(E299:E310)</f>
        <v>0</v>
      </c>
      <c r="F311" s="36">
        <f>SUM(F299:F310)</f>
        <v>217</v>
      </c>
      <c r="G311" s="90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231</v>
      </c>
      <c r="O311" s="39">
        <v>955688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228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245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245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228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245</v>
      </c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245</v>
      </c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245</v>
      </c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228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245</v>
      </c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2" t="s">
        <v>232</v>
      </c>
      <c r="B324" s="103"/>
      <c r="C324" s="103"/>
      <c r="D324" s="103"/>
      <c r="E324" s="104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231</v>
      </c>
      <c r="O324" s="39">
        <v>1940000</v>
      </c>
    </row>
    <row r="325" spans="1:15" ht="18" customHeight="1">
      <c r="A325" s="99" t="s">
        <v>233</v>
      </c>
      <c r="B325" s="100"/>
      <c r="C325" s="100"/>
      <c r="D325" s="100"/>
      <c r="E325" s="101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234</v>
      </c>
      <c r="O325" s="48">
        <f>IFERROR(O311+O324,"")</f>
        <v>2895688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228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131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246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228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228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228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228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228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228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228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228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228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228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228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2" t="s">
        <v>230</v>
      </c>
      <c r="B338" s="103"/>
      <c r="C338" s="103"/>
      <c r="D338" s="103"/>
      <c r="E338" s="104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231</v>
      </c>
      <c r="O338" s="39">
        <v>1525000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228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228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228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176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228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176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228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228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228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228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228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228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228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228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2" t="s">
        <v>232</v>
      </c>
      <c r="B351" s="103"/>
      <c r="C351" s="103"/>
      <c r="D351" s="103"/>
      <c r="E351" s="104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231</v>
      </c>
      <c r="O351" s="39">
        <v>701874</v>
      </c>
    </row>
    <row r="352" spans="1:15" ht="18" customHeight="1">
      <c r="A352" s="99" t="s">
        <v>233</v>
      </c>
      <c r="B352" s="100"/>
      <c r="C352" s="100"/>
      <c r="D352" s="100"/>
      <c r="E352" s="101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234</v>
      </c>
      <c r="O352" s="48">
        <f>IFERROR(O338+O351,"")</f>
        <v>2226874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228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180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247</v>
      </c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228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186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228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228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228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228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228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228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228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228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228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228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2" t="s">
        <v>230</v>
      </c>
      <c r="B365" s="103"/>
      <c r="C365" s="103"/>
      <c r="D365" s="103"/>
      <c r="E365" s="104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231</v>
      </c>
      <c r="O365" s="39">
        <v>2064210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228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186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228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186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228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228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228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228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228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228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228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228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228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228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2" t="s">
        <v>232</v>
      </c>
      <c r="B378" s="103"/>
      <c r="C378" s="103"/>
      <c r="D378" s="103"/>
      <c r="E378" s="104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231</v>
      </c>
      <c r="O378" s="39">
        <v>1088710</v>
      </c>
    </row>
    <row r="379" spans="1:15" ht="18" customHeight="1">
      <c r="A379" s="99" t="s">
        <v>233</v>
      </c>
      <c r="B379" s="100"/>
      <c r="C379" s="100"/>
      <c r="D379" s="100"/>
      <c r="E379" s="101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234</v>
      </c>
      <c r="O379" s="48">
        <f>IFERROR(O365+O378,"")</f>
        <v>3152920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228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209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228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248</v>
      </c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228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249</v>
      </c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228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228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199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228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228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228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228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228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228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228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2" t="s">
        <v>230</v>
      </c>
      <c r="B392" s="103"/>
      <c r="C392" s="103"/>
      <c r="D392" s="103"/>
      <c r="E392" s="104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231</v>
      </c>
      <c r="O392" s="39">
        <v>1576070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228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163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228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228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131</v>
      </c>
      <c r="K395" s="29">
        <v>0.21180555555555555</v>
      </c>
      <c r="L395" s="29" t="s">
        <v>250</v>
      </c>
      <c r="M395" s="35" t="str">
        <f t="shared" ca="1" si="88"/>
        <v/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228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228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228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228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228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228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228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228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228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2" t="s">
        <v>232</v>
      </c>
      <c r="B405" s="103"/>
      <c r="C405" s="103"/>
      <c r="D405" s="103"/>
      <c r="E405" s="104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231</v>
      </c>
      <c r="O405" s="39">
        <v>1202270</v>
      </c>
    </row>
    <row r="406" spans="1:15" ht="18" customHeight="1">
      <c r="A406" s="99" t="s">
        <v>233</v>
      </c>
      <c r="B406" s="100"/>
      <c r="C406" s="100"/>
      <c r="D406" s="100"/>
      <c r="E406" s="101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234</v>
      </c>
      <c r="O406" s="48">
        <f>IFERROR(O392+O405,"")</f>
        <v>2778340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228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251</v>
      </c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228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163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228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131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252</v>
      </c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228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228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228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228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228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228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253</v>
      </c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228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253</v>
      </c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228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228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2" t="s">
        <v>230</v>
      </c>
      <c r="B419" s="103"/>
      <c r="C419" s="103"/>
      <c r="D419" s="103"/>
      <c r="E419" s="104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231</v>
      </c>
      <c r="O419" s="39">
        <v>1600690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228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228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228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228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228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228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228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228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228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228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228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228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2" t="s">
        <v>232</v>
      </c>
      <c r="B432" s="103"/>
      <c r="C432" s="103"/>
      <c r="D432" s="103"/>
      <c r="E432" s="104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231</v>
      </c>
      <c r="O432" s="39">
        <v>1801910</v>
      </c>
    </row>
    <row r="433" spans="1:15" ht="18" customHeight="1">
      <c r="A433" s="99" t="s">
        <v>233</v>
      </c>
      <c r="B433" s="100"/>
      <c r="C433" s="100"/>
      <c r="D433" s="100"/>
      <c r="E433" s="101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234</v>
      </c>
      <c r="O433" s="48">
        <f>IFERROR(O419+O432,"")</f>
        <v>3402600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228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213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254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228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228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228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228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228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228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228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228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228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228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228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2" t="s">
        <v>230</v>
      </c>
      <c r="B446" s="103"/>
      <c r="C446" s="103"/>
      <c r="D446" s="103"/>
      <c r="E446" s="104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231</v>
      </c>
      <c r="O446" s="39">
        <v>1241480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255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214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255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255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255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255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255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255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255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255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255</v>
      </c>
      <c r="F456" s="27">
        <v>20</v>
      </c>
      <c r="G456" s="28">
        <f t="shared" si="99"/>
        <v>84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255</v>
      </c>
      <c r="F457" s="27">
        <v>19</v>
      </c>
      <c r="G457" s="34">
        <f t="shared" si="99"/>
        <v>79.8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255</v>
      </c>
      <c r="F458" s="27">
        <v>18</v>
      </c>
      <c r="G458" s="28">
        <f t="shared" si="99"/>
        <v>75.600000000000009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2" t="s">
        <v>232</v>
      </c>
      <c r="B459" s="103"/>
      <c r="C459" s="103"/>
      <c r="D459" s="103"/>
      <c r="E459" s="104">
        <f>SUM(E447:E458)</f>
        <v>0</v>
      </c>
      <c r="F459" s="36">
        <f>SUM(F447:F458)</f>
        <v>186</v>
      </c>
      <c r="G459" s="36">
        <f>SUM(G447:G458)</f>
        <v>797.19999999999993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231</v>
      </c>
      <c r="O459" s="39">
        <v>2675000</v>
      </c>
    </row>
    <row r="460" spans="1:15" ht="18" customHeight="1">
      <c r="A460" s="99" t="s">
        <v>233</v>
      </c>
      <c r="B460" s="100"/>
      <c r="C460" s="100"/>
      <c r="D460" s="100"/>
      <c r="E460" s="101">
        <f>E446+E459</f>
        <v>0</v>
      </c>
      <c r="F460" s="40">
        <f>F446+F459</f>
        <v>365</v>
      </c>
      <c r="G460" s="40">
        <f>G446+G459</f>
        <v>1692.1999999999998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234</v>
      </c>
      <c r="O460" s="48">
        <f>IFERROR(O446+O459,"")</f>
        <v>3916480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228</v>
      </c>
      <c r="F463" s="27">
        <v>4</v>
      </c>
      <c r="G463" s="34">
        <f t="shared" si="102"/>
        <v>20</v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228</v>
      </c>
      <c r="F466" s="27">
        <v>40</v>
      </c>
      <c r="G466" s="28">
        <f>IF(F466="","",IF(E466="PC 17",F466*4.2,IF(E466="PC 19",F466*5,"")))</f>
        <v>200</v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2" t="s">
        <v>230</v>
      </c>
      <c r="B473" s="103"/>
      <c r="C473" s="103"/>
      <c r="D473" s="103"/>
      <c r="E473" s="104">
        <f>SUM(E461:E472)</f>
        <v>0</v>
      </c>
      <c r="F473" s="36">
        <f>SUM(F461:F472)</f>
        <v>44</v>
      </c>
      <c r="G473" s="36">
        <f>SUM(G461:G472)</f>
        <v>220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231</v>
      </c>
      <c r="O473" s="39">
        <v>2034810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228</v>
      </c>
      <c r="F475" s="27">
        <v>10</v>
      </c>
      <c r="G475" s="34">
        <f t="shared" si="105"/>
        <v>50</v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2" t="s">
        <v>232</v>
      </c>
      <c r="B486" s="103"/>
      <c r="C486" s="103"/>
      <c r="D486" s="103"/>
      <c r="E486" s="104">
        <f>SUM(E474:E485)</f>
        <v>0</v>
      </c>
      <c r="F486" s="36">
        <f>SUM(F474:F485)</f>
        <v>10</v>
      </c>
      <c r="G486" s="36">
        <f>SUM(G474:G485)</f>
        <v>50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231</v>
      </c>
      <c r="O486" s="39">
        <v>2310070</v>
      </c>
    </row>
    <row r="487" spans="1:15" ht="18" customHeight="1">
      <c r="A487" s="99" t="s">
        <v>233</v>
      </c>
      <c r="B487" s="100"/>
      <c r="C487" s="100"/>
      <c r="D487" s="100"/>
      <c r="E487" s="101">
        <f>E473+E486</f>
        <v>0</v>
      </c>
      <c r="F487" s="40">
        <f>F473+F486</f>
        <v>54</v>
      </c>
      <c r="G487" s="40">
        <f>G473+G486</f>
        <v>270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234</v>
      </c>
      <c r="O487" s="48">
        <f>IFERROR(O473+O486,"")</f>
        <v>4344880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/>
      <c r="F488" s="27"/>
      <c r="G488" s="28" t="str">
        <f t="shared" ref="G488:G499" si="108">IF(F488="","",IF(E488="PC 17",F488*4.2,IF(E488="PC 19",F488*5,"")))</f>
        <v/>
      </c>
      <c r="H488" s="26" t="s">
        <v>18</v>
      </c>
      <c r="I488" s="26" t="s">
        <v>23</v>
      </c>
      <c r="J488" s="26" t="s">
        <v>163</v>
      </c>
      <c r="K488" s="29">
        <v>0.41319444444444442</v>
      </c>
      <c r="L488" s="29">
        <v>0.4201388888888889</v>
      </c>
      <c r="M488" s="30">
        <f t="shared" ref="M488:M499" ca="1" si="109">IFERROR(IF(K488="","",IF(L488="",MOD(NOW()-K488,1),IF(L488&gt;=K488,L488-K488,L488+1-K488))),"")</f>
        <v>6.9444444444444753E-3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/>
      <c r="F489" s="27"/>
      <c r="G489" s="34" t="str">
        <f t="shared" si="108"/>
        <v/>
      </c>
      <c r="H489" s="33" t="s">
        <v>20</v>
      </c>
      <c r="I489" s="33" t="s">
        <v>23</v>
      </c>
      <c r="J489" s="33" t="s">
        <v>186</v>
      </c>
      <c r="K489" s="29">
        <v>0.4465277777777778</v>
      </c>
      <c r="L489" s="29">
        <v>0.49027777777777776</v>
      </c>
      <c r="M489" s="35">
        <f t="shared" ca="1" si="109"/>
        <v>4.3749999999999956E-2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255</v>
      </c>
      <c r="F493" s="27">
        <v>30</v>
      </c>
      <c r="G493" s="34">
        <f t="shared" si="108"/>
        <v>126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255</v>
      </c>
      <c r="F494" s="27">
        <v>61</v>
      </c>
      <c r="G494" s="28">
        <f t="shared" si="108"/>
        <v>256.2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228</v>
      </c>
      <c r="F495" s="27">
        <v>35</v>
      </c>
      <c r="G495" s="34">
        <f t="shared" si="108"/>
        <v>175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228</v>
      </c>
      <c r="F496" s="27">
        <v>35</v>
      </c>
      <c r="G496" s="28">
        <f t="shared" si="108"/>
        <v>175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228</v>
      </c>
      <c r="F497" s="27">
        <v>25</v>
      </c>
      <c r="G497" s="34">
        <f t="shared" si="108"/>
        <v>125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228</v>
      </c>
      <c r="F498" s="27">
        <v>30</v>
      </c>
      <c r="G498" s="28">
        <f t="shared" si="108"/>
        <v>150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228</v>
      </c>
      <c r="F499" s="27">
        <v>15</v>
      </c>
      <c r="G499" s="34">
        <f t="shared" si="108"/>
        <v>75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2" t="s">
        <v>230</v>
      </c>
      <c r="B500" s="103"/>
      <c r="C500" s="103"/>
      <c r="D500" s="103"/>
      <c r="E500" s="104">
        <f>SUM(E488:E499)</f>
        <v>0</v>
      </c>
      <c r="F500" s="36">
        <f>SUM(F488:F499)</f>
        <v>231</v>
      </c>
      <c r="G500" s="36">
        <f>SUM(G488:G499)</f>
        <v>1082.2</v>
      </c>
      <c r="H500" s="37"/>
      <c r="I500" s="37"/>
      <c r="J500" s="37"/>
      <c r="K500" s="37"/>
      <c r="L500" s="37"/>
      <c r="M500" s="38">
        <f ca="1">IFERROR(SUM(M488:M499),"")</f>
        <v>5.0694444444444431E-2</v>
      </c>
      <c r="N500" s="36" t="s">
        <v>231</v>
      </c>
      <c r="O500" s="39">
        <v>2098690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228</v>
      </c>
      <c r="F501" s="27">
        <v>17</v>
      </c>
      <c r="G501" s="34">
        <f t="shared" ref="G501:G512" si="111">IF(F501="","",IF(E501="PC 17",F501*4.2,IF(E501="PC 19",F501*5,"")))</f>
        <v>85</v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228</v>
      </c>
      <c r="F502" s="27">
        <v>26</v>
      </c>
      <c r="G502" s="28">
        <f t="shared" si="111"/>
        <v>130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228</v>
      </c>
      <c r="F503" s="27">
        <v>10</v>
      </c>
      <c r="G503" s="34">
        <f t="shared" si="111"/>
        <v>50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228</v>
      </c>
      <c r="F504" s="27">
        <v>20</v>
      </c>
      <c r="G504" s="28">
        <f t="shared" si="111"/>
        <v>100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228</v>
      </c>
      <c r="F505" s="27">
        <v>36</v>
      </c>
      <c r="G505" s="34">
        <f t="shared" si="111"/>
        <v>180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228</v>
      </c>
      <c r="F506" s="27">
        <v>20</v>
      </c>
      <c r="G506" s="28">
        <f t="shared" si="111"/>
        <v>100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228</v>
      </c>
      <c r="F507" s="27">
        <v>28</v>
      </c>
      <c r="G507" s="34">
        <f t="shared" si="111"/>
        <v>140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228</v>
      </c>
      <c r="F508" s="27">
        <v>16</v>
      </c>
      <c r="G508" s="28">
        <f t="shared" si="111"/>
        <v>80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228</v>
      </c>
      <c r="F509" s="27">
        <v>35</v>
      </c>
      <c r="G509" s="34">
        <f t="shared" si="111"/>
        <v>175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228</v>
      </c>
      <c r="F510" s="27">
        <v>10</v>
      </c>
      <c r="G510" s="28">
        <f t="shared" si="111"/>
        <v>50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228</v>
      </c>
      <c r="F511" s="27">
        <v>14</v>
      </c>
      <c r="G511" s="34">
        <f t="shared" si="111"/>
        <v>70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228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2" t="s">
        <v>232</v>
      </c>
      <c r="B513" s="103"/>
      <c r="C513" s="103"/>
      <c r="D513" s="103"/>
      <c r="E513" s="104">
        <f>SUM(E501:E512)</f>
        <v>0</v>
      </c>
      <c r="F513" s="36">
        <f>SUM(F501:F512)</f>
        <v>232</v>
      </c>
      <c r="G513" s="36">
        <f>SUM(G501:G512)</f>
        <v>1160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231</v>
      </c>
      <c r="O513" s="39">
        <v>1298429</v>
      </c>
    </row>
    <row r="514" spans="1:15" ht="18" customHeight="1">
      <c r="A514" s="99" t="s">
        <v>233</v>
      </c>
      <c r="B514" s="100"/>
      <c r="C514" s="100"/>
      <c r="D514" s="100"/>
      <c r="E514" s="101">
        <f>E500+E513</f>
        <v>0</v>
      </c>
      <c r="F514" s="40">
        <f>F500+F513</f>
        <v>463</v>
      </c>
      <c r="G514" s="40">
        <f>G500+G513</f>
        <v>2242.1999999999998</v>
      </c>
      <c r="H514" s="41"/>
      <c r="I514" s="41"/>
      <c r="J514" s="41"/>
      <c r="K514" s="41"/>
      <c r="L514" s="41"/>
      <c r="M514" s="42">
        <f ca="1">IFERROR(M500+M513,"")</f>
        <v>5.0694444444444431E-2</v>
      </c>
      <c r="N514" s="40" t="s">
        <v>234</v>
      </c>
      <c r="O514" s="48">
        <f>IFERROR(O500+O513,"")</f>
        <v>3397119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228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19</v>
      </c>
      <c r="I515" s="33" t="s">
        <v>23</v>
      </c>
      <c r="J515" s="33" t="s">
        <v>107</v>
      </c>
      <c r="K515" s="29">
        <v>0.30138888888888887</v>
      </c>
      <c r="L515" s="29">
        <v>0.38680555555555557</v>
      </c>
      <c r="M515" s="35">
        <f t="shared" ref="M515:M526" ca="1" si="115">IFERROR(IF(K515="","",IF(L515="",MOD(NOW()-K515,1),IF(L515&gt;=K515,L515-K515,L515+1-K515))),"")</f>
        <v>8.5416666666666696E-2</v>
      </c>
      <c r="N515" s="46" t="s">
        <v>256</v>
      </c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228</v>
      </c>
      <c r="F516" s="27">
        <v>0</v>
      </c>
      <c r="G516" s="28">
        <f t="shared" si="114"/>
        <v>0</v>
      </c>
      <c r="H516" s="49" t="s">
        <v>18</v>
      </c>
      <c r="I516" s="26" t="s">
        <v>23</v>
      </c>
      <c r="J516" s="49" t="s">
        <v>34</v>
      </c>
      <c r="K516" s="29">
        <v>0.68055555555555558</v>
      </c>
      <c r="L516" s="29">
        <v>0.79166666666666663</v>
      </c>
      <c r="M516" s="30">
        <f t="shared" ca="1" si="115"/>
        <v>0.11111111111111105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228</v>
      </c>
      <c r="F517" s="27">
        <v>30</v>
      </c>
      <c r="G517" s="34">
        <f t="shared" si="114"/>
        <v>150</v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228</v>
      </c>
      <c r="F518" s="27">
        <v>30</v>
      </c>
      <c r="G518" s="28">
        <f t="shared" si="114"/>
        <v>150</v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228</v>
      </c>
      <c r="F519" s="27">
        <v>27</v>
      </c>
      <c r="G519" s="34">
        <f t="shared" si="114"/>
        <v>135</v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228</v>
      </c>
      <c r="F520" s="27">
        <v>24</v>
      </c>
      <c r="G520" s="28">
        <f t="shared" si="114"/>
        <v>120</v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228</v>
      </c>
      <c r="F521" s="27">
        <v>15</v>
      </c>
      <c r="G521" s="34">
        <f t="shared" si="114"/>
        <v>75</v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228</v>
      </c>
      <c r="F522" s="27">
        <v>28</v>
      </c>
      <c r="G522" s="28">
        <f t="shared" si="114"/>
        <v>140</v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228</v>
      </c>
      <c r="F523" s="27">
        <v>15</v>
      </c>
      <c r="G523" s="34">
        <f t="shared" si="114"/>
        <v>75</v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228</v>
      </c>
      <c r="F524" s="27">
        <v>5</v>
      </c>
      <c r="G524" s="28">
        <f t="shared" si="114"/>
        <v>25</v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228</v>
      </c>
      <c r="F525" s="27">
        <v>0</v>
      </c>
      <c r="G525" s="34">
        <f t="shared" si="114"/>
        <v>0</v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228</v>
      </c>
      <c r="F526" s="27">
        <v>0</v>
      </c>
      <c r="G526" s="28">
        <f t="shared" si="114"/>
        <v>0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2" t="s">
        <v>230</v>
      </c>
      <c r="B527" s="103"/>
      <c r="C527" s="103"/>
      <c r="D527" s="103"/>
      <c r="E527" s="104">
        <f>SUM(E515:E526)</f>
        <v>0</v>
      </c>
      <c r="F527" s="36">
        <f>SUM(F515:F526)</f>
        <v>174</v>
      </c>
      <c r="G527" s="36">
        <f>SUM(G515:G526)</f>
        <v>870</v>
      </c>
      <c r="H527" s="37"/>
      <c r="I527" s="37"/>
      <c r="J527" s="37"/>
      <c r="K527" s="37"/>
      <c r="L527" s="37"/>
      <c r="M527" s="38">
        <f ca="1">IFERROR(SUM(M515:M526),"")</f>
        <v>0.19652777777777775</v>
      </c>
      <c r="N527" s="36" t="s">
        <v>231</v>
      </c>
      <c r="O527" s="39">
        <v>1162570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228</v>
      </c>
      <c r="F528" s="27">
        <v>12</v>
      </c>
      <c r="G528" s="28">
        <f t="shared" ref="G528:G539" si="117">IF(F528="","",IF(E528="PC 17",F528*4.2,IF(E528="PC 19",F528*5,"")))</f>
        <v>60</v>
      </c>
      <c r="H528" s="26" t="s">
        <v>18</v>
      </c>
      <c r="I528" s="26" t="s">
        <v>23</v>
      </c>
      <c r="J528" s="26" t="s">
        <v>34</v>
      </c>
      <c r="K528" s="29">
        <v>0.29166666666666669</v>
      </c>
      <c r="L528" s="29">
        <v>0.82499999999999996</v>
      </c>
      <c r="M528" s="30">
        <v>3.3333333333333333E-2</v>
      </c>
      <c r="N528" s="46"/>
      <c r="O528" s="47"/>
    </row>
    <row r="529" spans="1:15" ht="15" customHeight="1">
      <c r="A529" s="69">
        <v>46223</v>
      </c>
      <c r="B529" s="32">
        <f t="shared" ref="B529:B539" si="118">B528+TIME(0,60,0)</f>
        <v>0.87499999999999967</v>
      </c>
      <c r="C529" s="26" t="s">
        <v>45</v>
      </c>
      <c r="D529" s="59" t="s">
        <v>30</v>
      </c>
      <c r="E529" s="59" t="s">
        <v>228</v>
      </c>
      <c r="F529" s="27">
        <v>21</v>
      </c>
      <c r="G529" s="34">
        <f t="shared" si="117"/>
        <v>105</v>
      </c>
      <c r="H529" s="33" t="s">
        <v>16</v>
      </c>
      <c r="I529" s="33" t="s">
        <v>23</v>
      </c>
      <c r="J529" s="33" t="s">
        <v>32</v>
      </c>
      <c r="K529" s="29">
        <v>5.7638888888888892E-2</v>
      </c>
      <c r="L529" s="29">
        <v>0.16250000000000001</v>
      </c>
      <c r="M529" s="35">
        <f t="shared" ref="M528:M539" ca="1" si="119">IFERROR(IF(K529="","",IF(L529="",MOD(NOW()-K529,1),IF(L529&gt;=K529,L529-K529,L529+1-K529))),"")</f>
        <v>0.10486111111111111</v>
      </c>
      <c r="N529" s="46" t="s">
        <v>257</v>
      </c>
      <c r="O529" s="47"/>
    </row>
    <row r="530" spans="1:15" ht="15" customHeight="1">
      <c r="A530" s="68">
        <v>46223</v>
      </c>
      <c r="B530" s="25">
        <f t="shared" si="118"/>
        <v>0.9166666666666663</v>
      </c>
      <c r="C530" s="26" t="s">
        <v>45</v>
      </c>
      <c r="D530" s="59" t="s">
        <v>30</v>
      </c>
      <c r="E530" s="59" t="s">
        <v>228</v>
      </c>
      <c r="F530" s="27">
        <v>20</v>
      </c>
      <c r="G530" s="28">
        <f t="shared" si="117"/>
        <v>100</v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46223</v>
      </c>
      <c r="B531" s="32">
        <f t="shared" si="118"/>
        <v>0.95833333333333293</v>
      </c>
      <c r="C531" s="26" t="s">
        <v>45</v>
      </c>
      <c r="D531" s="59" t="s">
        <v>30</v>
      </c>
      <c r="E531" s="59" t="s">
        <v>228</v>
      </c>
      <c r="F531" s="27">
        <v>30</v>
      </c>
      <c r="G531" s="34">
        <f t="shared" si="117"/>
        <v>150</v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46223</v>
      </c>
      <c r="B532" s="25">
        <f t="shared" si="118"/>
        <v>0.99999999999999956</v>
      </c>
      <c r="C532" s="26" t="s">
        <v>45</v>
      </c>
      <c r="D532" s="59" t="s">
        <v>30</v>
      </c>
      <c r="E532" s="59" t="s">
        <v>228</v>
      </c>
      <c r="F532" s="27">
        <v>32</v>
      </c>
      <c r="G532" s="28">
        <f t="shared" si="117"/>
        <v>160</v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46223</v>
      </c>
      <c r="B533" s="32">
        <f t="shared" si="118"/>
        <v>1.0416666666666663</v>
      </c>
      <c r="C533" s="26" t="s">
        <v>45</v>
      </c>
      <c r="D533" s="59" t="s">
        <v>30</v>
      </c>
      <c r="E533" s="59" t="s">
        <v>228</v>
      </c>
      <c r="F533" s="27">
        <v>33</v>
      </c>
      <c r="G533" s="34">
        <f t="shared" si="117"/>
        <v>165</v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46223</v>
      </c>
      <c r="B534" s="25">
        <f t="shared" si="118"/>
        <v>1.083333333333333</v>
      </c>
      <c r="C534" s="26" t="s">
        <v>45</v>
      </c>
      <c r="D534" s="59" t="s">
        <v>30</v>
      </c>
      <c r="E534" s="59" t="s">
        <v>228</v>
      </c>
      <c r="F534" s="27">
        <v>25</v>
      </c>
      <c r="G534" s="28">
        <f t="shared" si="117"/>
        <v>125</v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46223</v>
      </c>
      <c r="B535" s="32">
        <f t="shared" si="118"/>
        <v>1.1249999999999998</v>
      </c>
      <c r="C535" s="26" t="s">
        <v>45</v>
      </c>
      <c r="D535" s="59" t="s">
        <v>30</v>
      </c>
      <c r="E535" s="59" t="s">
        <v>228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46223</v>
      </c>
      <c r="B536" s="25">
        <f t="shared" si="118"/>
        <v>1.1666666666666665</v>
      </c>
      <c r="C536" s="26" t="s">
        <v>45</v>
      </c>
      <c r="D536" s="59" t="s">
        <v>30</v>
      </c>
      <c r="E536" s="59" t="s">
        <v>228</v>
      </c>
      <c r="F536" s="27">
        <v>0</v>
      </c>
      <c r="G536" s="28">
        <f t="shared" si="117"/>
        <v>0</v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46223</v>
      </c>
      <c r="B537" s="32">
        <f t="shared" si="118"/>
        <v>1.2083333333333333</v>
      </c>
      <c r="C537" s="26" t="s">
        <v>45</v>
      </c>
      <c r="D537" s="59" t="s">
        <v>30</v>
      </c>
      <c r="E537" s="59" t="s">
        <v>228</v>
      </c>
      <c r="F537" s="27">
        <v>25</v>
      </c>
      <c r="G537" s="34">
        <f t="shared" si="117"/>
        <v>125</v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46223</v>
      </c>
      <c r="B538" s="25">
        <f t="shared" si="118"/>
        <v>1.25</v>
      </c>
      <c r="C538" s="26" t="s">
        <v>45</v>
      </c>
      <c r="D538" s="59" t="s">
        <v>30</v>
      </c>
      <c r="E538" s="59" t="s">
        <v>228</v>
      </c>
      <c r="F538" s="27">
        <v>40</v>
      </c>
      <c r="G538" s="28">
        <f t="shared" si="117"/>
        <v>200</v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46223</v>
      </c>
      <c r="B539" s="32">
        <f t="shared" si="118"/>
        <v>1.2916666666666667</v>
      </c>
      <c r="C539" s="26" t="s">
        <v>45</v>
      </c>
      <c r="D539" s="59" t="s">
        <v>30</v>
      </c>
      <c r="E539" s="59" t="s">
        <v>228</v>
      </c>
      <c r="F539" s="27">
        <v>16</v>
      </c>
      <c r="G539" s="34">
        <f t="shared" si="117"/>
        <v>80</v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2" t="s">
        <v>232</v>
      </c>
      <c r="B540" s="103"/>
      <c r="C540" s="103"/>
      <c r="D540" s="103"/>
      <c r="E540" s="104">
        <f>SUM(E528:E539)</f>
        <v>0</v>
      </c>
      <c r="F540" s="36">
        <f>SUM(F528:F539)</f>
        <v>254</v>
      </c>
      <c r="G540" s="36">
        <f>SUM(G528:G539)</f>
        <v>1270</v>
      </c>
      <c r="H540" s="37"/>
      <c r="I540" s="37"/>
      <c r="J540" s="37"/>
      <c r="K540" s="37"/>
      <c r="L540" s="37"/>
      <c r="M540" s="38">
        <f ca="1">IFERROR(SUM(M528:M539),"")</f>
        <v>0.13819444444444445</v>
      </c>
      <c r="N540" s="36" t="s">
        <v>231</v>
      </c>
      <c r="O540" s="39">
        <v>1240140</v>
      </c>
    </row>
    <row r="541" spans="1:15" ht="18" customHeight="1">
      <c r="A541" s="99" t="s">
        <v>233</v>
      </c>
      <c r="B541" s="100"/>
      <c r="C541" s="100"/>
      <c r="D541" s="100"/>
      <c r="E541" s="101">
        <f>E527+E540</f>
        <v>0</v>
      </c>
      <c r="F541" s="40">
        <f>F527+F540</f>
        <v>428</v>
      </c>
      <c r="G541" s="40">
        <f>G527+G540</f>
        <v>2140</v>
      </c>
      <c r="H541" s="41"/>
      <c r="I541" s="41"/>
      <c r="J541" s="41"/>
      <c r="K541" s="41"/>
      <c r="L541" s="41"/>
      <c r="M541" s="42">
        <f ca="1">IFERROR(M527+M540,"")</f>
        <v>0.3347222222222222</v>
      </c>
      <c r="N541" s="40" t="s">
        <v>234</v>
      </c>
      <c r="O541" s="48">
        <f>IFERROR(O527+O540,"")</f>
        <v>2402710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228</v>
      </c>
      <c r="F542" s="27">
        <v>5</v>
      </c>
      <c r="G542" s="28">
        <f t="shared" ref="G542:G553" si="120">IF(F542="","",IF(E542="PC 17",F542*4.2,IF(E542="PC 19",F542*5,"")))</f>
        <v>25</v>
      </c>
      <c r="H542" s="26" t="s">
        <v>18</v>
      </c>
      <c r="I542" s="26" t="s">
        <v>23</v>
      </c>
      <c r="J542" s="26" t="s">
        <v>206</v>
      </c>
      <c r="K542" s="29">
        <v>0.30208333333333331</v>
      </c>
      <c r="L542" s="29">
        <v>0.625</v>
      </c>
      <c r="M542" s="30">
        <f t="shared" ref="M542:M553" ca="1" si="121">IFERROR(IF(K542="","",IF(L542="",MOD(NOW()-K542,1),IF(L542&gt;=K542,L542-K542,L542+1-K542))),"")</f>
        <v>0.32291666666666669</v>
      </c>
      <c r="N542" s="46" t="s">
        <v>258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228</v>
      </c>
      <c r="F543" s="27">
        <v>0</v>
      </c>
      <c r="G543" s="34">
        <f t="shared" si="120"/>
        <v>0</v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228</v>
      </c>
      <c r="F544" s="27">
        <v>0</v>
      </c>
      <c r="G544" s="28">
        <f t="shared" si="120"/>
        <v>0</v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228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228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30</v>
      </c>
      <c r="E547" s="59" t="s">
        <v>228</v>
      </c>
      <c r="F547" s="27">
        <v>0</v>
      </c>
      <c r="G547" s="34">
        <f t="shared" si="120"/>
        <v>0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30</v>
      </c>
      <c r="E548" s="59" t="s">
        <v>228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30</v>
      </c>
      <c r="E549" s="59" t="s">
        <v>228</v>
      </c>
      <c r="F549" s="27">
        <v>10</v>
      </c>
      <c r="G549" s="34">
        <f t="shared" si="120"/>
        <v>50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30</v>
      </c>
      <c r="E550" s="59" t="s">
        <v>228</v>
      </c>
      <c r="F550" s="27">
        <v>30</v>
      </c>
      <c r="G550" s="28">
        <f t="shared" si="120"/>
        <v>150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30</v>
      </c>
      <c r="E551" s="59" t="s">
        <v>228</v>
      </c>
      <c r="F551" s="27">
        <v>35</v>
      </c>
      <c r="G551" s="34">
        <f t="shared" si="120"/>
        <v>175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30</v>
      </c>
      <c r="E552" s="59" t="s">
        <v>228</v>
      </c>
      <c r="F552" s="27">
        <v>30</v>
      </c>
      <c r="G552" s="28">
        <f t="shared" si="120"/>
        <v>150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30</v>
      </c>
      <c r="E553" s="59" t="s">
        <v>228</v>
      </c>
      <c r="F553" s="27">
        <v>20</v>
      </c>
      <c r="G553" s="34">
        <f t="shared" si="120"/>
        <v>100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2" t="s">
        <v>230</v>
      </c>
      <c r="B554" s="103"/>
      <c r="C554" s="103"/>
      <c r="D554" s="103"/>
      <c r="E554" s="104">
        <f>SUM(E542:E553)</f>
        <v>0</v>
      </c>
      <c r="F554" s="36">
        <f>SUM(F542:F553)</f>
        <v>130</v>
      </c>
      <c r="G554" s="36">
        <f>SUM(G542:G553)</f>
        <v>650</v>
      </c>
      <c r="H554" s="37"/>
      <c r="I554" s="37"/>
      <c r="J554" s="37"/>
      <c r="K554" s="37"/>
      <c r="L554" s="37"/>
      <c r="M554" s="38">
        <f ca="1">IFERROR(SUM(M542:M553),"")</f>
        <v>0.32291666666666669</v>
      </c>
      <c r="N554" s="36" t="s">
        <v>231</v>
      </c>
      <c r="O554" s="39">
        <v>726090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228</v>
      </c>
      <c r="F555" s="27">
        <v>23</v>
      </c>
      <c r="G555" s="34">
        <f t="shared" ref="G555:G566" si="123">IF(F555="","",IF(E555="PC 17",F555*4.2,IF(E555="PC 19",F555*5,"")))</f>
        <v>115</v>
      </c>
      <c r="H555" s="33" t="s">
        <v>19</v>
      </c>
      <c r="I555" s="33" t="s">
        <v>23</v>
      </c>
      <c r="J555" s="33" t="s">
        <v>67</v>
      </c>
      <c r="K555" s="29">
        <v>0.99027777777777781</v>
      </c>
      <c r="L555" s="29">
        <v>1.8749999999999999E-2</v>
      </c>
      <c r="M555" s="35">
        <f t="shared" ref="M555:M566" ca="1" si="124">IFERROR(IF(K555="","",IF(L555="",MOD(NOW()-K555,1),IF(L555&gt;=K555,L555-K555,L555+1-K555))),"")</f>
        <v>2.8472222222222232E-2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228</v>
      </c>
      <c r="F556" s="27">
        <v>30</v>
      </c>
      <c r="G556" s="28">
        <f t="shared" si="123"/>
        <v>150</v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228</v>
      </c>
      <c r="F557" s="27">
        <v>0</v>
      </c>
      <c r="G557" s="34">
        <f t="shared" si="123"/>
        <v>0</v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228</v>
      </c>
      <c r="F558" s="27">
        <v>26</v>
      </c>
      <c r="G558" s="28">
        <f t="shared" si="123"/>
        <v>130</v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228</v>
      </c>
      <c r="F559" s="27">
        <v>0</v>
      </c>
      <c r="G559" s="34">
        <f t="shared" si="123"/>
        <v>0</v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228</v>
      </c>
      <c r="F560" s="27">
        <v>24</v>
      </c>
      <c r="G560" s="28">
        <f t="shared" si="123"/>
        <v>120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228</v>
      </c>
      <c r="F561" s="27">
        <v>32</v>
      </c>
      <c r="G561" s="34">
        <f t="shared" si="123"/>
        <v>160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228</v>
      </c>
      <c r="F562" s="27">
        <v>11</v>
      </c>
      <c r="G562" s="28">
        <f t="shared" si="123"/>
        <v>55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228</v>
      </c>
      <c r="F563" s="27">
        <v>31</v>
      </c>
      <c r="G563" s="34">
        <f t="shared" si="123"/>
        <v>155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228</v>
      </c>
      <c r="F564" s="27">
        <v>20</v>
      </c>
      <c r="G564" s="28">
        <f t="shared" si="123"/>
        <v>100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228</v>
      </c>
      <c r="F565" s="27">
        <v>18</v>
      </c>
      <c r="G565" s="34">
        <f t="shared" si="123"/>
        <v>90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228</v>
      </c>
      <c r="F566" s="27">
        <v>6</v>
      </c>
      <c r="G566" s="28">
        <f t="shared" si="123"/>
        <v>30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2" t="s">
        <v>232</v>
      </c>
      <c r="B567" s="103"/>
      <c r="C567" s="103"/>
      <c r="D567" s="103"/>
      <c r="E567" s="104">
        <f>SUM(E555:E566)</f>
        <v>0</v>
      </c>
      <c r="F567" s="36">
        <f>SUM(F555:F566)</f>
        <v>221</v>
      </c>
      <c r="G567" s="36">
        <f>SUM(G555:G566)</f>
        <v>1105</v>
      </c>
      <c r="H567" s="37"/>
      <c r="I567" s="37"/>
      <c r="J567" s="37"/>
      <c r="K567" s="37"/>
      <c r="L567" s="37"/>
      <c r="M567" s="38">
        <f ca="1">IFERROR(SUM(M555:M566),"")</f>
        <v>2.8472222222222232E-2</v>
      </c>
      <c r="N567" s="36" t="s">
        <v>231</v>
      </c>
      <c r="O567" s="39">
        <v>1482110</v>
      </c>
    </row>
    <row r="568" spans="1:15" ht="18" customHeight="1">
      <c r="A568" s="99" t="s">
        <v>233</v>
      </c>
      <c r="B568" s="100"/>
      <c r="C568" s="100"/>
      <c r="D568" s="100"/>
      <c r="E568" s="101">
        <f>E554+E567</f>
        <v>0</v>
      </c>
      <c r="F568" s="40">
        <f>F554+F567</f>
        <v>351</v>
      </c>
      <c r="G568" s="40">
        <f>G554+G567</f>
        <v>1755</v>
      </c>
      <c r="H568" s="41"/>
      <c r="I568" s="41"/>
      <c r="J568" s="41"/>
      <c r="K568" s="41"/>
      <c r="L568" s="41"/>
      <c r="M568" s="42">
        <f ca="1">IFERROR(M554+M567,"")</f>
        <v>0.35138888888888892</v>
      </c>
      <c r="N568" s="40" t="s">
        <v>234</v>
      </c>
      <c r="O568" s="48">
        <f>IFERROR(O554+O567,"")</f>
        <v>2208200</v>
      </c>
    </row>
    <row r="569" spans="1:15" ht="15" customHeight="1">
      <c r="A569" s="69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2" t="s">
        <v>230</v>
      </c>
      <c r="B581" s="103"/>
      <c r="C581" s="103"/>
      <c r="D581" s="103"/>
      <c r="E581" s="104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231</v>
      </c>
      <c r="O581" s="39"/>
    </row>
    <row r="582" spans="1:15" ht="15" customHeight="1">
      <c r="A582" s="68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2" t="s">
        <v>232</v>
      </c>
      <c r="B594" s="103"/>
      <c r="C594" s="103"/>
      <c r="D594" s="103"/>
      <c r="E594" s="104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231</v>
      </c>
      <c r="O594" s="39"/>
    </row>
    <row r="595" spans="1:15" ht="18" customHeight="1">
      <c r="A595" s="99" t="s">
        <v>233</v>
      </c>
      <c r="B595" s="100"/>
      <c r="C595" s="100"/>
      <c r="D595" s="100"/>
      <c r="E595" s="101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234</v>
      </c>
      <c r="O595" s="48">
        <f>IFERROR(O581+O594,"")</f>
        <v>0</v>
      </c>
    </row>
    <row r="596" spans="1:15" ht="15" customHeight="1">
      <c r="A596" s="68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2" t="s">
        <v>230</v>
      </c>
      <c r="B608" s="103"/>
      <c r="C608" s="103"/>
      <c r="D608" s="103"/>
      <c r="E608" s="104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231</v>
      </c>
      <c r="O608" s="39"/>
    </row>
    <row r="609" spans="1:15" ht="15" customHeight="1">
      <c r="A609" s="69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2" t="s">
        <v>232</v>
      </c>
      <c r="B621" s="103"/>
      <c r="C621" s="103"/>
      <c r="D621" s="103"/>
      <c r="E621" s="104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231</v>
      </c>
      <c r="O621" s="39"/>
    </row>
    <row r="622" spans="1:15" ht="18" customHeight="1">
      <c r="A622" s="99" t="s">
        <v>233</v>
      </c>
      <c r="B622" s="100"/>
      <c r="C622" s="100"/>
      <c r="D622" s="100"/>
      <c r="E622" s="101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234</v>
      </c>
      <c r="O622" s="48">
        <f>IFERROR(O608+O621,"")</f>
        <v>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2" t="s">
        <v>230</v>
      </c>
      <c r="B635" s="103"/>
      <c r="C635" s="103"/>
      <c r="D635" s="103"/>
      <c r="E635" s="104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231</v>
      </c>
      <c r="O635" s="39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2" t="s">
        <v>232</v>
      </c>
      <c r="B648" s="103"/>
      <c r="C648" s="103"/>
      <c r="D648" s="103"/>
      <c r="E648" s="104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231</v>
      </c>
      <c r="O648" s="39"/>
    </row>
    <row r="649" spans="1:15" ht="18" customHeight="1">
      <c r="A649" s="99" t="s">
        <v>233</v>
      </c>
      <c r="B649" s="100"/>
      <c r="C649" s="100"/>
      <c r="D649" s="100"/>
      <c r="E649" s="101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234</v>
      </c>
      <c r="O649" s="48">
        <f>IFERROR(O635+O648,"")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2" t="s">
        <v>230</v>
      </c>
      <c r="B662" s="103"/>
      <c r="C662" s="103"/>
      <c r="D662" s="103"/>
      <c r="E662" s="104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231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2" t="s">
        <v>232</v>
      </c>
      <c r="B675" s="103"/>
      <c r="C675" s="103"/>
      <c r="D675" s="103"/>
      <c r="E675" s="104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231</v>
      </c>
      <c r="O675" s="39"/>
    </row>
    <row r="676" spans="1:15" ht="18" customHeight="1">
      <c r="A676" s="99" t="s">
        <v>233</v>
      </c>
      <c r="B676" s="100"/>
      <c r="C676" s="100"/>
      <c r="D676" s="100"/>
      <c r="E676" s="101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234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2" t="s">
        <v>230</v>
      </c>
      <c r="B689" s="103"/>
      <c r="C689" s="103"/>
      <c r="D689" s="103"/>
      <c r="E689" s="104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231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2" t="s">
        <v>232</v>
      </c>
      <c r="B702" s="103"/>
      <c r="C702" s="103"/>
      <c r="D702" s="103"/>
      <c r="E702" s="104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231</v>
      </c>
      <c r="O702" s="39"/>
    </row>
    <row r="703" spans="1:15" ht="18" customHeight="1">
      <c r="A703" s="99" t="s">
        <v>233</v>
      </c>
      <c r="B703" s="100"/>
      <c r="C703" s="100"/>
      <c r="D703" s="100"/>
      <c r="E703" s="101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234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2" t="s">
        <v>230</v>
      </c>
      <c r="B716" s="103"/>
      <c r="C716" s="103"/>
      <c r="D716" s="103"/>
      <c r="E716" s="104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231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2" t="s">
        <v>232</v>
      </c>
      <c r="B729" s="103"/>
      <c r="C729" s="103"/>
      <c r="D729" s="103"/>
      <c r="E729" s="104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231</v>
      </c>
      <c r="O729" s="39"/>
    </row>
    <row r="730" spans="1:15" ht="18" customHeight="1">
      <c r="A730" s="99" t="s">
        <v>233</v>
      </c>
      <c r="B730" s="100"/>
      <c r="C730" s="100"/>
      <c r="D730" s="100"/>
      <c r="E730" s="101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234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2" t="s">
        <v>230</v>
      </c>
      <c r="B743" s="103"/>
      <c r="C743" s="103"/>
      <c r="D743" s="103"/>
      <c r="E743" s="104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231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2" t="s">
        <v>232</v>
      </c>
      <c r="B756" s="103"/>
      <c r="C756" s="103"/>
      <c r="D756" s="103"/>
      <c r="E756" s="104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231</v>
      </c>
      <c r="O756" s="39"/>
    </row>
    <row r="757" spans="1:15" ht="18" customHeight="1">
      <c r="A757" s="99" t="s">
        <v>233</v>
      </c>
      <c r="B757" s="100"/>
      <c r="C757" s="100"/>
      <c r="D757" s="100"/>
      <c r="E757" s="101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234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2" t="s">
        <v>230</v>
      </c>
      <c r="B770" s="103"/>
      <c r="C770" s="103"/>
      <c r="D770" s="103"/>
      <c r="E770" s="104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231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2" t="s">
        <v>232</v>
      </c>
      <c r="B783" s="103"/>
      <c r="C783" s="103"/>
      <c r="D783" s="103"/>
      <c r="E783" s="104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231</v>
      </c>
      <c r="O783" s="39"/>
    </row>
    <row r="784" spans="1:15" ht="18" customHeight="1">
      <c r="A784" s="99" t="s">
        <v>233</v>
      </c>
      <c r="B784" s="100"/>
      <c r="C784" s="100"/>
      <c r="D784" s="100"/>
      <c r="E784" s="101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234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2" t="s">
        <v>230</v>
      </c>
      <c r="B797" s="103"/>
      <c r="C797" s="103"/>
      <c r="D797" s="103"/>
      <c r="E797" s="104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231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2" t="s">
        <v>232</v>
      </c>
      <c r="B810" s="103"/>
      <c r="C810" s="103"/>
      <c r="D810" s="103"/>
      <c r="E810" s="104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231</v>
      </c>
      <c r="O810" s="39"/>
    </row>
    <row r="811" spans="1:15" ht="18" customHeight="1">
      <c r="A811" s="59" t="s">
        <v>228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234</v>
      </c>
      <c r="O811" s="43">
        <f>IFERROR(O797+O810,"")</f>
        <v>0</v>
      </c>
    </row>
    <row r="812" spans="1:15" ht="15"/>
  </sheetData>
  <mergeCells count="89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452 E454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tabSelected="1" zoomScale="50" zoomScaleNormal="50" workbookViewId="0">
      <pane ySplit="1" topLeftCell="A531" activePane="bottomLeft" state="frozen"/>
      <selection pane="bottomLeft" activeCell="O568" sqref="O568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9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255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255</v>
      </c>
      <c r="F3" s="27">
        <v>10</v>
      </c>
      <c r="G3" s="34">
        <f t="shared" si="0"/>
        <v>42</v>
      </c>
      <c r="H3" s="33" t="s">
        <v>19</v>
      </c>
      <c r="I3" s="33" t="s">
        <v>156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255</v>
      </c>
      <c r="F4" s="27">
        <v>8</v>
      </c>
      <c r="G4" s="28">
        <f t="shared" si="0"/>
        <v>33.6</v>
      </c>
      <c r="H4" s="26" t="s">
        <v>19</v>
      </c>
      <c r="I4" s="26" t="s">
        <v>156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255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255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255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255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255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255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255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255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255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2" t="s">
        <v>230</v>
      </c>
      <c r="B14" s="103"/>
      <c r="C14" s="103"/>
      <c r="D14" s="103"/>
      <c r="E14" s="104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231</v>
      </c>
      <c r="O14" s="77">
        <v>627260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255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156</v>
      </c>
      <c r="J15" s="33" t="s">
        <v>163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255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255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255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255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255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255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255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255</v>
      </c>
      <c r="F23" s="76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255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255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255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2" t="s">
        <v>232</v>
      </c>
      <c r="B27" s="103"/>
      <c r="C27" s="103"/>
      <c r="D27" s="103"/>
      <c r="E27" s="104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231</v>
      </c>
      <c r="O27" s="77">
        <v>393200</v>
      </c>
    </row>
    <row r="28" spans="1:15" ht="18" customHeight="1">
      <c r="A28" s="99" t="s">
        <v>233</v>
      </c>
      <c r="B28" s="100"/>
      <c r="C28" s="100"/>
      <c r="D28" s="100"/>
      <c r="E28" s="101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234</v>
      </c>
      <c r="O28" s="82">
        <f>O14+O27</f>
        <v>1020460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255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79">
        <f t="shared" ref="M29:M40" ca="1" si="7">IFERROR(IF(K29="","",IF(L29="",MOD(NOW()-K29,1),IF(L29&gt;=K29,L29-K29,L29+1-K29))),"")</f>
        <v>7.1527777777777746E-2</v>
      </c>
      <c r="N29" s="46" t="s">
        <v>259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255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192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255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164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255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255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255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255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255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255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255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255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255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2" t="s">
        <v>230</v>
      </c>
      <c r="B41" s="103"/>
      <c r="C41" s="103"/>
      <c r="D41" s="103"/>
      <c r="E41" s="104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231</v>
      </c>
      <c r="O41" s="84">
        <v>351740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255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8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255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69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255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260</v>
      </c>
      <c r="O44" s="31"/>
    </row>
    <row r="45" spans="1:15" ht="15" customHeight="1">
      <c r="A45" s="68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255</v>
      </c>
      <c r="F45" s="27">
        <v>0</v>
      </c>
      <c r="G45" s="28">
        <f t="shared" si="9"/>
        <v>0</v>
      </c>
      <c r="H45" s="33" t="s">
        <v>20</v>
      </c>
      <c r="I45" s="33" t="s">
        <v>156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69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255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255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255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255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255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255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255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255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102" t="s">
        <v>232</v>
      </c>
      <c r="B54" s="103"/>
      <c r="C54" s="103"/>
      <c r="D54" s="103"/>
      <c r="E54" s="104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231</v>
      </c>
      <c r="O54" s="84">
        <v>276360</v>
      </c>
    </row>
    <row r="55" spans="1:15" ht="18" customHeight="1">
      <c r="A55" s="99" t="s">
        <v>233</v>
      </c>
      <c r="B55" s="100"/>
      <c r="C55" s="100"/>
      <c r="D55" s="100"/>
      <c r="E55" s="101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234</v>
      </c>
      <c r="O55" s="82">
        <f>IFERROR(O41+O54,"")</f>
        <v>628100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1"/>
      <c r="K57" s="29"/>
      <c r="L57" s="29"/>
      <c r="M57" s="30"/>
      <c r="N57" s="46" t="s">
        <v>261</v>
      </c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0"/>
      <c r="J58" s="26"/>
      <c r="K58" s="29"/>
      <c r="L58" s="29"/>
      <c r="M58" s="35"/>
      <c r="N58" s="46" t="s">
        <v>262</v>
      </c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2" t="s">
        <v>230</v>
      </c>
      <c r="B68" s="103"/>
      <c r="C68" s="103"/>
      <c r="D68" s="103"/>
      <c r="E68" s="104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231</v>
      </c>
      <c r="O68" s="54">
        <v>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255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255</v>
      </c>
      <c r="F70" s="27">
        <v>18</v>
      </c>
      <c r="G70" s="28">
        <f t="shared" si="15"/>
        <v>75.600000000000009</v>
      </c>
      <c r="H70" s="26" t="s">
        <v>19</v>
      </c>
      <c r="I70" s="26" t="s">
        <v>156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255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255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255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255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255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255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255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255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255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255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102" t="s">
        <v>232</v>
      </c>
      <c r="B81" s="103"/>
      <c r="C81" s="103"/>
      <c r="D81" s="103"/>
      <c r="E81" s="104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231</v>
      </c>
      <c r="O81" s="54">
        <v>787860</v>
      </c>
    </row>
    <row r="82" spans="1:15" ht="18" customHeight="1">
      <c r="A82" s="99" t="s">
        <v>233</v>
      </c>
      <c r="B82" s="100"/>
      <c r="C82" s="100"/>
      <c r="D82" s="100"/>
      <c r="E82" s="101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234</v>
      </c>
      <c r="O82" s="82">
        <f>IFERROR(O68+O81,"")</f>
        <v>787860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20" t="s">
        <v>22</v>
      </c>
      <c r="E83" s="59" t="s">
        <v>255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263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255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184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255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255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255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228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228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228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228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228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228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228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2" t="s">
        <v>230</v>
      </c>
      <c r="B95" s="103"/>
      <c r="C95" s="103"/>
      <c r="D95" s="103"/>
      <c r="E95" s="104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231</v>
      </c>
      <c r="O95" s="54">
        <v>577610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255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144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264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255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265</v>
      </c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255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153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266</v>
      </c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255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255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255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255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255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255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255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255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255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2" t="s">
        <v>232</v>
      </c>
      <c r="B108" s="103"/>
      <c r="C108" s="103"/>
      <c r="D108" s="103"/>
      <c r="E108" s="104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231</v>
      </c>
      <c r="O108" s="54">
        <v>1087080</v>
      </c>
    </row>
    <row r="109" spans="1:15" ht="18" customHeight="1">
      <c r="A109" s="99" t="s">
        <v>233</v>
      </c>
      <c r="B109" s="100"/>
      <c r="C109" s="100"/>
      <c r="D109" s="100"/>
      <c r="E109" s="101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234</v>
      </c>
      <c r="O109" s="82">
        <f>IFERROR(O95+O108,"")</f>
        <v>1664690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255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255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164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267</v>
      </c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255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255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255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255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255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255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255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255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255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255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2" t="s">
        <v>230</v>
      </c>
      <c r="B122" s="103"/>
      <c r="C122" s="103"/>
      <c r="D122" s="103"/>
      <c r="E122" s="104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231</v>
      </c>
      <c r="O122" s="54">
        <v>869260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228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163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268</v>
      </c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228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228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153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246</v>
      </c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228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153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269</v>
      </c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228</v>
      </c>
      <c r="F127" s="27">
        <v>4</v>
      </c>
      <c r="G127" s="34">
        <f t="shared" si="27"/>
        <v>20</v>
      </c>
      <c r="H127" s="33" t="s">
        <v>18</v>
      </c>
      <c r="I127" s="33" t="s">
        <v>156</v>
      </c>
      <c r="J127" s="33" t="s">
        <v>163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228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191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5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228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198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270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228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198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228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228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228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228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2" t="s">
        <v>232</v>
      </c>
      <c r="B135" s="103"/>
      <c r="C135" s="103"/>
      <c r="D135" s="103"/>
      <c r="E135" s="104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231</v>
      </c>
      <c r="O135" s="54">
        <v>794480</v>
      </c>
    </row>
    <row r="136" spans="1:15" ht="18" customHeight="1">
      <c r="A136" s="99" t="s">
        <v>233</v>
      </c>
      <c r="B136" s="100"/>
      <c r="C136" s="100"/>
      <c r="D136" s="100"/>
      <c r="E136" s="101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234</v>
      </c>
      <c r="O136" s="82">
        <f>IFERROR(O122+O135,"")</f>
        <v>1663740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228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198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228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228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271</v>
      </c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228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272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228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228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228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228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228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228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228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228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102" t="s">
        <v>230</v>
      </c>
      <c r="B149" s="103"/>
      <c r="C149" s="103"/>
      <c r="D149" s="103"/>
      <c r="E149" s="104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231</v>
      </c>
      <c r="O149" s="54">
        <v>591800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228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273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228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204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255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274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255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255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255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255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255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255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255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255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255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2" t="s">
        <v>232</v>
      </c>
      <c r="B162" s="103"/>
      <c r="C162" s="103"/>
      <c r="D162" s="103"/>
      <c r="E162" s="104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231</v>
      </c>
      <c r="O162" s="54">
        <v>882280</v>
      </c>
    </row>
    <row r="163" spans="1:15" ht="18" customHeight="1">
      <c r="A163" s="99" t="s">
        <v>233</v>
      </c>
      <c r="B163" s="100"/>
      <c r="C163" s="100"/>
      <c r="D163" s="100"/>
      <c r="E163" s="101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234</v>
      </c>
      <c r="O163" s="82">
        <f>IFERROR(O149+O162,"")</f>
        <v>1474080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255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255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255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255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255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255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255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255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255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255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255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255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2" t="s">
        <v>230</v>
      </c>
      <c r="B176" s="103"/>
      <c r="C176" s="103"/>
      <c r="D176" s="103"/>
      <c r="E176" s="104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231</v>
      </c>
      <c r="O176" s="77"/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2" t="s">
        <v>232</v>
      </c>
      <c r="B189" s="103"/>
      <c r="C189" s="103"/>
      <c r="D189" s="103"/>
      <c r="E189" s="104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231</v>
      </c>
      <c r="O189" s="77"/>
    </row>
    <row r="190" spans="1:15" ht="18" customHeight="1">
      <c r="A190" s="99" t="s">
        <v>233</v>
      </c>
      <c r="B190" s="100"/>
      <c r="C190" s="100"/>
      <c r="D190" s="100"/>
      <c r="E190" s="101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234</v>
      </c>
      <c r="O190" s="82">
        <f>IFERROR(O176+O189,"")</f>
        <v>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2" t="s">
        <v>230</v>
      </c>
      <c r="B203" s="103"/>
      <c r="C203" s="103"/>
      <c r="D203" s="103"/>
      <c r="E203" s="104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231</v>
      </c>
      <c r="O203" s="77"/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255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228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153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255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144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275</v>
      </c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255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276</v>
      </c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255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255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255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255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255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255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255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255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2" t="s">
        <v>232</v>
      </c>
      <c r="B216" s="103"/>
      <c r="C216" s="103"/>
      <c r="D216" s="103"/>
      <c r="E216" s="104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231</v>
      </c>
      <c r="O216" s="77">
        <v>648410</v>
      </c>
    </row>
    <row r="217" spans="1:15" ht="18" customHeight="1">
      <c r="A217" s="99" t="s">
        <v>233</v>
      </c>
      <c r="B217" s="100"/>
      <c r="C217" s="100"/>
      <c r="D217" s="100"/>
      <c r="E217" s="101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234</v>
      </c>
      <c r="O217" s="83">
        <f>IFERROR(O203+O216,"")</f>
        <v>648410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255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277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255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127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278</v>
      </c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255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255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255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255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255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255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255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255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255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255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230</v>
      </c>
      <c r="B230" s="88"/>
      <c r="C230" s="88"/>
      <c r="D230" s="59"/>
      <c r="E230" s="89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231</v>
      </c>
      <c r="O230" s="77">
        <v>482110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255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204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228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279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255</v>
      </c>
      <c r="F233" s="27">
        <v>15</v>
      </c>
      <c r="G233" s="34">
        <f t="shared" si="51"/>
        <v>63</v>
      </c>
      <c r="H233" s="33" t="s">
        <v>20</v>
      </c>
      <c r="I233" s="33" t="s">
        <v>146</v>
      </c>
      <c r="J233" s="33" t="s">
        <v>179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255</v>
      </c>
      <c r="F234" s="27">
        <v>8</v>
      </c>
      <c r="G234" s="28">
        <f t="shared" si="51"/>
        <v>33.6</v>
      </c>
      <c r="H234" s="26" t="s">
        <v>20</v>
      </c>
      <c r="I234" s="26" t="s">
        <v>146</v>
      </c>
      <c r="J234" s="26" t="s">
        <v>179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273</v>
      </c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255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138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255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255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255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255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255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255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255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2" t="s">
        <v>232</v>
      </c>
      <c r="B243" s="103"/>
      <c r="C243" s="103"/>
      <c r="D243" s="103"/>
      <c r="E243" s="104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231</v>
      </c>
      <c r="O243" s="77">
        <v>849060</v>
      </c>
    </row>
    <row r="244" spans="1:15" ht="18" customHeight="1">
      <c r="A244" s="99" t="s">
        <v>233</v>
      </c>
      <c r="B244" s="100"/>
      <c r="C244" s="100"/>
      <c r="D244" s="100"/>
      <c r="E244" s="101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234</v>
      </c>
      <c r="O244" s="83">
        <f>IFERROR(O230+O243,"")</f>
        <v>1331170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255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280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255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255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255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255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255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255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255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255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255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255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255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2" t="s">
        <v>230</v>
      </c>
      <c r="B257" s="103"/>
      <c r="C257" s="103"/>
      <c r="D257" s="103"/>
      <c r="E257" s="104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231</v>
      </c>
      <c r="O257" s="77">
        <v>631580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228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124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255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255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255</v>
      </c>
      <c r="F261" s="27">
        <v>3</v>
      </c>
      <c r="G261" s="28">
        <f t="shared" si="57"/>
        <v>12.600000000000001</v>
      </c>
      <c r="H261" s="33" t="s">
        <v>19</v>
      </c>
      <c r="I261" s="33" t="s">
        <v>156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255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153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255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255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255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255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255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255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255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2" t="s">
        <v>232</v>
      </c>
      <c r="B270" s="103"/>
      <c r="C270" s="103"/>
      <c r="D270" s="103"/>
      <c r="E270" s="104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231</v>
      </c>
      <c r="O270" s="77">
        <v>625070</v>
      </c>
    </row>
    <row r="271" spans="1:15" ht="18" customHeight="1">
      <c r="A271" s="99" t="s">
        <v>233</v>
      </c>
      <c r="B271" s="100"/>
      <c r="C271" s="100"/>
      <c r="D271" s="100"/>
      <c r="E271" s="101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234</v>
      </c>
      <c r="O271" s="83">
        <f>IFERROR(O257+O270,"")</f>
        <v>1256650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255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281</v>
      </c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255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282</v>
      </c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255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255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255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255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255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255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255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255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255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255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2" t="s">
        <v>230</v>
      </c>
      <c r="B284" s="103"/>
      <c r="C284" s="103"/>
      <c r="D284" s="103"/>
      <c r="E284" s="104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231</v>
      </c>
      <c r="O284" s="77">
        <v>623460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255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255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127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283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255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255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228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255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153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255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255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255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255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255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255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2" t="s">
        <v>232</v>
      </c>
      <c r="B297" s="103"/>
      <c r="C297" s="103"/>
      <c r="D297" s="103"/>
      <c r="E297" s="104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231</v>
      </c>
      <c r="O297" s="77">
        <v>761660</v>
      </c>
    </row>
    <row r="298" spans="1:15" ht="18" customHeight="1">
      <c r="A298" s="99" t="s">
        <v>233</v>
      </c>
      <c r="B298" s="100"/>
      <c r="C298" s="100"/>
      <c r="D298" s="100"/>
      <c r="E298" s="101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234</v>
      </c>
      <c r="O298" s="83">
        <f>IFERROR(O284+O297,"")</f>
        <v>1385120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255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255</v>
      </c>
      <c r="F300" s="27">
        <v>6</v>
      </c>
      <c r="G300" s="28">
        <f t="shared" si="66"/>
        <v>25.200000000000003</v>
      </c>
      <c r="H300" s="26" t="s">
        <v>17</v>
      </c>
      <c r="I300" s="26" t="s">
        <v>135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255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255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284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255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284</v>
      </c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255</v>
      </c>
      <c r="F304" s="27">
        <v>8</v>
      </c>
      <c r="G304" s="28">
        <f t="shared" si="66"/>
        <v>33.6</v>
      </c>
      <c r="H304" s="26" t="s">
        <v>19</v>
      </c>
      <c r="I304" s="26" t="s">
        <v>156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255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255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255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255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255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255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2" t="s">
        <v>230</v>
      </c>
      <c r="B311" s="103"/>
      <c r="C311" s="103"/>
      <c r="D311" s="103"/>
      <c r="E311" s="104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231</v>
      </c>
      <c r="O311" s="77">
        <v>605560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255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154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255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285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255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286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255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255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255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255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255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255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255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255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228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2" t="s">
        <v>232</v>
      </c>
      <c r="B324" s="103"/>
      <c r="C324" s="103"/>
      <c r="D324" s="103"/>
      <c r="E324" s="104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231</v>
      </c>
      <c r="O324" s="77">
        <v>524410</v>
      </c>
    </row>
    <row r="325" spans="1:15" ht="18" customHeight="1">
      <c r="A325" s="99" t="s">
        <v>233</v>
      </c>
      <c r="B325" s="100"/>
      <c r="C325" s="100"/>
      <c r="D325" s="100"/>
      <c r="E325" s="101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234</v>
      </c>
      <c r="O325" s="83">
        <f>IFERROR(O311+O324,"")</f>
        <v>1129970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255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156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255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255</v>
      </c>
      <c r="F328" s="27">
        <v>10</v>
      </c>
      <c r="G328" s="28">
        <f t="shared" si="72"/>
        <v>42</v>
      </c>
      <c r="H328" s="26" t="s">
        <v>20</v>
      </c>
      <c r="I328" s="26" t="s">
        <v>120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255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287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228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255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255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255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255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255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255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255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2" t="s">
        <v>230</v>
      </c>
      <c r="B338" s="103"/>
      <c r="C338" s="103"/>
      <c r="D338" s="103"/>
      <c r="E338" s="104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231</v>
      </c>
      <c r="O338" s="77">
        <v>837000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255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120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255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288</v>
      </c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255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255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289</v>
      </c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255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255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255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255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255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255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255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255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2" t="s">
        <v>232</v>
      </c>
      <c r="B351" s="103"/>
      <c r="C351" s="103"/>
      <c r="D351" s="103"/>
      <c r="E351" s="104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231</v>
      </c>
      <c r="O351" s="77">
        <v>598420</v>
      </c>
    </row>
    <row r="352" spans="1:15" ht="18" customHeight="1">
      <c r="A352" s="99" t="s">
        <v>233</v>
      </c>
      <c r="B352" s="100"/>
      <c r="C352" s="100"/>
      <c r="D352" s="100"/>
      <c r="E352" s="101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234</v>
      </c>
      <c r="O352" s="83">
        <f>IFERROR(O338+O351,"")</f>
        <v>1435420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255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156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255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255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156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255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128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255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255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255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255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255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255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255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255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2" t="s">
        <v>230</v>
      </c>
      <c r="B365" s="103"/>
      <c r="C365" s="103"/>
      <c r="D365" s="103"/>
      <c r="E365" s="104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231</v>
      </c>
      <c r="O365" s="77">
        <v>808550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255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128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255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128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255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255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255</v>
      </c>
      <c r="F370" s="27">
        <v>20</v>
      </c>
      <c r="G370" s="28">
        <f t="shared" si="81"/>
        <v>84</v>
      </c>
      <c r="H370" s="26" t="s">
        <v>20</v>
      </c>
      <c r="I370" s="26" t="s">
        <v>154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255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128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255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255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131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128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128</v>
      </c>
      <c r="K377" s="29">
        <v>0.23958333333333334</v>
      </c>
      <c r="L377" s="29"/>
      <c r="M377" s="35">
        <f t="shared" ca="1" si="82"/>
        <v>4.0344907407416031E-2</v>
      </c>
      <c r="N377" s="46"/>
      <c r="O377" s="47"/>
    </row>
    <row r="378" spans="1:15" ht="15.75" customHeight="1">
      <c r="A378" s="102" t="s">
        <v>232</v>
      </c>
      <c r="B378" s="103"/>
      <c r="C378" s="103"/>
      <c r="D378" s="103"/>
      <c r="E378" s="104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0.19798379629630491</v>
      </c>
      <c r="N378" s="36" t="s">
        <v>231</v>
      </c>
      <c r="O378" s="77">
        <v>511980</v>
      </c>
    </row>
    <row r="379" spans="1:15" ht="18" customHeight="1">
      <c r="A379" s="99" t="s">
        <v>233</v>
      </c>
      <c r="B379" s="100"/>
      <c r="C379" s="100"/>
      <c r="D379" s="100"/>
      <c r="E379" s="101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0.30770601851852708</v>
      </c>
      <c r="N379" s="40" t="s">
        <v>234</v>
      </c>
      <c r="O379" s="83">
        <f>IFERROR(O365+O378,"")</f>
        <v>1320530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255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156</v>
      </c>
      <c r="J380" s="26" t="s">
        <v>118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255</v>
      </c>
      <c r="F381" s="27">
        <v>15</v>
      </c>
      <c r="G381" s="34">
        <f t="shared" si="84"/>
        <v>63</v>
      </c>
      <c r="H381" s="33" t="s">
        <v>18</v>
      </c>
      <c r="I381" s="33" t="s">
        <v>117</v>
      </c>
      <c r="J381" s="33" t="s">
        <v>210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255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193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255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273</v>
      </c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255</v>
      </c>
      <c r="F384" s="27">
        <v>0</v>
      </c>
      <c r="G384" s="28">
        <f t="shared" si="84"/>
        <v>0</v>
      </c>
      <c r="H384" s="26" t="s">
        <v>16</v>
      </c>
      <c r="I384" s="26" t="s">
        <v>156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290</v>
      </c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255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255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255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255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255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255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255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2" t="s">
        <v>230</v>
      </c>
      <c r="B392" s="103"/>
      <c r="C392" s="103"/>
      <c r="D392" s="103"/>
      <c r="E392" s="104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231</v>
      </c>
      <c r="O392" s="77">
        <v>281950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255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156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291</v>
      </c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255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246</v>
      </c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255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198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255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255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255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255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255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255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255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255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255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2" t="s">
        <v>232</v>
      </c>
      <c r="B405" s="103"/>
      <c r="C405" s="103"/>
      <c r="D405" s="103"/>
      <c r="E405" s="104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231</v>
      </c>
      <c r="O405" s="77">
        <v>552440</v>
      </c>
    </row>
    <row r="406" spans="1:15" ht="18" customHeight="1">
      <c r="A406" s="99" t="s">
        <v>233</v>
      </c>
      <c r="B406" s="100"/>
      <c r="C406" s="100"/>
      <c r="D406" s="100"/>
      <c r="E406" s="101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234</v>
      </c>
      <c r="O406" s="83">
        <f>IFERROR(O392+O405,"")</f>
        <v>834390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255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255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255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255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255</v>
      </c>
      <c r="F411" s="27">
        <v>9</v>
      </c>
      <c r="G411" s="34">
        <f t="shared" si="90"/>
        <v>37.800000000000004</v>
      </c>
      <c r="H411" s="33" t="s">
        <v>17</v>
      </c>
      <c r="I411" s="33" t="s">
        <v>135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255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255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255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228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228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255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255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2" t="s">
        <v>230</v>
      </c>
      <c r="B419" s="103"/>
      <c r="C419" s="103"/>
      <c r="D419" s="103"/>
      <c r="E419" s="104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231</v>
      </c>
      <c r="O419" s="77">
        <v>700000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255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165</v>
      </c>
      <c r="J420" s="26" t="s">
        <v>211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255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292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255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255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1.881712963222526E-2</v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255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255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255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255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255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255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255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255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232</v>
      </c>
      <c r="B432" s="88"/>
      <c r="C432" s="88"/>
      <c r="D432" s="88"/>
      <c r="E432" s="88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0.18965046296555862</v>
      </c>
      <c r="N432" s="36" t="s">
        <v>231</v>
      </c>
      <c r="O432" s="77">
        <v>484540</v>
      </c>
    </row>
    <row r="433" spans="1:15" ht="18" customHeight="1">
      <c r="A433" s="93" t="s">
        <v>233</v>
      </c>
      <c r="B433" s="91"/>
      <c r="C433" s="91"/>
      <c r="D433" s="91"/>
      <c r="E433" s="91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0.33478935185444747</v>
      </c>
      <c r="N433" s="40" t="s">
        <v>234</v>
      </c>
      <c r="O433" s="83">
        <f>IFERROR(O419+O432,"")</f>
        <v>1184540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255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293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255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153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255</v>
      </c>
      <c r="F436" s="27">
        <v>20</v>
      </c>
      <c r="G436" s="28">
        <f t="shared" si="96"/>
        <v>84</v>
      </c>
      <c r="H436" s="26" t="s">
        <v>19</v>
      </c>
      <c r="I436" s="26" t="s">
        <v>156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294</v>
      </c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255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255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255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255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255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255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255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255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255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2" t="s">
        <v>230</v>
      </c>
      <c r="B446" s="103"/>
      <c r="C446" s="103"/>
      <c r="D446" s="103"/>
      <c r="E446" s="104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231</v>
      </c>
      <c r="O446" s="77">
        <v>849430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228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228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 t="s">
        <v>295</v>
      </c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228</v>
      </c>
      <c r="F449" s="27">
        <v>15</v>
      </c>
      <c r="G449" s="34">
        <f t="shared" si="99"/>
        <v>75</v>
      </c>
      <c r="H449" s="33" t="s">
        <v>19</v>
      </c>
      <c r="I449" s="33" t="s">
        <v>39</v>
      </c>
      <c r="J449" s="33" t="s">
        <v>27</v>
      </c>
      <c r="K449" s="29">
        <v>0.24652777777777779</v>
      </c>
      <c r="L449" s="29">
        <v>0.25833333333333336</v>
      </c>
      <c r="M449" s="35">
        <f t="shared" ca="1" si="100"/>
        <v>1.1805555555555569E-2</v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228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228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228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228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228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228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228</v>
      </c>
      <c r="F456" s="27">
        <v>7</v>
      </c>
      <c r="G456" s="28">
        <f t="shared" si="99"/>
        <v>35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228</v>
      </c>
      <c r="F457" s="27">
        <v>8</v>
      </c>
      <c r="G457" s="34">
        <f t="shared" si="99"/>
        <v>40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228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2" t="s">
        <v>232</v>
      </c>
      <c r="B459" s="103"/>
      <c r="C459" s="103"/>
      <c r="D459" s="103"/>
      <c r="E459" s="104">
        <f>SUM(E447:E458)</f>
        <v>0</v>
      </c>
      <c r="F459" s="36">
        <f>SUM(F447:F458)</f>
        <v>114</v>
      </c>
      <c r="G459" s="36">
        <f>SUM(G447:G458)</f>
        <v>570</v>
      </c>
      <c r="H459" s="37"/>
      <c r="I459" s="37"/>
      <c r="J459" s="37"/>
      <c r="K459" s="37"/>
      <c r="L459" s="37"/>
      <c r="M459" s="38">
        <f ca="1">IFERROR(SUM(M447:M458),"")</f>
        <v>7.2222222222222229E-2</v>
      </c>
      <c r="N459" s="36" t="s">
        <v>231</v>
      </c>
      <c r="O459" s="77">
        <v>631190</v>
      </c>
    </row>
    <row r="460" spans="1:15" ht="18" customHeight="1">
      <c r="A460" s="99" t="s">
        <v>233</v>
      </c>
      <c r="B460" s="100"/>
      <c r="C460" s="100"/>
      <c r="D460" s="100"/>
      <c r="E460" s="101">
        <f>E446+E459</f>
        <v>0</v>
      </c>
      <c r="F460" s="40">
        <f>F446+F459</f>
        <v>312</v>
      </c>
      <c r="G460" s="40">
        <f>G446+G459</f>
        <v>1401.6000000000001</v>
      </c>
      <c r="H460" s="41"/>
      <c r="I460" s="41"/>
      <c r="J460" s="41"/>
      <c r="K460" s="41"/>
      <c r="L460" s="41"/>
      <c r="M460" s="42">
        <f ca="1">IFERROR(M446+M459,"")</f>
        <v>0.14166666666666672</v>
      </c>
      <c r="N460" s="40" t="s">
        <v>234</v>
      </c>
      <c r="O460" s="83">
        <f>IFERROR(O446+O459,"")</f>
        <v>1480620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228</v>
      </c>
      <c r="F461" s="27">
        <v>20</v>
      </c>
      <c r="G461" s="34">
        <f t="shared" ref="G461:G472" si="102">IF(F461="","",IF(E461="PC 17",F461*4.2,IF(E461="PC 19",F461*5,"")))</f>
        <v>100</v>
      </c>
      <c r="H461" s="33" t="s">
        <v>20</v>
      </c>
      <c r="I461" s="33" t="s">
        <v>31</v>
      </c>
      <c r="J461" s="33" t="s">
        <v>51</v>
      </c>
      <c r="K461" s="29">
        <v>0.33680555555555558</v>
      </c>
      <c r="L461" s="29">
        <v>0.3611111111111111</v>
      </c>
      <c r="M461" s="35">
        <f t="shared" ref="M461:M472" ca="1" si="103">IFERROR(IF(K461="","",IF(L461="",MOD(NOW()-K461,1),IF(L461&gt;=K461,L461-K461,L461+1-K461))),"")</f>
        <v>2.4305555555555525E-2</v>
      </c>
      <c r="N461" s="46" t="s">
        <v>296</v>
      </c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228</v>
      </c>
      <c r="F462" s="27">
        <v>6</v>
      </c>
      <c r="G462" s="28">
        <f t="shared" si="102"/>
        <v>30</v>
      </c>
      <c r="H462" s="26" t="s">
        <v>20</v>
      </c>
      <c r="I462" s="26" t="s">
        <v>39</v>
      </c>
      <c r="J462" s="26" t="s">
        <v>36</v>
      </c>
      <c r="K462" s="29">
        <v>0.40625</v>
      </c>
      <c r="L462" s="29">
        <v>0.41319444444444442</v>
      </c>
      <c r="M462" s="30">
        <f t="shared" ca="1" si="103"/>
        <v>6.9444444444444198E-3</v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228</v>
      </c>
      <c r="F463" s="27">
        <v>17</v>
      </c>
      <c r="G463" s="34">
        <f t="shared" si="102"/>
        <v>85</v>
      </c>
      <c r="H463" s="33" t="s">
        <v>18</v>
      </c>
      <c r="I463" s="33" t="s">
        <v>146</v>
      </c>
      <c r="J463" s="33" t="s">
        <v>127</v>
      </c>
      <c r="K463" s="29">
        <v>0.49652777777777779</v>
      </c>
      <c r="L463" s="29">
        <v>0.50902777777777775</v>
      </c>
      <c r="M463" s="35">
        <f t="shared" ca="1" si="103"/>
        <v>1.2499999999999956E-2</v>
      </c>
      <c r="N463" s="46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228</v>
      </c>
      <c r="F464" s="27">
        <v>12</v>
      </c>
      <c r="G464" s="28">
        <f t="shared" si="102"/>
        <v>60</v>
      </c>
      <c r="H464" s="26" t="s">
        <v>18</v>
      </c>
      <c r="I464" s="26" t="s">
        <v>39</v>
      </c>
      <c r="J464" s="26" t="s">
        <v>153</v>
      </c>
      <c r="K464" s="29">
        <v>0.53819444444444442</v>
      </c>
      <c r="L464" s="29">
        <v>0.59375</v>
      </c>
      <c r="M464" s="30">
        <f t="shared" ca="1" si="103"/>
        <v>5.555555555555558E-2</v>
      </c>
      <c r="N464" s="46" t="s">
        <v>297</v>
      </c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228</v>
      </c>
      <c r="F465" s="27">
        <v>8</v>
      </c>
      <c r="G465" s="34">
        <f t="shared" si="102"/>
        <v>40</v>
      </c>
      <c r="H465" s="33" t="s">
        <v>20</v>
      </c>
      <c r="I465" s="33" t="s">
        <v>31</v>
      </c>
      <c r="J465" s="33" t="s">
        <v>164</v>
      </c>
      <c r="K465" s="29">
        <v>0.70833333333333337</v>
      </c>
      <c r="L465" s="29">
        <v>0.72013888888888888</v>
      </c>
      <c r="M465" s="35">
        <f t="shared" ca="1" si="103"/>
        <v>1.1805555555555514E-2</v>
      </c>
      <c r="N465" s="46" t="s">
        <v>298</v>
      </c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228</v>
      </c>
      <c r="F466" s="27">
        <v>12</v>
      </c>
      <c r="G466" s="28">
        <f t="shared" si="102"/>
        <v>60</v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228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228</v>
      </c>
      <c r="F468" s="27">
        <v>7</v>
      </c>
      <c r="G468" s="28">
        <f t="shared" si="102"/>
        <v>35</v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228</v>
      </c>
      <c r="F469" s="27">
        <v>16</v>
      </c>
      <c r="G469" s="34">
        <f t="shared" si="102"/>
        <v>80</v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228</v>
      </c>
      <c r="F470" s="27">
        <v>13</v>
      </c>
      <c r="G470" s="28">
        <f t="shared" si="102"/>
        <v>65</v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228</v>
      </c>
      <c r="F471" s="27">
        <v>5</v>
      </c>
      <c r="G471" s="34">
        <f t="shared" si="102"/>
        <v>25</v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228</v>
      </c>
      <c r="F472" s="27">
        <v>7</v>
      </c>
      <c r="G472" s="28">
        <f t="shared" si="102"/>
        <v>35</v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2" t="s">
        <v>230</v>
      </c>
      <c r="B473" s="103"/>
      <c r="C473" s="103"/>
      <c r="D473" s="103"/>
      <c r="E473" s="104">
        <f>SUM(E461:E472)</f>
        <v>0</v>
      </c>
      <c r="F473" s="36">
        <f>SUM(F461:F472)</f>
        <v>123</v>
      </c>
      <c r="G473" s="36">
        <f>SUM(G461:G472)</f>
        <v>615</v>
      </c>
      <c r="H473" s="37"/>
      <c r="I473" s="37"/>
      <c r="J473" s="37"/>
      <c r="K473" s="37"/>
      <c r="L473" s="37"/>
      <c r="M473" s="38">
        <f ca="1">IFERROR(SUM(M461:M472),"")</f>
        <v>0.11111111111111099</v>
      </c>
      <c r="N473" s="36" t="s">
        <v>231</v>
      </c>
      <c r="O473" s="77">
        <v>870930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228</v>
      </c>
      <c r="F474" s="27">
        <v>22</v>
      </c>
      <c r="G474" s="28">
        <f t="shared" ref="G474:G485" si="105">IF(F474="","",IF(E474="PC 17",F474*4.2,IF(E474="PC 19",F474*5,"")))</f>
        <v>110</v>
      </c>
      <c r="H474" s="26" t="s">
        <v>20</v>
      </c>
      <c r="I474" s="26" t="s">
        <v>31</v>
      </c>
      <c r="J474" s="26" t="s">
        <v>28</v>
      </c>
      <c r="K474" s="29">
        <v>0.88888888888888884</v>
      </c>
      <c r="L474" s="29">
        <v>0.90625</v>
      </c>
      <c r="M474" s="30">
        <f t="shared" ref="M474:M485" ca="1" si="106">IFERROR(IF(K474="","",IF(L474="",MOD(NOW()-K474,1),IF(L474&gt;=K474,L474-K474,L474+1-K474))),"")</f>
        <v>1.736111111111116E-2</v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228</v>
      </c>
      <c r="F475" s="27">
        <v>17</v>
      </c>
      <c r="G475" s="34">
        <f t="shared" si="105"/>
        <v>85</v>
      </c>
      <c r="H475" s="33" t="s">
        <v>19</v>
      </c>
      <c r="I475" s="33" t="s">
        <v>31</v>
      </c>
      <c r="J475" s="33" t="s">
        <v>50</v>
      </c>
      <c r="K475" s="29">
        <v>0.94305555555555554</v>
      </c>
      <c r="L475" s="29">
        <v>4.1666666666666666E-3</v>
      </c>
      <c r="M475" s="35">
        <f t="shared" ca="1" si="106"/>
        <v>6.1111111111111116E-2</v>
      </c>
      <c r="N475" s="46" t="s">
        <v>299</v>
      </c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228</v>
      </c>
      <c r="F476" s="27">
        <v>10</v>
      </c>
      <c r="G476" s="28">
        <f t="shared" si="105"/>
        <v>50</v>
      </c>
      <c r="H476" s="26" t="s">
        <v>20</v>
      </c>
      <c r="I476" s="26"/>
      <c r="J476" s="26" t="s">
        <v>74</v>
      </c>
      <c r="K476" s="29">
        <v>0.23819444444444443</v>
      </c>
      <c r="L476" s="29">
        <v>0.24305555555555555</v>
      </c>
      <c r="M476" s="30">
        <f t="shared" ca="1" si="106"/>
        <v>4.8611111111111216E-3</v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228</v>
      </c>
      <c r="F477" s="27">
        <v>8</v>
      </c>
      <c r="G477" s="34">
        <f t="shared" si="105"/>
        <v>40</v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228</v>
      </c>
      <c r="F478" s="27">
        <v>9</v>
      </c>
      <c r="G478" s="28">
        <f t="shared" si="105"/>
        <v>45</v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228</v>
      </c>
      <c r="F479" s="27">
        <v>10</v>
      </c>
      <c r="G479" s="34">
        <f t="shared" si="105"/>
        <v>50</v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228</v>
      </c>
      <c r="F480" s="27">
        <v>10</v>
      </c>
      <c r="G480" s="28">
        <f t="shared" si="105"/>
        <v>50</v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228</v>
      </c>
      <c r="F481" s="27">
        <v>10</v>
      </c>
      <c r="G481" s="34">
        <f t="shared" si="105"/>
        <v>50</v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228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228</v>
      </c>
      <c r="F483" s="27">
        <v>12</v>
      </c>
      <c r="G483" s="34">
        <f t="shared" si="105"/>
        <v>60</v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228</v>
      </c>
      <c r="F484" s="27">
        <v>19</v>
      </c>
      <c r="G484" s="28">
        <f t="shared" si="105"/>
        <v>95</v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228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2" t="s">
        <v>232</v>
      </c>
      <c r="B486" s="103"/>
      <c r="C486" s="103"/>
      <c r="D486" s="103"/>
      <c r="E486" s="104">
        <f>SUM(E474:E485)</f>
        <v>0</v>
      </c>
      <c r="F486" s="36">
        <f>SUM(F474:F485)</f>
        <v>146</v>
      </c>
      <c r="G486" s="36">
        <f>SUM(G474:G485)</f>
        <v>730</v>
      </c>
      <c r="H486" s="37"/>
      <c r="I486" s="37"/>
      <c r="J486" s="37"/>
      <c r="K486" s="37"/>
      <c r="L486" s="37"/>
      <c r="M486" s="38">
        <f ca="1">IFERROR(SUM(M474:M485),"")</f>
        <v>8.3333333333333398E-2</v>
      </c>
      <c r="N486" s="36" t="s">
        <v>231</v>
      </c>
      <c r="O486" s="77">
        <v>969510</v>
      </c>
    </row>
    <row r="487" spans="1:15" ht="18" customHeight="1">
      <c r="A487" s="99" t="s">
        <v>233</v>
      </c>
      <c r="B487" s="100"/>
      <c r="C487" s="100"/>
      <c r="D487" s="100"/>
      <c r="E487" s="101">
        <f>E473+E486</f>
        <v>0</v>
      </c>
      <c r="F487" s="40">
        <f>F473+F486</f>
        <v>269</v>
      </c>
      <c r="G487" s="40">
        <f>G473+G486</f>
        <v>1345</v>
      </c>
      <c r="H487" s="41"/>
      <c r="I487" s="41"/>
      <c r="J487" s="41"/>
      <c r="K487" s="41"/>
      <c r="L487" s="41"/>
      <c r="M487" s="42">
        <f ca="1">IFERROR(M473+M486,"")</f>
        <v>0.19444444444444439</v>
      </c>
      <c r="N487" s="40" t="s">
        <v>234</v>
      </c>
      <c r="O487" s="83">
        <f>IFERROR(O473+O486,"")</f>
        <v>1840440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228</v>
      </c>
      <c r="F488" s="27">
        <v>14</v>
      </c>
      <c r="G488" s="28">
        <f t="shared" ref="G488:G499" si="108">IF(F488="","",IF(E488="PC 17",F488*4.2,IF(E488="PC 19",F488*5,"")))</f>
        <v>70</v>
      </c>
      <c r="H488" s="26" t="s">
        <v>19</v>
      </c>
      <c r="I488" s="26" t="s">
        <v>156</v>
      </c>
      <c r="J488" s="26" t="s">
        <v>27</v>
      </c>
      <c r="K488" s="29">
        <v>0.35416666666666669</v>
      </c>
      <c r="L488" s="29">
        <v>0.3840277777777778</v>
      </c>
      <c r="M488" s="30">
        <f t="shared" ref="M488:M499" ca="1" si="109">IFERROR(IF(K488="","",IF(L488="",MOD(NOW()-K488,1),IF(L488&gt;=K488,L488-K488,L488+1-K488))),"")</f>
        <v>2.9861111111111116E-2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228</v>
      </c>
      <c r="F489" s="27">
        <v>8</v>
      </c>
      <c r="G489" s="34">
        <f t="shared" si="108"/>
        <v>40</v>
      </c>
      <c r="H489" s="33" t="s">
        <v>18</v>
      </c>
      <c r="I489" s="33" t="s">
        <v>31</v>
      </c>
      <c r="J489" s="33" t="s">
        <v>163</v>
      </c>
      <c r="K489" s="29">
        <v>0.39583333333333331</v>
      </c>
      <c r="L489" s="29">
        <v>0.39861111111111114</v>
      </c>
      <c r="M489" s="35">
        <f t="shared" ca="1" si="109"/>
        <v>2.7777777777778234E-3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228</v>
      </c>
      <c r="F490" s="27">
        <v>10</v>
      </c>
      <c r="G490" s="28">
        <f t="shared" si="108"/>
        <v>50</v>
      </c>
      <c r="H490" s="26" t="s">
        <v>18</v>
      </c>
      <c r="I490" s="26" t="s">
        <v>39</v>
      </c>
      <c r="J490" s="26" t="s">
        <v>50</v>
      </c>
      <c r="K490" s="29">
        <v>0.54513888888888884</v>
      </c>
      <c r="L490" s="29">
        <v>0.58680555555555558</v>
      </c>
      <c r="M490" s="30">
        <f t="shared" ca="1" si="109"/>
        <v>4.1666666666666741E-2</v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228</v>
      </c>
      <c r="F491" s="27">
        <v>11</v>
      </c>
      <c r="G491" s="34">
        <f t="shared" si="108"/>
        <v>55</v>
      </c>
      <c r="H491" s="33" t="s">
        <v>20</v>
      </c>
      <c r="I491" s="33" t="s">
        <v>39</v>
      </c>
      <c r="J491" s="33" t="s">
        <v>56</v>
      </c>
      <c r="K491" s="29">
        <v>0.71388888888888891</v>
      </c>
      <c r="L491" s="29">
        <v>0.73888888888888893</v>
      </c>
      <c r="M491" s="35">
        <f t="shared" ca="1" si="109"/>
        <v>2.5000000000000022E-2</v>
      </c>
      <c r="N491" s="46" t="s">
        <v>300</v>
      </c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228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255</v>
      </c>
      <c r="F493" s="27">
        <v>15</v>
      </c>
      <c r="G493" s="34">
        <f t="shared" si="108"/>
        <v>63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255</v>
      </c>
      <c r="F494" s="27">
        <v>2</v>
      </c>
      <c r="G494" s="28">
        <f t="shared" si="108"/>
        <v>8.4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255</v>
      </c>
      <c r="F495" s="27">
        <v>15</v>
      </c>
      <c r="G495" s="34">
        <f t="shared" si="108"/>
        <v>63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255</v>
      </c>
      <c r="F496" s="27">
        <v>13</v>
      </c>
      <c r="G496" s="28">
        <f t="shared" si="108"/>
        <v>54.6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255</v>
      </c>
      <c r="F497" s="27">
        <v>19</v>
      </c>
      <c r="G497" s="34">
        <f t="shared" si="108"/>
        <v>79.8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255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255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2" t="s">
        <v>230</v>
      </c>
      <c r="B500" s="103"/>
      <c r="C500" s="103"/>
      <c r="D500" s="103"/>
      <c r="E500" s="104">
        <f>SUM(E488:E499)</f>
        <v>0</v>
      </c>
      <c r="F500" s="36">
        <f>SUM(F488:F499)</f>
        <v>130</v>
      </c>
      <c r="G500" s="90">
        <f>SUM(G488:G499)</f>
        <v>590.79999999999995</v>
      </c>
      <c r="H500" s="37"/>
      <c r="I500" s="37"/>
      <c r="J500" s="37"/>
      <c r="K500" s="37"/>
      <c r="L500" s="37"/>
      <c r="M500" s="38">
        <f ca="1">IFERROR(SUM(M488:M499),"")</f>
        <v>9.9305555555555702E-2</v>
      </c>
      <c r="N500" s="36" t="s">
        <v>231</v>
      </c>
      <c r="O500" s="77">
        <v>751110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255</v>
      </c>
      <c r="F501" s="27">
        <v>20</v>
      </c>
      <c r="G501" s="34">
        <f t="shared" ref="G501:G512" si="111">IF(F501="","",IF(E501="PC 17",F501*4.2,IF(E501="PC 19",F501*5,"")))</f>
        <v>84</v>
      </c>
      <c r="H501" s="33" t="s">
        <v>19</v>
      </c>
      <c r="I501" s="33" t="s">
        <v>156</v>
      </c>
      <c r="J501" s="33" t="s">
        <v>27</v>
      </c>
      <c r="K501" s="29">
        <v>0.96736111111111112</v>
      </c>
      <c r="L501" s="29">
        <v>0.98124999999999996</v>
      </c>
      <c r="M501" s="35">
        <f t="shared" ref="M501:M512" ca="1" si="112">IFERROR(IF(K501="","",IF(L501="",MOD(NOW()-K501,1),IF(L501&gt;=K501,L501-K501,L501+1-K501))),"")</f>
        <v>1.388888888888884E-2</v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228</v>
      </c>
      <c r="F502" s="27">
        <v>12</v>
      </c>
      <c r="G502" s="28">
        <f t="shared" si="111"/>
        <v>60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255</v>
      </c>
      <c r="F503" s="27">
        <v>14</v>
      </c>
      <c r="G503" s="34">
        <f t="shared" si="111"/>
        <v>58.800000000000004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255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255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255</v>
      </c>
      <c r="F506" s="27">
        <v>20</v>
      </c>
      <c r="G506" s="28">
        <f t="shared" si="111"/>
        <v>84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255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255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255</v>
      </c>
      <c r="F509" s="27">
        <v>12</v>
      </c>
      <c r="G509" s="34">
        <f t="shared" si="111"/>
        <v>50.400000000000006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255</v>
      </c>
      <c r="F510" s="27">
        <v>16</v>
      </c>
      <c r="G510" s="28">
        <f t="shared" si="111"/>
        <v>67.2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255</v>
      </c>
      <c r="F511" s="27">
        <v>11</v>
      </c>
      <c r="G511" s="34">
        <f t="shared" si="111"/>
        <v>46.2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255</v>
      </c>
      <c r="F512" s="27">
        <v>3</v>
      </c>
      <c r="G512" s="28">
        <f t="shared" si="111"/>
        <v>12.600000000000001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232</v>
      </c>
      <c r="B513" s="88"/>
      <c r="C513" s="88"/>
      <c r="D513" s="88"/>
      <c r="E513" s="88"/>
      <c r="F513" s="36">
        <f>SUM(F501:F512)</f>
        <v>124</v>
      </c>
      <c r="G513" s="90">
        <f>SUM(G501:G512)</f>
        <v>530.4</v>
      </c>
      <c r="H513" s="37"/>
      <c r="I513" s="37"/>
      <c r="J513" s="37"/>
      <c r="K513" s="37"/>
      <c r="L513" s="37"/>
      <c r="M513" s="38">
        <f ca="1">IFERROR(SUM(M501:M512),"")</f>
        <v>1.388888888888884E-2</v>
      </c>
      <c r="N513" s="36" t="s">
        <v>231</v>
      </c>
      <c r="O513" s="77">
        <v>556040</v>
      </c>
    </row>
    <row r="514" spans="1:15" ht="18" customHeight="1">
      <c r="A514" s="93" t="s">
        <v>233</v>
      </c>
      <c r="B514" s="91"/>
      <c r="C514" s="91"/>
      <c r="D514" s="91"/>
      <c r="E514" s="91"/>
      <c r="F514" s="40">
        <f>F500+F513</f>
        <v>254</v>
      </c>
      <c r="G514" s="98">
        <f>G500+G513</f>
        <v>1121.1999999999998</v>
      </c>
      <c r="H514" s="41"/>
      <c r="I514" s="41"/>
      <c r="J514" s="41"/>
      <c r="K514" s="41"/>
      <c r="L514" s="41"/>
      <c r="M514" s="42">
        <f ca="1">IFERROR(M500+M513,"")</f>
        <v>0.11319444444444454</v>
      </c>
      <c r="N514" s="40" t="s">
        <v>234</v>
      </c>
      <c r="O514" s="83">
        <f>IFERROR(O500+O513,"")</f>
        <v>1307150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255</v>
      </c>
      <c r="F515" s="27">
        <v>24</v>
      </c>
      <c r="G515" s="34">
        <f t="shared" ref="G515:G526" si="114">IF(F515="","",IF(E515="PC 17",F515*4.2,IF(E515="PC 19",F515*5,"")))</f>
        <v>100.80000000000001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46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255</v>
      </c>
      <c r="F516" s="27">
        <v>18</v>
      </c>
      <c r="G516" s="28">
        <f t="shared" si="114"/>
        <v>75.600000000000009</v>
      </c>
      <c r="H516" s="49" t="s">
        <v>20</v>
      </c>
      <c r="I516" s="26" t="s">
        <v>31</v>
      </c>
      <c r="J516" s="49" t="s">
        <v>62</v>
      </c>
      <c r="K516" s="29">
        <v>0.38541666666666669</v>
      </c>
      <c r="L516" s="29">
        <v>0.39097222222222222</v>
      </c>
      <c r="M516" s="30">
        <f t="shared" ca="1" si="115"/>
        <v>5.5555555555555358E-3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255</v>
      </c>
      <c r="F517" s="27">
        <v>13</v>
      </c>
      <c r="G517" s="34">
        <f t="shared" si="114"/>
        <v>54.6</v>
      </c>
      <c r="H517" s="33" t="s">
        <v>20</v>
      </c>
      <c r="I517" s="33" t="s">
        <v>31</v>
      </c>
      <c r="J517" s="33" t="s">
        <v>62</v>
      </c>
      <c r="K517" s="29">
        <v>0.39583333333333331</v>
      </c>
      <c r="L517" s="29">
        <v>0.40416666666666667</v>
      </c>
      <c r="M517" s="35">
        <f t="shared" ca="1" si="115"/>
        <v>8.3333333333333592E-3</v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255</v>
      </c>
      <c r="F518" s="27">
        <v>9</v>
      </c>
      <c r="G518" s="28">
        <f t="shared" si="114"/>
        <v>37.800000000000004</v>
      </c>
      <c r="H518" s="33" t="s">
        <v>20</v>
      </c>
      <c r="I518" s="26" t="s">
        <v>31</v>
      </c>
      <c r="J518" s="26" t="s">
        <v>62</v>
      </c>
      <c r="K518" s="29">
        <v>0.42986111111111114</v>
      </c>
      <c r="L518" s="29">
        <v>0.43125000000000002</v>
      </c>
      <c r="M518" s="30">
        <f t="shared" ca="1" si="115"/>
        <v>1.388888888888884E-3</v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255</v>
      </c>
      <c r="F519" s="27">
        <v>20</v>
      </c>
      <c r="G519" s="34">
        <f t="shared" si="114"/>
        <v>84</v>
      </c>
      <c r="H519" s="33" t="s">
        <v>19</v>
      </c>
      <c r="I519" s="33" t="s">
        <v>156</v>
      </c>
      <c r="J519" s="33" t="s">
        <v>27</v>
      </c>
      <c r="K519" s="29">
        <v>0.4375</v>
      </c>
      <c r="L519" s="29">
        <v>0.4548611111111111</v>
      </c>
      <c r="M519" s="35">
        <f t="shared" ca="1" si="115"/>
        <v>1.7361111111111105E-2</v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255</v>
      </c>
      <c r="F520" s="27">
        <v>18</v>
      </c>
      <c r="G520" s="28">
        <f t="shared" si="114"/>
        <v>75.600000000000009</v>
      </c>
      <c r="H520" s="26" t="s">
        <v>20</v>
      </c>
      <c r="I520" s="26" t="s">
        <v>156</v>
      </c>
      <c r="J520" s="26" t="s">
        <v>62</v>
      </c>
      <c r="K520" s="29">
        <v>0.46180555555555558</v>
      </c>
      <c r="L520" s="29">
        <v>0.46458333333333335</v>
      </c>
      <c r="M520" s="30">
        <f t="shared" ca="1" si="115"/>
        <v>2.7777777777777679E-3</v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255</v>
      </c>
      <c r="F521" s="27">
        <v>8</v>
      </c>
      <c r="G521" s="34">
        <f t="shared" si="114"/>
        <v>33.6</v>
      </c>
      <c r="H521" s="33" t="s">
        <v>20</v>
      </c>
      <c r="I521" s="33" t="s">
        <v>31</v>
      </c>
      <c r="J521" s="33" t="s">
        <v>62</v>
      </c>
      <c r="K521" s="29">
        <v>0.51736111111111116</v>
      </c>
      <c r="L521" s="29">
        <v>0.52361111111111114</v>
      </c>
      <c r="M521" s="35">
        <f t="shared" ca="1" si="115"/>
        <v>6.2499999999999778E-3</v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255</v>
      </c>
      <c r="F522" s="27">
        <v>17</v>
      </c>
      <c r="G522" s="28">
        <f t="shared" si="114"/>
        <v>71.400000000000006</v>
      </c>
      <c r="H522" s="26" t="s">
        <v>20</v>
      </c>
      <c r="I522" s="26" t="s">
        <v>31</v>
      </c>
      <c r="J522" s="26" t="s">
        <v>62</v>
      </c>
      <c r="K522" s="29">
        <v>0.54166666666666663</v>
      </c>
      <c r="L522" s="29">
        <v>0.55902777777777779</v>
      </c>
      <c r="M522" s="30">
        <f t="shared" ca="1" si="115"/>
        <v>1.736111111111116E-2</v>
      </c>
      <c r="N522" s="46" t="s">
        <v>301</v>
      </c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255</v>
      </c>
      <c r="F523" s="27">
        <v>13</v>
      </c>
      <c r="G523" s="34">
        <f t="shared" si="114"/>
        <v>54.6</v>
      </c>
      <c r="H523" s="33" t="s">
        <v>20</v>
      </c>
      <c r="I523" s="33" t="s">
        <v>39</v>
      </c>
      <c r="J523" s="33" t="s">
        <v>28</v>
      </c>
      <c r="K523" s="29">
        <v>0.57430555555555551</v>
      </c>
      <c r="L523" s="29">
        <v>0.57708333333333328</v>
      </c>
      <c r="M523" s="35">
        <f t="shared" ca="1" si="115"/>
        <v>2.7777777777777679E-3</v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255</v>
      </c>
      <c r="F524" s="27">
        <v>15</v>
      </c>
      <c r="G524" s="28">
        <f t="shared" si="114"/>
        <v>63</v>
      </c>
      <c r="H524" s="26" t="s">
        <v>20</v>
      </c>
      <c r="I524" s="26" t="s">
        <v>31</v>
      </c>
      <c r="J524" s="26" t="s">
        <v>62</v>
      </c>
      <c r="K524" s="29">
        <v>0.64513888888888893</v>
      </c>
      <c r="L524" s="29">
        <v>0.65138888888888891</v>
      </c>
      <c r="M524" s="30">
        <f t="shared" ca="1" si="115"/>
        <v>6.2499999999999778E-3</v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255</v>
      </c>
      <c r="F525" s="27">
        <v>20</v>
      </c>
      <c r="G525" s="34">
        <f t="shared" si="114"/>
        <v>84</v>
      </c>
      <c r="H525" s="33" t="s">
        <v>20</v>
      </c>
      <c r="I525" s="33" t="s">
        <v>31</v>
      </c>
      <c r="J525" s="33" t="s">
        <v>36</v>
      </c>
      <c r="K525" s="29">
        <v>0.66319444444444442</v>
      </c>
      <c r="L525" s="29">
        <v>0.6743055555555556</v>
      </c>
      <c r="M525" s="35">
        <f t="shared" ca="1" si="115"/>
        <v>1.1111111111111183E-2</v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255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2" t="s">
        <v>230</v>
      </c>
      <c r="B527" s="103"/>
      <c r="C527" s="103"/>
      <c r="D527" s="103"/>
      <c r="E527" s="104">
        <f>SUM(E515:E526)</f>
        <v>0</v>
      </c>
      <c r="F527" s="36">
        <f>SUM(F515:F526)</f>
        <v>184</v>
      </c>
      <c r="G527" s="90">
        <f>SUM(G515:G526)</f>
        <v>772.80000000000007</v>
      </c>
      <c r="H527" s="37"/>
      <c r="I527" s="37"/>
      <c r="J527" s="37"/>
      <c r="K527" s="37"/>
      <c r="L527" s="37"/>
      <c r="M527" s="38">
        <f ca="1">IFERROR(SUM(M515:M526),"")</f>
        <v>8.7500000000000078E-2</v>
      </c>
      <c r="N527" s="36" t="s">
        <v>231</v>
      </c>
      <c r="O527" s="77">
        <v>826410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255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39</v>
      </c>
      <c r="J528" s="26" t="s">
        <v>28</v>
      </c>
      <c r="K528" s="29">
        <v>0.83680555555555558</v>
      </c>
      <c r="L528" s="29">
        <v>0.84305555555555556</v>
      </c>
      <c r="M528" s="30">
        <f t="shared" ref="M528:M539" ca="1" si="118">IFERROR(IF(K528="","",IF(L528="",MOD(NOW()-K528,1),IF(L528&gt;=K528,L528-K528,L528+1-K528))),"")</f>
        <v>6.2499999999999778E-3</v>
      </c>
      <c r="N528" s="46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255</v>
      </c>
      <c r="F529" s="27">
        <v>10</v>
      </c>
      <c r="G529" s="34">
        <f t="shared" si="117"/>
        <v>42</v>
      </c>
      <c r="H529" s="33" t="s">
        <v>19</v>
      </c>
      <c r="I529" s="33" t="s">
        <v>156</v>
      </c>
      <c r="J529" s="33" t="s">
        <v>27</v>
      </c>
      <c r="K529" s="29">
        <v>0.92847222222222225</v>
      </c>
      <c r="L529" s="29">
        <v>0.95625000000000004</v>
      </c>
      <c r="M529" s="35">
        <f t="shared" ca="1" si="118"/>
        <v>2.777777777777779E-2</v>
      </c>
      <c r="N529" s="46"/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255</v>
      </c>
      <c r="F530" s="27">
        <v>15</v>
      </c>
      <c r="G530" s="28">
        <f t="shared" si="117"/>
        <v>63</v>
      </c>
      <c r="H530" s="26" t="s">
        <v>20</v>
      </c>
      <c r="I530" s="26" t="s">
        <v>31</v>
      </c>
      <c r="J530" s="26" t="s">
        <v>128</v>
      </c>
      <c r="K530" s="29">
        <v>0.98263888888888884</v>
      </c>
      <c r="L530" s="29">
        <v>0.9916666666666667</v>
      </c>
      <c r="M530" s="30">
        <f t="shared" ca="1" si="118"/>
        <v>9.0277777777778567E-3</v>
      </c>
      <c r="N530" s="46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255</v>
      </c>
      <c r="F531" s="27">
        <v>6</v>
      </c>
      <c r="G531" s="34">
        <f t="shared" si="117"/>
        <v>25.200000000000003</v>
      </c>
      <c r="H531" s="33" t="s">
        <v>20</v>
      </c>
      <c r="I531" s="33" t="s">
        <v>31</v>
      </c>
      <c r="J531" s="33" t="s">
        <v>62</v>
      </c>
      <c r="K531" s="29">
        <v>1.1805555555555555E-2</v>
      </c>
      <c r="L531" s="29">
        <v>1.8055555555555554E-2</v>
      </c>
      <c r="M531" s="35">
        <f t="shared" ca="1" si="118"/>
        <v>6.2499999999999986E-3</v>
      </c>
      <c r="N531" s="46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255</v>
      </c>
      <c r="F532" s="27">
        <v>0</v>
      </c>
      <c r="G532" s="28">
        <f t="shared" si="117"/>
        <v>0</v>
      </c>
      <c r="H532" s="26" t="s">
        <v>20</v>
      </c>
      <c r="I532" s="26"/>
      <c r="J532" s="26" t="s">
        <v>28</v>
      </c>
      <c r="K532" s="29">
        <v>0.11388888888888889</v>
      </c>
      <c r="L532" s="29">
        <v>0.12013888888888889</v>
      </c>
      <c r="M532" s="30">
        <f t="shared" ca="1" si="118"/>
        <v>6.2500000000000056E-3</v>
      </c>
      <c r="N532" s="46"/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255</v>
      </c>
      <c r="F533" s="27">
        <v>12</v>
      </c>
      <c r="G533" s="34">
        <f t="shared" si="117"/>
        <v>50.400000000000006</v>
      </c>
      <c r="H533" s="33" t="s">
        <v>20</v>
      </c>
      <c r="I533" s="33" t="s">
        <v>31</v>
      </c>
      <c r="J533" s="33" t="s">
        <v>28</v>
      </c>
      <c r="K533" s="29">
        <v>0.2361111111111111</v>
      </c>
      <c r="L533" s="29">
        <v>0.24374999999999999</v>
      </c>
      <c r="M533" s="35">
        <f t="shared" ca="1" si="118"/>
        <v>7.6388888888888895E-3</v>
      </c>
      <c r="N533" s="46"/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255</v>
      </c>
      <c r="F534" s="27">
        <v>19</v>
      </c>
      <c r="G534" s="28">
        <f t="shared" si="117"/>
        <v>79.8</v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255</v>
      </c>
      <c r="F535" s="27">
        <v>10</v>
      </c>
      <c r="G535" s="34">
        <f t="shared" si="117"/>
        <v>42</v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255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255</v>
      </c>
      <c r="F537" s="27">
        <v>15</v>
      </c>
      <c r="G537" s="34">
        <f t="shared" si="117"/>
        <v>63</v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255</v>
      </c>
      <c r="F538" s="27">
        <v>18</v>
      </c>
      <c r="G538" s="28">
        <f t="shared" si="117"/>
        <v>75.600000000000009</v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255</v>
      </c>
      <c r="F539" s="27">
        <v>10</v>
      </c>
      <c r="G539" s="34">
        <f t="shared" si="117"/>
        <v>42</v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2" t="s">
        <v>232</v>
      </c>
      <c r="B540" s="103"/>
      <c r="C540" s="103"/>
      <c r="D540" s="103"/>
      <c r="E540" s="104">
        <f>SUM(E528:E539)</f>
        <v>0</v>
      </c>
      <c r="F540" s="36">
        <f>SUM(F528:F539)</f>
        <v>140</v>
      </c>
      <c r="G540" s="36">
        <f>SUM(G528:G539)</f>
        <v>588</v>
      </c>
      <c r="H540" s="37"/>
      <c r="I540" s="37"/>
      <c r="J540" s="37"/>
      <c r="K540" s="37"/>
      <c r="L540" s="37"/>
      <c r="M540" s="38">
        <f ca="1">IFERROR(SUM(M528:M539),"")</f>
        <v>6.3194444444444525E-2</v>
      </c>
      <c r="N540" s="36" t="s">
        <v>231</v>
      </c>
      <c r="O540" s="77">
        <v>548610</v>
      </c>
    </row>
    <row r="541" spans="1:15" ht="18" customHeight="1">
      <c r="A541" s="99" t="s">
        <v>233</v>
      </c>
      <c r="B541" s="100"/>
      <c r="C541" s="100"/>
      <c r="D541" s="100"/>
      <c r="E541" s="101">
        <f>E527+E540</f>
        <v>0</v>
      </c>
      <c r="F541" s="40">
        <f>F527+F540</f>
        <v>324</v>
      </c>
      <c r="G541" s="40">
        <f>G527+G540</f>
        <v>1360.8000000000002</v>
      </c>
      <c r="H541" s="41"/>
      <c r="I541" s="41"/>
      <c r="J541" s="41"/>
      <c r="K541" s="41"/>
      <c r="L541" s="41"/>
      <c r="M541" s="42">
        <f ca="1">IFERROR(M527+M540,"")</f>
        <v>0.1506944444444446</v>
      </c>
      <c r="N541" s="40" t="s">
        <v>234</v>
      </c>
      <c r="O541" s="83">
        <f>IFERROR(O527+O540,"")</f>
        <v>1375020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255</v>
      </c>
      <c r="F542" s="27">
        <v>12</v>
      </c>
      <c r="G542" s="28">
        <f t="shared" ref="G542:G553" si="120">IF(F542="","",IF(E542="PC 17",F542*4.2,IF(E542="PC 19",F542*5,"")))</f>
        <v>50.400000000000006</v>
      </c>
      <c r="H542" s="26" t="s">
        <v>20</v>
      </c>
      <c r="I542" s="26" t="s">
        <v>31</v>
      </c>
      <c r="J542" s="26" t="s">
        <v>62</v>
      </c>
      <c r="K542" s="29">
        <v>0.2951388888888889</v>
      </c>
      <c r="L542" s="29">
        <v>0.30694444444444446</v>
      </c>
      <c r="M542" s="30">
        <f t="shared" ref="M542:M553" ca="1" si="121">IFERROR(IF(K542="","",IF(L542="",MOD(NOW()-K542,1),IF(L542&gt;=K542,L542-K542,L542+1-K542))),"")</f>
        <v>1.1805555555555569E-2</v>
      </c>
      <c r="N542" s="46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255</v>
      </c>
      <c r="F543" s="27">
        <v>18</v>
      </c>
      <c r="G543" s="34">
        <f t="shared" si="120"/>
        <v>75.600000000000009</v>
      </c>
      <c r="H543" s="33" t="s">
        <v>20</v>
      </c>
      <c r="I543" s="33"/>
      <c r="J543" s="33" t="s">
        <v>180</v>
      </c>
      <c r="K543" s="29">
        <v>0.38541666666666669</v>
      </c>
      <c r="L543" s="29">
        <v>0.39583333333333331</v>
      </c>
      <c r="M543" s="35">
        <f t="shared" ca="1" si="121"/>
        <v>1.041666666666663E-2</v>
      </c>
      <c r="N543" s="46" t="s">
        <v>302</v>
      </c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255</v>
      </c>
      <c r="F544" s="27">
        <v>21</v>
      </c>
      <c r="G544" s="28">
        <f t="shared" si="120"/>
        <v>88.2</v>
      </c>
      <c r="H544" s="26" t="s">
        <v>19</v>
      </c>
      <c r="I544" s="26" t="s">
        <v>156</v>
      </c>
      <c r="J544" s="26" t="s">
        <v>27</v>
      </c>
      <c r="K544" s="29">
        <v>0.47013888888888888</v>
      </c>
      <c r="L544" s="29">
        <v>0.4861111111111111</v>
      </c>
      <c r="M544" s="30">
        <f t="shared" ca="1" si="121"/>
        <v>1.5972222222222221E-2</v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255</v>
      </c>
      <c r="F545" s="27">
        <v>28</v>
      </c>
      <c r="G545" s="34">
        <f t="shared" si="120"/>
        <v>117.60000000000001</v>
      </c>
      <c r="H545" s="33" t="s">
        <v>20</v>
      </c>
      <c r="I545" s="33" t="s">
        <v>31</v>
      </c>
      <c r="J545" s="33" t="s">
        <v>62</v>
      </c>
      <c r="K545" s="29">
        <v>0.64930555555555558</v>
      </c>
      <c r="L545" s="29">
        <v>0.67847222222222225</v>
      </c>
      <c r="M545" s="35">
        <f t="shared" ca="1" si="121"/>
        <v>2.9166666666666674E-2</v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255</v>
      </c>
      <c r="F546" s="27">
        <v>12</v>
      </c>
      <c r="G546" s="28">
        <f t="shared" si="120"/>
        <v>50.400000000000006</v>
      </c>
      <c r="H546" s="26" t="s">
        <v>20</v>
      </c>
      <c r="I546" s="26" t="s">
        <v>120</v>
      </c>
      <c r="J546" s="26" t="s">
        <v>113</v>
      </c>
      <c r="K546" s="29">
        <v>0.75</v>
      </c>
      <c r="L546" s="29">
        <v>0.76736111111111116</v>
      </c>
      <c r="M546" s="30">
        <f t="shared" ca="1" si="121"/>
        <v>1.736111111111116E-2</v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255</v>
      </c>
      <c r="F547" s="27">
        <v>21</v>
      </c>
      <c r="G547" s="34">
        <f t="shared" si="120"/>
        <v>88.2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255</v>
      </c>
      <c r="F548" s="27">
        <v>30</v>
      </c>
      <c r="G548" s="28">
        <f t="shared" si="120"/>
        <v>126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255</v>
      </c>
      <c r="F549" s="27">
        <v>41</v>
      </c>
      <c r="G549" s="34">
        <f t="shared" si="120"/>
        <v>172.20000000000002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255</v>
      </c>
      <c r="F550" s="27">
        <v>19</v>
      </c>
      <c r="G550" s="28">
        <f t="shared" si="120"/>
        <v>79.8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255</v>
      </c>
      <c r="F551" s="27">
        <v>19</v>
      </c>
      <c r="G551" s="34">
        <f t="shared" si="120"/>
        <v>79.8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255</v>
      </c>
      <c r="F552" s="27">
        <v>17</v>
      </c>
      <c r="G552" s="28">
        <f t="shared" si="120"/>
        <v>71.400000000000006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255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2" t="s">
        <v>230</v>
      </c>
      <c r="B554" s="103"/>
      <c r="C554" s="103"/>
      <c r="D554" s="103"/>
      <c r="E554" s="104">
        <f>SUM(E542:E553)</f>
        <v>0</v>
      </c>
      <c r="F554" s="36">
        <f>SUM(F542:F553)</f>
        <v>238</v>
      </c>
      <c r="G554" s="36">
        <f>SUM(G542:G553)</f>
        <v>999.6</v>
      </c>
      <c r="H554" s="37"/>
      <c r="I554" s="37"/>
      <c r="J554" s="37"/>
      <c r="K554" s="37"/>
      <c r="L554" s="37"/>
      <c r="M554" s="38">
        <f ca="1">IFERROR(SUM(M542:M553),"")</f>
        <v>8.4722222222222254E-2</v>
      </c>
      <c r="N554" s="36" t="s">
        <v>231</v>
      </c>
      <c r="O554" s="77">
        <v>1003230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255</v>
      </c>
      <c r="F555" s="27">
        <v>17</v>
      </c>
      <c r="G555" s="34">
        <f t="shared" ref="G555:G566" si="123">IF(F555="","",IF(E555="PC 17",F555*4.2,IF(E555="PC 19",F555*5,"")))</f>
        <v>71.400000000000006</v>
      </c>
      <c r="H555" s="33" t="s">
        <v>20</v>
      </c>
      <c r="I555" s="33" t="s">
        <v>31</v>
      </c>
      <c r="J555" s="33" t="s">
        <v>62</v>
      </c>
      <c r="K555" s="29">
        <v>0.81111111111111112</v>
      </c>
      <c r="L555" s="29">
        <v>0.82777777777777772</v>
      </c>
      <c r="M555" s="35">
        <f t="shared" ref="M555:M566" ca="1" si="124">IFERROR(IF(K555="","",IF(L555="",MOD(NOW()-K555,1),IF(L555&gt;=K555,L555-K555,L555+1-K555))),"")</f>
        <v>1.6666666666666607E-2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255</v>
      </c>
      <c r="F556" s="27">
        <v>5</v>
      </c>
      <c r="G556" s="28">
        <f t="shared" si="123"/>
        <v>21</v>
      </c>
      <c r="H556" s="26" t="s">
        <v>20</v>
      </c>
      <c r="I556" s="26" t="s">
        <v>39</v>
      </c>
      <c r="J556" s="26" t="s">
        <v>62</v>
      </c>
      <c r="K556" s="29">
        <v>0.86736111111111114</v>
      </c>
      <c r="L556" s="29">
        <v>0.87013888888888891</v>
      </c>
      <c r="M556" s="30">
        <f t="shared" ca="1" si="124"/>
        <v>2.7777777777777679E-3</v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255</v>
      </c>
      <c r="F557" s="27">
        <v>18</v>
      </c>
      <c r="G557" s="34">
        <f t="shared" si="123"/>
        <v>75.600000000000009</v>
      </c>
      <c r="H557" s="33" t="s">
        <v>20</v>
      </c>
      <c r="I557" s="33" t="s">
        <v>39</v>
      </c>
      <c r="J557" s="33" t="s">
        <v>62</v>
      </c>
      <c r="K557" s="29">
        <v>0.95</v>
      </c>
      <c r="L557" s="29">
        <v>0.96875</v>
      </c>
      <c r="M557" s="35">
        <f t="shared" ca="1" si="124"/>
        <v>1.8750000000000044E-2</v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255</v>
      </c>
      <c r="F558" s="27">
        <v>16</v>
      </c>
      <c r="G558" s="28">
        <f t="shared" si="123"/>
        <v>67.2</v>
      </c>
      <c r="H558" s="26" t="s">
        <v>20</v>
      </c>
      <c r="I558" s="26" t="s">
        <v>39</v>
      </c>
      <c r="J558" s="26" t="s">
        <v>28</v>
      </c>
      <c r="K558" s="29">
        <v>0.99652777777777779</v>
      </c>
      <c r="L558" s="29">
        <v>4.1666666666666666E-3</v>
      </c>
      <c r="M558" s="30">
        <f t="shared" ca="1" si="124"/>
        <v>7.6388888888888618E-3</v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255</v>
      </c>
      <c r="F559" s="27">
        <v>14</v>
      </c>
      <c r="G559" s="34">
        <f t="shared" si="123"/>
        <v>58.800000000000004</v>
      </c>
      <c r="H559" s="33" t="s">
        <v>20</v>
      </c>
      <c r="I559" s="33" t="s">
        <v>31</v>
      </c>
      <c r="J559" s="33" t="s">
        <v>28</v>
      </c>
      <c r="K559" s="29">
        <v>8.3333333333333329E-2</v>
      </c>
      <c r="L559" s="29">
        <v>0.1388888888888889</v>
      </c>
      <c r="M559" s="35">
        <f t="shared" ca="1" si="124"/>
        <v>5.5555555555555566E-2</v>
      </c>
      <c r="N559" s="46" t="s">
        <v>303</v>
      </c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255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255</v>
      </c>
      <c r="F561" s="27">
        <v>20</v>
      </c>
      <c r="G561" s="34">
        <f t="shared" si="123"/>
        <v>84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255</v>
      </c>
      <c r="F562" s="27">
        <v>11</v>
      </c>
      <c r="G562" s="28">
        <f t="shared" si="123"/>
        <v>46.2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255</v>
      </c>
      <c r="F563" s="27">
        <v>16</v>
      </c>
      <c r="G563" s="34">
        <f t="shared" si="123"/>
        <v>67.2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255</v>
      </c>
      <c r="F564" s="27">
        <v>17</v>
      </c>
      <c r="G564" s="28">
        <f t="shared" si="123"/>
        <v>71.400000000000006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255</v>
      </c>
      <c r="F565" s="27">
        <v>15</v>
      </c>
      <c r="G565" s="34">
        <f t="shared" si="123"/>
        <v>63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255</v>
      </c>
      <c r="F566" s="27">
        <v>11</v>
      </c>
      <c r="G566" s="28">
        <f t="shared" si="123"/>
        <v>46.2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2" t="s">
        <v>232</v>
      </c>
      <c r="B567" s="103"/>
      <c r="C567" s="103"/>
      <c r="D567" s="103"/>
      <c r="E567" s="104">
        <f>SUM(E555:E566)</f>
        <v>0</v>
      </c>
      <c r="F567" s="36">
        <f>SUM(F555:F566)</f>
        <v>175</v>
      </c>
      <c r="G567" s="36">
        <f>SUM(G555:G566)</f>
        <v>735</v>
      </c>
      <c r="H567" s="37"/>
      <c r="I567" s="37"/>
      <c r="J567" s="37"/>
      <c r="K567" s="37"/>
      <c r="L567" s="37"/>
      <c r="M567" s="38">
        <f ca="1">IFERROR(SUM(M555:M566),"")</f>
        <v>0.10138888888888885</v>
      </c>
      <c r="N567" s="36" t="s">
        <v>231</v>
      </c>
      <c r="O567" s="77">
        <v>722660</v>
      </c>
    </row>
    <row r="568" spans="1:15" ht="18" customHeight="1">
      <c r="A568" s="99" t="s">
        <v>233</v>
      </c>
      <c r="B568" s="100"/>
      <c r="C568" s="100"/>
      <c r="D568" s="100"/>
      <c r="E568" s="101">
        <f>E554+E567</f>
        <v>0</v>
      </c>
      <c r="F568" s="40">
        <f>F554+F567</f>
        <v>413</v>
      </c>
      <c r="G568" s="40">
        <f>G554+G567</f>
        <v>1734.6</v>
      </c>
      <c r="H568" s="41"/>
      <c r="I568" s="41"/>
      <c r="J568" s="41"/>
      <c r="K568" s="41"/>
      <c r="L568" s="41"/>
      <c r="M568" s="42">
        <f ca="1">IFERROR(M554+M567,"")</f>
        <v>0.18611111111111112</v>
      </c>
      <c r="N568" s="40" t="s">
        <v>234</v>
      </c>
      <c r="O568" s="83">
        <f>IFERROR(O554+O567,"")</f>
        <v>1725890</v>
      </c>
    </row>
    <row r="569" spans="1:15" ht="15" customHeight="1">
      <c r="A569" s="69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2" t="s">
        <v>230</v>
      </c>
      <c r="B581" s="103"/>
      <c r="C581" s="103"/>
      <c r="D581" s="103"/>
      <c r="E581" s="104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231</v>
      </c>
      <c r="O581" s="77"/>
    </row>
    <row r="582" spans="1:15" ht="15" customHeight="1">
      <c r="A582" s="68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2" t="s">
        <v>232</v>
      </c>
      <c r="B594" s="103"/>
      <c r="C594" s="103"/>
      <c r="D594" s="103"/>
      <c r="E594" s="104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231</v>
      </c>
      <c r="O594" s="77"/>
    </row>
    <row r="595" spans="1:15" ht="18" customHeight="1">
      <c r="A595" s="99" t="s">
        <v>233</v>
      </c>
      <c r="B595" s="100"/>
      <c r="C595" s="100"/>
      <c r="D595" s="100"/>
      <c r="E595" s="101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234</v>
      </c>
      <c r="O595" s="83">
        <f>IFERROR(O581+O594,"")</f>
        <v>0</v>
      </c>
    </row>
    <row r="596" spans="1:15" ht="15" customHeight="1">
      <c r="A596" s="68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2" t="s">
        <v>230</v>
      </c>
      <c r="B608" s="103"/>
      <c r="C608" s="103"/>
      <c r="D608" s="103"/>
      <c r="E608" s="104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231</v>
      </c>
      <c r="O608" s="77"/>
    </row>
    <row r="609" spans="1:15" ht="15" customHeight="1">
      <c r="A609" s="69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2" t="s">
        <v>232</v>
      </c>
      <c r="B621" s="103"/>
      <c r="C621" s="103"/>
      <c r="D621" s="103"/>
      <c r="E621" s="104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231</v>
      </c>
      <c r="O621" s="77"/>
    </row>
    <row r="622" spans="1:15" ht="18" customHeight="1">
      <c r="A622" s="99" t="s">
        <v>233</v>
      </c>
      <c r="B622" s="100"/>
      <c r="C622" s="100"/>
      <c r="D622" s="100"/>
      <c r="E622" s="101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234</v>
      </c>
      <c r="O622" s="83">
        <f>O608+O621</f>
        <v>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2" t="s">
        <v>230</v>
      </c>
      <c r="B635" s="103"/>
      <c r="C635" s="103"/>
      <c r="D635" s="103"/>
      <c r="E635" s="104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231</v>
      </c>
      <c r="O635" s="77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2" t="s">
        <v>232</v>
      </c>
      <c r="B648" s="103"/>
      <c r="C648" s="103"/>
      <c r="D648" s="103"/>
      <c r="E648" s="104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231</v>
      </c>
      <c r="O648" s="77"/>
    </row>
    <row r="649" spans="1:15" ht="18" customHeight="1">
      <c r="A649" s="99" t="s">
        <v>233</v>
      </c>
      <c r="B649" s="100"/>
      <c r="C649" s="100"/>
      <c r="D649" s="100"/>
      <c r="E649" s="101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234</v>
      </c>
      <c r="O649" s="83">
        <f>O635+O648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2" t="s">
        <v>230</v>
      </c>
      <c r="B662" s="103"/>
      <c r="C662" s="103"/>
      <c r="D662" s="103"/>
      <c r="E662" s="104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231</v>
      </c>
      <c r="O662" s="77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2" t="s">
        <v>232</v>
      </c>
      <c r="B675" s="103"/>
      <c r="C675" s="103"/>
      <c r="D675" s="103"/>
      <c r="E675" s="104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231</v>
      </c>
      <c r="O675" s="77"/>
    </row>
    <row r="676" spans="1:15" ht="18" customHeight="1">
      <c r="A676" s="99" t="s">
        <v>233</v>
      </c>
      <c r="B676" s="100"/>
      <c r="C676" s="100"/>
      <c r="D676" s="100"/>
      <c r="E676" s="101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234</v>
      </c>
      <c r="O676" s="83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2" t="s">
        <v>230</v>
      </c>
      <c r="B689" s="103"/>
      <c r="C689" s="103"/>
      <c r="D689" s="103"/>
      <c r="E689" s="104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231</v>
      </c>
      <c r="O689" s="77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2" t="s">
        <v>232</v>
      </c>
      <c r="B702" s="103"/>
      <c r="C702" s="103"/>
      <c r="D702" s="103"/>
      <c r="E702" s="104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231</v>
      </c>
      <c r="O702" s="77"/>
    </row>
    <row r="703" spans="1:15" ht="18" customHeight="1">
      <c r="A703" s="99" t="s">
        <v>233</v>
      </c>
      <c r="B703" s="100"/>
      <c r="C703" s="100"/>
      <c r="D703" s="100"/>
      <c r="E703" s="101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234</v>
      </c>
      <c r="O703" s="83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2" t="s">
        <v>230</v>
      </c>
      <c r="B716" s="103"/>
      <c r="C716" s="103"/>
      <c r="D716" s="103"/>
      <c r="E716" s="104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231</v>
      </c>
      <c r="O716" s="77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2" t="s">
        <v>232</v>
      </c>
      <c r="B729" s="103"/>
      <c r="C729" s="103"/>
      <c r="D729" s="103"/>
      <c r="E729" s="104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231</v>
      </c>
      <c r="O729" s="77"/>
    </row>
    <row r="730" spans="1:15" ht="18" customHeight="1">
      <c r="A730" s="99" t="s">
        <v>233</v>
      </c>
      <c r="B730" s="100"/>
      <c r="C730" s="100"/>
      <c r="D730" s="100"/>
      <c r="E730" s="101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234</v>
      </c>
      <c r="O730" s="83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2" t="s">
        <v>230</v>
      </c>
      <c r="B743" s="103"/>
      <c r="C743" s="103"/>
      <c r="D743" s="103"/>
      <c r="E743" s="104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231</v>
      </c>
      <c r="O743" s="77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2" t="s">
        <v>232</v>
      </c>
      <c r="B756" s="103"/>
      <c r="C756" s="103"/>
      <c r="D756" s="103"/>
      <c r="E756" s="104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231</v>
      </c>
      <c r="O756" s="39"/>
    </row>
    <row r="757" spans="1:15" ht="18" customHeight="1">
      <c r="A757" s="99" t="s">
        <v>233</v>
      </c>
      <c r="B757" s="100"/>
      <c r="C757" s="100"/>
      <c r="D757" s="100"/>
      <c r="E757" s="101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234</v>
      </c>
      <c r="O757" s="83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2" t="s">
        <v>230</v>
      </c>
      <c r="B770" s="103"/>
      <c r="C770" s="103"/>
      <c r="D770" s="103"/>
      <c r="E770" s="104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231</v>
      </c>
      <c r="O770" s="77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2" t="s">
        <v>232</v>
      </c>
      <c r="B783" s="103"/>
      <c r="C783" s="103"/>
      <c r="D783" s="103"/>
      <c r="E783" s="104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231</v>
      </c>
      <c r="O783" s="39"/>
    </row>
    <row r="784" spans="1:15" ht="18" customHeight="1">
      <c r="A784" s="99" t="s">
        <v>233</v>
      </c>
      <c r="B784" s="100"/>
      <c r="C784" s="100"/>
      <c r="D784" s="100"/>
      <c r="E784" s="101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234</v>
      </c>
      <c r="O784" s="83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2" t="s">
        <v>230</v>
      </c>
      <c r="B797" s="103"/>
      <c r="C797" s="103"/>
      <c r="D797" s="103"/>
      <c r="E797" s="104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231</v>
      </c>
      <c r="O797" s="77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2" t="s">
        <v>232</v>
      </c>
      <c r="B810" s="103"/>
      <c r="C810" s="103"/>
      <c r="D810" s="103"/>
      <c r="E810" s="104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231</v>
      </c>
      <c r="O810" s="39"/>
    </row>
    <row r="811" spans="1:15" ht="18" customHeight="1">
      <c r="A811" s="99" t="s">
        <v>233</v>
      </c>
      <c r="B811" s="100"/>
      <c r="C811" s="100"/>
      <c r="D811" s="100"/>
      <c r="E811" s="101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234</v>
      </c>
      <c r="O811" s="82">
        <f>IFERROR(O797+O810,"")</f>
        <v>0</v>
      </c>
    </row>
  </sheetData>
  <mergeCells count="85"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2">
    <dataValidation type="list" allowBlank="1" showErrorMessage="1" errorTitle="Valor inválido" error="Selecione PC 17 ou PC 19 da lista." sqref="E2:E13 E15:E26 E29:E431 E434:E512 E515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E513:E514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 H406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530" zoomScale="50" zoomScaleNormal="50" workbookViewId="0">
      <selection activeCell="F567" sqref="F567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7.7109375" style="20" customWidth="1"/>
    <col min="15" max="15" width="14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255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255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255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304</v>
      </c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255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255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305</v>
      </c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255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163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255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255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255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255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255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255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2" t="s">
        <v>230</v>
      </c>
      <c r="B14" s="103"/>
      <c r="C14" s="103"/>
      <c r="D14" s="103"/>
      <c r="E14" s="104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231</v>
      </c>
      <c r="O14" s="39">
        <v>292530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255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8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255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69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255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8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255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69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255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8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255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255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255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255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255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255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255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2" t="s">
        <v>232</v>
      </c>
      <c r="B27" s="103"/>
      <c r="C27" s="103"/>
      <c r="D27" s="103"/>
      <c r="E27" s="104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231</v>
      </c>
      <c r="O27" s="39">
        <v>308500</v>
      </c>
    </row>
    <row r="28" spans="1:15" ht="18" customHeight="1">
      <c r="A28" s="99" t="s">
        <v>233</v>
      </c>
      <c r="B28" s="100"/>
      <c r="C28" s="100"/>
      <c r="D28" s="100"/>
      <c r="E28" s="101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234</v>
      </c>
      <c r="O28" s="43">
        <f>IFERROR(O14+O27,"")</f>
        <v>601030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255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164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306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255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255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255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255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255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255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255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255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255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255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255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2" t="s">
        <v>230</v>
      </c>
      <c r="B41" s="103"/>
      <c r="C41" s="103"/>
      <c r="D41" s="103"/>
      <c r="E41" s="104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231</v>
      </c>
      <c r="O41" s="39">
        <v>205590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38</v>
      </c>
      <c r="E42" s="62" t="s">
        <v>255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255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255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255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255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255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255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255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255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255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255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255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2" t="s">
        <v>232</v>
      </c>
      <c r="B54" s="103"/>
      <c r="C54" s="103"/>
      <c r="D54" s="103"/>
      <c r="E54" s="104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231</v>
      </c>
      <c r="O54" s="39">
        <v>124290</v>
      </c>
    </row>
    <row r="55" spans="1:15" ht="18" customHeight="1">
      <c r="A55" s="99" t="s">
        <v>233</v>
      </c>
      <c r="B55" s="100"/>
      <c r="C55" s="100"/>
      <c r="D55" s="100"/>
      <c r="E55" s="101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234</v>
      </c>
      <c r="O55" s="43">
        <f>IFERROR(O41+O54,"")</f>
        <v>329880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255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255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255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255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307</v>
      </c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255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255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255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255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255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255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255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255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2" t="s">
        <v>230</v>
      </c>
      <c r="B68" s="103"/>
      <c r="C68" s="103"/>
      <c r="D68" s="103"/>
      <c r="E68" s="104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231</v>
      </c>
      <c r="O68" s="39">
        <v>441440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255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164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295</v>
      </c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255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255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255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255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255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255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255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255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255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255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255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2" t="s">
        <v>232</v>
      </c>
      <c r="B81" s="103"/>
      <c r="C81" s="103"/>
      <c r="D81" s="103"/>
      <c r="E81" s="104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231</v>
      </c>
      <c r="O81" s="39">
        <v>396340</v>
      </c>
    </row>
    <row r="82" spans="1:15" ht="18" customHeight="1">
      <c r="A82" s="99" t="s">
        <v>233</v>
      </c>
      <c r="B82" s="100"/>
      <c r="C82" s="100"/>
      <c r="D82" s="100"/>
      <c r="E82" s="101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234</v>
      </c>
      <c r="O82" s="43">
        <f>IFERROR(O68+O81,"")</f>
        <v>837780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228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228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228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228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228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228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308</v>
      </c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228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228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228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228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228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228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2" t="s">
        <v>230</v>
      </c>
      <c r="B95" s="103"/>
      <c r="C95" s="103"/>
      <c r="D95" s="103"/>
      <c r="E95" s="104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231</v>
      </c>
      <c r="O95" s="39">
        <v>536290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255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255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255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255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255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255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255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255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255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255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255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255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2" t="s">
        <v>232</v>
      </c>
      <c r="B108" s="103"/>
      <c r="C108" s="103"/>
      <c r="D108" s="103"/>
      <c r="E108" s="104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231</v>
      </c>
      <c r="O108" s="39">
        <v>41230</v>
      </c>
    </row>
    <row r="109" spans="1:15" ht="18" customHeight="1">
      <c r="A109" s="99" t="s">
        <v>233</v>
      </c>
      <c r="B109" s="100"/>
      <c r="C109" s="100"/>
      <c r="D109" s="100"/>
      <c r="E109" s="101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234</v>
      </c>
      <c r="O109" s="43">
        <f>IFERROR(O95+O108,"")</f>
        <v>577520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255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255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255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255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255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255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255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255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255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255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255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255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2" t="s">
        <v>230</v>
      </c>
      <c r="B122" s="103"/>
      <c r="C122" s="103"/>
      <c r="D122" s="103"/>
      <c r="E122" s="104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231</v>
      </c>
      <c r="O122" s="39">
        <v>51130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228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228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191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228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228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228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228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228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270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228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228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228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228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228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2" t="s">
        <v>232</v>
      </c>
      <c r="B135" s="103"/>
      <c r="C135" s="103"/>
      <c r="D135" s="103"/>
      <c r="E135" s="104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231</v>
      </c>
      <c r="O135" s="39">
        <v>381250</v>
      </c>
    </row>
    <row r="136" spans="1:15" ht="18" customHeight="1">
      <c r="A136" s="99" t="s">
        <v>233</v>
      </c>
      <c r="B136" s="100"/>
      <c r="C136" s="100"/>
      <c r="D136" s="100"/>
      <c r="E136" s="101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234</v>
      </c>
      <c r="O136" s="43">
        <f>IFERROR(O122+O135,"")</f>
        <v>432380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228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228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309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228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228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228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272</v>
      </c>
      <c r="K141" s="29">
        <v>0.71597222222222223</v>
      </c>
      <c r="L141" s="29" t="s">
        <v>310</v>
      </c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228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228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228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228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228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228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228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2" t="s">
        <v>230</v>
      </c>
      <c r="B149" s="103"/>
      <c r="C149" s="103"/>
      <c r="D149" s="103"/>
      <c r="E149" s="104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231</v>
      </c>
      <c r="O149" s="39">
        <v>584680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228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311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228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255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274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255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255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255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255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255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255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255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255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255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2" t="s">
        <v>232</v>
      </c>
      <c r="B162" s="103"/>
      <c r="C162" s="103"/>
      <c r="D162" s="103"/>
      <c r="E162" s="104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231</v>
      </c>
      <c r="O162" s="39">
        <v>337120</v>
      </c>
    </row>
    <row r="163" spans="1:15" ht="18" customHeight="1">
      <c r="A163" s="99" t="s">
        <v>233</v>
      </c>
      <c r="B163" s="100"/>
      <c r="C163" s="100"/>
      <c r="D163" s="100"/>
      <c r="E163" s="101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234</v>
      </c>
      <c r="O163" s="43">
        <f>IFERROR(O149+O162,"")</f>
        <v>921800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228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255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255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127</v>
      </c>
      <c r="K166" s="29">
        <v>0.45694444444444443</v>
      </c>
      <c r="L166" s="29">
        <v>0.47222222222222221</v>
      </c>
      <c r="M166" s="30" t="s">
        <v>312</v>
      </c>
      <c r="N166" s="27" t="s">
        <v>313</v>
      </c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255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255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255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255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255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255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255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255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255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2" t="s">
        <v>230</v>
      </c>
      <c r="B176" s="103"/>
      <c r="C176" s="103"/>
      <c r="D176" s="103"/>
      <c r="E176" s="104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231</v>
      </c>
      <c r="O176" s="39">
        <v>190950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255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255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255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255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255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255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255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255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255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255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255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255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2" t="s">
        <v>232</v>
      </c>
      <c r="B189" s="103"/>
      <c r="C189" s="103"/>
      <c r="D189" s="103"/>
      <c r="E189" s="104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231</v>
      </c>
      <c r="O189" s="39">
        <v>747210</v>
      </c>
    </row>
    <row r="190" spans="1:15" ht="18" customHeight="1">
      <c r="A190" s="99" t="s">
        <v>233</v>
      </c>
      <c r="B190" s="100"/>
      <c r="C190" s="100"/>
      <c r="D190" s="100"/>
      <c r="E190" s="101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234</v>
      </c>
      <c r="O190" s="43">
        <f>IFERROR(O176+O189,"")</f>
        <v>938160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255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135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255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169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314</v>
      </c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255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255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161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255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255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255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255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255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255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255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255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2" t="s">
        <v>230</v>
      </c>
      <c r="B203" s="103"/>
      <c r="C203" s="103"/>
      <c r="D203" s="103"/>
      <c r="E203" s="104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231</v>
      </c>
      <c r="O203" s="39">
        <v>324840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255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228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255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255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255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255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255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255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255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255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255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255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2" t="s">
        <v>232</v>
      </c>
      <c r="B216" s="103"/>
      <c r="C216" s="103"/>
      <c r="D216" s="103"/>
      <c r="E216" s="104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231</v>
      </c>
      <c r="O216" s="39">
        <v>468430</v>
      </c>
    </row>
    <row r="217" spans="1:15" ht="18" customHeight="1">
      <c r="A217" s="99" t="s">
        <v>233</v>
      </c>
      <c r="B217" s="100"/>
      <c r="C217" s="100"/>
      <c r="D217" s="100"/>
      <c r="E217" s="101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234</v>
      </c>
      <c r="O217" s="48">
        <f>IFERROR(O203+O216,"")</f>
        <v>793270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255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255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255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255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255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255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255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255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255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255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255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255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2" t="s">
        <v>230</v>
      </c>
      <c r="B230" s="103"/>
      <c r="C230" s="103"/>
      <c r="D230" s="103"/>
      <c r="E230" s="104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231</v>
      </c>
      <c r="O230" s="39">
        <v>469520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255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146</v>
      </c>
      <c r="J231" s="33" t="s">
        <v>179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228</v>
      </c>
      <c r="F232" s="27">
        <v>7</v>
      </c>
      <c r="G232" s="28">
        <f t="shared" si="51"/>
        <v>35</v>
      </c>
      <c r="H232" s="26" t="s">
        <v>20</v>
      </c>
      <c r="I232" s="26" t="s">
        <v>146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255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138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255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255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255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255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255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255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255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228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255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2" t="s">
        <v>232</v>
      </c>
      <c r="B243" s="103"/>
      <c r="C243" s="103"/>
      <c r="D243" s="103"/>
      <c r="E243" s="104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231</v>
      </c>
      <c r="O243" s="39">
        <v>575930</v>
      </c>
    </row>
    <row r="244" spans="1:15" ht="18" customHeight="1">
      <c r="A244" s="99" t="s">
        <v>233</v>
      </c>
      <c r="B244" s="100"/>
      <c r="C244" s="100"/>
      <c r="D244" s="100"/>
      <c r="E244" s="101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234</v>
      </c>
      <c r="O244" s="48">
        <f>IFERROR(O230+O243,"")</f>
        <v>1045450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255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206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255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255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255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255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255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255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255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255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255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255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255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2" t="s">
        <v>230</v>
      </c>
      <c r="B257" s="103"/>
      <c r="C257" s="103"/>
      <c r="D257" s="103"/>
      <c r="E257" s="104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231</v>
      </c>
      <c r="O257" s="39">
        <v>456270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255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255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195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315</v>
      </c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255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255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255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121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255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316</v>
      </c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255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255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255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255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255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255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2" t="s">
        <v>232</v>
      </c>
      <c r="B270" s="103"/>
      <c r="C270" s="103"/>
      <c r="D270" s="103"/>
      <c r="E270" s="104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231</v>
      </c>
      <c r="O270" s="39">
        <v>483510</v>
      </c>
    </row>
    <row r="271" spans="1:15" ht="18" customHeight="1">
      <c r="A271" s="99" t="s">
        <v>233</v>
      </c>
      <c r="B271" s="100"/>
      <c r="C271" s="100"/>
      <c r="D271" s="100"/>
      <c r="E271" s="101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234</v>
      </c>
      <c r="O271" s="48">
        <f>IFERROR(O257+O270,"")</f>
        <v>939780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255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255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255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255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255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255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255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255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255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255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255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255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2" t="s">
        <v>230</v>
      </c>
      <c r="B284" s="103"/>
      <c r="C284" s="103"/>
      <c r="D284" s="103"/>
      <c r="E284" s="104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231</v>
      </c>
      <c r="O284" s="39">
        <v>303720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255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255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127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317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255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255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255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318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255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255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255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255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255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255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255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2" t="s">
        <v>232</v>
      </c>
      <c r="B297" s="103"/>
      <c r="C297" s="103"/>
      <c r="D297" s="103"/>
      <c r="E297" s="104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231</v>
      </c>
      <c r="O297" s="39">
        <v>487980</v>
      </c>
    </row>
    <row r="298" spans="1:15" ht="18" customHeight="1">
      <c r="A298" s="99" t="s">
        <v>233</v>
      </c>
      <c r="B298" s="100"/>
      <c r="C298" s="100"/>
      <c r="D298" s="100"/>
      <c r="E298" s="101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234</v>
      </c>
      <c r="O298" s="48">
        <f>IFERROR(O284+O297,"")</f>
        <v>791700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255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255</v>
      </c>
      <c r="F300" s="27">
        <v>7</v>
      </c>
      <c r="G300" s="28">
        <f t="shared" si="66"/>
        <v>29.400000000000002</v>
      </c>
      <c r="H300" s="26" t="s">
        <v>20</v>
      </c>
      <c r="I300" s="26" t="s">
        <v>132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255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255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319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255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255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255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255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255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255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255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228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2" t="s">
        <v>230</v>
      </c>
      <c r="B311" s="103"/>
      <c r="C311" s="103"/>
      <c r="D311" s="103"/>
      <c r="E311" s="104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231</v>
      </c>
      <c r="O311" s="39">
        <v>373300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255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320</v>
      </c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255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255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255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321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255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255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255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255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255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255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255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228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2" t="s">
        <v>232</v>
      </c>
      <c r="B324" s="103"/>
      <c r="C324" s="103"/>
      <c r="D324" s="103"/>
      <c r="E324" s="104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231</v>
      </c>
      <c r="O324" s="39">
        <v>609460</v>
      </c>
    </row>
    <row r="325" spans="1:15" ht="18" customHeight="1">
      <c r="A325" s="99" t="s">
        <v>233</v>
      </c>
      <c r="B325" s="100"/>
      <c r="C325" s="100"/>
      <c r="D325" s="100"/>
      <c r="E325" s="101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234</v>
      </c>
      <c r="O325" s="48">
        <f>IFERROR(O311+O324,"")</f>
        <v>982760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38</v>
      </c>
      <c r="E326" s="59" t="s">
        <v>255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322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255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255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255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197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295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228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255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309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255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127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255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255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255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255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255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2" t="s">
        <v>230</v>
      </c>
      <c r="B338" s="103"/>
      <c r="C338" s="103"/>
      <c r="D338" s="103"/>
      <c r="E338" s="104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231</v>
      </c>
      <c r="O338" s="39">
        <v>168000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255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255</v>
      </c>
      <c r="F340" s="27">
        <v>8</v>
      </c>
      <c r="G340" s="28">
        <f t="shared" si="75"/>
        <v>33.6</v>
      </c>
      <c r="H340" s="26" t="s">
        <v>20</v>
      </c>
      <c r="I340" s="26" t="s">
        <v>120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255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255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255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255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255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255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255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255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255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255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2" t="s">
        <v>232</v>
      </c>
      <c r="B351" s="103"/>
      <c r="C351" s="103"/>
      <c r="D351" s="103"/>
      <c r="E351" s="104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231</v>
      </c>
      <c r="O351" s="39">
        <v>437940</v>
      </c>
    </row>
    <row r="352" spans="1:15" ht="18" customHeight="1">
      <c r="A352" s="99" t="s">
        <v>233</v>
      </c>
      <c r="B352" s="100"/>
      <c r="C352" s="100"/>
      <c r="D352" s="100"/>
      <c r="E352" s="101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234</v>
      </c>
      <c r="O352" s="48">
        <f>IFERROR(O338+O351,"")</f>
        <v>605940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255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255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255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255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255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255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255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255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255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255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255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255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2" t="s">
        <v>230</v>
      </c>
      <c r="B365" s="103"/>
      <c r="C365" s="103"/>
      <c r="D365" s="103"/>
      <c r="E365" s="104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231</v>
      </c>
      <c r="O365" s="39">
        <v>29130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255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255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255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255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255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255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255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255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255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255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255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255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2" t="s">
        <v>232</v>
      </c>
      <c r="B378" s="103"/>
      <c r="C378" s="103"/>
      <c r="D378" s="103"/>
      <c r="E378" s="104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231</v>
      </c>
      <c r="O378" s="39">
        <v>473310</v>
      </c>
    </row>
    <row r="379" spans="1:15" ht="18" customHeight="1">
      <c r="A379" s="99" t="s">
        <v>233</v>
      </c>
      <c r="B379" s="100"/>
      <c r="C379" s="100"/>
      <c r="D379" s="100"/>
      <c r="E379" s="101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234</v>
      </c>
      <c r="O379" s="48">
        <f>IFERROR(O365+O378,"")</f>
        <v>502440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46</v>
      </c>
      <c r="E380" s="59" t="s">
        <v>255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255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255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255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255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255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255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255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255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255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255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255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2" t="s">
        <v>230</v>
      </c>
      <c r="B392" s="103"/>
      <c r="C392" s="103"/>
      <c r="D392" s="103"/>
      <c r="E392" s="104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231</v>
      </c>
      <c r="O392" s="39">
        <v>399940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228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255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255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255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255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255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255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255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255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255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255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255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2" t="s">
        <v>232</v>
      </c>
      <c r="B405" s="103"/>
      <c r="C405" s="103"/>
      <c r="D405" s="103"/>
      <c r="E405" s="104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231</v>
      </c>
      <c r="O405" s="39">
        <v>507450</v>
      </c>
    </row>
    <row r="406" spans="1:15" ht="18" customHeight="1">
      <c r="A406" s="99" t="s">
        <v>233</v>
      </c>
      <c r="B406" s="100"/>
      <c r="C406" s="100"/>
      <c r="D406" s="100"/>
      <c r="E406" s="101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234</v>
      </c>
      <c r="O406" s="48">
        <f>IFERROR(O392+O405,"")</f>
        <v>907390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46</v>
      </c>
      <c r="E407" s="62" t="s">
        <v>255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255</v>
      </c>
      <c r="F408" s="27">
        <v>5</v>
      </c>
      <c r="G408" s="28">
        <f t="shared" si="90"/>
        <v>21</v>
      </c>
      <c r="H408" s="26" t="s">
        <v>17</v>
      </c>
      <c r="I408" s="26" t="s">
        <v>135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255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255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255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255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255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255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228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228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255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255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2" t="s">
        <v>230</v>
      </c>
      <c r="B419" s="103"/>
      <c r="C419" s="103"/>
      <c r="D419" s="103"/>
      <c r="E419" s="104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231</v>
      </c>
      <c r="O419" s="39">
        <v>209000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228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165</v>
      </c>
      <c r="J420" s="26" t="s">
        <v>115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6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255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5">
        <f t="shared" ca="1" si="94"/>
        <v>1.5972222222222276E-2</v>
      </c>
      <c r="N421" s="97" t="s">
        <v>292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255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4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255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255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255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255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255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255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255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255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255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2" t="s">
        <v>232</v>
      </c>
      <c r="B432" s="103"/>
      <c r="C432" s="103"/>
      <c r="D432" s="103"/>
      <c r="E432" s="104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231</v>
      </c>
      <c r="O432" s="39">
        <v>229150</v>
      </c>
    </row>
    <row r="433" spans="1:15" ht="18" customHeight="1">
      <c r="A433" s="99" t="s">
        <v>233</v>
      </c>
      <c r="B433" s="100"/>
      <c r="C433" s="100"/>
      <c r="D433" s="100"/>
      <c r="E433" s="101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234</v>
      </c>
      <c r="O433" s="48">
        <f>IFERROR(O419+O432,"")</f>
        <v>438150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255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323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255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255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255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255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255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255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255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255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255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255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255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2" t="s">
        <v>230</v>
      </c>
      <c r="B446" s="103"/>
      <c r="C446" s="103"/>
      <c r="D446" s="103"/>
      <c r="E446" s="104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231</v>
      </c>
      <c r="O446" s="39">
        <v>191330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228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228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228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228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228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228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228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228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228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228</v>
      </c>
      <c r="F456" s="27">
        <v>2</v>
      </c>
      <c r="G456" s="28">
        <f t="shared" si="99"/>
        <v>10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228</v>
      </c>
      <c r="F457" s="27">
        <v>2</v>
      </c>
      <c r="G457" s="34">
        <f t="shared" si="99"/>
        <v>10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228</v>
      </c>
      <c r="F458" s="27">
        <v>2</v>
      </c>
      <c r="G458" s="28">
        <f t="shared" si="99"/>
        <v>10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2" t="s">
        <v>232</v>
      </c>
      <c r="B459" s="103"/>
      <c r="C459" s="103"/>
      <c r="D459" s="103"/>
      <c r="E459" s="104">
        <f>SUM(E447:E458)</f>
        <v>0</v>
      </c>
      <c r="F459" s="36">
        <f>SUM(F447:F458)</f>
        <v>61</v>
      </c>
      <c r="G459" s="36">
        <f>SUM(G447:G458)</f>
        <v>305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231</v>
      </c>
      <c r="O459" s="39">
        <v>409980</v>
      </c>
    </row>
    <row r="460" spans="1:15" ht="18" customHeight="1">
      <c r="A460" s="99" t="s">
        <v>233</v>
      </c>
      <c r="B460" s="100"/>
      <c r="C460" s="100"/>
      <c r="D460" s="100"/>
      <c r="E460" s="101">
        <f>E446+E459</f>
        <v>0</v>
      </c>
      <c r="F460" s="40">
        <f>F446+F459</f>
        <v>96</v>
      </c>
      <c r="G460" s="40">
        <f>G446+G459</f>
        <v>452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234</v>
      </c>
      <c r="O460" s="48">
        <f>IFERROR(O446+O459,"")</f>
        <v>601310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228</v>
      </c>
      <c r="F461" s="27">
        <v>0</v>
      </c>
      <c r="G461" s="34">
        <f t="shared" ref="G461:G472" si="102">IF(F461="","",IF(E461="PC 17",F461*4.2,IF(E461="PC 19",F461*5,"")))</f>
        <v>0</v>
      </c>
      <c r="H461" s="33" t="s">
        <v>19</v>
      </c>
      <c r="I461" s="33" t="s">
        <v>47</v>
      </c>
      <c r="J461" s="33" t="s">
        <v>27</v>
      </c>
      <c r="K461" s="29">
        <v>0.2951388888888889</v>
      </c>
      <c r="L461" s="29">
        <v>0.31388888888888888</v>
      </c>
      <c r="M461" s="35">
        <f t="shared" ref="M461:M472" ca="1" si="103">IFERROR(IF(K461="","",IF(L461="",MOD(NOW()-K461,1),IF(L461&gt;=K461,L461-K461,L461+1-K461))),"")</f>
        <v>1.8749999999999989E-2</v>
      </c>
      <c r="N461" s="27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228</v>
      </c>
      <c r="F462" s="27">
        <v>7</v>
      </c>
      <c r="G462" s="28">
        <f t="shared" si="102"/>
        <v>35</v>
      </c>
      <c r="H462" s="26" t="s">
        <v>18</v>
      </c>
      <c r="I462" s="26" t="s">
        <v>146</v>
      </c>
      <c r="J462" s="26" t="s">
        <v>127</v>
      </c>
      <c r="K462" s="29">
        <v>0.49652777777777779</v>
      </c>
      <c r="L462" s="29">
        <v>0.50902777777777775</v>
      </c>
      <c r="M462" s="30">
        <f t="shared" ca="1" si="103"/>
        <v>1.2499999999999956E-2</v>
      </c>
      <c r="N462" s="27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228</v>
      </c>
      <c r="F463" s="27">
        <v>3</v>
      </c>
      <c r="G463" s="34">
        <f t="shared" si="102"/>
        <v>15</v>
      </c>
      <c r="H463" s="33" t="s">
        <v>20</v>
      </c>
      <c r="I463" s="33" t="s">
        <v>69</v>
      </c>
      <c r="J463" s="33" t="s">
        <v>201</v>
      </c>
      <c r="K463" s="29">
        <v>0.5541666666666667</v>
      </c>
      <c r="L463" s="29">
        <v>0.65277777777777779</v>
      </c>
      <c r="M463" s="35">
        <f t="shared" ca="1" si="103"/>
        <v>9.8611111111111094E-2</v>
      </c>
      <c r="N463" s="27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228</v>
      </c>
      <c r="F464" s="27">
        <v>5</v>
      </c>
      <c r="G464" s="28">
        <f t="shared" si="102"/>
        <v>25</v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228</v>
      </c>
      <c r="F465" s="27">
        <v>4</v>
      </c>
      <c r="G465" s="34">
        <f t="shared" si="102"/>
        <v>20</v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228</v>
      </c>
      <c r="F466" s="27">
        <v>0</v>
      </c>
      <c r="G466" s="28">
        <f t="shared" si="102"/>
        <v>0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228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228</v>
      </c>
      <c r="F468" s="27">
        <v>0</v>
      </c>
      <c r="G468" s="28">
        <f t="shared" si="102"/>
        <v>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38</v>
      </c>
      <c r="E469" s="62" t="s">
        <v>228</v>
      </c>
      <c r="F469" s="27">
        <v>4</v>
      </c>
      <c r="G469" s="34">
        <f t="shared" si="102"/>
        <v>20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38</v>
      </c>
      <c r="E470" s="62" t="s">
        <v>228</v>
      </c>
      <c r="F470" s="27">
        <v>3</v>
      </c>
      <c r="G470" s="28">
        <f t="shared" si="102"/>
        <v>15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38</v>
      </c>
      <c r="E471" s="62" t="s">
        <v>228</v>
      </c>
      <c r="F471" s="27">
        <v>2</v>
      </c>
      <c r="G471" s="34">
        <f t="shared" si="102"/>
        <v>10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38</v>
      </c>
      <c r="E472" s="62" t="s">
        <v>228</v>
      </c>
      <c r="F472" s="27">
        <v>2</v>
      </c>
      <c r="G472" s="28">
        <f t="shared" si="102"/>
        <v>10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2" t="s">
        <v>230</v>
      </c>
      <c r="B473" s="103"/>
      <c r="C473" s="103"/>
      <c r="D473" s="103"/>
      <c r="E473" s="104">
        <f>SUM(E461:E472)</f>
        <v>0</v>
      </c>
      <c r="F473" s="36">
        <f>SUM(F461:F472)</f>
        <v>30</v>
      </c>
      <c r="G473" s="36">
        <f>SUM(G461:G472)</f>
        <v>150</v>
      </c>
      <c r="H473" s="37"/>
      <c r="I473" s="37"/>
      <c r="J473" s="37"/>
      <c r="K473" s="37"/>
      <c r="L473" s="37"/>
      <c r="M473" s="38">
        <f ca="1">IFERROR(SUM(M461:M472),"")</f>
        <v>0.12986111111111104</v>
      </c>
      <c r="N473" s="36" t="s">
        <v>231</v>
      </c>
      <c r="O473" s="39">
        <v>228940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228</v>
      </c>
      <c r="F474" s="27">
        <v>8</v>
      </c>
      <c r="G474" s="28">
        <f t="shared" ref="G474:G485" si="105">IF(F474="","",IF(E474="PC 17",F474*4.2,IF(E474="PC 19",F474*5,"")))</f>
        <v>40</v>
      </c>
      <c r="H474" s="26" t="s">
        <v>20</v>
      </c>
      <c r="I474" s="26" t="s">
        <v>47</v>
      </c>
      <c r="J474" s="26" t="s">
        <v>51</v>
      </c>
      <c r="K474" s="29">
        <v>0.7895833333333333</v>
      </c>
      <c r="L474" s="29">
        <v>0.79166666666666663</v>
      </c>
      <c r="M474" s="30">
        <f t="shared" ref="M474:M485" ca="1" si="106">IFERROR(IF(K474="","",IF(L474="",MOD(NOW()-K474,1),IF(L474&gt;=K474,L474-K474,L474+1-K474))),"")</f>
        <v>2.0833333333333259E-3</v>
      </c>
      <c r="N474" s="27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228</v>
      </c>
      <c r="F475" s="27">
        <v>7</v>
      </c>
      <c r="G475" s="34">
        <f t="shared" si="105"/>
        <v>35</v>
      </c>
      <c r="H475" s="33" t="s">
        <v>20</v>
      </c>
      <c r="I475" s="33" t="s">
        <v>47</v>
      </c>
      <c r="J475" s="33" t="s">
        <v>28</v>
      </c>
      <c r="K475" s="29">
        <v>0.80972222222222223</v>
      </c>
      <c r="L475" s="29">
        <v>0.8125</v>
      </c>
      <c r="M475" s="35">
        <f t="shared" ca="1" si="106"/>
        <v>2.7777777777777679E-3</v>
      </c>
      <c r="N475" s="27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228</v>
      </c>
      <c r="F476" s="27">
        <v>6</v>
      </c>
      <c r="G476" s="28">
        <f t="shared" si="105"/>
        <v>30</v>
      </c>
      <c r="H476" s="26" t="s">
        <v>20</v>
      </c>
      <c r="I476" s="26" t="s">
        <v>47</v>
      </c>
      <c r="J476" s="26" t="s">
        <v>51</v>
      </c>
      <c r="K476" s="29">
        <v>0.8305555555555556</v>
      </c>
      <c r="L476" s="29">
        <v>0.83333333333333337</v>
      </c>
      <c r="M476" s="30">
        <f t="shared" ca="1" si="106"/>
        <v>2.7777777777777679E-3</v>
      </c>
      <c r="N476" s="27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228</v>
      </c>
      <c r="F477" s="27">
        <v>6</v>
      </c>
      <c r="G477" s="34">
        <f t="shared" si="105"/>
        <v>30</v>
      </c>
      <c r="H477" s="33" t="s">
        <v>20</v>
      </c>
      <c r="I477" s="33" t="s">
        <v>47</v>
      </c>
      <c r="J477" s="33" t="s">
        <v>28</v>
      </c>
      <c r="K477" s="29">
        <v>0.95694444444444449</v>
      </c>
      <c r="L477" s="29">
        <v>0.97083333333333333</v>
      </c>
      <c r="M477" s="35">
        <f t="shared" ca="1" si="106"/>
        <v>1.388888888888884E-2</v>
      </c>
      <c r="N477" s="27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228</v>
      </c>
      <c r="F478" s="27">
        <v>6</v>
      </c>
      <c r="G478" s="28">
        <f t="shared" si="105"/>
        <v>30</v>
      </c>
      <c r="H478" s="26" t="s">
        <v>20</v>
      </c>
      <c r="I478" s="26" t="s">
        <v>47</v>
      </c>
      <c r="J478" s="26" t="s">
        <v>56</v>
      </c>
      <c r="K478" s="29">
        <v>7.6388888888888895E-2</v>
      </c>
      <c r="L478" s="29">
        <v>8.1944444444444445E-2</v>
      </c>
      <c r="M478" s="30">
        <f t="shared" ca="1" si="106"/>
        <v>5.5555555555555497E-3</v>
      </c>
      <c r="N478" s="27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228</v>
      </c>
      <c r="F479" s="27">
        <v>6</v>
      </c>
      <c r="G479" s="34">
        <f t="shared" si="105"/>
        <v>30</v>
      </c>
      <c r="H479" s="33" t="s">
        <v>20</v>
      </c>
      <c r="I479" s="33"/>
      <c r="J479" s="33" t="s">
        <v>74</v>
      </c>
      <c r="K479" s="29">
        <v>0.23819444444444443</v>
      </c>
      <c r="L479" s="29">
        <v>0.24652777777777779</v>
      </c>
      <c r="M479" s="35">
        <f t="shared" ca="1" si="106"/>
        <v>8.3333333333333592E-3</v>
      </c>
      <c r="N479" s="27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228</v>
      </c>
      <c r="F480" s="27">
        <v>2</v>
      </c>
      <c r="G480" s="28">
        <f t="shared" si="105"/>
        <v>10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228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228</v>
      </c>
      <c r="F482" s="27">
        <v>4</v>
      </c>
      <c r="G482" s="28">
        <f t="shared" si="105"/>
        <v>20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228</v>
      </c>
      <c r="F483" s="27">
        <v>6</v>
      </c>
      <c r="G483" s="34">
        <f t="shared" si="105"/>
        <v>30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228</v>
      </c>
      <c r="F484" s="27">
        <v>6</v>
      </c>
      <c r="G484" s="28">
        <f t="shared" si="105"/>
        <v>30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228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2" t="s">
        <v>232</v>
      </c>
      <c r="B486" s="103"/>
      <c r="C486" s="103"/>
      <c r="D486" s="103"/>
      <c r="E486" s="104">
        <f>SUM(E474:E485)</f>
        <v>0</v>
      </c>
      <c r="F486" s="36">
        <f>SUM(F474:F485)</f>
        <v>67</v>
      </c>
      <c r="G486" s="36">
        <f>SUM(G474:G485)</f>
        <v>335</v>
      </c>
      <c r="H486" s="37"/>
      <c r="I486" s="37"/>
      <c r="J486" s="37"/>
      <c r="K486" s="37"/>
      <c r="L486" s="37"/>
      <c r="M486" s="38">
        <f ca="1">IFERROR(SUM(M474:M485),"")</f>
        <v>3.541666666666661E-2</v>
      </c>
      <c r="N486" s="36" t="s">
        <v>231</v>
      </c>
      <c r="O486" s="39">
        <v>341550</v>
      </c>
    </row>
    <row r="487" spans="1:15" ht="18" customHeight="1">
      <c r="A487" s="99" t="s">
        <v>233</v>
      </c>
      <c r="B487" s="100"/>
      <c r="C487" s="100"/>
      <c r="D487" s="100"/>
      <c r="E487" s="101">
        <f>E473+E486</f>
        <v>0</v>
      </c>
      <c r="F487" s="40">
        <f>F473+F486</f>
        <v>97</v>
      </c>
      <c r="G487" s="40">
        <f>G473+G486</f>
        <v>485</v>
      </c>
      <c r="H487" s="41"/>
      <c r="I487" s="41"/>
      <c r="J487" s="41"/>
      <c r="K487" s="41"/>
      <c r="L487" s="41"/>
      <c r="M487" s="42">
        <f ca="1">IFERROR(M473+M486,"")</f>
        <v>0.16527777777777763</v>
      </c>
      <c r="N487" s="40" t="s">
        <v>234</v>
      </c>
      <c r="O487" s="48">
        <f>IFERROR(O473+O486,"")</f>
        <v>570490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228</v>
      </c>
      <c r="F488" s="27">
        <v>8</v>
      </c>
      <c r="G488" s="28">
        <f t="shared" ref="G488:G499" si="108">IF(F488="","",IF(E488="PC 17",F488*4.2,IF(E488="PC 19",F488*5,"")))</f>
        <v>40</v>
      </c>
      <c r="H488" s="26" t="s">
        <v>20</v>
      </c>
      <c r="I488" s="26" t="s">
        <v>47</v>
      </c>
      <c r="J488" s="26" t="s">
        <v>56</v>
      </c>
      <c r="K488" s="29">
        <v>0.59722222222222221</v>
      </c>
      <c r="L488" s="29">
        <v>0.61458333333333337</v>
      </c>
      <c r="M488" s="30">
        <f t="shared" ref="M488:M499" ca="1" si="109">IFERROR(IF(K488="","",IF(L488="",MOD(NOW()-K488,1),IF(L488&gt;=K488,L488-K488,L488+1-K488))),"")</f>
        <v>1.736111111111116E-2</v>
      </c>
      <c r="N488" s="27" t="s">
        <v>324</v>
      </c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228</v>
      </c>
      <c r="F489" s="27">
        <v>5</v>
      </c>
      <c r="G489" s="34">
        <f t="shared" si="108"/>
        <v>25</v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228</v>
      </c>
      <c r="F490" s="27">
        <v>2</v>
      </c>
      <c r="G490" s="28">
        <f t="shared" si="108"/>
        <v>10</v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228</v>
      </c>
      <c r="F491" s="27">
        <v>5</v>
      </c>
      <c r="G491" s="34">
        <f t="shared" si="108"/>
        <v>25</v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228</v>
      </c>
      <c r="F492" s="27">
        <v>5</v>
      </c>
      <c r="G492" s="28">
        <f t="shared" si="108"/>
        <v>25</v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228</v>
      </c>
      <c r="F493" s="27">
        <v>2</v>
      </c>
      <c r="G493" s="34">
        <f t="shared" si="108"/>
        <v>10</v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255</v>
      </c>
      <c r="F494" s="27">
        <v>6</v>
      </c>
      <c r="G494" s="28">
        <f t="shared" si="108"/>
        <v>25.200000000000003</v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255</v>
      </c>
      <c r="F495" s="27">
        <v>2</v>
      </c>
      <c r="G495" s="34">
        <f t="shared" si="108"/>
        <v>8.4</v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255</v>
      </c>
      <c r="F496" s="27">
        <v>6</v>
      </c>
      <c r="G496" s="28">
        <f t="shared" si="108"/>
        <v>25.200000000000003</v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255</v>
      </c>
      <c r="F497" s="27">
        <v>7</v>
      </c>
      <c r="G497" s="34">
        <f t="shared" si="108"/>
        <v>29.400000000000002</v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255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255</v>
      </c>
      <c r="F499" s="27">
        <v>2</v>
      </c>
      <c r="G499" s="34">
        <f t="shared" si="108"/>
        <v>8.4</v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2" t="s">
        <v>230</v>
      </c>
      <c r="B500" s="103"/>
      <c r="C500" s="103"/>
      <c r="D500" s="103"/>
      <c r="E500" s="104">
        <f>SUM(E488:E499)</f>
        <v>0</v>
      </c>
      <c r="F500" s="36">
        <f>SUM(F488:F499)</f>
        <v>54</v>
      </c>
      <c r="G500" s="36">
        <f>SUM(G488:G499)</f>
        <v>248.40000000000003</v>
      </c>
      <c r="H500" s="37"/>
      <c r="I500" s="37"/>
      <c r="J500" s="37"/>
      <c r="K500" s="37"/>
      <c r="L500" s="37"/>
      <c r="M500" s="38">
        <f ca="1">IFERROR(SUM(M488:M499),"")</f>
        <v>1.736111111111116E-2</v>
      </c>
      <c r="N500" s="36" t="s">
        <v>231</v>
      </c>
      <c r="O500" s="39">
        <v>316430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255</v>
      </c>
      <c r="F501" s="27">
        <v>14</v>
      </c>
      <c r="G501" s="34">
        <f t="shared" ref="G501:G512" si="111">IF(F501="","",IF(E501="PC 17",F501*4.2,IF(E501="PC 19",F501*5,"")))</f>
        <v>58.800000000000004</v>
      </c>
      <c r="H501" s="33" t="s">
        <v>19</v>
      </c>
      <c r="I501" s="33" t="s">
        <v>47</v>
      </c>
      <c r="J501" s="33" t="s">
        <v>27</v>
      </c>
      <c r="K501" s="29">
        <v>0.19930555555555557</v>
      </c>
      <c r="L501" s="29">
        <v>0.21736111111111112</v>
      </c>
      <c r="M501" s="35">
        <f t="shared" ref="M501:M512" ca="1" si="112">IFERROR(IF(K501="","",IF(L501="",MOD(NOW()-K501,1),IF(L501&gt;=K501,L501-K501,L501+1-K501))),"")</f>
        <v>1.8055555555555547E-2</v>
      </c>
      <c r="N501" s="27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228</v>
      </c>
      <c r="F502" s="27">
        <v>5</v>
      </c>
      <c r="G502" s="28">
        <f t="shared" si="111"/>
        <v>25</v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255</v>
      </c>
      <c r="F503" s="27">
        <v>0</v>
      </c>
      <c r="G503" s="34">
        <f t="shared" si="111"/>
        <v>0</v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255</v>
      </c>
      <c r="F504" s="27">
        <v>11</v>
      </c>
      <c r="G504" s="28">
        <f t="shared" si="111"/>
        <v>46.2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255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255</v>
      </c>
      <c r="F506" s="27">
        <v>9</v>
      </c>
      <c r="G506" s="28">
        <f t="shared" si="111"/>
        <v>37.800000000000004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255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255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255</v>
      </c>
      <c r="F509" s="27">
        <v>6</v>
      </c>
      <c r="G509" s="34">
        <f t="shared" si="111"/>
        <v>25.200000000000003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255</v>
      </c>
      <c r="F510" s="27">
        <v>2</v>
      </c>
      <c r="G510" s="28">
        <f t="shared" si="111"/>
        <v>8.4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255</v>
      </c>
      <c r="F511" s="27">
        <v>4</v>
      </c>
      <c r="G511" s="34">
        <f t="shared" si="111"/>
        <v>16.8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255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2" t="s">
        <v>232</v>
      </c>
      <c r="B513" s="103"/>
      <c r="C513" s="103"/>
      <c r="D513" s="103"/>
      <c r="E513" s="104">
        <f>SUM(E501:E512)</f>
        <v>0</v>
      </c>
      <c r="F513" s="36">
        <f>SUM(F501:F512)</f>
        <v>57</v>
      </c>
      <c r="G513" s="36">
        <f>SUM(G501:G512)</f>
        <v>243.4</v>
      </c>
      <c r="H513" s="37"/>
      <c r="I513" s="37"/>
      <c r="J513" s="37"/>
      <c r="K513" s="37"/>
      <c r="L513" s="37"/>
      <c r="M513" s="38">
        <f ca="1">IFERROR(SUM(M501:M512),"")</f>
        <v>1.8055555555555547E-2</v>
      </c>
      <c r="N513" s="36" t="s">
        <v>231</v>
      </c>
      <c r="O513" s="39">
        <v>276610</v>
      </c>
    </row>
    <row r="514" spans="1:15" ht="18" customHeight="1">
      <c r="A514" s="99" t="s">
        <v>233</v>
      </c>
      <c r="B514" s="100"/>
      <c r="C514" s="100"/>
      <c r="D514" s="100"/>
      <c r="E514" s="101">
        <f>E500+E513</f>
        <v>0</v>
      </c>
      <c r="F514" s="40">
        <f>F500+F513</f>
        <v>111</v>
      </c>
      <c r="G514" s="40">
        <f>G500+G513</f>
        <v>491.80000000000007</v>
      </c>
      <c r="H514" s="41"/>
      <c r="I514" s="41"/>
      <c r="J514" s="41"/>
      <c r="K514" s="41"/>
      <c r="L514" s="41"/>
      <c r="M514" s="42">
        <f ca="1">IFERROR(M500+M513,"")</f>
        <v>3.5416666666666707E-2</v>
      </c>
      <c r="N514" s="40" t="s">
        <v>234</v>
      </c>
      <c r="O514" s="48">
        <f>IFERROR(O500+O513,"")</f>
        <v>593040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255</v>
      </c>
      <c r="F515" s="27">
        <v>9</v>
      </c>
      <c r="G515" s="34">
        <f t="shared" ref="G515:G526" si="114">IF(F515="","",IF(E515="PC 17",F515*4.2,IF(E515="PC 19",F515*5,"")))</f>
        <v>37.800000000000004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27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255</v>
      </c>
      <c r="F516" s="27">
        <v>7</v>
      </c>
      <c r="G516" s="28">
        <f t="shared" si="114"/>
        <v>29.400000000000002</v>
      </c>
      <c r="H516" s="49" t="s">
        <v>19</v>
      </c>
      <c r="I516" s="26" t="s">
        <v>47</v>
      </c>
      <c r="J516" s="49" t="s">
        <v>27</v>
      </c>
      <c r="K516" s="29">
        <v>0.5625</v>
      </c>
      <c r="L516" s="29">
        <v>0.57291666666666663</v>
      </c>
      <c r="M516" s="30">
        <f t="shared" ca="1" si="115"/>
        <v>1.041666666666663E-2</v>
      </c>
      <c r="N516" s="27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255</v>
      </c>
      <c r="F517" s="27">
        <v>6</v>
      </c>
      <c r="G517" s="34">
        <f t="shared" si="114"/>
        <v>25.200000000000003</v>
      </c>
      <c r="H517" s="33" t="s">
        <v>20</v>
      </c>
      <c r="I517" s="33" t="s">
        <v>47</v>
      </c>
      <c r="J517" s="33" t="s">
        <v>36</v>
      </c>
      <c r="K517" s="29">
        <v>0.57847222222222228</v>
      </c>
      <c r="L517" s="29">
        <v>0.58680555555555558</v>
      </c>
      <c r="M517" s="35">
        <f t="shared" ca="1" si="115"/>
        <v>8.3333333333333037E-3</v>
      </c>
      <c r="N517" s="27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255</v>
      </c>
      <c r="F518" s="27">
        <v>5</v>
      </c>
      <c r="G518" s="28">
        <f t="shared" si="114"/>
        <v>21</v>
      </c>
      <c r="H518" s="33" t="s">
        <v>20</v>
      </c>
      <c r="I518" s="26" t="s">
        <v>47</v>
      </c>
      <c r="J518" s="26" t="s">
        <v>201</v>
      </c>
      <c r="K518" s="29">
        <v>0.54722222222222228</v>
      </c>
      <c r="L518" s="29">
        <v>0.62152777777777779</v>
      </c>
      <c r="M518" s="30">
        <f t="shared" ca="1" si="115"/>
        <v>7.4305555555555514E-2</v>
      </c>
      <c r="N518" s="27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255</v>
      </c>
      <c r="F519" s="27">
        <v>4</v>
      </c>
      <c r="G519" s="34">
        <f t="shared" si="114"/>
        <v>16.8</v>
      </c>
      <c r="H519" s="33" t="s">
        <v>20</v>
      </c>
      <c r="I519" s="33" t="s">
        <v>47</v>
      </c>
      <c r="J519" s="33" t="s">
        <v>51</v>
      </c>
      <c r="K519" s="29">
        <v>0.70416666666666672</v>
      </c>
      <c r="L519" s="29">
        <v>0.70694444444444449</v>
      </c>
      <c r="M519" s="35">
        <f t="shared" ca="1" si="115"/>
        <v>2.7777777777777679E-3</v>
      </c>
      <c r="N519" s="27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255</v>
      </c>
      <c r="F520" s="27">
        <v>5</v>
      </c>
      <c r="G520" s="28">
        <f t="shared" si="114"/>
        <v>21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255</v>
      </c>
      <c r="F521" s="27">
        <v>4</v>
      </c>
      <c r="G521" s="34">
        <f t="shared" si="114"/>
        <v>16.8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255</v>
      </c>
      <c r="F522" s="27">
        <v>2</v>
      </c>
      <c r="G522" s="28">
        <f t="shared" si="114"/>
        <v>8.4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255</v>
      </c>
      <c r="F523" s="27">
        <v>2</v>
      </c>
      <c r="G523" s="34">
        <f t="shared" si="114"/>
        <v>8.4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255</v>
      </c>
      <c r="F524" s="27">
        <v>3</v>
      </c>
      <c r="G524" s="28">
        <f t="shared" si="114"/>
        <v>12.600000000000001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255</v>
      </c>
      <c r="F525" s="27">
        <v>2</v>
      </c>
      <c r="G525" s="34">
        <f t="shared" si="114"/>
        <v>8.4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255</v>
      </c>
      <c r="F526" s="27">
        <v>2</v>
      </c>
      <c r="G526" s="28">
        <f t="shared" si="114"/>
        <v>8.4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2" t="s">
        <v>230</v>
      </c>
      <c r="B527" s="103"/>
      <c r="C527" s="103"/>
      <c r="D527" s="103"/>
      <c r="E527" s="104">
        <f>SUM(E515:E526)</f>
        <v>0</v>
      </c>
      <c r="F527" s="36">
        <f>SUM(F515:F526)</f>
        <v>51</v>
      </c>
      <c r="G527" s="36">
        <f>SUM(G515:G526)</f>
        <v>214.20000000000005</v>
      </c>
      <c r="H527" s="37"/>
      <c r="I527" s="37"/>
      <c r="J527" s="37"/>
      <c r="K527" s="37"/>
      <c r="L527" s="37"/>
      <c r="M527" s="38">
        <f ca="1">IFERROR(SUM(M515:M526),"")</f>
        <v>0.10416666666666657</v>
      </c>
      <c r="N527" s="36" t="s">
        <v>231</v>
      </c>
      <c r="O527" s="39">
        <v>234850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255</v>
      </c>
      <c r="F528" s="27">
        <v>0</v>
      </c>
      <c r="G528" s="28">
        <f t="shared" ref="G528:G539" si="117">IF(F528="","",IF(E528="PC 17",F528*4.2,IF(E528="PC 19",F528*5,"")))</f>
        <v>0</v>
      </c>
      <c r="H528" s="26" t="s">
        <v>20</v>
      </c>
      <c r="I528" s="26" t="s">
        <v>47</v>
      </c>
      <c r="J528" s="26" t="s">
        <v>51</v>
      </c>
      <c r="K528" s="29">
        <v>0.79861111111111116</v>
      </c>
      <c r="L528" s="29">
        <v>0.80694444444444446</v>
      </c>
      <c r="M528" s="30">
        <f t="shared" ref="M528:M539" ca="1" si="118">IFERROR(IF(K528="","",IF(L528="",MOD(NOW()-K528,1),IF(L528&gt;=K528,L528-K528,L528+1-K528))),"")</f>
        <v>8.3333333333333037E-3</v>
      </c>
      <c r="N528" s="27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255</v>
      </c>
      <c r="F529" s="27">
        <v>4</v>
      </c>
      <c r="G529" s="34">
        <f t="shared" si="117"/>
        <v>16.8</v>
      </c>
      <c r="H529" s="33" t="s">
        <v>20</v>
      </c>
      <c r="I529" s="33" t="s">
        <v>47</v>
      </c>
      <c r="J529" s="33" t="s">
        <v>51</v>
      </c>
      <c r="K529" s="29">
        <v>0.81041666666666667</v>
      </c>
      <c r="L529" s="29">
        <v>0.82708333333333328</v>
      </c>
      <c r="M529" s="35">
        <f t="shared" ca="1" si="118"/>
        <v>1.6666666666666607E-2</v>
      </c>
      <c r="N529" s="27" t="s">
        <v>325</v>
      </c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255</v>
      </c>
      <c r="F530" s="27">
        <v>8</v>
      </c>
      <c r="G530" s="28">
        <f t="shared" si="117"/>
        <v>33.6</v>
      </c>
      <c r="H530" s="26" t="s">
        <v>20</v>
      </c>
      <c r="I530" s="26" t="s">
        <v>47</v>
      </c>
      <c r="J530" s="26" t="s">
        <v>51</v>
      </c>
      <c r="K530" s="29">
        <v>0.85069444444444442</v>
      </c>
      <c r="L530" s="29">
        <v>0.85555555555555551</v>
      </c>
      <c r="M530" s="30">
        <f t="shared" ca="1" si="118"/>
        <v>4.8611111111110938E-3</v>
      </c>
      <c r="N530" s="27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255</v>
      </c>
      <c r="F531" s="27">
        <v>7</v>
      </c>
      <c r="G531" s="34">
        <f t="shared" si="117"/>
        <v>29.400000000000002</v>
      </c>
      <c r="H531" s="33" t="s">
        <v>20</v>
      </c>
      <c r="I531" s="33" t="s">
        <v>47</v>
      </c>
      <c r="J531" s="33" t="s">
        <v>51</v>
      </c>
      <c r="K531" s="29">
        <v>0.91388888888888886</v>
      </c>
      <c r="L531" s="29">
        <v>0.9194444444444444</v>
      </c>
      <c r="M531" s="35">
        <f t="shared" ca="1" si="118"/>
        <v>5.5555555555555358E-3</v>
      </c>
      <c r="N531" s="27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255</v>
      </c>
      <c r="F532" s="27">
        <v>0</v>
      </c>
      <c r="G532" s="28">
        <f t="shared" si="117"/>
        <v>0</v>
      </c>
      <c r="H532" s="26" t="s">
        <v>20</v>
      </c>
      <c r="I532" s="26" t="s">
        <v>47</v>
      </c>
      <c r="J532" s="26" t="s">
        <v>28</v>
      </c>
      <c r="K532" s="29">
        <v>0.97013888888888888</v>
      </c>
      <c r="L532" s="29">
        <v>1.0416666666666666E-2</v>
      </c>
      <c r="M532" s="30">
        <f t="shared" ca="1" si="118"/>
        <v>4.0277777777777857E-2</v>
      </c>
      <c r="N532" s="27" t="s">
        <v>326</v>
      </c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255</v>
      </c>
      <c r="F533" s="27">
        <v>8</v>
      </c>
      <c r="G533" s="34">
        <f t="shared" si="117"/>
        <v>33.6</v>
      </c>
      <c r="H533" s="33" t="s">
        <v>20</v>
      </c>
      <c r="I533" s="33" t="s">
        <v>47</v>
      </c>
      <c r="J533" s="33" t="s">
        <v>164</v>
      </c>
      <c r="K533" s="29">
        <v>2.5000000000000001E-2</v>
      </c>
      <c r="L533" s="29">
        <v>0.15</v>
      </c>
      <c r="M533" s="35">
        <f t="shared" ca="1" si="118"/>
        <v>0.125</v>
      </c>
      <c r="N533" s="27" t="s">
        <v>327</v>
      </c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255</v>
      </c>
      <c r="F534" s="27">
        <v>0</v>
      </c>
      <c r="G534" s="28">
        <f t="shared" si="117"/>
        <v>0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255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255</v>
      </c>
      <c r="F536" s="27">
        <v>4</v>
      </c>
      <c r="G536" s="28">
        <f t="shared" si="117"/>
        <v>16.8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255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255</v>
      </c>
      <c r="F538" s="27">
        <v>0</v>
      </c>
      <c r="G538" s="28">
        <f t="shared" si="117"/>
        <v>0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255</v>
      </c>
      <c r="F539" s="27">
        <v>12</v>
      </c>
      <c r="G539" s="34">
        <f t="shared" si="117"/>
        <v>50.400000000000006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2" t="s">
        <v>232</v>
      </c>
      <c r="B540" s="103"/>
      <c r="C540" s="103"/>
      <c r="D540" s="103"/>
      <c r="E540" s="104">
        <f>SUM(E528:E539)</f>
        <v>0</v>
      </c>
      <c r="F540" s="36">
        <f>SUM(F528:F539)</f>
        <v>43</v>
      </c>
      <c r="G540" s="36">
        <f>SUM(G528:G539)</f>
        <v>180.60000000000002</v>
      </c>
      <c r="H540" s="37"/>
      <c r="I540" s="37"/>
      <c r="J540" s="37"/>
      <c r="K540" s="37"/>
      <c r="L540" s="37"/>
      <c r="M540" s="38">
        <f ca="1">IFERROR(SUM(M528:M539),"")</f>
        <v>0.2006944444444444</v>
      </c>
      <c r="N540" s="36" t="s">
        <v>231</v>
      </c>
      <c r="O540" s="39">
        <v>194990</v>
      </c>
    </row>
    <row r="541" spans="1:15" ht="18" customHeight="1">
      <c r="A541" s="99" t="s">
        <v>233</v>
      </c>
      <c r="B541" s="100"/>
      <c r="C541" s="100"/>
      <c r="D541" s="100"/>
      <c r="E541" s="101">
        <f>E527+E540</f>
        <v>0</v>
      </c>
      <c r="F541" s="40">
        <f>F527+F540</f>
        <v>94</v>
      </c>
      <c r="G541" s="40">
        <f>G527+G540</f>
        <v>394.80000000000007</v>
      </c>
      <c r="H541" s="41"/>
      <c r="I541" s="41"/>
      <c r="J541" s="41"/>
      <c r="K541" s="41"/>
      <c r="L541" s="41"/>
      <c r="M541" s="42">
        <f ca="1">IFERROR(M527+M540,"")</f>
        <v>0.30486111111111097</v>
      </c>
      <c r="N541" s="40" t="s">
        <v>234</v>
      </c>
      <c r="O541" s="48">
        <f>IFERROR(O527+O540,"")</f>
        <v>429840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255</v>
      </c>
      <c r="F542" s="27">
        <v>2</v>
      </c>
      <c r="G542" s="28">
        <f t="shared" ref="G542:G553" si="120">IF(F542="","",IF(E542="PC 17",F542*4.2,IF(E542="PC 19",F542*5,"")))</f>
        <v>8.4</v>
      </c>
      <c r="H542" s="26" t="s">
        <v>18</v>
      </c>
      <c r="I542" s="26" t="s">
        <v>47</v>
      </c>
      <c r="J542" s="26" t="s">
        <v>127</v>
      </c>
      <c r="K542" s="29">
        <v>0.43055555555555558</v>
      </c>
      <c r="L542" s="29">
        <v>0.46527777777777779</v>
      </c>
      <c r="M542" s="30">
        <f t="shared" ref="M542:M553" ca="1" si="121">IFERROR(IF(K542="","",IF(L542="",MOD(NOW()-K542,1),IF(L542&gt;=K542,L542-K542,L542+1-K542))),"")</f>
        <v>3.472222222222221E-2</v>
      </c>
      <c r="N542" s="27" t="s">
        <v>328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255</v>
      </c>
      <c r="F543" s="27">
        <v>3</v>
      </c>
      <c r="G543" s="34">
        <f t="shared" si="120"/>
        <v>12.600000000000001</v>
      </c>
      <c r="H543" s="33" t="s">
        <v>20</v>
      </c>
      <c r="I543" s="33" t="s">
        <v>47</v>
      </c>
      <c r="J543" s="33" t="s">
        <v>28</v>
      </c>
      <c r="K543" s="29">
        <v>0.68055555555555558</v>
      </c>
      <c r="L543" s="29">
        <v>0.68541666666666667</v>
      </c>
      <c r="M543" s="35">
        <f t="shared" ca="1" si="121"/>
        <v>4.8611111111110938E-3</v>
      </c>
      <c r="N543" s="27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255</v>
      </c>
      <c r="F544" s="27">
        <v>5</v>
      </c>
      <c r="G544" s="28">
        <f t="shared" si="120"/>
        <v>21</v>
      </c>
      <c r="H544" s="26" t="s">
        <v>20</v>
      </c>
      <c r="I544" s="26" t="s">
        <v>120</v>
      </c>
      <c r="J544" s="26" t="s">
        <v>113</v>
      </c>
      <c r="K544" s="29">
        <v>0.75</v>
      </c>
      <c r="L544" s="29">
        <v>0.76736111111111116</v>
      </c>
      <c r="M544" s="30">
        <f t="shared" ca="1" si="121"/>
        <v>1.736111111111116E-2</v>
      </c>
      <c r="N544" s="27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255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255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255</v>
      </c>
      <c r="F547" s="27">
        <v>6</v>
      </c>
      <c r="G547" s="34">
        <f t="shared" si="120"/>
        <v>25.200000000000003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255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255</v>
      </c>
      <c r="F549" s="27">
        <v>4</v>
      </c>
      <c r="G549" s="34">
        <f t="shared" si="120"/>
        <v>16.8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255</v>
      </c>
      <c r="F550" s="27">
        <v>4</v>
      </c>
      <c r="G550" s="28">
        <f t="shared" si="120"/>
        <v>16.8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255</v>
      </c>
      <c r="F551" s="27">
        <v>3</v>
      </c>
      <c r="G551" s="34">
        <f t="shared" si="120"/>
        <v>12.600000000000001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255</v>
      </c>
      <c r="F552" s="27">
        <v>4</v>
      </c>
      <c r="G552" s="28">
        <f t="shared" si="120"/>
        <v>16.8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255</v>
      </c>
      <c r="F553" s="27">
        <v>2</v>
      </c>
      <c r="G553" s="34">
        <f t="shared" si="120"/>
        <v>8.4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2" t="s">
        <v>230</v>
      </c>
      <c r="B554" s="103"/>
      <c r="C554" s="103"/>
      <c r="D554" s="103"/>
      <c r="E554" s="104">
        <f>SUM(E542:E553)</f>
        <v>0</v>
      </c>
      <c r="F554" s="36">
        <f>SUM(F542:F553)</f>
        <v>33</v>
      </c>
      <c r="G554" s="36">
        <f>SUM(G542:G553)</f>
        <v>138.60000000000002</v>
      </c>
      <c r="H554" s="37"/>
      <c r="I554" s="37"/>
      <c r="J554" s="37"/>
      <c r="K554" s="37"/>
      <c r="L554" s="37"/>
      <c r="M554" s="38">
        <f ca="1">IFERROR(SUM(M542:M553),"")</f>
        <v>5.6944444444444464E-2</v>
      </c>
      <c r="N554" s="36" t="s">
        <v>231</v>
      </c>
      <c r="O554" s="39">
        <v>171920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255</v>
      </c>
      <c r="F555" s="27">
        <v>14</v>
      </c>
      <c r="G555" s="34">
        <f t="shared" ref="G555:G566" si="123">IF(F555="","",IF(E555="PC 17",F555*4.2,IF(E555="PC 19",F555*5,"")))</f>
        <v>58.800000000000004</v>
      </c>
      <c r="H555" s="33" t="s">
        <v>20</v>
      </c>
      <c r="I555" s="33" t="s">
        <v>47</v>
      </c>
      <c r="J555" s="33" t="s">
        <v>28</v>
      </c>
      <c r="K555" s="29">
        <v>0.98055555555555551</v>
      </c>
      <c r="L555" s="29">
        <v>0.98611111111111116</v>
      </c>
      <c r="M555" s="35">
        <f t="shared" ref="M555:M566" ca="1" si="124">IFERROR(IF(K555="","",IF(L555="",MOD(NOW()-K555,1),IF(L555&gt;=K555,L555-K555,L555+1-K555))),"")</f>
        <v>5.5555555555556468E-3</v>
      </c>
      <c r="N555" s="27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255</v>
      </c>
      <c r="F556" s="27">
        <v>3</v>
      </c>
      <c r="G556" s="28">
        <f t="shared" si="123"/>
        <v>12.600000000000001</v>
      </c>
      <c r="H556" s="26" t="s">
        <v>20</v>
      </c>
      <c r="I556" s="26" t="s">
        <v>47</v>
      </c>
      <c r="J556" s="26" t="s">
        <v>28</v>
      </c>
      <c r="K556" s="29">
        <v>0.14097222222222222</v>
      </c>
      <c r="L556" s="29">
        <v>0.14583333333333334</v>
      </c>
      <c r="M556" s="30">
        <f t="shared" ca="1" si="124"/>
        <v>4.8611111111111216E-3</v>
      </c>
      <c r="N556" s="27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255</v>
      </c>
      <c r="F557" s="27">
        <v>9</v>
      </c>
      <c r="G557" s="34">
        <f t="shared" si="123"/>
        <v>37.800000000000004</v>
      </c>
      <c r="H557" s="33" t="s">
        <v>20</v>
      </c>
      <c r="I557" s="33" t="s">
        <v>47</v>
      </c>
      <c r="J557" s="33" t="s">
        <v>180</v>
      </c>
      <c r="K557" s="29">
        <v>0.16666666666666666</v>
      </c>
      <c r="L557" s="29">
        <v>0.18888888888888888</v>
      </c>
      <c r="M557" s="35">
        <f t="shared" ca="1" si="124"/>
        <v>2.2222222222222227E-2</v>
      </c>
      <c r="N557" s="27" t="s">
        <v>329</v>
      </c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255</v>
      </c>
      <c r="F558" s="27">
        <v>0</v>
      </c>
      <c r="G558" s="28">
        <f t="shared" si="123"/>
        <v>0</v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255</v>
      </c>
      <c r="F559" s="27">
        <v>15</v>
      </c>
      <c r="G559" s="34">
        <f t="shared" si="123"/>
        <v>63</v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255</v>
      </c>
      <c r="F560" s="27">
        <v>10</v>
      </c>
      <c r="G560" s="28">
        <f t="shared" si="123"/>
        <v>42</v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255</v>
      </c>
      <c r="F561" s="27">
        <v>7</v>
      </c>
      <c r="G561" s="34">
        <f t="shared" si="123"/>
        <v>29.400000000000002</v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255</v>
      </c>
      <c r="F562" s="27">
        <v>12</v>
      </c>
      <c r="G562" s="28">
        <f t="shared" si="123"/>
        <v>50.400000000000006</v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255</v>
      </c>
      <c r="F563" s="27">
        <v>11</v>
      </c>
      <c r="G563" s="34">
        <f t="shared" si="123"/>
        <v>46.2</v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255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255</v>
      </c>
      <c r="F565" s="27">
        <v>6</v>
      </c>
      <c r="G565" s="34">
        <f t="shared" si="123"/>
        <v>25.200000000000003</v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255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2" t="s">
        <v>232</v>
      </c>
      <c r="B567" s="103"/>
      <c r="C567" s="103"/>
      <c r="D567" s="103"/>
      <c r="E567" s="104">
        <f>SUM(E555:E566)</f>
        <v>0</v>
      </c>
      <c r="F567" s="36">
        <f>SUM(F555:F566)</f>
        <v>87</v>
      </c>
      <c r="G567" s="36">
        <f>SUM(G555:G566)</f>
        <v>365.4</v>
      </c>
      <c r="H567" s="37"/>
      <c r="I567" s="37"/>
      <c r="J567" s="37"/>
      <c r="K567" s="37"/>
      <c r="L567" s="37"/>
      <c r="M567" s="38">
        <f ca="1">IFERROR(SUM(M555:M566),"")</f>
        <v>3.2638888888888995E-2</v>
      </c>
      <c r="N567" s="36" t="s">
        <v>231</v>
      </c>
      <c r="O567" s="39"/>
    </row>
    <row r="568" spans="1:15" ht="18" customHeight="1">
      <c r="A568" s="99" t="s">
        <v>233</v>
      </c>
      <c r="B568" s="100"/>
      <c r="C568" s="100"/>
      <c r="D568" s="100"/>
      <c r="E568" s="101">
        <f>E554+E567</f>
        <v>0</v>
      </c>
      <c r="F568" s="40">
        <f>F554+F567</f>
        <v>120</v>
      </c>
      <c r="G568" s="40">
        <f>G554+G567</f>
        <v>504</v>
      </c>
      <c r="H568" s="41"/>
      <c r="I568" s="41"/>
      <c r="J568" s="41"/>
      <c r="K568" s="41"/>
      <c r="L568" s="41"/>
      <c r="M568" s="42">
        <f ca="1">IFERROR(M554+M567,"")</f>
        <v>8.9583333333333459E-2</v>
      </c>
      <c r="N568" s="40" t="s">
        <v>234</v>
      </c>
      <c r="O568" s="48">
        <f>IFERROR(O554+O567,"")</f>
        <v>171920</v>
      </c>
    </row>
    <row r="569" spans="1:15" ht="15" customHeight="1">
      <c r="A569" s="69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2" t="s">
        <v>230</v>
      </c>
      <c r="B581" s="103"/>
      <c r="C581" s="103"/>
      <c r="D581" s="103"/>
      <c r="E581" s="104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231</v>
      </c>
      <c r="O581" s="39"/>
    </row>
    <row r="582" spans="1:15" ht="15" customHeight="1">
      <c r="A582" s="68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2" t="s">
        <v>232</v>
      </c>
      <c r="B594" s="103"/>
      <c r="C594" s="103"/>
      <c r="D594" s="103"/>
      <c r="E594" s="104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231</v>
      </c>
      <c r="O594" s="39"/>
    </row>
    <row r="595" spans="1:15" ht="18" customHeight="1">
      <c r="A595" s="99" t="s">
        <v>233</v>
      </c>
      <c r="B595" s="100"/>
      <c r="C595" s="100"/>
      <c r="D595" s="100"/>
      <c r="E595" s="101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234</v>
      </c>
      <c r="O595" s="48">
        <f>IFERROR(O581+O594,"")</f>
        <v>0</v>
      </c>
    </row>
    <row r="596" spans="1:15" ht="15" customHeight="1">
      <c r="A596" s="68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2" t="s">
        <v>230</v>
      </c>
      <c r="B608" s="103"/>
      <c r="C608" s="103"/>
      <c r="D608" s="103"/>
      <c r="E608" s="104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231</v>
      </c>
      <c r="O608" s="39"/>
    </row>
    <row r="609" spans="1:15" ht="15" customHeight="1">
      <c r="A609" s="69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2" t="s">
        <v>232</v>
      </c>
      <c r="B621" s="103"/>
      <c r="C621" s="103"/>
      <c r="D621" s="103"/>
      <c r="E621" s="104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231</v>
      </c>
      <c r="O621" s="39"/>
    </row>
    <row r="622" spans="1:15" ht="18" customHeight="1">
      <c r="A622" s="99" t="s">
        <v>233</v>
      </c>
      <c r="B622" s="100"/>
      <c r="C622" s="100"/>
      <c r="D622" s="100"/>
      <c r="E622" s="101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234</v>
      </c>
      <c r="O622" s="48">
        <f>IFERROR(O608+O621,"")</f>
        <v>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2" t="s">
        <v>230</v>
      </c>
      <c r="B635" s="103"/>
      <c r="C635" s="103"/>
      <c r="D635" s="103"/>
      <c r="E635" s="104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231</v>
      </c>
      <c r="O635" s="39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2" t="s">
        <v>232</v>
      </c>
      <c r="B648" s="103"/>
      <c r="C648" s="103"/>
      <c r="D648" s="103"/>
      <c r="E648" s="104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231</v>
      </c>
      <c r="O648" s="39"/>
    </row>
    <row r="649" spans="1:15" ht="18" customHeight="1">
      <c r="A649" s="99" t="s">
        <v>233</v>
      </c>
      <c r="B649" s="100"/>
      <c r="C649" s="100"/>
      <c r="D649" s="100"/>
      <c r="E649" s="101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234</v>
      </c>
      <c r="O649" s="48">
        <f>IFERROR(O635+O648,"")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2" t="s">
        <v>230</v>
      </c>
      <c r="B662" s="103"/>
      <c r="C662" s="103"/>
      <c r="D662" s="103"/>
      <c r="E662" s="104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231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2" t="s">
        <v>232</v>
      </c>
      <c r="B675" s="103"/>
      <c r="C675" s="103"/>
      <c r="D675" s="103"/>
      <c r="E675" s="104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231</v>
      </c>
      <c r="O675" s="39"/>
    </row>
    <row r="676" spans="1:15" ht="18" customHeight="1">
      <c r="A676" s="99" t="s">
        <v>233</v>
      </c>
      <c r="B676" s="100"/>
      <c r="C676" s="100"/>
      <c r="D676" s="100"/>
      <c r="E676" s="101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234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2" t="s">
        <v>230</v>
      </c>
      <c r="B689" s="103"/>
      <c r="C689" s="103"/>
      <c r="D689" s="103"/>
      <c r="E689" s="104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231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2" t="s">
        <v>232</v>
      </c>
      <c r="B702" s="103"/>
      <c r="C702" s="103"/>
      <c r="D702" s="103"/>
      <c r="E702" s="104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231</v>
      </c>
      <c r="O702" s="39"/>
    </row>
    <row r="703" spans="1:15" ht="18" customHeight="1">
      <c r="A703" s="99" t="s">
        <v>233</v>
      </c>
      <c r="B703" s="100"/>
      <c r="C703" s="100"/>
      <c r="D703" s="100"/>
      <c r="E703" s="101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234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2" t="s">
        <v>230</v>
      </c>
      <c r="B716" s="103"/>
      <c r="C716" s="103"/>
      <c r="D716" s="103"/>
      <c r="E716" s="104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231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2" t="s">
        <v>232</v>
      </c>
      <c r="B729" s="103"/>
      <c r="C729" s="103"/>
      <c r="D729" s="103"/>
      <c r="E729" s="104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231</v>
      </c>
      <c r="O729" s="39"/>
    </row>
    <row r="730" spans="1:15" ht="18" customHeight="1">
      <c r="A730" s="99" t="s">
        <v>233</v>
      </c>
      <c r="B730" s="100"/>
      <c r="C730" s="100"/>
      <c r="D730" s="100"/>
      <c r="E730" s="101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234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2" t="s">
        <v>230</v>
      </c>
      <c r="B743" s="103"/>
      <c r="C743" s="103"/>
      <c r="D743" s="103"/>
      <c r="E743" s="104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231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2" t="s">
        <v>232</v>
      </c>
      <c r="B756" s="103"/>
      <c r="C756" s="103"/>
      <c r="D756" s="103"/>
      <c r="E756" s="104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231</v>
      </c>
      <c r="O756" s="39"/>
    </row>
    <row r="757" spans="1:15" ht="18" customHeight="1">
      <c r="A757" s="99" t="s">
        <v>233</v>
      </c>
      <c r="B757" s="100"/>
      <c r="C757" s="100"/>
      <c r="D757" s="100"/>
      <c r="E757" s="101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234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2" t="s">
        <v>230</v>
      </c>
      <c r="B770" s="103"/>
      <c r="C770" s="103"/>
      <c r="D770" s="103"/>
      <c r="E770" s="104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231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2" t="s">
        <v>232</v>
      </c>
      <c r="B783" s="103"/>
      <c r="C783" s="103"/>
      <c r="D783" s="103"/>
      <c r="E783" s="104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231</v>
      </c>
      <c r="O783" s="39"/>
    </row>
    <row r="784" spans="1:15" ht="18" customHeight="1">
      <c r="A784" s="99" t="s">
        <v>233</v>
      </c>
      <c r="B784" s="100"/>
      <c r="C784" s="100"/>
      <c r="D784" s="100"/>
      <c r="E784" s="101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234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2" t="s">
        <v>230</v>
      </c>
      <c r="B797" s="103"/>
      <c r="C797" s="103"/>
      <c r="D797" s="103"/>
      <c r="E797" s="104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231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2" t="s">
        <v>232</v>
      </c>
      <c r="B810" s="103"/>
      <c r="C810" s="103"/>
      <c r="D810" s="103"/>
      <c r="E810" s="104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231</v>
      </c>
      <c r="O810" s="39"/>
    </row>
    <row r="811" spans="1:15" ht="18" customHeight="1">
      <c r="A811" s="99" t="s">
        <v>233</v>
      </c>
      <c r="B811" s="100"/>
      <c r="C811" s="100"/>
      <c r="D811" s="100"/>
      <c r="E811" s="101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234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3">
    <dataValidation type="list" allowBlank="1" showErrorMessage="1" errorTitle="Valor inválido" error="Selecione PC 17 ou PC 19 da lista." sqref="E15:E26 E2:E13 E29:E380 E382:E514 E516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530" activePane="bottomLeft" state="frozen"/>
      <selection pane="bottomLeft" activeCell="F567" sqref="F567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65.1406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255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138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330</v>
      </c>
      <c r="O2" s="60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255</v>
      </c>
      <c r="F3" s="27">
        <v>0</v>
      </c>
      <c r="G3" s="34">
        <f t="shared" si="0"/>
        <v>0</v>
      </c>
      <c r="H3" s="33" t="s">
        <v>18</v>
      </c>
      <c r="I3" s="33" t="s">
        <v>159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295</v>
      </c>
      <c r="O3" s="60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255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190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255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255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255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255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255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255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255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255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255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2" t="s">
        <v>230</v>
      </c>
      <c r="B14" s="103"/>
      <c r="C14" s="103"/>
      <c r="D14" s="103"/>
      <c r="E14" s="104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231</v>
      </c>
      <c r="O14" s="39">
        <v>327070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255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255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8">
        <f ca="1">IFERROR(IF(K16="","",IF(L16="",MOD(NOW()-K16,1),IF(L16&gt;=K16,L16-K16,L16+1-K16))),"")</f>
        <v>4.1666666666666741E-2</v>
      </c>
      <c r="N16" s="27" t="s">
        <v>331</v>
      </c>
      <c r="O16" s="60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255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255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255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255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255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255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255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255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255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255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2" t="s">
        <v>232</v>
      </c>
      <c r="B27" s="103"/>
      <c r="C27" s="103"/>
      <c r="D27" s="103"/>
      <c r="E27" s="104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231</v>
      </c>
      <c r="O27" s="39">
        <v>202230</v>
      </c>
    </row>
    <row r="28" spans="1:15" ht="18" customHeight="1">
      <c r="A28" s="99" t="s">
        <v>233</v>
      </c>
      <c r="B28" s="100"/>
      <c r="C28" s="100"/>
      <c r="D28" s="100"/>
      <c r="E28" s="101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234</v>
      </c>
      <c r="O28" s="48">
        <f>IFERROR(O14+O27,"")</f>
        <v>529300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255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126</v>
      </c>
      <c r="J29" s="33" t="s">
        <v>194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332</v>
      </c>
      <c r="O29" s="60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255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255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255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255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255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333</v>
      </c>
      <c r="O34" s="60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255</v>
      </c>
      <c r="F35" s="27">
        <v>0</v>
      </c>
      <c r="G35" s="28">
        <f t="shared" si="6"/>
        <v>0</v>
      </c>
      <c r="H35" s="33" t="s">
        <v>20</v>
      </c>
      <c r="I35" s="33" t="s">
        <v>149</v>
      </c>
      <c r="J35" s="33" t="s">
        <v>179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255</v>
      </c>
      <c r="F36" s="27">
        <v>0</v>
      </c>
      <c r="G36" s="34">
        <f t="shared" si="6"/>
        <v>0</v>
      </c>
      <c r="H36" s="26" t="s">
        <v>20</v>
      </c>
      <c r="I36" s="26" t="s">
        <v>149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255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255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255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255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2" t="s">
        <v>230</v>
      </c>
      <c r="B41" s="103"/>
      <c r="C41" s="103"/>
      <c r="D41" s="103"/>
      <c r="E41" s="104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231</v>
      </c>
      <c r="O41" s="39">
        <v>304990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255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255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255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255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255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255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255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255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255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255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255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255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2" t="s">
        <v>232</v>
      </c>
      <c r="B54" s="103"/>
      <c r="C54" s="103"/>
      <c r="D54" s="103"/>
      <c r="E54" s="104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231</v>
      </c>
      <c r="O54" s="39">
        <v>473910</v>
      </c>
    </row>
    <row r="55" spans="1:15" ht="18" customHeight="1">
      <c r="A55" s="99" t="s">
        <v>233</v>
      </c>
      <c r="B55" s="100"/>
      <c r="C55" s="100"/>
      <c r="D55" s="100"/>
      <c r="E55" s="101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234</v>
      </c>
      <c r="O55" s="48">
        <f>IFERROR(O41+O54,"")</f>
        <v>778900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255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255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255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334</v>
      </c>
      <c r="L58" s="29">
        <v>0.54097222222222219</v>
      </c>
      <c r="M58" s="30" t="str">
        <f t="shared" ca="1" si="13"/>
        <v/>
      </c>
      <c r="N58" s="27" t="s">
        <v>335</v>
      </c>
      <c r="O58" s="60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255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255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255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255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255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255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255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255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255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2" t="s">
        <v>230</v>
      </c>
      <c r="B68" s="103"/>
      <c r="C68" s="103"/>
      <c r="D68" s="103"/>
      <c r="E68" s="104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231</v>
      </c>
      <c r="O68" s="39">
        <v>763370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255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255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304</v>
      </c>
      <c r="O70" s="60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255</v>
      </c>
      <c r="F71" s="27">
        <v>12</v>
      </c>
      <c r="G71" s="34">
        <f t="shared" si="15"/>
        <v>50.400000000000006</v>
      </c>
      <c r="H71" s="33" t="s">
        <v>18</v>
      </c>
      <c r="I71" s="33" t="s">
        <v>126</v>
      </c>
      <c r="J71" s="33" t="s">
        <v>196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255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164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336</v>
      </c>
      <c r="O72" s="60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255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164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337</v>
      </c>
      <c r="O73" s="60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255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338</v>
      </c>
      <c r="O74" s="60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255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164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339</v>
      </c>
      <c r="O75" s="60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255</v>
      </c>
      <c r="F76" s="27">
        <v>1</v>
      </c>
      <c r="G76" s="28">
        <f t="shared" si="15"/>
        <v>4.2</v>
      </c>
      <c r="H76" s="26" t="s">
        <v>20</v>
      </c>
      <c r="I76" s="26" t="s">
        <v>149</v>
      </c>
      <c r="J76" s="26" t="s">
        <v>182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255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255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255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255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2" t="s">
        <v>232</v>
      </c>
      <c r="B81" s="103"/>
      <c r="C81" s="103"/>
      <c r="D81" s="103"/>
      <c r="E81" s="104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231</v>
      </c>
      <c r="O81" s="39">
        <v>565120</v>
      </c>
    </row>
    <row r="82" spans="1:15" ht="18" customHeight="1">
      <c r="A82" s="99" t="s">
        <v>233</v>
      </c>
      <c r="B82" s="100"/>
      <c r="C82" s="100"/>
      <c r="D82" s="100"/>
      <c r="E82" s="101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234</v>
      </c>
      <c r="O82" s="48">
        <f>IFERROR(O68+O81,"")</f>
        <v>1328490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255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340</v>
      </c>
      <c r="O83" s="60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255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255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255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255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228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228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228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228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228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228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228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2" t="s">
        <v>230</v>
      </c>
      <c r="B95" s="103"/>
      <c r="C95" s="103"/>
      <c r="D95" s="103"/>
      <c r="E95" s="104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231</v>
      </c>
      <c r="O95" s="39">
        <v>776910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255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159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255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255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198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255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255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255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255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255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255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255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255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255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2" t="s">
        <v>232</v>
      </c>
      <c r="B108" s="103"/>
      <c r="C108" s="103"/>
      <c r="D108" s="103"/>
      <c r="E108" s="104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231</v>
      </c>
      <c r="O108" s="39">
        <v>558590</v>
      </c>
    </row>
    <row r="109" spans="1:15" ht="18" customHeight="1">
      <c r="A109" s="99" t="s">
        <v>233</v>
      </c>
      <c r="B109" s="100"/>
      <c r="C109" s="100"/>
      <c r="D109" s="100"/>
      <c r="E109" s="101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234</v>
      </c>
      <c r="O109" s="48">
        <f>IFERROR(O95+O108,"")</f>
        <v>1335500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255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198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341</v>
      </c>
      <c r="O110" s="60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255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255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255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255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255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255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255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255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255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255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255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2" t="s">
        <v>230</v>
      </c>
      <c r="B122" s="103"/>
      <c r="C122" s="103"/>
      <c r="D122" s="103"/>
      <c r="E122" s="104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231</v>
      </c>
      <c r="O122" s="39">
        <v>274450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228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228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342</v>
      </c>
      <c r="O124" s="60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228</v>
      </c>
      <c r="F125" s="27">
        <v>20</v>
      </c>
      <c r="G125" s="34">
        <f t="shared" si="27"/>
        <v>100</v>
      </c>
      <c r="H125" s="33" t="s">
        <v>18</v>
      </c>
      <c r="I125" s="33" t="s">
        <v>126</v>
      </c>
      <c r="J125" s="33" t="s">
        <v>202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343</v>
      </c>
      <c r="O125" s="60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228</v>
      </c>
      <c r="F126" s="27">
        <v>23</v>
      </c>
      <c r="G126" s="28">
        <f t="shared" si="27"/>
        <v>115</v>
      </c>
      <c r="H126" s="26" t="s">
        <v>19</v>
      </c>
      <c r="I126" s="26" t="s">
        <v>159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228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191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228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3.0622685189882759E-2</v>
      </c>
      <c r="N128" s="27"/>
      <c r="O128" s="60"/>
    </row>
    <row r="129" spans="1:18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228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270</v>
      </c>
      <c r="O129" s="60"/>
    </row>
    <row r="130" spans="1:18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228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228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228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228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228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2" t="s">
        <v>232</v>
      </c>
      <c r="B135" s="103"/>
      <c r="C135" s="103"/>
      <c r="D135" s="103"/>
      <c r="E135" s="104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0.22992824074543838</v>
      </c>
      <c r="N135" s="36" t="s">
        <v>231</v>
      </c>
      <c r="O135" s="39">
        <v>729290</v>
      </c>
    </row>
    <row r="136" spans="1:18" ht="18" customHeight="1">
      <c r="A136" s="99" t="s">
        <v>233</v>
      </c>
      <c r="B136" s="100"/>
      <c r="C136" s="100"/>
      <c r="D136" s="100"/>
      <c r="E136" s="101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0.59728935185654941</v>
      </c>
      <c r="N136" s="40" t="s">
        <v>234</v>
      </c>
      <c r="O136" s="48">
        <f>IFERROR(O122+O135,"")</f>
        <v>1003740</v>
      </c>
    </row>
    <row r="137" spans="1:18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228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228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228</v>
      </c>
      <c r="F139" s="27">
        <v>28</v>
      </c>
      <c r="G139" s="34">
        <f t="shared" si="30"/>
        <v>140</v>
      </c>
      <c r="H139" s="33" t="s">
        <v>19</v>
      </c>
      <c r="I139" s="33" t="s">
        <v>159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344</v>
      </c>
      <c r="O139" s="31"/>
    </row>
    <row r="140" spans="1:18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228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272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228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228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228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228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228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228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228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228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2" t="s">
        <v>230</v>
      </c>
      <c r="B149" s="103"/>
      <c r="C149" s="103"/>
      <c r="D149" s="103"/>
      <c r="E149" s="104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231</v>
      </c>
      <c r="O149" s="39">
        <v>1058340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228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309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228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255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164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345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255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255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255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255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255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255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255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255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255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2" t="s">
        <v>232</v>
      </c>
      <c r="B162" s="103"/>
      <c r="C162" s="103"/>
      <c r="D162" s="103"/>
      <c r="E162" s="104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231</v>
      </c>
      <c r="O162" s="39">
        <v>697320</v>
      </c>
    </row>
    <row r="163" spans="1:15" ht="18" customHeight="1">
      <c r="A163" s="99" t="s">
        <v>233</v>
      </c>
      <c r="B163" s="100"/>
      <c r="C163" s="100"/>
      <c r="D163" s="100"/>
      <c r="E163" s="101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234</v>
      </c>
      <c r="O163" s="43">
        <f>IFERROR(O149+O162,"")</f>
        <v>1755660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228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255</v>
      </c>
      <c r="F165" s="27">
        <v>20</v>
      </c>
      <c r="G165" s="34">
        <f t="shared" si="36"/>
        <v>84</v>
      </c>
      <c r="H165" s="33" t="s">
        <v>20</v>
      </c>
      <c r="I165" s="33" t="s">
        <v>138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255</v>
      </c>
      <c r="F166" s="27">
        <v>10</v>
      </c>
      <c r="G166" s="28">
        <f t="shared" si="36"/>
        <v>42</v>
      </c>
      <c r="H166" s="26" t="s">
        <v>19</v>
      </c>
      <c r="I166" s="26" t="s">
        <v>138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255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255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346</v>
      </c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255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255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255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255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255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255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255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2" t="s">
        <v>230</v>
      </c>
      <c r="B176" s="103"/>
      <c r="C176" s="103"/>
      <c r="D176" s="103"/>
      <c r="E176" s="104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231</v>
      </c>
      <c r="O176" s="39">
        <v>500370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255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159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255</v>
      </c>
      <c r="F178" s="27">
        <v>16</v>
      </c>
      <c r="G178" s="28">
        <f t="shared" si="39"/>
        <v>67.2</v>
      </c>
      <c r="H178" s="26" t="s">
        <v>20</v>
      </c>
      <c r="I178" s="26" t="s">
        <v>138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255</v>
      </c>
      <c r="F179" s="27">
        <v>20</v>
      </c>
      <c r="G179" s="34">
        <f t="shared" si="39"/>
        <v>84</v>
      </c>
      <c r="H179" s="33" t="s">
        <v>20</v>
      </c>
      <c r="I179" s="33" t="s">
        <v>138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255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255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255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255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255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255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255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255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255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2" t="s">
        <v>232</v>
      </c>
      <c r="B189" s="103"/>
      <c r="C189" s="103"/>
      <c r="D189" s="103"/>
      <c r="E189" s="104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231</v>
      </c>
      <c r="O189" s="39">
        <v>973580</v>
      </c>
    </row>
    <row r="190" spans="1:15" ht="18" customHeight="1">
      <c r="A190" s="99" t="s">
        <v>233</v>
      </c>
      <c r="B190" s="100"/>
      <c r="C190" s="100"/>
      <c r="D190" s="100"/>
      <c r="E190" s="101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234</v>
      </c>
      <c r="O190" s="43">
        <f>IFERROR(O176+O189,"")</f>
        <v>1473950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255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140</v>
      </c>
      <c r="J191" s="33" t="s">
        <v>127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255</v>
      </c>
      <c r="F192" s="27">
        <v>15</v>
      </c>
      <c r="G192" s="28">
        <f t="shared" si="42"/>
        <v>63</v>
      </c>
      <c r="H192" s="26" t="s">
        <v>19</v>
      </c>
      <c r="I192" s="26" t="s">
        <v>159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255</v>
      </c>
      <c r="F193" s="27">
        <v>15</v>
      </c>
      <c r="G193" s="34">
        <f t="shared" si="42"/>
        <v>63</v>
      </c>
      <c r="H193" s="33" t="s">
        <v>18</v>
      </c>
      <c r="I193" s="33" t="s">
        <v>138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347</v>
      </c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255</v>
      </c>
      <c r="F194" s="27">
        <v>15</v>
      </c>
      <c r="G194" s="28">
        <f t="shared" si="42"/>
        <v>63</v>
      </c>
      <c r="H194" s="26" t="s">
        <v>19</v>
      </c>
      <c r="I194" s="26" t="s">
        <v>159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348</v>
      </c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255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255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255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255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255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255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255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255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2" t="s">
        <v>230</v>
      </c>
      <c r="B203" s="103"/>
      <c r="C203" s="103"/>
      <c r="D203" s="103"/>
      <c r="E203" s="104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231</v>
      </c>
      <c r="O203" s="45">
        <v>674440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255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228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255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163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349</v>
      </c>
      <c r="O206" s="60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255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255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255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255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255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255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255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255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255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2" t="s">
        <v>232</v>
      </c>
      <c r="B216" s="103"/>
      <c r="C216" s="103"/>
      <c r="D216" s="103"/>
      <c r="E216" s="104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231</v>
      </c>
      <c r="O216" s="45">
        <v>1060630</v>
      </c>
    </row>
    <row r="217" spans="1:15" ht="18" customHeight="1">
      <c r="A217" s="99" t="s">
        <v>233</v>
      </c>
      <c r="B217" s="100"/>
      <c r="C217" s="100"/>
      <c r="D217" s="100"/>
      <c r="E217" s="101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234</v>
      </c>
      <c r="O217" s="48">
        <f>IFERROR(O203+O216,"")</f>
        <v>1735070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255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350</v>
      </c>
      <c r="O218" s="60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255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255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351</v>
      </c>
      <c r="O220" s="60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255</v>
      </c>
      <c r="F221" s="27">
        <v>10</v>
      </c>
      <c r="G221" s="34">
        <f t="shared" si="48"/>
        <v>42</v>
      </c>
      <c r="H221" s="33" t="s">
        <v>20</v>
      </c>
      <c r="I221" s="33" t="s">
        <v>138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255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255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255</v>
      </c>
      <c r="F224" s="27">
        <v>30</v>
      </c>
      <c r="G224" s="28">
        <f t="shared" si="48"/>
        <v>126</v>
      </c>
      <c r="H224" s="26" t="s">
        <v>20</v>
      </c>
      <c r="I224" s="26" t="s">
        <v>138</v>
      </c>
      <c r="J224" s="26" t="s">
        <v>182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255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352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255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255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255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255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2" t="s">
        <v>230</v>
      </c>
      <c r="B230" s="103"/>
      <c r="C230" s="103"/>
      <c r="D230" s="103"/>
      <c r="E230" s="104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231</v>
      </c>
      <c r="O230" s="39">
        <v>587230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255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228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353</v>
      </c>
      <c r="O232" s="60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255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153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255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255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255</v>
      </c>
      <c r="F236" s="27">
        <v>27</v>
      </c>
      <c r="G236" s="28">
        <f t="shared" si="51"/>
        <v>113.4</v>
      </c>
      <c r="H236" s="50" t="s">
        <v>20</v>
      </c>
      <c r="I236" s="50" t="s">
        <v>138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255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255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228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255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228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255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2" t="s">
        <v>232</v>
      </c>
      <c r="B243" s="103"/>
      <c r="C243" s="103"/>
      <c r="D243" s="103"/>
      <c r="E243" s="104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231</v>
      </c>
      <c r="O243" s="39">
        <v>982340</v>
      </c>
    </row>
    <row r="244" spans="1:15" ht="18" customHeight="1">
      <c r="A244" s="99" t="s">
        <v>233</v>
      </c>
      <c r="B244" s="100"/>
      <c r="C244" s="100"/>
      <c r="D244" s="100"/>
      <c r="E244" s="101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234</v>
      </c>
      <c r="O244" s="48">
        <f>IFERROR(O230+O243,"")</f>
        <v>1569570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255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159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354</v>
      </c>
      <c r="O245" s="60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255</v>
      </c>
      <c r="F246" s="27">
        <v>20</v>
      </c>
      <c r="G246" s="34">
        <f t="shared" si="54"/>
        <v>84</v>
      </c>
      <c r="H246" s="33" t="s">
        <v>18</v>
      </c>
      <c r="I246" s="26" t="s">
        <v>137</v>
      </c>
      <c r="J246" s="33" t="s">
        <v>205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255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255</v>
      </c>
      <c r="F248" s="27">
        <v>5</v>
      </c>
      <c r="G248" s="34">
        <f t="shared" si="54"/>
        <v>21</v>
      </c>
      <c r="H248" s="26" t="s">
        <v>20</v>
      </c>
      <c r="I248" s="26" t="s">
        <v>154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255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255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255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255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255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255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255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255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2" t="s">
        <v>230</v>
      </c>
      <c r="B257" s="103"/>
      <c r="C257" s="103"/>
      <c r="D257" s="103"/>
      <c r="E257" s="104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231</v>
      </c>
      <c r="O257" s="39">
        <v>874480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255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154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255</v>
      </c>
      <c r="F259" s="27">
        <v>19</v>
      </c>
      <c r="G259" s="28">
        <f t="shared" si="57"/>
        <v>79.8</v>
      </c>
      <c r="H259" s="50" t="s">
        <v>19</v>
      </c>
      <c r="I259" s="50" t="s">
        <v>159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255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255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255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255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255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255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255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255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255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255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2" t="s">
        <v>232</v>
      </c>
      <c r="B270" s="103"/>
      <c r="C270" s="103"/>
      <c r="D270" s="103"/>
      <c r="E270" s="104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231</v>
      </c>
      <c r="O270" s="39">
        <v>1208450</v>
      </c>
    </row>
    <row r="271" spans="1:15" ht="18" customHeight="1">
      <c r="A271" s="99" t="s">
        <v>233</v>
      </c>
      <c r="B271" s="100"/>
      <c r="C271" s="100"/>
      <c r="D271" s="100"/>
      <c r="E271" s="101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234</v>
      </c>
      <c r="O271" s="48">
        <f>IFERROR(O257+O270,"")</f>
        <v>2082930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255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159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255</v>
      </c>
      <c r="F273" s="27">
        <v>25</v>
      </c>
      <c r="G273" s="34">
        <f t="shared" si="60"/>
        <v>105</v>
      </c>
      <c r="H273" s="33" t="s">
        <v>20</v>
      </c>
      <c r="I273" s="33" t="s">
        <v>154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255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159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255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255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255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255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255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255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255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255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255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2" t="s">
        <v>230</v>
      </c>
      <c r="B284" s="103"/>
      <c r="C284" s="103"/>
      <c r="D284" s="103"/>
      <c r="E284" s="104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231</v>
      </c>
      <c r="O284" s="39">
        <v>787000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255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255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255</v>
      </c>
      <c r="F287" s="27">
        <v>40</v>
      </c>
      <c r="G287" s="34">
        <f t="shared" si="63"/>
        <v>168</v>
      </c>
      <c r="H287" s="33" t="s">
        <v>20</v>
      </c>
      <c r="I287" s="33" t="s">
        <v>154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255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228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255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255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255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255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255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255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255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2" t="s">
        <v>232</v>
      </c>
      <c r="B297" s="103"/>
      <c r="C297" s="103"/>
      <c r="D297" s="103"/>
      <c r="E297" s="104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231</v>
      </c>
      <c r="O297" s="39">
        <v>1049090</v>
      </c>
    </row>
    <row r="298" spans="1:15" ht="18" customHeight="1">
      <c r="A298" s="99" t="s">
        <v>233</v>
      </c>
      <c r="B298" s="100"/>
      <c r="C298" s="100"/>
      <c r="D298" s="100"/>
      <c r="E298" s="101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234</v>
      </c>
      <c r="O298" s="48">
        <f>IFERROR(O284+O297,"")</f>
        <v>1836090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255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355</v>
      </c>
      <c r="O299" s="60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255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207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255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208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255</v>
      </c>
      <c r="F302" s="27">
        <v>0</v>
      </c>
      <c r="G302" s="28">
        <f t="shared" si="66"/>
        <v>0</v>
      </c>
      <c r="H302" s="26" t="s">
        <v>18</v>
      </c>
      <c r="I302" s="26" t="s">
        <v>137</v>
      </c>
      <c r="J302" s="26" t="s">
        <v>127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255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255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255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255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255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255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255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255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2" t="s">
        <v>230</v>
      </c>
      <c r="B311" s="103"/>
      <c r="C311" s="103"/>
      <c r="D311" s="103"/>
      <c r="E311" s="104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231</v>
      </c>
      <c r="O311" s="39">
        <v>145580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228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137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255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169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255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255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255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255</v>
      </c>
      <c r="F317" s="27">
        <v>20</v>
      </c>
      <c r="G317" s="34">
        <f t="shared" si="69"/>
        <v>84</v>
      </c>
      <c r="H317" s="33" t="s">
        <v>20</v>
      </c>
      <c r="I317" s="33" t="s">
        <v>129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255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267</v>
      </c>
      <c r="O318" s="60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255</v>
      </c>
      <c r="F319" s="27">
        <v>26</v>
      </c>
      <c r="G319" s="34">
        <f t="shared" si="69"/>
        <v>109.2</v>
      </c>
      <c r="H319" s="33" t="s">
        <v>20</v>
      </c>
      <c r="I319" s="33" t="s">
        <v>154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255</v>
      </c>
      <c r="F320" s="27">
        <v>30</v>
      </c>
      <c r="G320" s="28">
        <f t="shared" si="69"/>
        <v>126</v>
      </c>
      <c r="H320" s="26" t="s">
        <v>19</v>
      </c>
      <c r="I320" s="26" t="s">
        <v>159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255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255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228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2" t="s">
        <v>232</v>
      </c>
      <c r="B324" s="103"/>
      <c r="C324" s="103"/>
      <c r="D324" s="103"/>
      <c r="E324" s="104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231</v>
      </c>
      <c r="O324" s="39">
        <v>1063720</v>
      </c>
    </row>
    <row r="325" spans="1:15" ht="18" customHeight="1">
      <c r="A325" s="99" t="s">
        <v>233</v>
      </c>
      <c r="B325" s="100"/>
      <c r="C325" s="100"/>
      <c r="D325" s="100"/>
      <c r="E325" s="101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234</v>
      </c>
      <c r="O325" s="48">
        <f>IFERROR(O311+O324,"")</f>
        <v>1209300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7" t="s">
        <v>255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69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255</v>
      </c>
      <c r="F327" s="27">
        <v>20</v>
      </c>
      <c r="G327" s="34">
        <v>84</v>
      </c>
      <c r="H327" s="33" t="s">
        <v>18</v>
      </c>
      <c r="I327" s="33" t="s">
        <v>159</v>
      </c>
      <c r="J327" s="33" t="s">
        <v>118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295</v>
      </c>
      <c r="O327" s="60"/>
    </row>
    <row r="328" spans="1:15" ht="15" customHeight="1">
      <c r="A328" s="68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255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129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69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255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228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255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255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255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255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255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255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255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2" t="s">
        <v>230</v>
      </c>
      <c r="B338" s="103"/>
      <c r="C338" s="103"/>
      <c r="D338" s="103"/>
      <c r="E338" s="104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231</v>
      </c>
      <c r="O338" s="39">
        <v>780000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255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255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255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255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255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255</v>
      </c>
      <c r="F344" s="27">
        <v>20</v>
      </c>
      <c r="G344" s="28">
        <f t="shared" si="75"/>
        <v>84</v>
      </c>
      <c r="H344" s="26" t="s">
        <v>20</v>
      </c>
      <c r="I344" s="26" t="s">
        <v>154</v>
      </c>
      <c r="J344" s="26" t="s">
        <v>74</v>
      </c>
      <c r="K344" s="29" t="s">
        <v>356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255</v>
      </c>
      <c r="F345" s="27">
        <v>5</v>
      </c>
      <c r="G345" s="34">
        <f t="shared" si="75"/>
        <v>21</v>
      </c>
      <c r="H345" s="33" t="s">
        <v>20</v>
      </c>
      <c r="I345" s="33" t="s">
        <v>154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255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255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357</v>
      </c>
      <c r="O347" s="60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255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255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255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2" t="s">
        <v>232</v>
      </c>
      <c r="B351" s="103"/>
      <c r="C351" s="103"/>
      <c r="D351" s="103"/>
      <c r="E351" s="104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231</v>
      </c>
      <c r="O351" s="39">
        <v>696140</v>
      </c>
    </row>
    <row r="352" spans="1:15" ht="18" customHeight="1">
      <c r="A352" s="99" t="s">
        <v>233</v>
      </c>
      <c r="B352" s="100"/>
      <c r="C352" s="100"/>
      <c r="D352" s="100"/>
      <c r="E352" s="101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234</v>
      </c>
      <c r="O352" s="48">
        <f>IFERROR(O338+O351,"")</f>
        <v>1476140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255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255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255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309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255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255</v>
      </c>
      <c r="F357" s="27">
        <v>10</v>
      </c>
      <c r="G357" s="34">
        <f t="shared" si="78"/>
        <v>42</v>
      </c>
      <c r="H357" s="33" t="s">
        <v>18</v>
      </c>
      <c r="I357" s="33" t="s">
        <v>137</v>
      </c>
      <c r="J357" s="33" t="s">
        <v>127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255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255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255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255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255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255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255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230</v>
      </c>
      <c r="B365" s="88"/>
      <c r="C365" s="88"/>
      <c r="D365" s="88"/>
      <c r="E365" s="89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231</v>
      </c>
      <c r="O365" s="39">
        <v>597930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46</v>
      </c>
      <c r="E366" s="59" t="s">
        <v>255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255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255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358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255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255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255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255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255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255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255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118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255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255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102" t="s">
        <v>232</v>
      </c>
      <c r="B378" s="103"/>
      <c r="C378" s="103"/>
      <c r="D378" s="103"/>
      <c r="E378" s="104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231</v>
      </c>
      <c r="O378" s="39">
        <v>704750</v>
      </c>
    </row>
    <row r="379" spans="1:15" ht="18" customHeight="1">
      <c r="A379" s="99" t="s">
        <v>233</v>
      </c>
      <c r="B379" s="100"/>
      <c r="C379" s="100"/>
      <c r="D379" s="100"/>
      <c r="E379" s="101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234</v>
      </c>
      <c r="O379" s="48">
        <f>IFERROR(O365+O378,"")</f>
        <v>1302680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255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359</v>
      </c>
      <c r="O380" s="60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255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255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346</v>
      </c>
      <c r="O382" s="60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255</v>
      </c>
      <c r="F383" s="27">
        <v>0</v>
      </c>
      <c r="G383" s="34">
        <f t="shared" si="84"/>
        <v>0</v>
      </c>
      <c r="H383" s="33" t="s">
        <v>18</v>
      </c>
      <c r="I383" s="33" t="s">
        <v>137</v>
      </c>
      <c r="J383" s="33" t="s">
        <v>127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255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255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255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255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255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255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255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255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2" t="s">
        <v>230</v>
      </c>
      <c r="B392" s="103"/>
      <c r="C392" s="103"/>
      <c r="D392" s="103"/>
      <c r="E392" s="104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231</v>
      </c>
      <c r="O392" s="39">
        <v>565570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228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159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255</v>
      </c>
      <c r="F394" s="27">
        <v>10</v>
      </c>
      <c r="G394" s="28">
        <f t="shared" si="87"/>
        <v>42</v>
      </c>
      <c r="H394" s="26" t="s">
        <v>20</v>
      </c>
      <c r="I394" s="26" t="s">
        <v>137</v>
      </c>
      <c r="J394" s="26" t="s">
        <v>180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360</v>
      </c>
      <c r="O394" s="60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255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255</v>
      </c>
      <c r="F396" s="27">
        <v>21</v>
      </c>
      <c r="G396" s="28">
        <f t="shared" si="87"/>
        <v>88.2</v>
      </c>
      <c r="H396" s="26" t="s">
        <v>16</v>
      </c>
      <c r="I396" s="26" t="s">
        <v>159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255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255</v>
      </c>
      <c r="F398" s="27">
        <v>15</v>
      </c>
      <c r="G398" s="28">
        <f t="shared" si="87"/>
        <v>63</v>
      </c>
      <c r="H398" s="26" t="s">
        <v>19</v>
      </c>
      <c r="I398" s="26" t="s">
        <v>159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361</v>
      </c>
      <c r="O398" s="60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255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255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255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255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255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255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2" t="s">
        <v>232</v>
      </c>
      <c r="B405" s="103"/>
      <c r="C405" s="103"/>
      <c r="D405" s="103"/>
      <c r="E405" s="104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231</v>
      </c>
      <c r="O405" s="39">
        <v>958130</v>
      </c>
    </row>
    <row r="406" spans="1:15" ht="18" customHeight="1">
      <c r="A406" s="99" t="s">
        <v>233</v>
      </c>
      <c r="B406" s="100"/>
      <c r="C406" s="100"/>
      <c r="D406" s="100"/>
      <c r="E406" s="101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234</v>
      </c>
      <c r="O406" s="48">
        <f>IFERROR(O392+O405,"")</f>
        <v>1523700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255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255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118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255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255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137</v>
      </c>
      <c r="J410" s="26" t="s">
        <v>127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255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255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255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255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228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255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255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228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2" t="s">
        <v>230</v>
      </c>
      <c r="B419" s="103"/>
      <c r="C419" s="103"/>
      <c r="D419" s="103"/>
      <c r="E419" s="104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231</v>
      </c>
      <c r="O419" s="39">
        <v>491520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255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165</v>
      </c>
      <c r="J420" s="26" t="s">
        <v>211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255</v>
      </c>
      <c r="F421" s="27">
        <v>0</v>
      </c>
      <c r="G421" s="34">
        <f t="shared" si="93"/>
        <v>0</v>
      </c>
      <c r="H421" s="33" t="s">
        <v>20</v>
      </c>
      <c r="I421" s="33" t="s">
        <v>154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255</v>
      </c>
      <c r="F422" s="27">
        <v>0</v>
      </c>
      <c r="G422" s="28">
        <f t="shared" si="93"/>
        <v>0</v>
      </c>
      <c r="H422" s="26" t="s">
        <v>20</v>
      </c>
      <c r="I422" s="26" t="s">
        <v>138</v>
      </c>
      <c r="J422" s="26" t="s">
        <v>179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255</v>
      </c>
      <c r="F423" s="27">
        <v>0</v>
      </c>
      <c r="G423" s="34">
        <f t="shared" si="93"/>
        <v>0</v>
      </c>
      <c r="H423" s="33" t="s">
        <v>20</v>
      </c>
      <c r="I423" s="33" t="s">
        <v>154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255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255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362</v>
      </c>
      <c r="O425" s="60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255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163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255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255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255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255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255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2" t="s">
        <v>232</v>
      </c>
      <c r="B432" s="103"/>
      <c r="C432" s="103"/>
      <c r="D432" s="103"/>
      <c r="E432" s="104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231</v>
      </c>
      <c r="O432" s="39">
        <v>605220</v>
      </c>
    </row>
    <row r="433" spans="1:17" ht="18" customHeight="1">
      <c r="A433" s="99" t="s">
        <v>233</v>
      </c>
      <c r="B433" s="100"/>
      <c r="C433" s="100"/>
      <c r="D433" s="100"/>
      <c r="E433" s="101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234</v>
      </c>
      <c r="O433" s="48">
        <f>IFERROR(O419+O432,"")</f>
        <v>1096740</v>
      </c>
    </row>
    <row r="434" spans="1:17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255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212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255</v>
      </c>
      <c r="F435" s="27">
        <v>6</v>
      </c>
      <c r="G435" s="28">
        <f t="shared" si="96"/>
        <v>25.200000000000003</v>
      </c>
      <c r="H435" s="33" t="s">
        <v>19</v>
      </c>
      <c r="I435" s="33" t="s">
        <v>159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255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137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255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255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255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255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255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255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255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255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255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2" t="s">
        <v>230</v>
      </c>
      <c r="B446" s="103"/>
      <c r="C446" s="103"/>
      <c r="D446" s="103"/>
      <c r="E446" s="104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231</v>
      </c>
      <c r="O446" s="39">
        <v>878370</v>
      </c>
    </row>
    <row r="447" spans="1:17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228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228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228</v>
      </c>
      <c r="F449" s="27">
        <v>6</v>
      </c>
      <c r="G449" s="34">
        <f t="shared" si="99"/>
        <v>30</v>
      </c>
      <c r="H449" s="33" t="s">
        <v>18</v>
      </c>
      <c r="I449" s="33" t="s">
        <v>137</v>
      </c>
      <c r="J449" s="33" t="s">
        <v>127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363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228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228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228</v>
      </c>
      <c r="F453" s="27">
        <v>3</v>
      </c>
      <c r="G453" s="34">
        <f t="shared" si="99"/>
        <v>15</v>
      </c>
      <c r="H453" s="33" t="s">
        <v>20</v>
      </c>
      <c r="I453" s="33" t="s">
        <v>149</v>
      </c>
      <c r="J453" s="33" t="s">
        <v>179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228</v>
      </c>
      <c r="F454" s="27">
        <v>12</v>
      </c>
      <c r="G454" s="28">
        <f t="shared" si="99"/>
        <v>60</v>
      </c>
      <c r="H454" s="26" t="s">
        <v>18</v>
      </c>
      <c r="I454" s="26" t="s">
        <v>137</v>
      </c>
      <c r="J454" s="26" t="s">
        <v>127</v>
      </c>
      <c r="K454" s="29">
        <v>0.22222222222222221</v>
      </c>
      <c r="L454" s="29">
        <v>0.24444444444444444</v>
      </c>
      <c r="M454" s="30">
        <f t="shared" ca="1" si="100"/>
        <v>2.2222222222222227E-2</v>
      </c>
      <c r="N454" s="27"/>
      <c r="O454" s="60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228</v>
      </c>
      <c r="F455" s="27">
        <v>19</v>
      </c>
      <c r="G455" s="34">
        <f t="shared" si="99"/>
        <v>95</v>
      </c>
      <c r="H455" s="33" t="s">
        <v>18</v>
      </c>
      <c r="I455" s="33"/>
      <c r="J455" s="33" t="s">
        <v>215</v>
      </c>
      <c r="K455" s="29">
        <v>0.25833333333333336</v>
      </c>
      <c r="L455" s="29">
        <v>0.28402777777777777</v>
      </c>
      <c r="M455" s="35">
        <f t="shared" ca="1" si="100"/>
        <v>2.5694444444444409E-2</v>
      </c>
      <c r="N455" s="27"/>
      <c r="O455" s="60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228</v>
      </c>
      <c r="F456" s="27">
        <v>18</v>
      </c>
      <c r="G456" s="28">
        <f t="shared" si="99"/>
        <v>90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228</v>
      </c>
      <c r="F457" s="27">
        <v>12</v>
      </c>
      <c r="G457" s="34">
        <f t="shared" si="99"/>
        <v>60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228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2" t="s">
        <v>232</v>
      </c>
      <c r="B459" s="103"/>
      <c r="C459" s="103"/>
      <c r="D459" s="103"/>
      <c r="E459" s="104">
        <f>SUM(E447:E458)</f>
        <v>0</v>
      </c>
      <c r="F459" s="36">
        <f>SUM(F447:F458)</f>
        <v>113</v>
      </c>
      <c r="G459" s="36">
        <f>SUM(G447:G458)</f>
        <v>554</v>
      </c>
      <c r="H459" s="37"/>
      <c r="I459" s="37"/>
      <c r="J459" s="37"/>
      <c r="K459" s="61"/>
      <c r="L459" s="61"/>
      <c r="M459" s="38">
        <f ca="1">IFERROR(SUM(M447:M458),"")</f>
        <v>0.19166666666666674</v>
      </c>
      <c r="N459" s="36" t="s">
        <v>231</v>
      </c>
      <c r="O459" s="39">
        <v>615330</v>
      </c>
    </row>
    <row r="460" spans="1:15" ht="18" customHeight="1">
      <c r="A460" s="99" t="s">
        <v>233</v>
      </c>
      <c r="B460" s="100"/>
      <c r="C460" s="100"/>
      <c r="D460" s="100"/>
      <c r="E460" s="101">
        <f>E446+E459</f>
        <v>0</v>
      </c>
      <c r="F460" s="40">
        <f>F446+F459</f>
        <v>308</v>
      </c>
      <c r="G460" s="40">
        <f>G446+G459</f>
        <v>1373</v>
      </c>
      <c r="H460" s="41"/>
      <c r="I460" s="41"/>
      <c r="J460" s="41"/>
      <c r="K460" s="63"/>
      <c r="L460" s="63"/>
      <c r="M460" s="42">
        <f ca="1">IFERROR(M446+M459,"")</f>
        <v>0.24236111111111133</v>
      </c>
      <c r="N460" s="40" t="s">
        <v>234</v>
      </c>
      <c r="O460" s="48">
        <f>IFERROR(O446+O459,"")</f>
        <v>1493700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228</v>
      </c>
      <c r="F461" s="27">
        <v>5</v>
      </c>
      <c r="G461" s="34">
        <f t="shared" ref="G461:G472" si="102">IF(F461="","",IF(E461="PC 17",F461*4.2,IF(E461="PC 19",F461*5,"")))</f>
        <v>25</v>
      </c>
      <c r="H461" s="33" t="s">
        <v>18</v>
      </c>
      <c r="I461" s="33" t="s">
        <v>57</v>
      </c>
      <c r="J461" s="33" t="s">
        <v>127</v>
      </c>
      <c r="K461" s="29">
        <v>0.3263888888888889</v>
      </c>
      <c r="L461" s="29">
        <v>0.40277777777777779</v>
      </c>
      <c r="M461" s="35">
        <f t="shared" ref="M461:M472" ca="1" si="103">IFERROR(IF(K461="","",IF(L461="",MOD(NOW()-K461,1),IF(L461&gt;=K461,L461-K461,L461+1-K461))),"")</f>
        <v>7.6388888888888895E-2</v>
      </c>
      <c r="N461" s="27" t="s">
        <v>364</v>
      </c>
      <c r="O461" s="60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228</v>
      </c>
      <c r="F462" s="27">
        <v>0</v>
      </c>
      <c r="G462" s="28">
        <f t="shared" si="102"/>
        <v>0</v>
      </c>
      <c r="H462" s="26" t="s">
        <v>20</v>
      </c>
      <c r="I462" s="26" t="s">
        <v>52</v>
      </c>
      <c r="J462" s="26" t="s">
        <v>56</v>
      </c>
      <c r="K462" s="29">
        <v>0.47222222222222221</v>
      </c>
      <c r="L462" s="29">
        <v>0.4861111111111111</v>
      </c>
      <c r="M462" s="30">
        <f t="shared" ca="1" si="103"/>
        <v>1.3888888888888895E-2</v>
      </c>
      <c r="N462" s="27" t="s">
        <v>365</v>
      </c>
      <c r="O462" s="60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228</v>
      </c>
      <c r="F463" s="27">
        <v>4</v>
      </c>
      <c r="G463" s="34">
        <f t="shared" si="102"/>
        <v>20</v>
      </c>
      <c r="H463" s="33" t="s">
        <v>20</v>
      </c>
      <c r="I463" s="33" t="s">
        <v>138</v>
      </c>
      <c r="J463" s="33" t="s">
        <v>74</v>
      </c>
      <c r="K463" s="29">
        <v>0.57986111111111116</v>
      </c>
      <c r="L463" s="29">
        <v>0.60069444444444442</v>
      </c>
      <c r="M463" s="35">
        <f t="shared" ca="1" si="103"/>
        <v>2.0833333333333259E-2</v>
      </c>
      <c r="N463" s="27"/>
      <c r="O463" s="60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228</v>
      </c>
      <c r="F464" s="27">
        <v>20</v>
      </c>
      <c r="G464" s="28">
        <f t="shared" si="102"/>
        <v>100</v>
      </c>
      <c r="H464" s="26" t="s">
        <v>18</v>
      </c>
      <c r="I464" s="26" t="s">
        <v>138</v>
      </c>
      <c r="J464" s="26" t="s">
        <v>100</v>
      </c>
      <c r="K464" s="29">
        <v>0.60069444444444442</v>
      </c>
      <c r="L464" s="29">
        <v>0.60763888888888884</v>
      </c>
      <c r="M464" s="30">
        <f t="shared" ca="1" si="103"/>
        <v>6.9444444444444198E-3</v>
      </c>
      <c r="N464" s="27"/>
      <c r="O464" s="60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228</v>
      </c>
      <c r="F465" s="27">
        <v>4</v>
      </c>
      <c r="G465" s="34">
        <f t="shared" si="102"/>
        <v>20</v>
      </c>
      <c r="H465" s="33" t="s">
        <v>20</v>
      </c>
      <c r="I465" s="33" t="s">
        <v>57</v>
      </c>
      <c r="J465" s="33" t="s">
        <v>164</v>
      </c>
      <c r="K465" s="29">
        <v>0.64930555555555558</v>
      </c>
      <c r="L465" s="29">
        <v>0.67222222222222228</v>
      </c>
      <c r="M465" s="35">
        <f t="shared" ca="1" si="103"/>
        <v>2.2916666666666696E-2</v>
      </c>
      <c r="N465" s="27" t="s">
        <v>339</v>
      </c>
      <c r="O465" s="60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228</v>
      </c>
      <c r="F466" s="27">
        <v>21</v>
      </c>
      <c r="G466" s="28">
        <f t="shared" si="102"/>
        <v>105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228</v>
      </c>
      <c r="F467" s="27">
        <v>9</v>
      </c>
      <c r="G467" s="34">
        <f t="shared" si="102"/>
        <v>45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228</v>
      </c>
      <c r="F468" s="27">
        <v>12</v>
      </c>
      <c r="G468" s="28">
        <f t="shared" si="102"/>
        <v>60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228</v>
      </c>
      <c r="F469" s="27">
        <v>10</v>
      </c>
      <c r="G469" s="34">
        <f t="shared" si="102"/>
        <v>50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228</v>
      </c>
      <c r="F470" s="27">
        <v>16</v>
      </c>
      <c r="G470" s="28">
        <f t="shared" si="102"/>
        <v>80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228</v>
      </c>
      <c r="F471" s="27">
        <v>10</v>
      </c>
      <c r="G471" s="34">
        <f t="shared" si="102"/>
        <v>50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228</v>
      </c>
      <c r="F472" s="27">
        <v>4</v>
      </c>
      <c r="G472" s="28">
        <f t="shared" si="102"/>
        <v>20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2" t="s">
        <v>230</v>
      </c>
      <c r="B473" s="103"/>
      <c r="C473" s="103"/>
      <c r="D473" s="103"/>
      <c r="E473" s="104">
        <f>SUM(E461:E472)</f>
        <v>0</v>
      </c>
      <c r="F473" s="36">
        <f>SUM(F461:F472)</f>
        <v>115</v>
      </c>
      <c r="G473" s="36">
        <f>SUM(G461:G472)</f>
        <v>575</v>
      </c>
      <c r="H473" s="37"/>
      <c r="I473" s="37"/>
      <c r="J473" s="37"/>
      <c r="K473" s="61"/>
      <c r="L473" s="61"/>
      <c r="M473" s="38">
        <f ca="1">IFERROR(SUM(M461:M472),"")</f>
        <v>0.14097222222222217</v>
      </c>
      <c r="N473" s="36" t="s">
        <v>231</v>
      </c>
      <c r="O473" s="39">
        <v>774200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228</v>
      </c>
      <c r="F474" s="27">
        <v>20</v>
      </c>
      <c r="G474" s="28">
        <f t="shared" ref="G474:G485" si="105">IF(F474="","",IF(E474="PC 17",F474*4.2,IF(E474="PC 19",F474*5,"")))</f>
        <v>100</v>
      </c>
      <c r="H474" s="26" t="s">
        <v>19</v>
      </c>
      <c r="I474" s="26" t="s">
        <v>159</v>
      </c>
      <c r="J474" s="26" t="s">
        <v>27</v>
      </c>
      <c r="K474" s="29">
        <v>0.17847222222222223</v>
      </c>
      <c r="L474" s="29">
        <v>0.19444444444444445</v>
      </c>
      <c r="M474" s="30">
        <f t="shared" ref="M474:M485" ca="1" si="106">IFERROR(IF(K474="","",IF(L474="",MOD(NOW()-K474,1),IF(L474&gt;=K474,L474-K474,L474+1-K474))),"")</f>
        <v>1.5972222222222221E-2</v>
      </c>
      <c r="N474" s="27"/>
      <c r="O474" s="60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228</v>
      </c>
      <c r="F475" s="27">
        <v>18</v>
      </c>
      <c r="G475" s="34">
        <f t="shared" si="105"/>
        <v>90</v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228</v>
      </c>
      <c r="F476" s="27">
        <v>10</v>
      </c>
      <c r="G476" s="28">
        <f t="shared" si="105"/>
        <v>50</v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228</v>
      </c>
      <c r="F477" s="27">
        <v>10</v>
      </c>
      <c r="G477" s="34">
        <f t="shared" si="105"/>
        <v>50</v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228</v>
      </c>
      <c r="F478" s="27">
        <v>15</v>
      </c>
      <c r="G478" s="28">
        <f t="shared" si="105"/>
        <v>75</v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228</v>
      </c>
      <c r="F479" s="27">
        <v>13</v>
      </c>
      <c r="G479" s="34">
        <f t="shared" si="105"/>
        <v>65</v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228</v>
      </c>
      <c r="F480" s="27">
        <v>15</v>
      </c>
      <c r="G480" s="28">
        <f t="shared" si="105"/>
        <v>75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228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228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228</v>
      </c>
      <c r="F483" s="27">
        <v>0</v>
      </c>
      <c r="G483" s="34">
        <f t="shared" si="105"/>
        <v>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228</v>
      </c>
      <c r="F484" s="27">
        <v>15</v>
      </c>
      <c r="G484" s="28">
        <f t="shared" si="105"/>
        <v>75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228</v>
      </c>
      <c r="F485" s="27">
        <v>8</v>
      </c>
      <c r="G485" s="34">
        <f t="shared" si="105"/>
        <v>40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2" t="s">
        <v>232</v>
      </c>
      <c r="B486" s="103"/>
      <c r="C486" s="103"/>
      <c r="D486" s="103"/>
      <c r="E486" s="104">
        <f>SUM(E474:E485)</f>
        <v>0</v>
      </c>
      <c r="F486" s="36">
        <f>SUM(F474:F485)</f>
        <v>147</v>
      </c>
      <c r="G486" s="36">
        <f>SUM(G474:G485)</f>
        <v>735</v>
      </c>
      <c r="H486" s="37"/>
      <c r="I486" s="37"/>
      <c r="J486" s="37"/>
      <c r="K486" s="61"/>
      <c r="L486" s="61"/>
      <c r="M486" s="38">
        <f ca="1">IFERROR(SUM(M474:M485),"")</f>
        <v>1.5972222222222221E-2</v>
      </c>
      <c r="N486" s="36" t="s">
        <v>231</v>
      </c>
      <c r="O486" s="39">
        <v>1120830</v>
      </c>
    </row>
    <row r="487" spans="1:15" ht="18" customHeight="1">
      <c r="A487" s="99" t="s">
        <v>233</v>
      </c>
      <c r="B487" s="100"/>
      <c r="C487" s="100"/>
      <c r="D487" s="100"/>
      <c r="E487" s="101">
        <f>E473+E486</f>
        <v>0</v>
      </c>
      <c r="F487" s="40">
        <f>F473+F486</f>
        <v>262</v>
      </c>
      <c r="G487" s="40">
        <f>G473+G486</f>
        <v>1310</v>
      </c>
      <c r="H487" s="41"/>
      <c r="I487" s="41"/>
      <c r="J487" s="41"/>
      <c r="K487" s="63"/>
      <c r="L487" s="63"/>
      <c r="M487" s="42">
        <f ca="1">IFERROR(M473+M486,"")</f>
        <v>0.15694444444444439</v>
      </c>
      <c r="N487" s="40" t="s">
        <v>234</v>
      </c>
      <c r="O487" s="48">
        <f>IFERROR(O473+O486,"")</f>
        <v>1895030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228</v>
      </c>
      <c r="F488" s="27">
        <v>10</v>
      </c>
      <c r="G488" s="28">
        <f t="shared" ref="G488:G499" si="108">IF(F488="","",IF(E488="PC 17",F488*4.2,IF(E488="PC 19",F488*5,"")))</f>
        <v>50</v>
      </c>
      <c r="H488" s="26" t="s">
        <v>20</v>
      </c>
      <c r="I488" s="26" t="s">
        <v>57</v>
      </c>
      <c r="J488" s="26" t="s">
        <v>62</v>
      </c>
      <c r="K488" s="29">
        <v>0.40625</v>
      </c>
      <c r="L488" s="29">
        <v>0.40833333333333333</v>
      </c>
      <c r="M488" s="30">
        <f ca="1">IFERROR(IF(K488="","",IF(L488="",MOD(NOW()-K488,1),IF(L488&gt;=K488,L488-K488,L488+1-K488))),"")</f>
        <v>2.0833333333333259E-3</v>
      </c>
      <c r="N488" s="27"/>
      <c r="O488" s="60"/>
    </row>
    <row r="489" spans="1:15" ht="15" customHeight="1">
      <c r="A489" s="69">
        <v>46222</v>
      </c>
      <c r="B489" s="32">
        <f t="shared" ref="B489:B499" si="109">B488+TIME(0,60,0)</f>
        <v>0.37499999999999967</v>
      </c>
      <c r="C489" s="26" t="s">
        <v>21</v>
      </c>
      <c r="D489" s="59" t="s">
        <v>30</v>
      </c>
      <c r="E489" s="59" t="s">
        <v>228</v>
      </c>
      <c r="F489" s="27">
        <v>15</v>
      </c>
      <c r="G489" s="34">
        <f t="shared" si="108"/>
        <v>75</v>
      </c>
      <c r="H489" s="33" t="s">
        <v>20</v>
      </c>
      <c r="I489" s="33" t="s">
        <v>57</v>
      </c>
      <c r="J489" s="33" t="s">
        <v>164</v>
      </c>
      <c r="K489" s="29">
        <v>0.44236111111111109</v>
      </c>
      <c r="L489" s="29">
        <v>0.45833333333333331</v>
      </c>
      <c r="M489" s="35">
        <f ca="1">IFERROR(IF(K489="","",IF(L489="",MOD(NOW()-K489,1),IF(L489&gt;=K489,L489-K489,L489+1-K489))),"")</f>
        <v>1.5972222222222221E-2</v>
      </c>
      <c r="N489" s="27" t="s">
        <v>339</v>
      </c>
      <c r="O489" s="60"/>
    </row>
    <row r="490" spans="1:15" ht="15" customHeight="1">
      <c r="A490" s="68">
        <v>46222</v>
      </c>
      <c r="B490" s="25">
        <f t="shared" si="109"/>
        <v>0.41666666666666635</v>
      </c>
      <c r="C490" s="26" t="s">
        <v>21</v>
      </c>
      <c r="D490" s="59" t="s">
        <v>30</v>
      </c>
      <c r="E490" s="59" t="s">
        <v>228</v>
      </c>
      <c r="F490" s="27">
        <v>17</v>
      </c>
      <c r="G490" s="28">
        <f t="shared" si="108"/>
        <v>85</v>
      </c>
      <c r="H490" s="26" t="s">
        <v>20</v>
      </c>
      <c r="I490" s="26" t="s">
        <v>57</v>
      </c>
      <c r="J490" s="26" t="s">
        <v>51</v>
      </c>
      <c r="K490" s="29">
        <v>0.48055555555555557</v>
      </c>
      <c r="L490" s="29">
        <v>0.48402777777777778</v>
      </c>
      <c r="M490" s="30">
        <f ca="1">IFERROR(IF(K490="","",IF(L490="",MOD(NOW()-K490,1),IF(L490&gt;=K490,L490-K490,L490+1-K490))),"")</f>
        <v>3.4722222222222099E-3</v>
      </c>
      <c r="N490" s="27"/>
      <c r="O490" s="60"/>
    </row>
    <row r="491" spans="1:15" ht="15" customHeight="1">
      <c r="A491" s="69">
        <v>46222</v>
      </c>
      <c r="B491" s="32">
        <f t="shared" si="109"/>
        <v>0.45833333333333304</v>
      </c>
      <c r="C491" s="26" t="s">
        <v>21</v>
      </c>
      <c r="D491" s="59" t="s">
        <v>30</v>
      </c>
      <c r="E491" s="59" t="s">
        <v>228</v>
      </c>
      <c r="F491" s="27">
        <v>12</v>
      </c>
      <c r="G491" s="34">
        <f t="shared" si="108"/>
        <v>60</v>
      </c>
      <c r="H491" s="33" t="s">
        <v>20</v>
      </c>
      <c r="I491" s="33" t="s">
        <v>52</v>
      </c>
      <c r="J491" s="33" t="s">
        <v>51</v>
      </c>
      <c r="K491" s="29">
        <v>0.61111111111111116</v>
      </c>
      <c r="L491" s="29">
        <v>0.63888888888888884</v>
      </c>
      <c r="M491" s="35">
        <f ca="1">IFERROR(IF(K491="","",IF(L491="",MOD(NOW()-K491,1),IF(L491&gt;=K491,L491-K491,L491+1-K491))),"")</f>
        <v>2.7777777777777679E-2</v>
      </c>
      <c r="N491" s="27"/>
      <c r="O491" s="60"/>
    </row>
    <row r="492" spans="1:15" ht="15" customHeight="1">
      <c r="A492" s="68">
        <v>46222</v>
      </c>
      <c r="B492" s="25">
        <f t="shared" si="109"/>
        <v>0.49999999999999972</v>
      </c>
      <c r="C492" s="26" t="s">
        <v>21</v>
      </c>
      <c r="D492" s="59" t="s">
        <v>30</v>
      </c>
      <c r="E492" s="59" t="s">
        <v>228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46222</v>
      </c>
      <c r="B493" s="32">
        <f t="shared" si="109"/>
        <v>0.54166666666666641</v>
      </c>
      <c r="C493" s="26" t="s">
        <v>21</v>
      </c>
      <c r="D493" s="59" t="s">
        <v>30</v>
      </c>
      <c r="E493" s="59" t="s">
        <v>228</v>
      </c>
      <c r="F493" s="27">
        <v>12</v>
      </c>
      <c r="G493" s="34">
        <f t="shared" si="108"/>
        <v>60</v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46222</v>
      </c>
      <c r="B494" s="25">
        <f t="shared" si="109"/>
        <v>0.58333333333333304</v>
      </c>
      <c r="C494" s="26" t="s">
        <v>21</v>
      </c>
      <c r="D494" s="59" t="s">
        <v>30</v>
      </c>
      <c r="E494" s="59" t="s">
        <v>255</v>
      </c>
      <c r="F494" s="27">
        <v>18</v>
      </c>
      <c r="G494" s="28">
        <f t="shared" si="108"/>
        <v>75.600000000000009</v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46222</v>
      </c>
      <c r="B495" s="32">
        <f t="shared" si="109"/>
        <v>0.62499999999999967</v>
      </c>
      <c r="C495" s="26" t="s">
        <v>21</v>
      </c>
      <c r="D495" s="59" t="s">
        <v>30</v>
      </c>
      <c r="E495" s="59" t="s">
        <v>255</v>
      </c>
      <c r="F495" s="27">
        <v>10</v>
      </c>
      <c r="G495" s="34">
        <f t="shared" si="108"/>
        <v>42</v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46222</v>
      </c>
      <c r="B496" s="25">
        <f t="shared" si="109"/>
        <v>0.6666666666666663</v>
      </c>
      <c r="C496" s="26" t="s">
        <v>21</v>
      </c>
      <c r="D496" s="59" t="s">
        <v>30</v>
      </c>
      <c r="E496" s="59" t="s">
        <v>255</v>
      </c>
      <c r="F496" s="27">
        <v>11</v>
      </c>
      <c r="G496" s="28">
        <f t="shared" si="108"/>
        <v>46.2</v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46222</v>
      </c>
      <c r="B497" s="32">
        <f t="shared" si="109"/>
        <v>0.70833333333333293</v>
      </c>
      <c r="C497" s="26" t="s">
        <v>21</v>
      </c>
      <c r="D497" s="59" t="s">
        <v>30</v>
      </c>
      <c r="E497" s="59" t="s">
        <v>255</v>
      </c>
      <c r="F497" s="27">
        <v>16</v>
      </c>
      <c r="G497" s="34">
        <f t="shared" si="108"/>
        <v>67.2</v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46222</v>
      </c>
      <c r="B498" s="25">
        <f t="shared" si="109"/>
        <v>0.74999999999999956</v>
      </c>
      <c r="C498" s="26" t="s">
        <v>21</v>
      </c>
      <c r="D498" s="59" t="s">
        <v>30</v>
      </c>
      <c r="E498" s="59" t="s">
        <v>255</v>
      </c>
      <c r="F498" s="27">
        <v>15</v>
      </c>
      <c r="G498" s="28">
        <f t="shared" si="108"/>
        <v>63</v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46222</v>
      </c>
      <c r="B499" s="32">
        <f t="shared" si="109"/>
        <v>0.79166666666666619</v>
      </c>
      <c r="C499" s="26" t="s">
        <v>21</v>
      </c>
      <c r="D499" s="59" t="s">
        <v>30</v>
      </c>
      <c r="E499" s="59" t="s">
        <v>255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2" t="s">
        <v>230</v>
      </c>
      <c r="B500" s="103"/>
      <c r="C500" s="103"/>
      <c r="D500" s="103"/>
      <c r="E500" s="104">
        <f>SUM(E488:E499)</f>
        <v>0</v>
      </c>
      <c r="F500" s="36">
        <f>SUM(F488:F499)</f>
        <v>155</v>
      </c>
      <c r="G500" s="36">
        <f>SUM(G488:G499)</f>
        <v>714.20000000000016</v>
      </c>
      <c r="H500" s="37"/>
      <c r="I500" s="37"/>
      <c r="J500" s="37"/>
      <c r="K500" s="61"/>
      <c r="L500" s="61"/>
      <c r="M500" s="38">
        <f ca="1">IFERROR(SUM(M488:M499),"")</f>
        <v>4.9305555555555436E-2</v>
      </c>
      <c r="N500" s="36" t="s">
        <v>231</v>
      </c>
      <c r="O500" s="39">
        <v>1031150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255</v>
      </c>
      <c r="F501" s="27">
        <v>22</v>
      </c>
      <c r="G501" s="34">
        <f t="shared" ref="G501:G512" si="111">IF(F501="","",IF(E501="PC 17",F501*4.2,IF(E501="PC 19",F501*5,"")))</f>
        <v>92.4</v>
      </c>
      <c r="H501" s="33" t="s">
        <v>19</v>
      </c>
      <c r="I501" s="33" t="s">
        <v>159</v>
      </c>
      <c r="J501" s="33" t="s">
        <v>27</v>
      </c>
      <c r="K501" s="29">
        <v>0.83333333333333337</v>
      </c>
      <c r="L501" s="29">
        <v>0.86250000000000004</v>
      </c>
      <c r="M501" s="35">
        <f t="shared" ref="M501:M512" ca="1" si="112">IFERROR(IF(K501="","",IF(L501="",MOD(NOW()-K501,1),IF(L501&gt;=K501,L501-K501,L501+1-K501))),"")</f>
        <v>2.9166666666666674E-2</v>
      </c>
      <c r="N501" s="27"/>
      <c r="O501" s="60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228</v>
      </c>
      <c r="F502" s="27">
        <v>6</v>
      </c>
      <c r="G502" s="28">
        <f t="shared" si="111"/>
        <v>30</v>
      </c>
      <c r="H502" s="26" t="s">
        <v>20</v>
      </c>
      <c r="I502" s="26" t="s">
        <v>129</v>
      </c>
      <c r="J502" s="26" t="s">
        <v>113</v>
      </c>
      <c r="K502" s="29">
        <v>0.98819444444444449</v>
      </c>
      <c r="L502" s="29">
        <v>1.7361111111111112E-2</v>
      </c>
      <c r="M502" s="30">
        <f t="shared" ca="1" si="112"/>
        <v>2.9166666666666674E-2</v>
      </c>
      <c r="N502" s="27"/>
      <c r="O502" s="60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255</v>
      </c>
      <c r="F503" s="27">
        <v>10</v>
      </c>
      <c r="G503" s="34">
        <f t="shared" si="111"/>
        <v>42</v>
      </c>
      <c r="H503" s="33" t="s">
        <v>20</v>
      </c>
      <c r="I503" s="33" t="s">
        <v>129</v>
      </c>
      <c r="J503" s="33" t="s">
        <v>113</v>
      </c>
      <c r="K503" s="29">
        <v>0.14374999999999999</v>
      </c>
      <c r="L503" s="29">
        <v>0.28472222222222221</v>
      </c>
      <c r="M503" s="35">
        <f t="shared" ca="1" si="112"/>
        <v>0.14097222222222222</v>
      </c>
      <c r="N503" s="27" t="s">
        <v>366</v>
      </c>
      <c r="O503" s="60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255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255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255</v>
      </c>
      <c r="F506" s="27">
        <v>15</v>
      </c>
      <c r="G506" s="28">
        <f t="shared" si="111"/>
        <v>63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255</v>
      </c>
      <c r="F507" s="27">
        <v>17</v>
      </c>
      <c r="G507" s="34">
        <f t="shared" si="111"/>
        <v>71.400000000000006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255</v>
      </c>
      <c r="F508" s="27">
        <v>10</v>
      </c>
      <c r="G508" s="28">
        <f t="shared" si="111"/>
        <v>42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255</v>
      </c>
      <c r="F509" s="27">
        <v>5</v>
      </c>
      <c r="G509" s="34">
        <f t="shared" si="111"/>
        <v>21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255</v>
      </c>
      <c r="F510" s="27">
        <v>0</v>
      </c>
      <c r="G510" s="28">
        <f t="shared" si="111"/>
        <v>0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255</v>
      </c>
      <c r="F511" s="27">
        <v>0</v>
      </c>
      <c r="G511" s="34">
        <f t="shared" si="111"/>
        <v>0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255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2" t="s">
        <v>232</v>
      </c>
      <c r="B513" s="103"/>
      <c r="C513" s="103"/>
      <c r="D513" s="103"/>
      <c r="E513" s="104">
        <f>SUM(E501:E512)</f>
        <v>0</v>
      </c>
      <c r="F513" s="36">
        <f>SUM(F501:F512)</f>
        <v>95</v>
      </c>
      <c r="G513" s="36">
        <f>SUM(G501:G512)</f>
        <v>403.79999999999995</v>
      </c>
      <c r="H513" s="37"/>
      <c r="I513" s="37"/>
      <c r="J513" s="37"/>
      <c r="K513" s="61"/>
      <c r="L513" s="61"/>
      <c r="M513" s="38">
        <f ca="1">IFERROR(SUM(M501:M512),"")</f>
        <v>0.19930555555555557</v>
      </c>
      <c r="N513" s="36" t="s">
        <v>231</v>
      </c>
      <c r="O513" s="39">
        <v>416720</v>
      </c>
    </row>
    <row r="514" spans="1:15" ht="18" customHeight="1">
      <c r="A514" s="99" t="s">
        <v>233</v>
      </c>
      <c r="B514" s="100"/>
      <c r="C514" s="100"/>
      <c r="D514" s="100"/>
      <c r="E514" s="101">
        <f>E500+E513</f>
        <v>0</v>
      </c>
      <c r="F514" s="40">
        <f>F500+F513</f>
        <v>250</v>
      </c>
      <c r="G514" s="40">
        <f>G500+G513</f>
        <v>1118</v>
      </c>
      <c r="H514" s="41"/>
      <c r="I514" s="41"/>
      <c r="J514" s="41"/>
      <c r="K514" s="63"/>
      <c r="L514" s="63"/>
      <c r="M514" s="42">
        <f ca="1">IFERROR(M500+M513,"")</f>
        <v>0.24861111111111101</v>
      </c>
      <c r="N514" s="40" t="s">
        <v>234</v>
      </c>
      <c r="O514" s="48">
        <f>IFERROR(O500+O513,"")</f>
        <v>1447870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255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18</v>
      </c>
      <c r="I515" s="33" t="s">
        <v>75</v>
      </c>
      <c r="J515" s="33" t="s">
        <v>216</v>
      </c>
      <c r="K515" s="29">
        <v>0.29166666666666669</v>
      </c>
      <c r="L515" s="29">
        <v>0.56597222222222221</v>
      </c>
      <c r="M515" s="35">
        <f t="shared" ref="M515:M526" ca="1" si="115">IFERROR(IF(K515="","",IF(L515="",MOD(NOW()-K515,1),IF(L515&gt;=K515,L515-K515,L515+1-K515))),"")</f>
        <v>0.27430555555555552</v>
      </c>
      <c r="N515" s="27" t="s">
        <v>367</v>
      </c>
      <c r="O515" s="60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255</v>
      </c>
      <c r="F516" s="27">
        <v>0</v>
      </c>
      <c r="G516" s="28">
        <f t="shared" si="114"/>
        <v>0</v>
      </c>
      <c r="H516" s="49" t="s">
        <v>20</v>
      </c>
      <c r="I516" s="26"/>
      <c r="J516" s="49" t="s">
        <v>44</v>
      </c>
      <c r="K516" s="29">
        <v>0.57986111111111116</v>
      </c>
      <c r="L516" s="29">
        <v>0.59305555555555556</v>
      </c>
      <c r="M516" s="30">
        <f t="shared" ca="1" si="115"/>
        <v>1.3194444444444398E-2</v>
      </c>
      <c r="N516" s="27"/>
      <c r="O516" s="60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255</v>
      </c>
      <c r="F517" s="27">
        <v>0</v>
      </c>
      <c r="G517" s="34">
        <f t="shared" si="114"/>
        <v>0</v>
      </c>
      <c r="H517" s="33" t="s">
        <v>20</v>
      </c>
      <c r="I517" s="33" t="s">
        <v>57</v>
      </c>
      <c r="J517" s="33" t="s">
        <v>164</v>
      </c>
      <c r="K517" s="29">
        <v>0.63680555555555551</v>
      </c>
      <c r="L517" s="29">
        <v>0.65347222222222223</v>
      </c>
      <c r="M517" s="35">
        <f t="shared" ca="1" si="115"/>
        <v>1.6666666666666718E-2</v>
      </c>
      <c r="N517" s="27" t="s">
        <v>368</v>
      </c>
      <c r="O517" s="60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255</v>
      </c>
      <c r="F518" s="27">
        <v>0</v>
      </c>
      <c r="G518" s="28">
        <f t="shared" si="114"/>
        <v>0</v>
      </c>
      <c r="H518" s="33" t="s">
        <v>20</v>
      </c>
      <c r="I518" s="26" t="s">
        <v>57</v>
      </c>
      <c r="J518" s="26" t="s">
        <v>28</v>
      </c>
      <c r="K518" s="29">
        <v>0.73472222222222228</v>
      </c>
      <c r="L518" s="29">
        <v>0.74236111111111114</v>
      </c>
      <c r="M518" s="30">
        <f t="shared" ca="1" si="115"/>
        <v>7.6388888888888618E-3</v>
      </c>
      <c r="N518" s="27"/>
      <c r="O518" s="60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255</v>
      </c>
      <c r="F519" s="27">
        <v>0</v>
      </c>
      <c r="G519" s="34">
        <f t="shared" si="114"/>
        <v>0</v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255</v>
      </c>
      <c r="F520" s="27">
        <v>8</v>
      </c>
      <c r="G520" s="28">
        <f t="shared" si="114"/>
        <v>33.6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255</v>
      </c>
      <c r="F521" s="27">
        <v>3</v>
      </c>
      <c r="G521" s="34">
        <f t="shared" si="114"/>
        <v>12.600000000000001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255</v>
      </c>
      <c r="F522" s="27">
        <v>13</v>
      </c>
      <c r="G522" s="28">
        <f t="shared" si="114"/>
        <v>54.6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255</v>
      </c>
      <c r="F523" s="27">
        <v>12</v>
      </c>
      <c r="G523" s="34">
        <f t="shared" si="114"/>
        <v>50.400000000000006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255</v>
      </c>
      <c r="F524" s="27">
        <v>22</v>
      </c>
      <c r="G524" s="28">
        <f t="shared" si="114"/>
        <v>92.4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255</v>
      </c>
      <c r="F525" s="27">
        <v>13</v>
      </c>
      <c r="G525" s="34">
        <f t="shared" si="114"/>
        <v>54.6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255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2" t="s">
        <v>230</v>
      </c>
      <c r="B527" s="103"/>
      <c r="C527" s="103"/>
      <c r="D527" s="103"/>
      <c r="E527" s="104">
        <f>SUM(E515:E526)</f>
        <v>0</v>
      </c>
      <c r="F527" s="36">
        <f>SUM(F515:F526)</f>
        <v>80</v>
      </c>
      <c r="G527" s="36">
        <f>SUM(G515:G526)</f>
        <v>336.00000000000006</v>
      </c>
      <c r="H527" s="37"/>
      <c r="I527" s="37"/>
      <c r="J527" s="37"/>
      <c r="K527" s="61"/>
      <c r="L527" s="61"/>
      <c r="M527" s="38">
        <f ca="1">IFERROR(SUM(M515:M526),"")</f>
        <v>0.3118055555555555</v>
      </c>
      <c r="N527" s="36" t="s">
        <v>231</v>
      </c>
      <c r="O527" s="39">
        <v>362510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255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57</v>
      </c>
      <c r="J528" s="26" t="s">
        <v>28</v>
      </c>
      <c r="K528" s="29">
        <v>0.85972222222222228</v>
      </c>
      <c r="L528" s="29">
        <v>0.86458333333333337</v>
      </c>
      <c r="M528" s="30">
        <f t="shared" ref="M528:M539" ca="1" si="118">IFERROR(IF(K528="","",IF(L528="",MOD(NOW()-K528,1),IF(L528&gt;=K528,L528-K528,L528+1-K528))),"")</f>
        <v>4.8611111111110938E-3</v>
      </c>
      <c r="N528" s="27"/>
      <c r="O528" s="60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255</v>
      </c>
      <c r="F529" s="27">
        <v>7</v>
      </c>
      <c r="G529" s="34">
        <f t="shared" si="117"/>
        <v>29.400000000000002</v>
      </c>
      <c r="H529" s="33" t="s">
        <v>20</v>
      </c>
      <c r="I529" s="33" t="s">
        <v>57</v>
      </c>
      <c r="J529" s="33" t="s">
        <v>56</v>
      </c>
      <c r="K529" s="29">
        <v>0.89930555555555558</v>
      </c>
      <c r="L529" s="29">
        <v>0.92777777777777781</v>
      </c>
      <c r="M529" s="35">
        <f t="shared" ca="1" si="118"/>
        <v>2.8472222222222232E-2</v>
      </c>
      <c r="N529" s="27"/>
      <c r="O529" s="60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255</v>
      </c>
      <c r="F530" s="27">
        <v>5</v>
      </c>
      <c r="G530" s="28">
        <f t="shared" si="117"/>
        <v>21</v>
      </c>
      <c r="H530" s="26" t="s">
        <v>19</v>
      </c>
      <c r="I530" s="26" t="s">
        <v>159</v>
      </c>
      <c r="J530" s="26" t="s">
        <v>27</v>
      </c>
      <c r="K530" s="29">
        <v>2.0833333333333332E-2</v>
      </c>
      <c r="L530" s="29">
        <v>4.3055555555555555E-2</v>
      </c>
      <c r="M530" s="30">
        <f t="shared" ca="1" si="118"/>
        <v>2.2222222222222223E-2</v>
      </c>
      <c r="N530" s="27"/>
      <c r="O530" s="60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255</v>
      </c>
      <c r="F531" s="27">
        <v>0</v>
      </c>
      <c r="G531" s="34">
        <f t="shared" si="117"/>
        <v>0</v>
      </c>
      <c r="H531" s="33" t="s">
        <v>20</v>
      </c>
      <c r="I531" s="33" t="s">
        <v>57</v>
      </c>
      <c r="J531" s="33" t="s">
        <v>62</v>
      </c>
      <c r="K531" s="29">
        <v>7.8472222222222221E-2</v>
      </c>
      <c r="L531" s="29">
        <v>0.11458333333333333</v>
      </c>
      <c r="M531" s="35">
        <f t="shared" ca="1" si="118"/>
        <v>3.6111111111111108E-2</v>
      </c>
      <c r="N531" s="27"/>
      <c r="O531" s="60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255</v>
      </c>
      <c r="F532" s="27">
        <v>10</v>
      </c>
      <c r="G532" s="28">
        <f t="shared" si="117"/>
        <v>42</v>
      </c>
      <c r="H532" s="26" t="s">
        <v>20</v>
      </c>
      <c r="I532" s="26" t="s">
        <v>57</v>
      </c>
      <c r="J532" s="26" t="s">
        <v>56</v>
      </c>
      <c r="K532" s="29">
        <v>0.18055555555555555</v>
      </c>
      <c r="L532" s="29">
        <v>0.19583333333333333</v>
      </c>
      <c r="M532" s="30">
        <f t="shared" ca="1" si="118"/>
        <v>1.5277777777777779E-2</v>
      </c>
      <c r="N532" s="27"/>
      <c r="O532" s="60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255</v>
      </c>
      <c r="F533" s="27">
        <v>10</v>
      </c>
      <c r="G533" s="34">
        <f t="shared" si="117"/>
        <v>42</v>
      </c>
      <c r="H533" s="33" t="s">
        <v>20</v>
      </c>
      <c r="I533" s="33" t="s">
        <v>52</v>
      </c>
      <c r="J533" s="33" t="s">
        <v>193</v>
      </c>
      <c r="K533" s="29">
        <v>0.2361111111111111</v>
      </c>
      <c r="L533" s="29">
        <v>0.24027777777777778</v>
      </c>
      <c r="M533" s="35">
        <f t="shared" ca="1" si="118"/>
        <v>4.1666666666666796E-3</v>
      </c>
      <c r="N533" s="27"/>
      <c r="O533" s="60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255</v>
      </c>
      <c r="F534" s="27">
        <v>10</v>
      </c>
      <c r="G534" s="28">
        <f t="shared" si="117"/>
        <v>42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255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255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255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255</v>
      </c>
      <c r="F538" s="27">
        <v>20</v>
      </c>
      <c r="G538" s="28">
        <f t="shared" si="117"/>
        <v>84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255</v>
      </c>
      <c r="F539" s="27">
        <v>25</v>
      </c>
      <c r="G539" s="34">
        <f t="shared" si="117"/>
        <v>105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2" t="s">
        <v>232</v>
      </c>
      <c r="B540" s="103"/>
      <c r="C540" s="103"/>
      <c r="D540" s="103"/>
      <c r="E540" s="104">
        <f>SUM(E528:E539)</f>
        <v>0</v>
      </c>
      <c r="F540" s="36">
        <f>SUM(F528:F539)</f>
        <v>112</v>
      </c>
      <c r="G540" s="36">
        <f>SUM(G528:G539)</f>
        <v>470.4</v>
      </c>
      <c r="H540" s="37"/>
      <c r="I540" s="37"/>
      <c r="J540" s="37"/>
      <c r="K540" s="61"/>
      <c r="L540" s="61"/>
      <c r="M540" s="38">
        <f ca="1">IFERROR(SUM(M528:M539),"")</f>
        <v>0.11111111111111112</v>
      </c>
      <c r="N540" s="36" t="s">
        <v>231</v>
      </c>
      <c r="O540" s="39">
        <v>404370</v>
      </c>
    </row>
    <row r="541" spans="1:15" ht="18" customHeight="1">
      <c r="A541" s="99" t="s">
        <v>233</v>
      </c>
      <c r="B541" s="100"/>
      <c r="C541" s="100"/>
      <c r="D541" s="100"/>
      <c r="E541" s="101">
        <f>E527+E540</f>
        <v>0</v>
      </c>
      <c r="F541" s="40">
        <f>F527+F540</f>
        <v>192</v>
      </c>
      <c r="G541" s="40">
        <f>G527+G540</f>
        <v>806.40000000000009</v>
      </c>
      <c r="H541" s="41"/>
      <c r="I541" s="41"/>
      <c r="J541" s="41"/>
      <c r="K541" s="63"/>
      <c r="L541" s="63"/>
      <c r="M541" s="42">
        <f ca="1">IFERROR(M527+M540,"")</f>
        <v>0.42291666666666661</v>
      </c>
      <c r="N541" s="40" t="s">
        <v>234</v>
      </c>
      <c r="O541" s="48">
        <f>IFERROR(O527+O540,"")</f>
        <v>766880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255</v>
      </c>
      <c r="F542" s="27">
        <v>17</v>
      </c>
      <c r="G542" s="28">
        <f t="shared" ref="G542:G553" si="120">IF(F542="","",IF(E542="PC 17",F542*4.2,IF(E542="PC 19",F542*5,"")))</f>
        <v>71.400000000000006</v>
      </c>
      <c r="H542" s="26" t="s">
        <v>20</v>
      </c>
      <c r="I542" s="26" t="s">
        <v>137</v>
      </c>
      <c r="J542" s="26" t="s">
        <v>74</v>
      </c>
      <c r="K542" s="29">
        <v>0.30902777777777779</v>
      </c>
      <c r="L542" s="29">
        <v>0.32361111111111113</v>
      </c>
      <c r="M542" s="30">
        <f t="shared" ref="M542:M553" ca="1" si="121">IFERROR(IF(K542="","",IF(L542="",MOD(NOW()-K542,1),IF(L542&gt;=K542,L542-K542,L542+1-K542))),"")</f>
        <v>1.4583333333333337E-2</v>
      </c>
      <c r="N542" s="27" t="s">
        <v>369</v>
      </c>
      <c r="O542" s="60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255</v>
      </c>
      <c r="F543" s="27">
        <v>23</v>
      </c>
      <c r="G543" s="34">
        <f t="shared" si="120"/>
        <v>96.600000000000009</v>
      </c>
      <c r="H543" s="33" t="s">
        <v>18</v>
      </c>
      <c r="I543" s="33" t="s">
        <v>57</v>
      </c>
      <c r="J543" s="33" t="s">
        <v>127</v>
      </c>
      <c r="K543" s="29">
        <v>0.43333333333333335</v>
      </c>
      <c r="L543" s="29">
        <v>0.45</v>
      </c>
      <c r="M543" s="35">
        <f t="shared" ca="1" si="121"/>
        <v>1.6666666666666663E-2</v>
      </c>
      <c r="N543" s="27" t="s">
        <v>370</v>
      </c>
      <c r="O543" s="60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255</v>
      </c>
      <c r="F544" s="27">
        <v>23</v>
      </c>
      <c r="G544" s="28">
        <f t="shared" si="120"/>
        <v>96.600000000000009</v>
      </c>
      <c r="H544" s="26" t="s">
        <v>18</v>
      </c>
      <c r="I544" s="26" t="s">
        <v>57</v>
      </c>
      <c r="J544" s="26" t="s">
        <v>144</v>
      </c>
      <c r="K544" s="29">
        <v>0.54166666666666663</v>
      </c>
      <c r="L544" s="29">
        <v>0.57291666666666663</v>
      </c>
      <c r="M544" s="30">
        <f t="shared" ca="1" si="121"/>
        <v>3.125E-2</v>
      </c>
      <c r="N544" s="27" t="s">
        <v>371</v>
      </c>
      <c r="O544" s="60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255</v>
      </c>
      <c r="F545" s="27">
        <v>12</v>
      </c>
      <c r="G545" s="34">
        <f t="shared" si="120"/>
        <v>50.400000000000006</v>
      </c>
      <c r="H545" s="33" t="s">
        <v>18</v>
      </c>
      <c r="I545" s="33" t="s">
        <v>57</v>
      </c>
      <c r="J545" s="33" t="s">
        <v>34</v>
      </c>
      <c r="K545" s="29">
        <v>0.67500000000000004</v>
      </c>
      <c r="L545" s="29">
        <v>0.79166666666666663</v>
      </c>
      <c r="M545" s="35">
        <f t="shared" ca="1" si="121"/>
        <v>0.11666666666666659</v>
      </c>
      <c r="N545" s="27"/>
      <c r="O545" s="60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255</v>
      </c>
      <c r="F546" s="27">
        <v>25</v>
      </c>
      <c r="G546" s="28">
        <f t="shared" si="120"/>
        <v>105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255</v>
      </c>
      <c r="F547" s="27">
        <v>16</v>
      </c>
      <c r="G547" s="34">
        <f t="shared" si="120"/>
        <v>67.2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255</v>
      </c>
      <c r="F548" s="27">
        <v>9</v>
      </c>
      <c r="G548" s="28">
        <f t="shared" si="120"/>
        <v>37.800000000000004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255</v>
      </c>
      <c r="F549" s="27">
        <v>5</v>
      </c>
      <c r="G549" s="34">
        <f t="shared" si="120"/>
        <v>21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255</v>
      </c>
      <c r="F550" s="27">
        <v>18</v>
      </c>
      <c r="G550" s="28">
        <f t="shared" si="120"/>
        <v>75.600000000000009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255</v>
      </c>
      <c r="F551" s="27">
        <v>2</v>
      </c>
      <c r="G551" s="34">
        <f t="shared" si="120"/>
        <v>8.4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255</v>
      </c>
      <c r="F552" s="27">
        <v>0</v>
      </c>
      <c r="G552" s="28">
        <f t="shared" si="120"/>
        <v>0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255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2" t="s">
        <v>230</v>
      </c>
      <c r="B554" s="103"/>
      <c r="C554" s="103"/>
      <c r="D554" s="103"/>
      <c r="E554" s="104">
        <f>SUM(E542:E553)</f>
        <v>0</v>
      </c>
      <c r="F554" s="36">
        <f>SUM(F542:F553)</f>
        <v>150</v>
      </c>
      <c r="G554" s="36">
        <f>SUM(G542:G553)</f>
        <v>630</v>
      </c>
      <c r="H554" s="37"/>
      <c r="I554" s="37"/>
      <c r="J554" s="37"/>
      <c r="K554" s="61"/>
      <c r="L554" s="61"/>
      <c r="M554" s="38">
        <f ca="1">IFERROR(SUM(M542:M553),"")</f>
        <v>0.17916666666666659</v>
      </c>
      <c r="N554" s="36" t="s">
        <v>231</v>
      </c>
      <c r="O554" s="39">
        <v>583380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255</v>
      </c>
      <c r="F555" s="27">
        <v>0</v>
      </c>
      <c r="G555" s="34">
        <f t="shared" ref="G555:G566" si="123">IF(F555="","",IF(E555="PC 17",F555*4.2,IF(E555="PC 19",F555*5,"")))</f>
        <v>0</v>
      </c>
      <c r="H555" s="33" t="s">
        <v>18</v>
      </c>
      <c r="I555" s="33" t="s">
        <v>57</v>
      </c>
      <c r="J555" s="33" t="s">
        <v>127</v>
      </c>
      <c r="K555" s="29">
        <v>0.29166666666666669</v>
      </c>
      <c r="L555" s="29">
        <v>0.83333333333333337</v>
      </c>
      <c r="M555" s="35">
        <v>2.7777777777777776E-2</v>
      </c>
      <c r="N555" s="27"/>
      <c r="O555" s="60"/>
    </row>
    <row r="556" spans="1:15" ht="15" customHeight="1">
      <c r="A556" s="68">
        <v>46224</v>
      </c>
      <c r="B556" s="25">
        <f t="shared" ref="B556:B566" si="124">B555+TIME(0,60,0)</f>
        <v>0.87499999999999967</v>
      </c>
      <c r="C556" s="33" t="s">
        <v>45</v>
      </c>
      <c r="D556" s="62" t="s">
        <v>30</v>
      </c>
      <c r="E556" s="62" t="s">
        <v>255</v>
      </c>
      <c r="F556" s="27">
        <v>5</v>
      </c>
      <c r="G556" s="28">
        <f t="shared" si="123"/>
        <v>21</v>
      </c>
      <c r="H556" s="26" t="s">
        <v>20</v>
      </c>
      <c r="I556" s="26" t="s">
        <v>138</v>
      </c>
      <c r="J556" s="26" t="s">
        <v>74</v>
      </c>
      <c r="K556" s="29">
        <v>0.97777777777777775</v>
      </c>
      <c r="L556" s="29">
        <v>0.98958333333333337</v>
      </c>
      <c r="M556" s="30">
        <f t="shared" ref="M555:M566" ca="1" si="125">IFERROR(IF(K556="","",IF(L556="",MOD(NOW()-K556,1),IF(L556&gt;=K556,L556-K556,L556+1-K556))),"")</f>
        <v>1.1805555555555625E-2</v>
      </c>
      <c r="N556" s="27"/>
      <c r="O556" s="60"/>
    </row>
    <row r="557" spans="1:15" ht="15" customHeight="1">
      <c r="A557" s="69">
        <v>46224</v>
      </c>
      <c r="B557" s="32">
        <f t="shared" si="124"/>
        <v>0.9166666666666663</v>
      </c>
      <c r="C557" s="33" t="s">
        <v>45</v>
      </c>
      <c r="D557" s="62" t="s">
        <v>30</v>
      </c>
      <c r="E557" s="62" t="s">
        <v>255</v>
      </c>
      <c r="F557" s="27">
        <v>27</v>
      </c>
      <c r="G557" s="34">
        <f t="shared" si="123"/>
        <v>113.4</v>
      </c>
      <c r="H557" s="33" t="s">
        <v>20</v>
      </c>
      <c r="I557" s="33"/>
      <c r="J557" s="33" t="s">
        <v>180</v>
      </c>
      <c r="K557" s="29">
        <v>0.125</v>
      </c>
      <c r="L557" s="29"/>
      <c r="M557" s="35">
        <f t="shared" ca="1" si="125"/>
        <v>0.15492824074317468</v>
      </c>
      <c r="N557" s="27" t="s">
        <v>372</v>
      </c>
      <c r="O557" s="60"/>
    </row>
    <row r="558" spans="1:15" ht="15" customHeight="1">
      <c r="A558" s="68">
        <v>46224</v>
      </c>
      <c r="B558" s="25">
        <f t="shared" si="124"/>
        <v>0.95833333333333293</v>
      </c>
      <c r="C558" s="33" t="s">
        <v>45</v>
      </c>
      <c r="D558" s="62" t="s">
        <v>30</v>
      </c>
      <c r="E558" s="62" t="s">
        <v>255</v>
      </c>
      <c r="F558" s="27">
        <v>19</v>
      </c>
      <c r="G558" s="28">
        <f t="shared" si="123"/>
        <v>79.8</v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46224</v>
      </c>
      <c r="B559" s="32">
        <f t="shared" si="124"/>
        <v>0.99999999999999956</v>
      </c>
      <c r="C559" s="33" t="s">
        <v>45</v>
      </c>
      <c r="D559" s="62" t="s">
        <v>30</v>
      </c>
      <c r="E559" s="62" t="s">
        <v>255</v>
      </c>
      <c r="F559" s="27">
        <v>14</v>
      </c>
      <c r="G559" s="34">
        <f t="shared" si="123"/>
        <v>58.800000000000004</v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46224</v>
      </c>
      <c r="B560" s="25">
        <f t="shared" si="124"/>
        <v>1.0416666666666663</v>
      </c>
      <c r="C560" s="33" t="s">
        <v>45</v>
      </c>
      <c r="D560" s="62" t="s">
        <v>30</v>
      </c>
      <c r="E560" s="62" t="s">
        <v>255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46224</v>
      </c>
      <c r="B561" s="32">
        <f t="shared" si="124"/>
        <v>1.083333333333333</v>
      </c>
      <c r="C561" s="33" t="s">
        <v>45</v>
      </c>
      <c r="D561" s="62" t="s">
        <v>30</v>
      </c>
      <c r="E561" s="62" t="s">
        <v>255</v>
      </c>
      <c r="F561" s="27">
        <v>15</v>
      </c>
      <c r="G561" s="34">
        <f t="shared" si="123"/>
        <v>63</v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46224</v>
      </c>
      <c r="B562" s="25">
        <f t="shared" si="124"/>
        <v>1.1249999999999998</v>
      </c>
      <c r="C562" s="33" t="s">
        <v>45</v>
      </c>
      <c r="D562" s="62" t="s">
        <v>30</v>
      </c>
      <c r="E562" s="62" t="s">
        <v>255</v>
      </c>
      <c r="F562" s="27">
        <v>5</v>
      </c>
      <c r="G562" s="28">
        <f t="shared" si="123"/>
        <v>21</v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46224</v>
      </c>
      <c r="B563" s="32">
        <f t="shared" si="124"/>
        <v>1.1666666666666665</v>
      </c>
      <c r="C563" s="33" t="s">
        <v>45</v>
      </c>
      <c r="D563" s="62" t="s">
        <v>30</v>
      </c>
      <c r="E563" s="62" t="s">
        <v>255</v>
      </c>
      <c r="F563" s="27">
        <v>5</v>
      </c>
      <c r="G563" s="34">
        <f t="shared" si="123"/>
        <v>21</v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46224</v>
      </c>
      <c r="B564" s="25">
        <f t="shared" si="124"/>
        <v>1.2083333333333333</v>
      </c>
      <c r="C564" s="33" t="s">
        <v>45</v>
      </c>
      <c r="D564" s="62" t="s">
        <v>30</v>
      </c>
      <c r="E564" s="62" t="s">
        <v>255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46224</v>
      </c>
      <c r="B565" s="32">
        <f t="shared" si="124"/>
        <v>1.25</v>
      </c>
      <c r="C565" s="33" t="s">
        <v>45</v>
      </c>
      <c r="D565" s="62" t="s">
        <v>30</v>
      </c>
      <c r="E565" s="62" t="s">
        <v>255</v>
      </c>
      <c r="F565" s="27">
        <v>0</v>
      </c>
      <c r="G565" s="34">
        <f t="shared" si="123"/>
        <v>0</v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46224</v>
      </c>
      <c r="B566" s="25">
        <f t="shared" si="124"/>
        <v>1.2916666666666667</v>
      </c>
      <c r="C566" s="33" t="s">
        <v>45</v>
      </c>
      <c r="D566" s="62" t="s">
        <v>30</v>
      </c>
      <c r="E566" s="62" t="s">
        <v>255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2" t="s">
        <v>232</v>
      </c>
      <c r="B567" s="103"/>
      <c r="C567" s="103"/>
      <c r="D567" s="103"/>
      <c r="E567" s="104">
        <f>SUM(E555:E566)</f>
        <v>0</v>
      </c>
      <c r="F567" s="36">
        <f>SUM(F555:F566)</f>
        <v>105</v>
      </c>
      <c r="G567" s="36">
        <f>SUM(G555:G566)</f>
        <v>441</v>
      </c>
      <c r="H567" s="37"/>
      <c r="I567" s="37"/>
      <c r="J567" s="37"/>
      <c r="K567" s="61"/>
      <c r="L567" s="61"/>
      <c r="M567" s="38">
        <f ca="1">IFERROR(SUM(M555:M566),"")</f>
        <v>0.1945115740765081</v>
      </c>
      <c r="N567" s="36" t="s">
        <v>231</v>
      </c>
      <c r="O567" s="39"/>
    </row>
    <row r="568" spans="1:15" ht="18" customHeight="1">
      <c r="A568" s="99" t="s">
        <v>233</v>
      </c>
      <c r="B568" s="100"/>
      <c r="C568" s="100"/>
      <c r="D568" s="100"/>
      <c r="E568" s="101">
        <f>E554+E567</f>
        <v>0</v>
      </c>
      <c r="F568" s="40">
        <f>F554+F567</f>
        <v>255</v>
      </c>
      <c r="G568" s="40">
        <f>G554+G567</f>
        <v>1071</v>
      </c>
      <c r="H568" s="41"/>
      <c r="I568" s="41"/>
      <c r="J568" s="41"/>
      <c r="K568" s="63"/>
      <c r="L568" s="63"/>
      <c r="M568" s="42">
        <f ca="1">IFERROR(M554+M567,"")</f>
        <v>0.37367824074317468</v>
      </c>
      <c r="N568" s="40" t="s">
        <v>234</v>
      </c>
      <c r="O568" s="48">
        <f>IFERROR(O554+O567,"")</f>
        <v>583380</v>
      </c>
    </row>
    <row r="569" spans="1:15" ht="15" customHeight="1">
      <c r="A569" s="69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2" t="s">
        <v>230</v>
      </c>
      <c r="B581" s="103"/>
      <c r="C581" s="103"/>
      <c r="D581" s="103"/>
      <c r="E581" s="104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231</v>
      </c>
      <c r="O581" s="39"/>
    </row>
    <row r="582" spans="1:15" ht="15" customHeight="1">
      <c r="A582" s="68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102" t="s">
        <v>232</v>
      </c>
      <c r="B594" s="103"/>
      <c r="C594" s="103"/>
      <c r="D594" s="103"/>
      <c r="E594" s="104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231</v>
      </c>
      <c r="O594" s="39"/>
    </row>
    <row r="595" spans="1:15" ht="18" customHeight="1">
      <c r="A595" s="99" t="s">
        <v>233</v>
      </c>
      <c r="B595" s="100"/>
      <c r="C595" s="100"/>
      <c r="D595" s="100"/>
      <c r="E595" s="101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234</v>
      </c>
      <c r="O595" s="48">
        <f>IFERROR(O581+O594,"")</f>
        <v>0</v>
      </c>
    </row>
    <row r="596" spans="1:15" ht="15" customHeight="1">
      <c r="A596" s="68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2" t="s">
        <v>230</v>
      </c>
      <c r="B608" s="103"/>
      <c r="C608" s="103"/>
      <c r="D608" s="103"/>
      <c r="E608" s="104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231</v>
      </c>
      <c r="O608" s="39"/>
    </row>
    <row r="609" spans="1:15" ht="15" customHeight="1">
      <c r="A609" s="69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2" t="s">
        <v>232</v>
      </c>
      <c r="B621" s="103"/>
      <c r="C621" s="103"/>
      <c r="D621" s="103"/>
      <c r="E621" s="104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231</v>
      </c>
      <c r="O621" s="39"/>
    </row>
    <row r="622" spans="1:15" ht="18" customHeight="1">
      <c r="A622" s="99" t="s">
        <v>233</v>
      </c>
      <c r="B622" s="100"/>
      <c r="C622" s="100"/>
      <c r="D622" s="100"/>
      <c r="E622" s="101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234</v>
      </c>
      <c r="O622" s="48">
        <f>IFERROR(O608+O621,"")</f>
        <v>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2" t="s">
        <v>230</v>
      </c>
      <c r="B635" s="103"/>
      <c r="C635" s="103"/>
      <c r="D635" s="103"/>
      <c r="E635" s="104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231</v>
      </c>
      <c r="O635" s="39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2" t="s">
        <v>232</v>
      </c>
      <c r="B648" s="103"/>
      <c r="C648" s="103"/>
      <c r="D648" s="103"/>
      <c r="E648" s="104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231</v>
      </c>
      <c r="O648" s="39"/>
    </row>
    <row r="649" spans="1:15" ht="18" customHeight="1">
      <c r="A649" s="99" t="s">
        <v>233</v>
      </c>
      <c r="B649" s="100"/>
      <c r="C649" s="100"/>
      <c r="D649" s="100"/>
      <c r="E649" s="101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234</v>
      </c>
      <c r="O649" s="48">
        <f>IFERROR(O635+O648,"")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2" t="s">
        <v>230</v>
      </c>
      <c r="B662" s="103"/>
      <c r="C662" s="103"/>
      <c r="D662" s="103"/>
      <c r="E662" s="104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231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2" t="s">
        <v>232</v>
      </c>
      <c r="B675" s="103"/>
      <c r="C675" s="103"/>
      <c r="D675" s="103"/>
      <c r="E675" s="104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231</v>
      </c>
      <c r="O675" s="39"/>
    </row>
    <row r="676" spans="1:15" ht="18" customHeight="1">
      <c r="A676" s="99" t="s">
        <v>233</v>
      </c>
      <c r="B676" s="100"/>
      <c r="C676" s="100"/>
      <c r="D676" s="100"/>
      <c r="E676" s="101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234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2" t="s">
        <v>230</v>
      </c>
      <c r="B689" s="103"/>
      <c r="C689" s="103"/>
      <c r="D689" s="103"/>
      <c r="E689" s="104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231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2" t="s">
        <v>232</v>
      </c>
      <c r="B702" s="103"/>
      <c r="C702" s="103"/>
      <c r="D702" s="103"/>
      <c r="E702" s="104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231</v>
      </c>
      <c r="O702" s="39"/>
    </row>
    <row r="703" spans="1:15" ht="18" customHeight="1">
      <c r="A703" s="99" t="s">
        <v>233</v>
      </c>
      <c r="B703" s="100"/>
      <c r="C703" s="100"/>
      <c r="D703" s="100"/>
      <c r="E703" s="101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234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2" t="s">
        <v>230</v>
      </c>
      <c r="B716" s="103"/>
      <c r="C716" s="103"/>
      <c r="D716" s="103"/>
      <c r="E716" s="104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231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2" t="s">
        <v>232</v>
      </c>
      <c r="B729" s="103"/>
      <c r="C729" s="103"/>
      <c r="D729" s="103"/>
      <c r="E729" s="104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231</v>
      </c>
      <c r="O729" s="39"/>
    </row>
    <row r="730" spans="1:15" ht="18" customHeight="1">
      <c r="A730" s="99" t="s">
        <v>233</v>
      </c>
      <c r="B730" s="100"/>
      <c r="C730" s="100"/>
      <c r="D730" s="100"/>
      <c r="E730" s="101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234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2" t="s">
        <v>230</v>
      </c>
      <c r="B743" s="103"/>
      <c r="C743" s="103"/>
      <c r="D743" s="103"/>
      <c r="E743" s="104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231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2" t="s">
        <v>232</v>
      </c>
      <c r="B756" s="103"/>
      <c r="C756" s="103"/>
      <c r="D756" s="103"/>
      <c r="E756" s="104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231</v>
      </c>
      <c r="O756" s="39"/>
    </row>
    <row r="757" spans="1:15" ht="18" customHeight="1">
      <c r="A757" s="99" t="s">
        <v>233</v>
      </c>
      <c r="B757" s="100"/>
      <c r="C757" s="100"/>
      <c r="D757" s="100"/>
      <c r="E757" s="101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234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2" t="s">
        <v>230</v>
      </c>
      <c r="B770" s="103"/>
      <c r="C770" s="103"/>
      <c r="D770" s="103"/>
      <c r="E770" s="104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231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2" t="s">
        <v>232</v>
      </c>
      <c r="B783" s="103"/>
      <c r="C783" s="103"/>
      <c r="D783" s="103"/>
      <c r="E783" s="104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231</v>
      </c>
      <c r="O783" s="39"/>
    </row>
    <row r="784" spans="1:15" ht="18" customHeight="1">
      <c r="A784" s="99" t="s">
        <v>233</v>
      </c>
      <c r="B784" s="100"/>
      <c r="C784" s="100"/>
      <c r="D784" s="100"/>
      <c r="E784" s="101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234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2" t="s">
        <v>230</v>
      </c>
      <c r="B797" s="103"/>
      <c r="C797" s="103"/>
      <c r="D797" s="103"/>
      <c r="E797" s="104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231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2" t="s">
        <v>232</v>
      </c>
      <c r="B810" s="103"/>
      <c r="C810" s="103"/>
      <c r="D810" s="103"/>
      <c r="E810" s="104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231</v>
      </c>
      <c r="O810" s="39"/>
    </row>
    <row r="811" spans="1:15" ht="18" customHeight="1">
      <c r="A811" s="99" t="s">
        <v>233</v>
      </c>
      <c r="B811" s="100"/>
      <c r="C811" s="100"/>
      <c r="D811" s="100"/>
      <c r="E811" s="101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234</v>
      </c>
      <c r="O811" s="43">
        <f>IFERROR(O797+O810,"")</f>
        <v>0</v>
      </c>
    </row>
  </sheetData>
  <mergeCells count="89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2026-07-22T10:43:40Z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