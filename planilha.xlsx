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49" documentId="13_ncr:1_{0A10D8D4-8450-4366-8075-B53B08E6B7EA}" xr6:coauthVersionLast="47" xr6:coauthVersionMax="47" xr10:uidLastSave="{97EBB2D8-356F-45E3-89E4-A21190F22986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7" i="6"/>
  <c r="J367" i="6" s="1"/>
  <c r="H368" i="6"/>
  <c r="J368" i="6" s="1"/>
  <c r="H369" i="6"/>
  <c r="J369" i="6" s="1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7" i="5"/>
  <c r="J367" i="5" s="1"/>
  <c r="H368" i="5"/>
  <c r="J368" i="5" s="1"/>
  <c r="H369" i="5"/>
  <c r="J369" i="5" s="1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7" i="4"/>
  <c r="J367" i="4" s="1"/>
  <c r="H368" i="4"/>
  <c r="J368" i="4" s="1"/>
  <c r="H369" i="4"/>
  <c r="J369" i="4" s="1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66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66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66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366" i="6" l="1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<sst xmlns="http://schemas.openxmlformats.org/spreadsheetml/2006/main" count="6516" uniqueCount="347">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</sst>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67" sqref="F36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40</v>
      </c>
      <c r="G378" s="36">
        <f>SUM(G366:G377)</f>
        <v>200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440</v>
      </c>
      <c r="G379" s="40">
        <f>G365+G378</f>
        <v>2166.4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R366" sqref="R36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0.7512847222169512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0.89017361110584003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0.9748958333280624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4.2</v>
      </c>
      <c r="L378" s="37"/>
      <c r="M378" s="37"/>
      <c r="N378" s="37"/>
      <c r="O378" s="37"/>
      <c r="P378" s="37"/>
      <c r="Q378" s="38">
        <f ca="1">IFERROR(SUM(Q366:Q377),"")</f>
        <v>4.3750000000000067E-2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109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457.8</v>
      </c>
      <c r="L379" s="41"/>
      <c r="M379" s="41"/>
      <c r="N379" s="41"/>
      <c r="O379" s="41"/>
      <c r="P379" s="41"/>
      <c r="Q379" s="42">
        <f ca="1">IFERROR(Q365+Q378,"")</f>
        <v>0.12708333333333333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P367" sqref="P36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4.2</v>
      </c>
      <c r="L378" s="37"/>
      <c r="M378" s="37"/>
      <c r="N378" s="37"/>
      <c r="O378" s="37"/>
      <c r="P378" s="37"/>
      <c r="Q378" s="38">
        <f ca="1">IFERROR(SUM(Q366:Q377),"")</f>
        <v>6.1805555555555558E-2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91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382.2000000000001</v>
      </c>
      <c r="L379" s="41"/>
      <c r="M379" s="41"/>
      <c r="N379" s="41"/>
      <c r="O379" s="41"/>
      <c r="P379" s="41"/>
      <c r="Q379" s="42">
        <f ca="1">IFERROR(Q365+Q378,"")</f>
        <v>0.25694444444444436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P367" sqref="P36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19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79.8</v>
      </c>
      <c r="L378" s="37"/>
      <c r="M378" s="37"/>
      <c r="N378" s="37"/>
      <c r="O378" s="61"/>
      <c r="P378" s="61"/>
      <c r="Q378" s="38">
        <f ca="1">IFERROR(SUM(Q366:Q377),"")</f>
        <v>3.3333333333333326E-2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215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903</v>
      </c>
      <c r="L379" s="41"/>
      <c r="M379" s="41"/>
      <c r="N379" s="41"/>
      <c r="O379" s="63"/>
      <c r="P379" s="63"/>
      <c r="Q379" s="42">
        <f ca="1">IFERROR(Q365+Q378,"")</f>
        <v>0.15138888888888902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2026-08-15T00:57:24Z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