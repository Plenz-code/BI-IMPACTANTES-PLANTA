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399" documentId="8_{C51EB6CB-002B-4D6B-B68F-DDEBDB4460C0}" xr6:coauthVersionLast="47" xr6:coauthVersionMax="47" xr10:uidLastSave="{18ADA167-BB84-4210-8FD2-A2D9561113F2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<sst xmlns="http://schemas.openxmlformats.org/spreadsheetml/2006/main" count="4509" uniqueCount="308">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</sst>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27280880</v>
      </c>
      <c r="D35" s="13">
        <f>IFERROR(SUM(D4:D34),"")</f>
        <v>8323860</v>
      </c>
      <c r="E35" s="13">
        <f>IFERROR(SUM(E4:E34),"")</f>
        <v>3877580</v>
      </c>
      <c r="F35" s="13">
        <f>IFERROR(SUM(F4:F34),"")</f>
        <v>10848750</v>
      </c>
      <c r="G35" s="13">
        <f>IFERROR(SUM(G4:G34),"")</f>
        <v>23050190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08" activePane="bottomLeft" state="frozen"/>
      <selection pane="bottomLeft" activeCell="J220" sqref="J22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/>
      <c r="M220" s="30">
        <f t="shared" ca="1" si="49"/>
        <v>2.5835185180767439E-2</v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239</v>
      </c>
      <c r="G230" s="36">
        <f>SUM(G218:G229)</f>
        <v>1195</v>
      </c>
      <c r="H230" s="37"/>
      <c r="I230" s="37"/>
      <c r="J230" s="37"/>
      <c r="K230" s="37"/>
      <c r="L230" s="37"/>
      <c r="M230" s="38">
        <f ca="1">IFERROR(SUM(M218:M229),"")</f>
        <v>5.916851851410071E-2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239</v>
      </c>
      <c r="G244" s="40">
        <f>G230+G243</f>
        <v>1195</v>
      </c>
      <c r="H244" s="41"/>
      <c r="I244" s="41"/>
      <c r="J244" s="41"/>
      <c r="K244" s="41"/>
      <c r="L244" s="41"/>
      <c r="M244" s="42">
        <f ca="1">IFERROR(M230+M243,"")</f>
        <v>5.916851851410071E-2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10" activePane="bottomLeft" state="frozen"/>
      <selection pane="bottomLeft" activeCell="L223" sqref="L22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0.55222407406836282</v>
      </c>
      <c r="N53" s="46" t="s">
        <v>259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0.69111296295725166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0.77583518517947403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261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262</v>
      </c>
      <c r="M96" s="30" t="str">
        <f t="shared" ref="M96:M107" ca="1" si="22">IFERROR(IF(K96="","",IF(L96="",MOD(NOW()-K96,1),IF(L96&gt;=K96,L96-K96,L96+1-K96))),"")</f>
        <v/>
      </c>
      <c r="N96" s="46" t="s">
        <v>263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260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236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274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13</v>
      </c>
      <c r="G223" s="34">
        <f t="shared" si="48"/>
        <v>54.6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92</v>
      </c>
      <c r="G230" s="36">
        <f>SUM(G218:G229)</f>
        <v>390.40000000000003</v>
      </c>
      <c r="H230" s="37"/>
      <c r="I230" s="37"/>
      <c r="J230" s="37"/>
      <c r="K230" s="37"/>
      <c r="L230" s="37"/>
      <c r="M230" s="38">
        <f ca="1">IFERROR(SUM(M218:M229),"")</f>
        <v>0.13055555555555565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92</v>
      </c>
      <c r="G244" s="40">
        <f>G230+G243</f>
        <v>390.40000000000003</v>
      </c>
      <c r="H244" s="41"/>
      <c r="I244" s="41"/>
      <c r="J244" s="41"/>
      <c r="K244" s="41"/>
      <c r="L244" s="41"/>
      <c r="M244" s="42">
        <f ca="1">IFERROR(M230+M243,"")</f>
        <v>0.13055555555555565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09" zoomScale="50" zoomScaleNormal="50" workbookViewId="0">
      <selection activeCell="F226" sqref="F22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275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276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275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275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277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278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279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280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281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282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283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284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285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286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7</v>
      </c>
      <c r="G223" s="34">
        <f t="shared" si="48"/>
        <v>29.400000000000002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60</v>
      </c>
      <c r="G230" s="36">
        <f>SUM(G218:G229)</f>
        <v>256</v>
      </c>
      <c r="H230" s="37"/>
      <c r="I230" s="37"/>
      <c r="J230" s="37"/>
      <c r="K230" s="37"/>
      <c r="L230" s="37"/>
      <c r="M230" s="38">
        <f ca="1">IFERROR(SUM(M218:M229),"")</f>
        <v>5.1388888888888928E-2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60</v>
      </c>
      <c r="G244" s="40">
        <f>G230+G243</f>
        <v>256</v>
      </c>
      <c r="H244" s="41"/>
      <c r="I244" s="41"/>
      <c r="J244" s="41"/>
      <c r="K244" s="41"/>
      <c r="L244" s="41"/>
      <c r="M244" s="42">
        <f ca="1">IFERROR(M230+M243,"")</f>
        <v>5.1388888888888928E-2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00" activePane="bottomLeft" state="frozen"/>
      <selection pane="bottomLeft" activeCell="E229" sqref="E22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37.28515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275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288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289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290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291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292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293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275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275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294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295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275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296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297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298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300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301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302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303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304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305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306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307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111</v>
      </c>
      <c r="G230" s="36">
        <f>SUM(G218:G229)</f>
        <v>482.20000000000005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111</v>
      </c>
      <c r="G244" s="40">
        <f>G230+G243</f>
        <v>482.20000000000005</v>
      </c>
      <c r="H244" s="41"/>
      <c r="I244" s="41"/>
      <c r="J244" s="41"/>
      <c r="K244" s="63"/>
      <c r="L244" s="63"/>
      <c r="M244" s="42">
        <f ca="1">IFERROR(M230+M243,"")</f>
        <v>5.4166666666666752E-2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2026-08-09T20:10:23Z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