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328" documentId="8_{AF585B22-221D-4780-BB9C-493D365A6A02}" xr6:coauthVersionLast="47" xr6:coauthVersionMax="47" xr10:uidLastSave="{57463388-E9D6-46EA-8188-EE9ED5762CB2}"/>
  <bookViews>
    <workbookView xWindow="-110" yWindow="-110" windowWidth="25820" windowHeight="15500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<sst xmlns="http://schemas.openxmlformats.org/spreadsheetml/2006/main" count="5706" uniqueCount="309">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</sst>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3" fontId="10" fillId="3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1525000</v>
      </c>
      <c r="D16" s="8">
        <f>IFERROR('Linha 1'!O352,"")</f>
        <v>837000</v>
      </c>
      <c r="E16" s="8">
        <f>IFERROR('Linha 2'!O352,"")</f>
        <v>168000</v>
      </c>
      <c r="F16" s="8">
        <f>IFERROR('Linha 3'!O352,"")</f>
        <v>780000</v>
      </c>
      <c r="G16" s="9">
        <f t="shared" si="0"/>
        <v>1785000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38288228</v>
      </c>
      <c r="D35" s="13">
        <f>IFERROR(SUM(D4:D34),"")</f>
        <v>13827250</v>
      </c>
      <c r="E35" s="13">
        <f>IFERROR(SUM(E4:E34),"")</f>
        <v>9359510</v>
      </c>
      <c r="F35" s="13">
        <f>IFERROR(SUM(F4:F34),"")</f>
        <v>17418500</v>
      </c>
      <c r="G35" s="13">
        <f>IFERROR(SUM(G4:G34),"")</f>
        <v>40605260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1"/>
      <c r="I54" s="16"/>
      <c r="J54" s="16"/>
      <c r="K54" s="16" t="s">
        <v>196</v>
      </c>
      <c r="L54" s="16"/>
      <c r="M54" s="16"/>
    </row>
    <row r="55" spans="1:13" ht="15" customHeight="1">
      <c r="H55" s="101"/>
      <c r="I55" s="17"/>
      <c r="J55" s="17"/>
      <c r="K55" s="17" t="s">
        <v>197</v>
      </c>
      <c r="L55" s="17"/>
      <c r="M55" s="17"/>
    </row>
    <row r="56" spans="1:13" ht="15" customHeight="1">
      <c r="H56" s="101"/>
      <c r="I56" s="16"/>
      <c r="J56" s="16"/>
      <c r="K56" s="16" t="s">
        <v>198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199</v>
      </c>
      <c r="L58" s="16"/>
      <c r="M58" s="16"/>
    </row>
    <row r="59" spans="1:13" ht="15" customHeight="1">
      <c r="H59" s="101"/>
      <c r="I59" s="17"/>
      <c r="J59" s="17"/>
      <c r="K59" s="17" t="s">
        <v>200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201</v>
      </c>
      <c r="L61" s="17"/>
      <c r="M61" s="17"/>
    </row>
    <row r="62" spans="1:13" ht="15" customHeight="1">
      <c r="H62" s="101"/>
      <c r="I62" s="16"/>
      <c r="J62" s="16"/>
      <c r="K62" s="16" t="s">
        <v>202</v>
      </c>
      <c r="L62" s="16"/>
      <c r="M62" s="16"/>
    </row>
    <row r="63" spans="1:13" ht="15" customHeight="1">
      <c r="H63" s="101"/>
      <c r="I63" s="17"/>
      <c r="J63" s="17"/>
      <c r="K63" s="17" t="s">
        <v>203</v>
      </c>
      <c r="L63" s="17"/>
      <c r="M63" s="17"/>
    </row>
    <row r="64" spans="1:13" ht="15" customHeight="1">
      <c r="H64" s="101"/>
      <c r="I64" s="16"/>
      <c r="J64" s="16"/>
      <c r="K64" s="16" t="s">
        <v>204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35" activePane="bottomLeft" state="frozen"/>
      <selection pane="bottomLeft" activeCell="L340" sqref="L34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103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/>
      <c r="F339" s="27"/>
      <c r="G339" s="34" t="str">
        <f t="shared" ref="G339:G350" si="75">IF(F339="","",IF(E339="PC 17",F339*4.2,IF(E339="PC 19",F339*5,"")))</f>
        <v/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7.8472222222222276E-2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305</v>
      </c>
      <c r="G352" s="40">
        <f>G338+G351</f>
        <v>1525</v>
      </c>
      <c r="H352" s="41"/>
      <c r="I352" s="41"/>
      <c r="J352" s="41"/>
      <c r="K352" s="41"/>
      <c r="L352" s="41"/>
      <c r="M352" s="42">
        <f ca="1">IFERROR(M338+M351,"")</f>
        <v>0.17638888888888893</v>
      </c>
      <c r="N352" s="40" t="s">
        <v>222</v>
      </c>
      <c r="O352" s="48">
        <f>IFERROR(O338+O351,"")</f>
        <v>1525000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20" activePane="bottomLeft" state="frozen"/>
      <selection pane="bottomLeft" activeCell="L340" sqref="L34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237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235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238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239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241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242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243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244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245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10</v>
      </c>
      <c r="G340" s="28">
        <f t="shared" si="75"/>
        <v>42</v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32</v>
      </c>
      <c r="G351" s="36">
        <f>SUM(G339:G350)</f>
        <v>134.4</v>
      </c>
      <c r="H351" s="37"/>
      <c r="I351" s="37"/>
      <c r="J351" s="37"/>
      <c r="K351" s="37"/>
      <c r="L351" s="37"/>
      <c r="M351" s="38">
        <f ca="1">IFERROR(SUM(M339:M350),"")</f>
        <v>5.5555555555555358E-3</v>
      </c>
      <c r="N351" s="36" t="s">
        <v>219</v>
      </c>
      <c r="O351" s="78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229</v>
      </c>
      <c r="G352" s="40">
        <f>G338+G351</f>
        <v>971.40000000000009</v>
      </c>
      <c r="H352" s="41"/>
      <c r="I352" s="41"/>
      <c r="J352" s="41"/>
      <c r="K352" s="41"/>
      <c r="L352" s="41"/>
      <c r="M352" s="42">
        <f ca="1">IFERROR(M338+M351,"")</f>
        <v>7.5000000000000011E-2</v>
      </c>
      <c r="N352" s="40" t="s">
        <v>222</v>
      </c>
      <c r="O352" s="84">
        <f>IFERROR(O338+O351,"")</f>
        <v>837000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78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329" zoomScale="50" zoomScaleNormal="50" workbookViewId="0">
      <selection activeCell="L341" sqref="L34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272</v>
      </c>
      <c r="N166" s="27" t="s">
        <v>273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275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276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280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282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268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25</v>
      </c>
      <c r="G351" s="36">
        <f>SUM(G339:G350)</f>
        <v>105</v>
      </c>
      <c r="H351" s="37"/>
      <c r="I351" s="37"/>
      <c r="J351" s="37"/>
      <c r="K351" s="37"/>
      <c r="L351" s="37"/>
      <c r="M351" s="38">
        <f ca="1">IFERROR(SUM(M339:M350),"")</f>
        <v>1.4583333333333282E-2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65</v>
      </c>
      <c r="G352" s="40">
        <f>G338+G351</f>
        <v>273</v>
      </c>
      <c r="H352" s="41"/>
      <c r="I352" s="41"/>
      <c r="J352" s="41"/>
      <c r="K352" s="41"/>
      <c r="L352" s="41"/>
      <c r="M352" s="42">
        <f ca="1">IFERROR(M338+M351,"")</f>
        <v>0.24861111111111117</v>
      </c>
      <c r="N352" s="40" t="s">
        <v>222</v>
      </c>
      <c r="O352" s="48">
        <f>IFERROR(O338+O351,"")</f>
        <v>168000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15" activePane="bottomLeft" state="frozen"/>
      <selection pane="bottomLeft" activeCell="K344" sqref="K34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287</v>
      </c>
      <c r="L58" s="29">
        <v>0.54097222222222219</v>
      </c>
      <c r="M58" s="30" t="str">
        <f t="shared" ca="1" si="13"/>
        <v/>
      </c>
      <c r="N58" s="27" t="s">
        <v>288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0.66091273148049368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0.8602182870360493</v>
      </c>
      <c r="N135" s="36" t="s">
        <v>219</v>
      </c>
      <c r="O135" s="39">
        <v>729290</v>
      </c>
    </row>
    <row r="136" spans="1:18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1.2275793981471603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235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306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307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308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244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268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218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/>
      <c r="G341" s="34" t="str">
        <f t="shared" si="75"/>
        <v/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/>
      <c r="G342" s="28" t="str">
        <f t="shared" si="75"/>
        <v/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/>
      <c r="G343" s="34" t="str">
        <f t="shared" si="75"/>
        <v/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/>
      <c r="M343" s="35">
        <f t="shared" ca="1" si="76"/>
        <v>1.190509254229255E-3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25</v>
      </c>
      <c r="G351" s="36">
        <f>SUM(G339:G350)</f>
        <v>105</v>
      </c>
      <c r="H351" s="37"/>
      <c r="I351" s="37"/>
      <c r="J351" s="37"/>
      <c r="K351" s="61"/>
      <c r="L351" s="61"/>
      <c r="M351" s="38">
        <f ca="1">IFERROR(SUM(M339:M350),"")</f>
        <v>3.8690509254229233E-2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208</v>
      </c>
      <c r="G352" s="40">
        <f>G338+G351</f>
        <v>885.6</v>
      </c>
      <c r="H352" s="41"/>
      <c r="I352" s="41"/>
      <c r="J352" s="41"/>
      <c r="K352" s="63"/>
      <c r="L352" s="63"/>
      <c r="M352" s="42">
        <f ca="1">IFERROR(M338+M351,"")</f>
        <v>0.14771828703200696</v>
      </c>
      <c r="N352" s="40" t="s">
        <v>222</v>
      </c>
      <c r="O352" s="48">
        <f>IFERROR(O338+O351,"")</f>
        <v>780000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2026-07-14T01:51:07Z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