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436" documentId="8_{C51EB6CB-002B-4D6B-B68F-DDEBDB4460C0}" xr6:coauthVersionLast="47" xr6:coauthVersionMax="47" xr10:uidLastSave="{881F65B2-F845-435E-A72A-D4C7C3ADF5C4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<sst xmlns="http://schemas.openxmlformats.org/spreadsheetml/2006/main" count="4526" uniqueCount="314">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</sst>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27280880</v>
      </c>
      <c r="D35" s="13">
        <f>IFERROR(SUM(D4:D34),"")</f>
        <v>8323860</v>
      </c>
      <c r="E35" s="13">
        <f>IFERROR(SUM(E4:E34),"")</f>
        <v>3877580</v>
      </c>
      <c r="F35" s="13">
        <f>IFERROR(SUM(F4:F34),"")</f>
        <v>10848750</v>
      </c>
      <c r="G35" s="13">
        <f>IFERROR(SUM(G4:G34),"")</f>
        <v>23050190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08" activePane="bottomLeft" state="frozen"/>
      <selection pane="bottomLeft" activeCell="F228" sqref="F22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269</v>
      </c>
      <c r="G230" s="36">
        <f>SUM(G218:G229)</f>
        <v>1345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269</v>
      </c>
      <c r="G244" s="40">
        <f>G230+G243</f>
        <v>1345</v>
      </c>
      <c r="H244" s="41"/>
      <c r="I244" s="41"/>
      <c r="J244" s="41"/>
      <c r="K244" s="41"/>
      <c r="L244" s="41"/>
      <c r="M244" s="42">
        <f ca="1">IFERROR(M230+M243,"")</f>
        <v>7.9166666666666552E-2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10" activePane="bottomLeft" state="frozen"/>
      <selection pane="bottomLeft" activeCell="F228" sqref="F2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0.58972569444449618</v>
      </c>
      <c r="N53" s="46" t="s">
        <v>260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0.72861458333338502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0.81333680555560739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262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263</v>
      </c>
      <c r="M96" s="30" t="str">
        <f t="shared" ref="M96:M107" ca="1" si="22">IFERROR(IF(K96="","",IF(L96="",MOD(NOW()-K96,1),IF(L96&gt;=K96,L96-K96,L96+1-K96))),"")</f>
        <v/>
      </c>
      <c r="N96" s="46" t="s">
        <v>264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/>
      <c r="M224" s="30">
        <f t="shared" ca="1" si="49"/>
        <v>1.1947916667850222E-2</v>
      </c>
      <c r="N224" s="46" t="s">
        <v>277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114</v>
      </c>
      <c r="G230" s="36">
        <f>SUM(G218:G229)</f>
        <v>482.80000000000007</v>
      </c>
      <c r="H230" s="37"/>
      <c r="I230" s="37"/>
      <c r="J230" s="37"/>
      <c r="K230" s="37"/>
      <c r="L230" s="37"/>
      <c r="M230" s="38">
        <f ca="1">IFERROR(SUM(M218:M229),"")</f>
        <v>0.14944791666785029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114</v>
      </c>
      <c r="G244" s="40">
        <f>G230+G243</f>
        <v>482.80000000000007</v>
      </c>
      <c r="H244" s="41"/>
      <c r="I244" s="41"/>
      <c r="J244" s="41"/>
      <c r="K244" s="41"/>
      <c r="L244" s="41"/>
      <c r="M244" s="42">
        <f ca="1">IFERROR(M230+M243,"")</f>
        <v>0.14944791666785029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9" zoomScale="50" zoomScaleNormal="50" workbookViewId="0">
      <selection activeCell="L223" sqref="L22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291</v>
      </c>
      <c r="M222" s="30" t="str">
        <f t="shared" ca="1" si="49"/>
        <v/>
      </c>
      <c r="N222" s="27" t="s">
        <v>292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63</v>
      </c>
      <c r="G230" s="36">
        <f>SUM(G218:G229)</f>
        <v>268.60000000000002</v>
      </c>
      <c r="H230" s="37"/>
      <c r="I230" s="37"/>
      <c r="J230" s="37"/>
      <c r="K230" s="37"/>
      <c r="L230" s="37"/>
      <c r="M230" s="38">
        <f ca="1">IFERROR(SUM(M218:M229),"")</f>
        <v>5.8333333333333348E-2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63</v>
      </c>
      <c r="G244" s="40">
        <f>G230+G243</f>
        <v>268.60000000000002</v>
      </c>
      <c r="H244" s="41"/>
      <c r="I244" s="41"/>
      <c r="J244" s="41"/>
      <c r="K244" s="41"/>
      <c r="L244" s="41"/>
      <c r="M244" s="42">
        <f ca="1">IFERROR(M230+M243,"")</f>
        <v>5.8333333333333348E-2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7" activePane="bottomLeft" state="frozen"/>
      <selection pane="bottomLeft" activeCell="F227" sqref="F22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37.28515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308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309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311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312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313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127</v>
      </c>
      <c r="G230" s="36">
        <f>SUM(G218:G229)</f>
        <v>549.40000000000009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127</v>
      </c>
      <c r="G244" s="40">
        <f>G230+G243</f>
        <v>549.40000000000009</v>
      </c>
      <c r="H244" s="41"/>
      <c r="I244" s="41"/>
      <c r="J244" s="41"/>
      <c r="K244" s="63"/>
      <c r="L244" s="63"/>
      <c r="M244" s="42">
        <f ca="1">IFERROR(M230+M243,"")</f>
        <v>5.4166666666666752E-2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2026-08-09T21:04:12Z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