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06" documentId="8_{1D11E9C4-FEA4-4128-910F-91CB6BBF9255}" xr6:coauthVersionLast="47" xr6:coauthVersionMax="47" xr10:uidLastSave="{DE40D0B5-4813-4A80-8611-AE2EC0E92B75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<sst xmlns="http://schemas.openxmlformats.org/spreadsheetml/2006/main" count="7783" uniqueCount="354">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</sst>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>
      <c r="H49" s="96"/>
      <c r="I49" s="4"/>
      <c r="J49" s="4"/>
      <c r="K49" s="4" t="s">
        <v>173</v>
      </c>
      <c r="L49" s="4"/>
      <c r="M49" s="4"/>
    </row>
    <row r="50" spans="1:13" ht="21" customHeight="1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0" sqref="E71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>
      <c r="A352" s="91" t="s">
        <v>188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>
        <v>13</v>
      </c>
      <c r="L706" s="70">
        <f t="shared" si="160"/>
        <v>13</v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13</v>
      </c>
      <c r="F709" s="17">
        <f t="shared" si="159"/>
        <v>65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185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13.092361111111112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187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13.092361111111112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69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62</v>
      </c>
      <c r="F716" s="19">
        <f>SUM(F704:F715)</f>
        <v>248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77" activePane="bottomLeft" state="frozen"/>
      <selection pane="bottomLeft" activeCell="I705" sqref="I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>
      <c r="A28" s="91" t="s">
        <v>188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>
      <c r="A55" s="91" t="s">
        <v>188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>
      <c r="A109" s="91" t="s">
        <v>188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>
      <c r="A136" s="91" t="s">
        <v>188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>
      <c r="A217" s="91" t="s">
        <v>188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36</v>
      </c>
      <c r="F716" s="19">
        <f>SUM(F704:F715)</f>
        <v>144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36</v>
      </c>
      <c r="F730" s="22">
        <f>F716+F729</f>
        <v>144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88" activePane="bottomLeft" state="frozen"/>
      <selection pane="bottomLeft" activeCell="H705" sqref="H70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>
      <c r="A433" s="91" t="s">
        <v>188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185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/>
      <c r="J705" s="13">
        <v>0.50694444444444442</v>
      </c>
      <c r="K705" s="13"/>
      <c r="L705" s="71" t="str">
        <f t="shared" si="158"/>
        <v/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58</v>
      </c>
      <c r="F716" s="19">
        <f>SUM(F704:F715)</f>
        <v>232</v>
      </c>
      <c r="G716" s="38"/>
      <c r="H716" s="38"/>
      <c r="I716" s="38"/>
      <c r="J716" s="38"/>
      <c r="K716" s="38"/>
      <c r="L716" s="72">
        <f>IFERROR(SUM(L704:L715),"")</f>
        <v>2.0833333333333315E-2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58</v>
      </c>
      <c r="F730" s="22">
        <f>F716+F729</f>
        <v>232</v>
      </c>
      <c r="G730" s="39"/>
      <c r="H730" s="39"/>
      <c r="I730" s="39"/>
      <c r="J730" s="39"/>
      <c r="K730" s="39"/>
      <c r="L730" s="73">
        <f>IFERROR(L716+L729,"")</f>
        <v>2.0833333333333315E-2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185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187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>
      <c r="A811" s="107" t="s">
        <v>188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2026-06-27T17:28:16Z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