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39" documentId="8_{AF585B22-221D-4780-BB9C-493D365A6A02}" xr6:coauthVersionLast="47" xr6:coauthVersionMax="47" xr10:uidLastSave="{9038D414-2F8D-48AD-B282-81AB6F9EBD5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<sst xmlns="http://schemas.openxmlformats.org/spreadsheetml/2006/main" count="6109" uniqueCount="315">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</sst>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47</v>
      </c>
      <c r="G378" s="36">
        <f>SUM(G366:G377)</f>
        <v>235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322</v>
      </c>
      <c r="G379" s="40">
        <f>G365+G378</f>
        <v>1610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70" sqref="L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45" zoomScale="50" zoomScaleNormal="50" workbookViewId="0">
      <selection activeCell="J366" sqref="J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20</v>
      </c>
      <c r="I366" s="26" t="s">
        <v>47</v>
      </c>
      <c r="J366" s="26" t="s">
        <v>56</v>
      </c>
      <c r="K366" s="29">
        <v>0.93958333333333333</v>
      </c>
      <c r="L366" s="29"/>
      <c r="M366" s="30">
        <f t="shared" ref="M366:M377" ca="1" si="82">IFERROR(IF(K366="","",IF(L366="",MOD(NOW()-K366,1),IF(L366&gt;=K366,L366-K366,L366+1-K366))),"")</f>
        <v>3.0462963331956416E-4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31</v>
      </c>
      <c r="G378" s="36">
        <f>SUM(G366:G377)</f>
        <v>130.20000000000002</v>
      </c>
      <c r="H378" s="37"/>
      <c r="I378" s="37"/>
      <c r="J378" s="37"/>
      <c r="K378" s="37"/>
      <c r="L378" s="37"/>
      <c r="M378" s="38">
        <f ca="1">IFERROR(SUM(M366:M377),"")</f>
        <v>3.0462963331956416E-4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168.00000000000003</v>
      </c>
      <c r="H379" s="41"/>
      <c r="I379" s="41"/>
      <c r="J379" s="41"/>
      <c r="K379" s="41"/>
      <c r="L379" s="41"/>
      <c r="M379" s="42">
        <f ca="1">IFERROR(M365+M378,"")</f>
        <v>0.43155462963331953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D369" sqref="D369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0.69058240741287591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0.88988796296843153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1.2572490740795426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50</v>
      </c>
      <c r="G378" s="36">
        <f>SUM(G366:G377)</f>
        <v>210</v>
      </c>
      <c r="H378" s="37"/>
      <c r="I378" s="37"/>
      <c r="J378" s="37"/>
      <c r="K378" s="61"/>
      <c r="L378" s="61"/>
      <c r="M378" s="38">
        <f ca="1">IFERROR(SUM(M366:M377),"")</f>
        <v>2.430555555555558E-2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175</v>
      </c>
      <c r="G379" s="40">
        <f>G365+G378</f>
        <v>735</v>
      </c>
      <c r="H379" s="41"/>
      <c r="I379" s="41"/>
      <c r="J379" s="41"/>
      <c r="K379" s="63"/>
      <c r="L379" s="63"/>
      <c r="M379" s="42">
        <f ca="1">IFERROR(M365+M378,"")</f>
        <v>0.12916666666666676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2026-07-15T02:33:33Z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