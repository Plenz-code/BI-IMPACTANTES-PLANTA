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4" documentId="8_{AF585B22-221D-4780-BB9C-493D365A6A02}" xr6:coauthVersionLast="47" xr6:coauthVersionMax="47" xr10:uidLastSave="{2CA7EEE4-C0C1-4337-8425-32FACE60BC19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<sst xmlns="http://schemas.openxmlformats.org/spreadsheetml/2006/main" count="1515" uniqueCount="209">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</sst>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174</v>
      </c>
      <c r="L48" s="16"/>
      <c r="M48" s="16"/>
    </row>
    <row r="49" spans="1:13" ht="18" customHeight="1">
      <c r="H49" s="87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177</v>
      </c>
      <c r="L50" s="16"/>
      <c r="M50" s="16"/>
    </row>
    <row r="51" spans="1:13" ht="24" customHeight="1">
      <c r="H51" s="87"/>
      <c r="I51" s="17"/>
      <c r="J51" s="17"/>
      <c r="K51" s="17" t="s">
        <v>178</v>
      </c>
      <c r="L51" s="17"/>
      <c r="M51" s="17"/>
    </row>
    <row r="52" spans="1:13" ht="24" customHeight="1">
      <c r="H52" s="87"/>
      <c r="I52" s="16"/>
      <c r="J52" s="16"/>
      <c r="K52" s="16" t="s">
        <v>179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" activePane="bottomLeft" state="frozen"/>
      <selection pane="bottomLeft" activeCell="G35" sqref="G3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/>
      <c r="M30" s="30">
        <f t="shared" ca="1" si="7"/>
        <v>0.37403877315227874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0.42126099537450096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0.42126099537450096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8" activePane="bottomLeft" state="frozen"/>
      <selection pane="bottomLeft" activeCell="F40" sqref="F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198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90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199</v>
      </c>
      <c r="M29" s="35" t="str">
        <f t="shared" ref="M29:M40" ca="1" si="7">IFERROR(IF(K29="","",IF(L29="",MOD(NOW()-K29,1),IF(L29&gt;=K29,L29-K29,L29+1-K29))),"")</f>
        <v/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>
        <v>5</v>
      </c>
      <c r="G39" s="28">
        <f t="shared" si="6"/>
        <v>21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76</v>
      </c>
      <c r="G41" s="36">
        <f>SUM(G29:G40)</f>
        <v>319.20000000000005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76</v>
      </c>
      <c r="G55" s="40">
        <f>G41+G54</f>
        <v>319.20000000000005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20" activePane="bottomLeft" state="frozen"/>
      <selection pane="bottomLeft" activeCell="D38" sqref="D38:D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198</v>
      </c>
      <c r="F39" s="27">
        <v>1</v>
      </c>
      <c r="G39" s="28">
        <f t="shared" si="6"/>
        <v>4.2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54</v>
      </c>
      <c r="G41" s="36">
        <f>SUM(G29:G40)</f>
        <v>226.8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54</v>
      </c>
      <c r="G55" s="40">
        <f>G41+G54</f>
        <v>226.8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H37" sqref="H3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50</v>
      </c>
      <c r="G41" s="36">
        <f>SUM(G29:G40)</f>
        <v>210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50</v>
      </c>
      <c r="G55" s="40">
        <f>G41+G54</f>
        <v>210</v>
      </c>
      <c r="H55" s="41"/>
      <c r="I55" s="41"/>
      <c r="J55" s="41"/>
      <c r="K55" s="63"/>
      <c r="L55" s="63"/>
      <c r="M55" s="42">
        <f ca="1">IFERROR(M41+M54,"")</f>
        <v>0.22430555555555565</v>
      </c>
      <c r="N55" s="40" t="s">
        <v>197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2026-07-02T22:04:51Z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