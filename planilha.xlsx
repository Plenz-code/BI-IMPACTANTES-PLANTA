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71" documentId="8_{C51EB6CB-002B-4D6B-B68F-DDEBDB4460C0}" xr6:coauthVersionLast="47" xr6:coauthVersionMax="47" xr10:uidLastSave="{4CE8CA65-8DCD-45D8-92F7-F3EB8435E9DD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<sst xmlns="http://schemas.openxmlformats.org/spreadsheetml/2006/main" count="5897" uniqueCount="343">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</sst>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L313" sqref="L313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3.5508564811607357E-2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0.13759189814494077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0.22717523147827406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94" activePane="bottomLeft" state="frozen"/>
      <selection pane="bottomLeft" activeCell="J320" sqref="J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0.13273078703059582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0.27161967591948472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0.35634189814170703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 t="s">
        <v>17</v>
      </c>
      <c r="I319" s="33" t="s">
        <v>31</v>
      </c>
      <c r="J319" s="33" t="s">
        <v>49</v>
      </c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 t="s">
        <v>18</v>
      </c>
      <c r="I320" s="26" t="s">
        <v>135</v>
      </c>
      <c r="J320" s="26" t="s">
        <v>223</v>
      </c>
      <c r="K320" s="29">
        <v>0.25069444444444444</v>
      </c>
      <c r="L320" s="29"/>
      <c r="M320" s="30">
        <f t="shared" ca="1" si="70"/>
        <v>3.5641203648992814E-3</v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10</v>
      </c>
      <c r="G322" s="34">
        <f t="shared" si="69"/>
        <v>42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164</v>
      </c>
      <c r="G324" s="36">
        <f>SUM(G312:G323)</f>
        <v>699.2</v>
      </c>
      <c r="H324" s="37"/>
      <c r="I324" s="37"/>
      <c r="J324" s="37"/>
      <c r="K324" s="37"/>
      <c r="L324" s="37"/>
      <c r="M324" s="38">
        <f ca="1">IFERROR(SUM(M312:M323),"")</f>
        <v>9.1758564809343551E-2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333</v>
      </c>
      <c r="G325" s="40">
        <f>G311+G324</f>
        <v>1409</v>
      </c>
      <c r="H325" s="41"/>
      <c r="I325" s="41"/>
      <c r="J325" s="41"/>
      <c r="K325" s="41"/>
      <c r="L325" s="41"/>
      <c r="M325" s="42">
        <f ca="1">IFERROR(M311+M324,"")</f>
        <v>0.14523078703156569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92" zoomScale="68" zoomScaleNormal="68" workbookViewId="0">
      <selection activeCell="K317" sqref="K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306</v>
      </c>
      <c r="M222" s="30" t="str">
        <f t="shared" ca="1" si="49"/>
        <v/>
      </c>
      <c r="N222" s="27" t="s">
        <v>307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5.9814120366354473E-2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0.12161967592191002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0.1827307870330212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309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310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>
        <v>0.25069444444444444</v>
      </c>
      <c r="L316" s="29"/>
      <c r="M316" s="30">
        <f t="shared" ca="1" si="70"/>
        <v>3.5641203648992814E-3</v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</v>
      </c>
      <c r="G322" s="28">
        <f t="shared" si="69"/>
        <v>8.4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62</v>
      </c>
      <c r="G324" s="36">
        <f>SUM(G312:G323)</f>
        <v>263.59999999999997</v>
      </c>
      <c r="H324" s="37"/>
      <c r="I324" s="37"/>
      <c r="J324" s="37"/>
      <c r="K324" s="37"/>
      <c r="L324" s="37"/>
      <c r="M324" s="38">
        <f ca="1">IFERROR(SUM(M312:M323),"")</f>
        <v>4.1064120364899245E-2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185</v>
      </c>
      <c r="G325" s="40">
        <f>G311+G324</f>
        <v>780.19999999999982</v>
      </c>
      <c r="H325" s="41"/>
      <c r="I325" s="41"/>
      <c r="J325" s="41"/>
      <c r="K325" s="41"/>
      <c r="L325" s="41"/>
      <c r="M325" s="42">
        <f ca="1">IFERROR(M311+M324,"")</f>
        <v>6.9536342587121533E-2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23" sqref="F323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338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339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340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341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342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>
        <v>20</v>
      </c>
      <c r="G322" s="28">
        <f t="shared" si="69"/>
        <v>84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213</v>
      </c>
      <c r="G324" s="36">
        <f>SUM(G312:G323)</f>
        <v>908.19999999999993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405</v>
      </c>
      <c r="G325" s="40">
        <f>G311+G324</f>
        <v>1714.6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2026-08-13T10:06:08Z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