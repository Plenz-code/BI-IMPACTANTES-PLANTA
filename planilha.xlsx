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53" documentId="8_{AF585B22-221D-4780-BB9C-493D365A6A02}" xr6:coauthVersionLast="47" xr6:coauthVersionMax="47" xr10:uidLastSave="{B2D0CE6D-9C5F-45CC-AF69-97A776C40A8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<sst xmlns="http://schemas.openxmlformats.org/spreadsheetml/2006/main" count="4169" uniqueCount="279">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</sst>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0" activePane="bottomLeft" state="frozen"/>
      <selection pane="bottomLeft" activeCell="H231" sqref="H2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/>
      <c r="J231" s="33"/>
      <c r="K231" s="29">
        <v>6.5972222222222224E-2</v>
      </c>
      <c r="L231" s="29"/>
      <c r="M231" s="35">
        <f t="shared" ref="M231:M242" ca="1" si="52">IFERROR(IF(K231="","",IF(L231="",MOD(NOW()-K231,1),IF(L231&gt;=K231,L231-K231,L231+1-K231))),"")</f>
        <v>3.8021990767447278E-3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144</v>
      </c>
      <c r="G243" s="36">
        <f>SUM(G231:G242)</f>
        <v>720</v>
      </c>
      <c r="H243" s="37"/>
      <c r="I243" s="37"/>
      <c r="J243" s="37"/>
      <c r="K243" s="37"/>
      <c r="L243" s="37"/>
      <c r="M243" s="38">
        <f ca="1">IFERROR(SUM(M231:M242),"")</f>
        <v>3.8021990767447278E-3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382</v>
      </c>
      <c r="G244" s="40">
        <f>G230+G243</f>
        <v>1910</v>
      </c>
      <c r="H244" s="41"/>
      <c r="I244" s="41"/>
      <c r="J244" s="41"/>
      <c r="K244" s="41"/>
      <c r="L244" s="41"/>
      <c r="M244" s="42">
        <f ca="1">IFERROR(M230+M243,"")</f>
        <v>8.2274421298966949E-2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7" sqref="F2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273.00000000000006</v>
      </c>
      <c r="H243" s="37"/>
      <c r="I243" s="37"/>
      <c r="J243" s="37"/>
      <c r="K243" s="37"/>
      <c r="L243" s="37"/>
      <c r="M243" s="38">
        <f ca="1">IFERROR(SUM(M231:M242),"")</f>
        <v>0.1319444444444445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180</v>
      </c>
      <c r="G244" s="40">
        <f>G230+G243</f>
        <v>756</v>
      </c>
      <c r="H244" s="41"/>
      <c r="I244" s="41"/>
      <c r="J244" s="41"/>
      <c r="K244" s="41"/>
      <c r="L244" s="41"/>
      <c r="M244" s="42">
        <f ca="1">IFERROR(M230+M243,"")</f>
        <v>0.46250000000000002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7" sqref="F2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69</v>
      </c>
      <c r="G243" s="36">
        <f>SUM(G231:G242)</f>
        <v>289.8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171</v>
      </c>
      <c r="G244" s="40">
        <f>G230+G243</f>
        <v>718.2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K237" sqref="K2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0.82046886574244127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1.0197744212979969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1.3871355324091079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92</v>
      </c>
      <c r="G243" s="36">
        <f>SUM(G231:G242)</f>
        <v>386.4</v>
      </c>
      <c r="H243" s="37"/>
      <c r="I243" s="37"/>
      <c r="J243" s="37"/>
      <c r="K243" s="61"/>
      <c r="L243" s="61"/>
      <c r="M243" s="38">
        <f ca="1">IFERROR(SUM(M231:M242),"")</f>
        <v>0.13611111111111102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210</v>
      </c>
      <c r="G244" s="40">
        <f>G230+G243</f>
        <v>882</v>
      </c>
      <c r="H244" s="41"/>
      <c r="I244" s="41"/>
      <c r="J244" s="41"/>
      <c r="K244" s="63"/>
      <c r="L244" s="63"/>
      <c r="M244" s="42">
        <f ca="1">IFERROR(M230+M243,"")</f>
        <v>0.33263888888888893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2026-07-10T05:40:33Z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