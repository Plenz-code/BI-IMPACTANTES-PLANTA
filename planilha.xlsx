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200" documentId="8_{1D11E9C4-FEA4-4128-910F-91CB6BBF9255}" xr6:coauthVersionLast="47" xr6:coauthVersionMax="47" xr10:uidLastSave="{D953F4BB-06C9-40D6-8482-DA8B53F54092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06" i="3" l="1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<sst xmlns="http://schemas.openxmlformats.org/spreadsheetml/2006/main" count="7813" uniqueCount="359">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</sst>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0</v>
      </c>
      <c r="D30" s="49">
        <f>IFERROR('Linha 1'!N730,"")</f>
        <v>0</v>
      </c>
      <c r="E30" s="49">
        <f>IFERROR('Linha 2'!N730,"")</f>
        <v>0</v>
      </c>
      <c r="F30" s="49">
        <f>IFERROR('Linha 3'!N730,"")</f>
        <v>0</v>
      </c>
      <c r="G30" s="50">
        <f t="shared" si="0"/>
        <v>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44615590</v>
      </c>
      <c r="D34" s="55">
        <f t="shared" si="1"/>
        <v>22242420</v>
      </c>
      <c r="E34" s="55">
        <f t="shared" si="1"/>
        <v>8572600</v>
      </c>
      <c r="F34" s="55">
        <f t="shared" si="1"/>
        <v>24933925</v>
      </c>
      <c r="G34" s="55">
        <f t="shared" si="1"/>
        <v>55748945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173</v>
      </c>
      <c r="L48" s="3"/>
      <c r="M48" s="3"/>
    </row>
    <row r="49" spans="1:13" ht="18" customHeight="1">
      <c r="H49" s="9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83" activePane="bottomLeft" state="frozen"/>
      <selection pane="bottomLeft" activeCell="E715" sqref="E715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186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188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186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188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186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188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186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188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186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188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186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188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186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188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186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188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186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188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186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188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186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188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186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188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186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188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1" t="s">
        <v>189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186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188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186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188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186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188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188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186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188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186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188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186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188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186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188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186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188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186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188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186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188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186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188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186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188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/>
      <c r="F715" s="17" t="str">
        <f t="shared" si="159"/>
        <v/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186</v>
      </c>
      <c r="B716" s="98"/>
      <c r="C716" s="98"/>
      <c r="D716" s="98"/>
      <c r="E716" s="19">
        <f>SUM(E704:E715)</f>
        <v>104</v>
      </c>
      <c r="F716" s="19">
        <f>SUM(F704:F715)</f>
        <v>520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 t="s">
        <v>29</v>
      </c>
      <c r="D717" s="16" t="s">
        <v>30</v>
      </c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76" t="s">
        <v>29</v>
      </c>
      <c r="D718" s="76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6" t="s">
        <v>29</v>
      </c>
      <c r="D719" s="16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188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104</v>
      </c>
      <c r="F730" s="22">
        <f>F716+F729</f>
        <v>520</v>
      </c>
      <c r="G730" s="21"/>
      <c r="H730" s="21"/>
      <c r="I730" s="21"/>
      <c r="J730" s="21"/>
      <c r="K730" s="21"/>
      <c r="L730" s="73">
        <f>IFERROR(L716+L729,"")</f>
        <v>0.25138888888888883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186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188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186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188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186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188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B1" zoomScale="85" zoomScaleNormal="85" workbookViewId="0">
      <pane ySplit="1" topLeftCell="A682" activePane="bottomLeft" state="frozen"/>
      <selection pane="bottomLeft" activeCell="E716" sqref="E71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/>
      <c r="L708" s="70" t="str">
        <f t="shared" si="158"/>
        <v/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9.5138888888888828E-2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133</v>
      </c>
      <c r="F730" s="22">
        <f>F716+F729</f>
        <v>532</v>
      </c>
      <c r="G730" s="21"/>
      <c r="H730" s="21"/>
      <c r="I730" s="21"/>
      <c r="J730" s="21"/>
      <c r="K730" s="21"/>
      <c r="L730" s="73">
        <f>IFERROR(L716+L729,"")</f>
        <v>9.5138888888888828E-2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689" activePane="bottomLeft" state="frozen"/>
      <selection pane="bottomLeft" activeCell="E716" sqref="E71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1" t="s">
        <v>189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1" t="s">
        <v>189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1" t="s">
        <v>189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1" t="s">
        <v>189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1" t="s">
        <v>189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/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60</v>
      </c>
      <c r="F730" s="22">
        <f>F716+F729</f>
        <v>240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695" activePane="bottomLeft" state="frozen"/>
      <selection pane="bottomLeft" activeCell="E716" sqref="E716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1" t="s">
        <v>189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186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16</v>
      </c>
      <c r="F715" s="17">
        <f t="shared" si="157"/>
        <v>64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125</v>
      </c>
      <c r="F716" s="19">
        <f>SUM(F704:F715)</f>
        <v>500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63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125</v>
      </c>
      <c r="F730" s="22">
        <f>F716+F729</f>
        <v>500</v>
      </c>
      <c r="G730" s="39"/>
      <c r="H730" s="39"/>
      <c r="I730" s="39"/>
      <c r="J730" s="39"/>
      <c r="K730" s="39"/>
      <c r="L730" s="73">
        <f>IFERROR(L716+L729,"")</f>
        <v>0.11180555555555566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186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188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07" t="s">
        <v>189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2026-06-27T22:26:41Z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