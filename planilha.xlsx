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23" documentId="13_ncr:1_{0A10D8D4-8450-4366-8075-B53B08E6B7EA}" xr6:coauthVersionLast="47" xr6:coauthVersionMax="47" xr10:uidLastSave="{E2A8390E-BE38-470F-BAF6-53C18C2ED8E7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9" i="4" l="1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<sst xmlns="http://schemas.openxmlformats.org/spreadsheetml/2006/main" count="6933" uniqueCount="353">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</sst>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G403" sqref="G40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265</v>
      </c>
      <c r="G405" s="36">
        <f>SUM(G393:G404)</f>
        <v>1325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545</v>
      </c>
      <c r="G406" s="40">
        <f>G392+G405</f>
        <v>2740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G401" sqref="G40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3.6769212958461139E-2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0.17565810184735003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0.26038032406957234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100.80000000000001</v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130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546</v>
      </c>
      <c r="L405" s="37"/>
      <c r="M405" s="37"/>
      <c r="N405" s="37"/>
      <c r="O405" s="37"/>
      <c r="P405" s="37"/>
      <c r="Q405" s="38">
        <f ca="1">IFERROR(SUM(Q393:Q404),"")</f>
        <v>8.611111111111118E-2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296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1243.2000000000003</v>
      </c>
      <c r="L406" s="41"/>
      <c r="M406" s="41"/>
      <c r="N406" s="41"/>
      <c r="O406" s="41"/>
      <c r="P406" s="41"/>
      <c r="Q406" s="42">
        <f ca="1">IFERROR(Q392+Q405,"")</f>
        <v>0.15833333333333338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2" activePane="bottomLeft" state="frozen"/>
      <selection pane="bottomLeft" activeCell="G401" sqref="G40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2"/>
        <v>0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2"/>
        <v>0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90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378.00000000000006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182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735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79" activePane="bottomLeft" state="frozen"/>
      <selection pane="bottomLeft" activeCell="N395" sqref="N39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0.53051921295991633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0.59510254629324955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/>
      <c r="Q395" s="35">
        <f t="shared" ca="1" si="96"/>
        <v>2.0469907394726761E-3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0</v>
      </c>
      <c r="I399" s="135">
        <f>IFERROR(IF($D399="","",VLOOKUP($D399,Cadastro!$C$4:$G$7,5,FALSE)),"")</f>
        <v>0.6</v>
      </c>
      <c r="J399" s="136">
        <f t="shared" si="94"/>
        <v>0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0</v>
      </c>
      <c r="I400" s="135">
        <f>IFERROR(IF($D400="","",VLOOKUP($D400,Cadastro!$C$4:$G$7,5,FALSE)),"")</f>
        <v>0.6</v>
      </c>
      <c r="J400" s="136">
        <f t="shared" si="94"/>
        <v>0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151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634.20000000000005</v>
      </c>
      <c r="L405" s="37"/>
      <c r="M405" s="37"/>
      <c r="N405" s="37"/>
      <c r="O405" s="61"/>
      <c r="P405" s="61"/>
      <c r="Q405" s="38">
        <f ca="1">IFERROR(SUM(Q393:Q404),"")</f>
        <v>3.7463657406139377E-2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291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1222.2</v>
      </c>
      <c r="L406" s="41"/>
      <c r="M406" s="41"/>
      <c r="N406" s="41"/>
      <c r="O406" s="63"/>
      <c r="P406" s="63"/>
      <c r="Q406" s="42">
        <f ca="1">IFERROR(Q392+Q405,"")</f>
        <v>0.63256620369938887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2026-08-16T07:48:11Z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