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46" documentId="13_ncr:1_{A6DBCFB4-28D9-4249-9038-216934055CA6}" xr6:coauthVersionLast="47" xr6:coauthVersionMax="47" xr10:uidLastSave="{AB252D2C-5D8A-4BB5-BFDC-3CC2E867E3D8}"/>
  <bookViews>
    <workbookView xWindow="-110" yWindow="-110" windowWidth="25820" windowHeight="15500" tabRatio="500" firstSheet="3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91" i="3" l="1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J507" i="5" s="1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11" i="4" l="1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<sst xmlns="http://schemas.openxmlformats.org/spreadsheetml/2006/main" count="8650" uniqueCount="399">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</sst>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6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7" t="s">
        <v>0</v>
      </c>
      <c r="B1" s="157"/>
      <c r="C1" s="157"/>
      <c r="D1" s="157"/>
      <c r="E1" s="157"/>
      <c r="F1" s="157"/>
      <c r="G1" s="157"/>
      <c r="H1" s="157"/>
      <c r="I1" s="157"/>
      <c r="J1" s="157"/>
      <c r="K1" s="157"/>
      <c r="L1" s="157"/>
    </row>
    <row r="2" spans="1:12" ht="30" customHeight="1">
      <c r="A2" s="158"/>
      <c r="B2" s="15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1474930</v>
      </c>
      <c r="D22" s="19">
        <f>IFERROR('Linha 1'!S514,"")</f>
        <v>598340</v>
      </c>
      <c r="E22" s="19">
        <f>IFERROR('Linha 2'!S514,"")</f>
        <v>372250</v>
      </c>
      <c r="F22" s="19">
        <f>IFERROR('Linha 3'!S514,"")</f>
        <v>864280</v>
      </c>
      <c r="G22" s="20">
        <f t="shared" si="0"/>
        <v>1834870</v>
      </c>
      <c r="H22" s="21">
        <f>IFERROR('Linha 1'!T514+'Linha 2'!T514+'Linha 3'!T514,0)</f>
        <v>264.22127999999998</v>
      </c>
      <c r="I22" s="21"/>
      <c r="J22" s="22">
        <f t="shared" si="1"/>
        <v>0</v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59" t="s">
        <v>16</v>
      </c>
      <c r="B35" s="159"/>
      <c r="C35" s="30">
        <f t="shared" ref="C35:I35" si="2">IFERROR(SUM(C4:C34),"")</f>
        <v>69393780</v>
      </c>
      <c r="D35" s="30">
        <f t="shared" si="2"/>
        <v>22765740</v>
      </c>
      <c r="E35" s="30">
        <f t="shared" si="2"/>
        <v>11910920</v>
      </c>
      <c r="F35" s="30">
        <f t="shared" si="2"/>
        <v>28979710</v>
      </c>
      <c r="G35" s="30">
        <f t="shared" si="2"/>
        <v>63656370</v>
      </c>
      <c r="H35" s="31">
        <f t="shared" si="2"/>
        <v>5209.7154450601884</v>
      </c>
      <c r="I35" s="31">
        <f t="shared" si="2"/>
        <v>4625.8500000000004</v>
      </c>
      <c r="J35" s="32">
        <f>IFERROR(AVERAGE(J4:J34),"-")</f>
        <v>0.73181916023220261</v>
      </c>
      <c r="K35" s="33">
        <f>SUM(K4:K34)</f>
        <v>450.78</v>
      </c>
      <c r="L35" s="34">
        <f>IFERROR(SUM(L4:L34),"")</f>
        <v>3105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0" t="s">
        <v>17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  <c r="M1" s="161"/>
      <c r="N1" s="162" t="s">
        <v>18</v>
      </c>
      <c r="O1" s="162"/>
      <c r="P1" s="162"/>
      <c r="Q1" s="162"/>
      <c r="R1" s="162"/>
    </row>
    <row r="2" spans="1:18" ht="4.5" customHeight="1">
      <c r="M2" s="16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1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1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1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1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1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1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1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1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1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1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1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1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1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1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1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1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1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1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1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1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1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1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1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1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1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1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1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1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1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1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1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1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1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1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1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1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1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1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1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1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1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1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1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1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1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1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1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1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1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1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1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1"/>
      <c r="N59" s="40"/>
      <c r="O59" s="40"/>
      <c r="P59" s="40" t="s">
        <v>222</v>
      </c>
      <c r="Q59" s="40"/>
      <c r="R59" s="40"/>
    </row>
    <row r="60" spans="1:18" ht="15" customHeight="1">
      <c r="M60" s="161"/>
      <c r="N60" s="37"/>
      <c r="O60" s="37"/>
      <c r="P60" s="53" t="s">
        <v>114</v>
      </c>
      <c r="Q60" s="37"/>
      <c r="R60" s="37"/>
    </row>
    <row r="61" spans="1:18" ht="15" customHeight="1">
      <c r="M61" s="161"/>
      <c r="N61" s="40"/>
      <c r="O61" s="40"/>
      <c r="P61" s="40" t="s">
        <v>223</v>
      </c>
      <c r="Q61" s="40"/>
      <c r="R61" s="40"/>
    </row>
    <row r="62" spans="1:18" ht="15" customHeight="1">
      <c r="M62" s="161"/>
      <c r="N62" s="37"/>
      <c r="O62" s="37"/>
      <c r="P62" s="37" t="s">
        <v>224</v>
      </c>
      <c r="Q62" s="37"/>
      <c r="R62" s="37"/>
    </row>
    <row r="63" spans="1:18" ht="15" customHeight="1">
      <c r="M63" s="161"/>
      <c r="N63" s="40"/>
      <c r="O63" s="40"/>
      <c r="P63" s="40" t="s">
        <v>225</v>
      </c>
      <c r="Q63" s="40"/>
      <c r="R63" s="40"/>
    </row>
    <row r="64" spans="1:18" ht="15" customHeight="1">
      <c r="M64" s="161"/>
      <c r="N64" s="37"/>
      <c r="O64" s="37"/>
      <c r="P64" s="37" t="s">
        <v>226</v>
      </c>
      <c r="Q64" s="37"/>
      <c r="R64" s="37"/>
    </row>
    <row r="65" spans="13:18" ht="15" customHeight="1">
      <c r="M65" s="161"/>
      <c r="N65" s="40"/>
      <c r="O65" s="40"/>
      <c r="P65" s="40" t="s">
        <v>227</v>
      </c>
      <c r="Q65" s="40"/>
      <c r="R65" s="40"/>
    </row>
    <row r="66" spans="13:18" ht="15" customHeight="1">
      <c r="M66" s="161"/>
      <c r="N66" s="37"/>
      <c r="O66" s="37"/>
      <c r="P66" s="37" t="s">
        <v>228</v>
      </c>
      <c r="Q66" s="37"/>
      <c r="R66" s="37"/>
    </row>
    <row r="67" spans="13:18" ht="15" customHeight="1">
      <c r="M67" s="161"/>
      <c r="N67" s="40"/>
      <c r="O67" s="40"/>
      <c r="P67" s="40" t="s">
        <v>229</v>
      </c>
      <c r="Q67" s="40"/>
      <c r="R67" s="40"/>
    </row>
    <row r="68" spans="13:18" ht="15" customHeight="1">
      <c r="M68" s="161"/>
      <c r="N68" s="37"/>
      <c r="O68" s="37"/>
      <c r="P68" s="37" t="s">
        <v>230</v>
      </c>
      <c r="Q68" s="37"/>
      <c r="R68" s="37"/>
    </row>
    <row r="69" spans="13:18" ht="15" customHeight="1">
      <c r="M69" s="161"/>
      <c r="N69" s="40"/>
      <c r="O69" s="40"/>
      <c r="P69" s="40" t="s">
        <v>231</v>
      </c>
      <c r="Q69" s="40"/>
      <c r="R69" s="40"/>
    </row>
    <row r="70" spans="13:18" ht="15" customHeight="1">
      <c r="M70" s="161"/>
      <c r="N70" s="37"/>
      <c r="O70" s="37"/>
      <c r="P70" s="37" t="s">
        <v>232</v>
      </c>
      <c r="Q70" s="37"/>
      <c r="R70" s="37"/>
    </row>
    <row r="71" spans="13:18" ht="15" customHeight="1">
      <c r="M71" s="161"/>
      <c r="N71" s="40"/>
      <c r="O71" s="40"/>
      <c r="P71" s="40" t="s">
        <v>233</v>
      </c>
      <c r="Q71" s="40"/>
      <c r="R71" s="40"/>
    </row>
    <row r="72" spans="13:18" ht="15" customHeight="1">
      <c r="M72" s="161"/>
      <c r="N72" s="37"/>
      <c r="O72" s="37"/>
      <c r="P72" s="37" t="s">
        <v>234</v>
      </c>
      <c r="Q72" s="37"/>
      <c r="R72" s="37"/>
    </row>
    <row r="73" spans="13:18" ht="15" customHeight="1">
      <c r="M73" s="161"/>
      <c r="N73" s="40"/>
      <c r="O73" s="40"/>
      <c r="P73" s="40" t="s">
        <v>235</v>
      </c>
      <c r="Q73" s="40"/>
      <c r="R73" s="40"/>
    </row>
    <row r="74" spans="13:18" ht="15" customHeight="1">
      <c r="M74" s="161"/>
      <c r="N74" s="37"/>
      <c r="O74" s="37"/>
      <c r="P74" s="37" t="s">
        <v>236</v>
      </c>
      <c r="Q74" s="37"/>
      <c r="R74" s="37"/>
    </row>
    <row r="75" spans="13:18" ht="15" customHeight="1">
      <c r="M75" s="161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3" t="s">
        <v>249</v>
      </c>
      <c r="B4" s="163"/>
      <c r="C4" s="163"/>
      <c r="D4" s="163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3" t="s">
        <v>249</v>
      </c>
      <c r="B7" s="163"/>
      <c r="C7" s="163"/>
      <c r="D7" s="163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3" t="s">
        <v>249</v>
      </c>
      <c r="B10" s="163"/>
      <c r="C10" s="163"/>
      <c r="D10" s="163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3" t="s">
        <v>249</v>
      </c>
      <c r="B13" s="163"/>
      <c r="C13" s="163"/>
      <c r="D13" s="163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3" t="s">
        <v>249</v>
      </c>
      <c r="B16" s="163"/>
      <c r="C16" s="163"/>
      <c r="D16" s="163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3" t="s">
        <v>249</v>
      </c>
      <c r="B19" s="163"/>
      <c r="C19" s="163"/>
      <c r="D19" s="163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3" t="s">
        <v>249</v>
      </c>
      <c r="B22" s="163"/>
      <c r="C22" s="163"/>
      <c r="D22" s="163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3" t="s">
        <v>249</v>
      </c>
      <c r="B25" s="163"/>
      <c r="C25" s="163"/>
      <c r="D25" s="163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3" t="s">
        <v>249</v>
      </c>
      <c r="B28" s="163"/>
      <c r="C28" s="163"/>
      <c r="D28" s="163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3" t="s">
        <v>249</v>
      </c>
      <c r="B31" s="163"/>
      <c r="C31" s="163"/>
      <c r="D31" s="163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3" t="s">
        <v>249</v>
      </c>
      <c r="B34" s="163"/>
      <c r="C34" s="163"/>
      <c r="D34" s="163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3" t="s">
        <v>249</v>
      </c>
      <c r="B37" s="163"/>
      <c r="C37" s="163"/>
      <c r="D37" s="163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3" t="s">
        <v>249</v>
      </c>
      <c r="B40" s="163"/>
      <c r="C40" s="163"/>
      <c r="D40" s="163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3" t="s">
        <v>249</v>
      </c>
      <c r="B43" s="163"/>
      <c r="C43" s="163"/>
      <c r="D43" s="163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3" t="s">
        <v>249</v>
      </c>
      <c r="B46" s="163"/>
      <c r="C46" s="163"/>
      <c r="D46" s="163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3" t="s">
        <v>249</v>
      </c>
      <c r="B49" s="163"/>
      <c r="C49" s="163"/>
      <c r="D49" s="163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3" t="s">
        <v>249</v>
      </c>
      <c r="B52" s="163"/>
      <c r="C52" s="163"/>
      <c r="D52" s="163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3" t="s">
        <v>249</v>
      </c>
      <c r="B55" s="163"/>
      <c r="C55" s="163"/>
      <c r="D55" s="163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/>
      <c r="F56" s="142" t="str">
        <f>IF(E56="","",E56*1.5*1.8)</f>
        <v/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>
      <c r="A58" s="163" t="s">
        <v>249</v>
      </c>
      <c r="B58" s="163"/>
      <c r="C58" s="163"/>
      <c r="D58" s="163"/>
      <c r="E58" s="149">
        <f>SUM(E56:E57)</f>
        <v>0</v>
      </c>
      <c r="F58" s="150">
        <f>IFERROR(SUM(F56:F57),"")</f>
        <v>0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3" t="s">
        <v>249</v>
      </c>
      <c r="B61" s="163"/>
      <c r="C61" s="163"/>
      <c r="D61" s="163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3" t="s">
        <v>249</v>
      </c>
      <c r="B64" s="163"/>
      <c r="C64" s="163"/>
      <c r="D64" s="163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3" t="s">
        <v>249</v>
      </c>
      <c r="B67" s="163"/>
      <c r="C67" s="163"/>
      <c r="D67" s="163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3" t="s">
        <v>249</v>
      </c>
      <c r="B70" s="163"/>
      <c r="C70" s="163"/>
      <c r="D70" s="163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3" t="s">
        <v>249</v>
      </c>
      <c r="B73" s="163"/>
      <c r="C73" s="163"/>
      <c r="D73" s="163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3" t="s">
        <v>249</v>
      </c>
      <c r="B76" s="163"/>
      <c r="C76" s="163"/>
      <c r="D76" s="163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3" t="s">
        <v>249</v>
      </c>
      <c r="B79" s="163"/>
      <c r="C79" s="163"/>
      <c r="D79" s="163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3" t="s">
        <v>249</v>
      </c>
      <c r="B82" s="163"/>
      <c r="C82" s="163"/>
      <c r="D82" s="163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3" t="s">
        <v>249</v>
      </c>
      <c r="B85" s="163"/>
      <c r="C85" s="163"/>
      <c r="D85" s="163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3" t="s">
        <v>249</v>
      </c>
      <c r="B88" s="163"/>
      <c r="C88" s="163"/>
      <c r="D88" s="163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3" t="s">
        <v>249</v>
      </c>
      <c r="B91" s="163"/>
      <c r="C91" s="163"/>
      <c r="D91" s="163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3" t="s">
        <v>249</v>
      </c>
      <c r="B94" s="163"/>
      <c r="C94" s="163"/>
      <c r="D94" s="163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80" activePane="bottomLeft" state="frozen"/>
      <selection pane="bottomLeft" activeCell="N510" sqref="N510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55" t="s">
        <v>260</v>
      </c>
      <c r="B14" s="155"/>
      <c r="C14" s="155"/>
      <c r="D14" s="155"/>
      <c r="E14" s="15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55" t="s">
        <v>263</v>
      </c>
      <c r="B27" s="155"/>
      <c r="C27" s="155"/>
      <c r="D27" s="155"/>
      <c r="E27" s="15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56" t="s">
        <v>249</v>
      </c>
      <c r="B28" s="156"/>
      <c r="C28" s="156"/>
      <c r="D28" s="156"/>
      <c r="E28" s="15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55" t="s">
        <v>260</v>
      </c>
      <c r="B41" s="155"/>
      <c r="C41" s="155"/>
      <c r="D41" s="155"/>
      <c r="E41" s="15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55" t="s">
        <v>263</v>
      </c>
      <c r="B54" s="155"/>
      <c r="C54" s="155"/>
      <c r="D54" s="155"/>
      <c r="E54" s="15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56" t="s">
        <v>249</v>
      </c>
      <c r="B55" s="156"/>
      <c r="C55" s="156"/>
      <c r="D55" s="156"/>
      <c r="E55" s="15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55" t="s">
        <v>260</v>
      </c>
      <c r="B68" s="155"/>
      <c r="C68" s="155"/>
      <c r="D68" s="155"/>
      <c r="E68" s="15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55" t="s">
        <v>263</v>
      </c>
      <c r="B81" s="155"/>
      <c r="C81" s="155"/>
      <c r="D81" s="155"/>
      <c r="E81" s="15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56" t="s">
        <v>249</v>
      </c>
      <c r="B82" s="156"/>
      <c r="C82" s="156"/>
      <c r="D82" s="156"/>
      <c r="E82" s="15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55" t="s">
        <v>260</v>
      </c>
      <c r="B95" s="155"/>
      <c r="C95" s="155"/>
      <c r="D95" s="155"/>
      <c r="E95" s="15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55" t="s">
        <v>263</v>
      </c>
      <c r="B108" s="155"/>
      <c r="C108" s="155"/>
      <c r="D108" s="155"/>
      <c r="E108" s="15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56" t="s">
        <v>249</v>
      </c>
      <c r="B109" s="156"/>
      <c r="C109" s="156"/>
      <c r="D109" s="156"/>
      <c r="E109" s="15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55" t="s">
        <v>260</v>
      </c>
      <c r="B122" s="155"/>
      <c r="C122" s="155"/>
      <c r="D122" s="155"/>
      <c r="E122" s="15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55" t="s">
        <v>263</v>
      </c>
      <c r="B135" s="155"/>
      <c r="C135" s="155"/>
      <c r="D135" s="155"/>
      <c r="E135" s="15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56" t="s">
        <v>249</v>
      </c>
      <c r="B136" s="156"/>
      <c r="C136" s="156"/>
      <c r="D136" s="156"/>
      <c r="E136" s="15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55" t="s">
        <v>260</v>
      </c>
      <c r="B149" s="155"/>
      <c r="C149" s="155"/>
      <c r="D149" s="155"/>
      <c r="E149" s="15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55" t="s">
        <v>263</v>
      </c>
      <c r="B162" s="155"/>
      <c r="C162" s="155"/>
      <c r="D162" s="155"/>
      <c r="E162" s="15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56" t="s">
        <v>249</v>
      </c>
      <c r="B163" s="156"/>
      <c r="C163" s="156"/>
      <c r="D163" s="156"/>
      <c r="E163" s="15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55" t="s">
        <v>260</v>
      </c>
      <c r="B176" s="155"/>
      <c r="C176" s="155"/>
      <c r="D176" s="155"/>
      <c r="E176" s="15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55" t="s">
        <v>263</v>
      </c>
      <c r="B189" s="155"/>
      <c r="C189" s="155"/>
      <c r="D189" s="155"/>
      <c r="E189" s="15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56" t="s">
        <v>249</v>
      </c>
      <c r="B190" s="156"/>
      <c r="C190" s="156"/>
      <c r="D190" s="156"/>
      <c r="E190" s="15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55" t="s">
        <v>260</v>
      </c>
      <c r="B203" s="155"/>
      <c r="C203" s="155"/>
      <c r="D203" s="155"/>
      <c r="E203" s="15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55" t="s">
        <v>263</v>
      </c>
      <c r="B216" s="155"/>
      <c r="C216" s="155"/>
      <c r="D216" s="155"/>
      <c r="E216" s="15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56" t="s">
        <v>249</v>
      </c>
      <c r="B217" s="156"/>
      <c r="C217" s="156"/>
      <c r="D217" s="156"/>
      <c r="E217" s="15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55" t="s">
        <v>260</v>
      </c>
      <c r="B230" s="155"/>
      <c r="C230" s="155"/>
      <c r="D230" s="155"/>
      <c r="E230" s="15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55" t="s">
        <v>263</v>
      </c>
      <c r="B243" s="155"/>
      <c r="C243" s="155"/>
      <c r="D243" s="155"/>
      <c r="E243" s="15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56" t="s">
        <v>249</v>
      </c>
      <c r="B244" s="156"/>
      <c r="C244" s="156"/>
      <c r="D244" s="156"/>
      <c r="E244" s="15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55" t="s">
        <v>260</v>
      </c>
      <c r="B257" s="155"/>
      <c r="C257" s="155"/>
      <c r="D257" s="155"/>
      <c r="E257" s="15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55" t="s">
        <v>263</v>
      </c>
      <c r="B270" s="155"/>
      <c r="C270" s="155"/>
      <c r="D270" s="155"/>
      <c r="E270" s="15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56" t="s">
        <v>249</v>
      </c>
      <c r="B271" s="156"/>
      <c r="C271" s="156"/>
      <c r="D271" s="156"/>
      <c r="E271" s="15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55" t="s">
        <v>260</v>
      </c>
      <c r="B284" s="155"/>
      <c r="C284" s="155"/>
      <c r="D284" s="155"/>
      <c r="E284" s="15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55" t="s">
        <v>263</v>
      </c>
      <c r="B297" s="155"/>
      <c r="C297" s="155"/>
      <c r="D297" s="155"/>
      <c r="E297" s="15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56" t="s">
        <v>249</v>
      </c>
      <c r="B298" s="156"/>
      <c r="C298" s="156"/>
      <c r="D298" s="156"/>
      <c r="E298" s="15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55" t="s">
        <v>260</v>
      </c>
      <c r="B311" s="155"/>
      <c r="C311" s="155"/>
      <c r="D311" s="155"/>
      <c r="E311" s="15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55" t="s">
        <v>263</v>
      </c>
      <c r="B324" s="155"/>
      <c r="C324" s="155"/>
      <c r="D324" s="155"/>
      <c r="E324" s="15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56" t="s">
        <v>249</v>
      </c>
      <c r="B325" s="156"/>
      <c r="C325" s="156"/>
      <c r="D325" s="156"/>
      <c r="E325" s="15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55" t="s">
        <v>260</v>
      </c>
      <c r="B338" s="155"/>
      <c r="C338" s="155"/>
      <c r="D338" s="155"/>
      <c r="E338" s="15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55" t="s">
        <v>263</v>
      </c>
      <c r="B351" s="155"/>
      <c r="C351" s="155"/>
      <c r="D351" s="155"/>
      <c r="E351" s="15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56" t="s">
        <v>249</v>
      </c>
      <c r="B352" s="156"/>
      <c r="C352" s="156"/>
      <c r="D352" s="156"/>
      <c r="E352" s="15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55" t="s">
        <v>260</v>
      </c>
      <c r="B365" s="155"/>
      <c r="C365" s="155"/>
      <c r="D365" s="155"/>
      <c r="E365" s="15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55" t="s">
        <v>263</v>
      </c>
      <c r="B378" s="155"/>
      <c r="C378" s="155"/>
      <c r="D378" s="155"/>
      <c r="E378" s="15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56" t="s">
        <v>249</v>
      </c>
      <c r="B379" s="156"/>
      <c r="C379" s="156"/>
      <c r="D379" s="156"/>
      <c r="E379" s="15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55" t="s">
        <v>260</v>
      </c>
      <c r="B392" s="155"/>
      <c r="C392" s="155"/>
      <c r="D392" s="155"/>
      <c r="E392" s="15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55" t="s">
        <v>263</v>
      </c>
      <c r="B405" s="155"/>
      <c r="C405" s="155"/>
      <c r="D405" s="155"/>
      <c r="E405" s="15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56" t="s">
        <v>249</v>
      </c>
      <c r="B406" s="156"/>
      <c r="C406" s="156"/>
      <c r="D406" s="156"/>
      <c r="E406" s="15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55" t="s">
        <v>260</v>
      </c>
      <c r="B419" s="155"/>
      <c r="C419" s="155"/>
      <c r="D419" s="155"/>
      <c r="E419" s="15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55" t="s">
        <v>263</v>
      </c>
      <c r="B432" s="155"/>
      <c r="C432" s="155"/>
      <c r="D432" s="155"/>
      <c r="E432" s="15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56" t="s">
        <v>249</v>
      </c>
      <c r="B433" s="156"/>
      <c r="C433" s="156"/>
      <c r="D433" s="156"/>
      <c r="E433" s="15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55" t="s">
        <v>260</v>
      </c>
      <c r="B446" s="155"/>
      <c r="C446" s="155"/>
      <c r="D446" s="155"/>
      <c r="E446" s="15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55" t="s">
        <v>263</v>
      </c>
      <c r="B459" s="155"/>
      <c r="C459" s="155"/>
      <c r="D459" s="155"/>
      <c r="E459" s="15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56" t="s">
        <v>249</v>
      </c>
      <c r="B460" s="156"/>
      <c r="C460" s="156"/>
      <c r="D460" s="156"/>
      <c r="E460" s="15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55" t="s">
        <v>260</v>
      </c>
      <c r="B473" s="155"/>
      <c r="C473" s="155"/>
      <c r="D473" s="155"/>
      <c r="E473" s="15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55" t="s">
        <v>263</v>
      </c>
      <c r="B486" s="155"/>
      <c r="C486" s="155"/>
      <c r="D486" s="155"/>
      <c r="E486" s="15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56" t="s">
        <v>249</v>
      </c>
      <c r="B487" s="156"/>
      <c r="C487" s="156"/>
      <c r="D487" s="156"/>
      <c r="E487" s="15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55" t="s">
        <v>260</v>
      </c>
      <c r="B500" s="155"/>
      <c r="C500" s="155"/>
      <c r="D500" s="155"/>
      <c r="E500" s="15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/>
      <c r="M502" s="66">
        <f t="shared" ca="1" si="108"/>
        <v>2.0345023149275221E-2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/>
      <c r="E512" s="75"/>
      <c r="F512" s="63"/>
      <c r="G512" s="64" t="str">
        <f t="shared" si="107"/>
        <v/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55" t="s">
        <v>263</v>
      </c>
      <c r="B513" s="155"/>
      <c r="C513" s="155"/>
      <c r="D513" s="155"/>
      <c r="E513" s="15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2.6595023149275226E-2</v>
      </c>
      <c r="N513" s="2" t="s">
        <v>261</v>
      </c>
      <c r="O513" s="74"/>
    </row>
    <row r="514" spans="1:15" ht="18" customHeight="1">
      <c r="A514" s="156" t="s">
        <v>249</v>
      </c>
      <c r="B514" s="156"/>
      <c r="C514" s="156"/>
      <c r="D514" s="156"/>
      <c r="E514" s="15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0.13840057870483088</v>
      </c>
      <c r="N514" s="1" t="s">
        <v>264</v>
      </c>
      <c r="O514" s="82">
        <f>IFERROR(O500+O513,"")</f>
        <v>1474930</v>
      </c>
    </row>
    <row r="515" spans="1:15" ht="15" customHeight="1">
      <c r="A515" s="18">
        <v>46254</v>
      </c>
      <c r="B515" s="68">
        <v>0.33333333333333298</v>
      </c>
      <c r="C515" s="70"/>
      <c r="D515" s="75"/>
      <c r="E515" s="75"/>
      <c r="F515" s="63"/>
      <c r="G515" s="69" t="str">
        <f t="shared" ref="G515:G526" si="110">IF(F515="","",IF(E515="PC 17",F515*4.2,IF(E515="PC 19",F515*5,IF(E515="CB",F515*35,""))))</f>
        <v/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/>
      <c r="D516" s="75"/>
      <c r="E516" s="75"/>
      <c r="F516" s="63"/>
      <c r="G516" s="64" t="str">
        <f t="shared" si="110"/>
        <v/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/>
      <c r="D517" s="75"/>
      <c r="E517" s="75"/>
      <c r="F517" s="63"/>
      <c r="G517" s="69" t="str">
        <f t="shared" si="110"/>
        <v/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/>
      <c r="D518" s="75"/>
      <c r="E518" s="75"/>
      <c r="F518" s="63"/>
      <c r="G518" s="64" t="str">
        <f t="shared" si="110"/>
        <v/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/>
      <c r="D519" s="75"/>
      <c r="E519" s="75"/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/>
      <c r="D520" s="75"/>
      <c r="E520" s="75"/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/>
      <c r="D521" s="75"/>
      <c r="E521" s="75"/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/>
      <c r="D522" s="75"/>
      <c r="E522" s="75"/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/>
      <c r="D523" s="75"/>
      <c r="E523" s="75"/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/>
      <c r="D524" s="75"/>
      <c r="E524" s="75"/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/>
      <c r="D525" s="75"/>
      <c r="E525" s="75"/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/>
      <c r="D526" s="75"/>
      <c r="E526" s="75"/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55" t="s">
        <v>260</v>
      </c>
      <c r="B527" s="155"/>
      <c r="C527" s="155"/>
      <c r="D527" s="155"/>
      <c r="E527" s="155"/>
      <c r="F527" s="2">
        <f>SUM(F515:F526)</f>
        <v>0</v>
      </c>
      <c r="G527" s="2">
        <f>SUM(G515:G526)</f>
        <v>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55" t="s">
        <v>263</v>
      </c>
      <c r="B540" s="155"/>
      <c r="C540" s="155"/>
      <c r="D540" s="155"/>
      <c r="E540" s="155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56" t="s">
        <v>249</v>
      </c>
      <c r="B541" s="156"/>
      <c r="C541" s="156"/>
      <c r="D541" s="156"/>
      <c r="E541" s="156"/>
      <c r="F541" s="1">
        <f>F527+F540</f>
        <v>0</v>
      </c>
      <c r="G541" s="1">
        <f>G527+G540</f>
        <v>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55" t="s">
        <v>260</v>
      </c>
      <c r="B554" s="155"/>
      <c r="C554" s="155"/>
      <c r="D554" s="155"/>
      <c r="E554" s="15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55" t="s">
        <v>263</v>
      </c>
      <c r="B567" s="155"/>
      <c r="C567" s="155"/>
      <c r="D567" s="155"/>
      <c r="E567" s="15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56" t="s">
        <v>249</v>
      </c>
      <c r="B568" s="156"/>
      <c r="C568" s="156"/>
      <c r="D568" s="156"/>
      <c r="E568" s="15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55" t="s">
        <v>260</v>
      </c>
      <c r="B581" s="155"/>
      <c r="C581" s="155"/>
      <c r="D581" s="155"/>
      <c r="E581" s="15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55" t="s">
        <v>263</v>
      </c>
      <c r="B594" s="155"/>
      <c r="C594" s="155"/>
      <c r="D594" s="155"/>
      <c r="E594" s="15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56" t="s">
        <v>249</v>
      </c>
      <c r="B595" s="156"/>
      <c r="C595" s="156"/>
      <c r="D595" s="156"/>
      <c r="E595" s="15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55" t="s">
        <v>260</v>
      </c>
      <c r="B608" s="155"/>
      <c r="C608" s="155"/>
      <c r="D608" s="155"/>
      <c r="E608" s="15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55" t="s">
        <v>263</v>
      </c>
      <c r="B621" s="155"/>
      <c r="C621" s="155"/>
      <c r="D621" s="155"/>
      <c r="E621" s="15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56" t="s">
        <v>249</v>
      </c>
      <c r="B622" s="156"/>
      <c r="C622" s="156"/>
      <c r="D622" s="156"/>
      <c r="E622" s="15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55" t="s">
        <v>260</v>
      </c>
      <c r="B635" s="155"/>
      <c r="C635" s="155"/>
      <c r="D635" s="155"/>
      <c r="E635" s="15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55" t="s">
        <v>263</v>
      </c>
      <c r="B648" s="155"/>
      <c r="C648" s="155"/>
      <c r="D648" s="155"/>
      <c r="E648" s="15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56" t="s">
        <v>249</v>
      </c>
      <c r="B649" s="156"/>
      <c r="C649" s="156"/>
      <c r="D649" s="156"/>
      <c r="E649" s="15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55" t="s">
        <v>260</v>
      </c>
      <c r="B662" s="155"/>
      <c r="C662" s="155"/>
      <c r="D662" s="155"/>
      <c r="E662" s="15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55" t="s">
        <v>263</v>
      </c>
      <c r="B675" s="155"/>
      <c r="C675" s="155"/>
      <c r="D675" s="155"/>
      <c r="E675" s="15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56" t="s">
        <v>249</v>
      </c>
      <c r="B676" s="156"/>
      <c r="C676" s="156"/>
      <c r="D676" s="156"/>
      <c r="E676" s="15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55" t="s">
        <v>260</v>
      </c>
      <c r="B689" s="155"/>
      <c r="C689" s="155"/>
      <c r="D689" s="155"/>
      <c r="E689" s="15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55" t="s">
        <v>263</v>
      </c>
      <c r="B702" s="155"/>
      <c r="C702" s="155"/>
      <c r="D702" s="155"/>
      <c r="E702" s="15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56" t="s">
        <v>249</v>
      </c>
      <c r="B703" s="156"/>
      <c r="C703" s="156"/>
      <c r="D703" s="156"/>
      <c r="E703" s="15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55" t="s">
        <v>260</v>
      </c>
      <c r="B716" s="155"/>
      <c r="C716" s="155"/>
      <c r="D716" s="155"/>
      <c r="E716" s="15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55" t="s">
        <v>263</v>
      </c>
      <c r="B729" s="155"/>
      <c r="C729" s="155"/>
      <c r="D729" s="155"/>
      <c r="E729" s="15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56" t="s">
        <v>249</v>
      </c>
      <c r="B730" s="156"/>
      <c r="C730" s="156"/>
      <c r="D730" s="156"/>
      <c r="E730" s="15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55" t="s">
        <v>260</v>
      </c>
      <c r="B743" s="155"/>
      <c r="C743" s="155"/>
      <c r="D743" s="155"/>
      <c r="E743" s="15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55" t="s">
        <v>263</v>
      </c>
      <c r="B756" s="155"/>
      <c r="C756" s="155"/>
      <c r="D756" s="155"/>
      <c r="E756" s="15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56" t="s">
        <v>249</v>
      </c>
      <c r="B757" s="156"/>
      <c r="C757" s="156"/>
      <c r="D757" s="156"/>
      <c r="E757" s="15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55" t="s">
        <v>260</v>
      </c>
      <c r="B770" s="155"/>
      <c r="C770" s="155"/>
      <c r="D770" s="155"/>
      <c r="E770" s="15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55" t="s">
        <v>263</v>
      </c>
      <c r="B783" s="155"/>
      <c r="C783" s="155"/>
      <c r="D783" s="155"/>
      <c r="E783" s="15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56" t="s">
        <v>249</v>
      </c>
      <c r="B784" s="156"/>
      <c r="C784" s="156"/>
      <c r="D784" s="156"/>
      <c r="E784" s="15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55" t="s">
        <v>260</v>
      </c>
      <c r="B797" s="155"/>
      <c r="C797" s="155"/>
      <c r="D797" s="155"/>
      <c r="E797" s="15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55" t="s">
        <v>263</v>
      </c>
      <c r="B810" s="155"/>
      <c r="C810" s="155"/>
      <c r="D810" s="155"/>
      <c r="E810" s="15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56" t="s">
        <v>249</v>
      </c>
      <c r="B811" s="156"/>
      <c r="C811" s="156"/>
      <c r="D811" s="156"/>
      <c r="E811" s="15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55" t="s">
        <v>260</v>
      </c>
      <c r="B824" s="155"/>
      <c r="C824" s="155"/>
      <c r="D824" s="155"/>
      <c r="E824" s="15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55" t="s">
        <v>263</v>
      </c>
      <c r="B837" s="155"/>
      <c r="C837" s="155"/>
      <c r="D837" s="155"/>
      <c r="E837" s="15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56" t="s">
        <v>249</v>
      </c>
      <c r="B838" s="156"/>
      <c r="C838" s="156"/>
      <c r="D838" s="156"/>
      <c r="E838" s="15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481" activePane="bottomLeft" state="frozen"/>
      <selection pane="bottomLeft" activeCell="N508" sqref="N508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297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298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299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301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302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303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304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0.15506724536680849</v>
      </c>
      <c r="R53" s="80" t="s">
        <v>305</v>
      </c>
      <c r="S53" s="67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0.29395613425569622</v>
      </c>
      <c r="R54" s="2" t="s">
        <v>261</v>
      </c>
      <c r="S54" s="113">
        <v>352430</v>
      </c>
      <c r="T54" s="114"/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0.37867835647791903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297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306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307</v>
      </c>
      <c r="Q96" s="66" t="str">
        <f t="shared" ref="Q96:Q107" ca="1" si="22">IFERROR(IF(O96="","",IF(P96="",MOD(NOW()-O96,1),IF(P96&gt;=O96,P96-O96,P96+1-O96))),"")</f>
        <v/>
      </c>
      <c r="R96" s="80" t="s">
        <v>308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309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310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311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312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313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314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65" t="s">
        <v>260</v>
      </c>
      <c r="B149" s="165"/>
      <c r="C149" s="165"/>
      <c r="D149" s="165"/>
      <c r="E149" s="165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316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317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318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311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306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320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321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322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323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324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325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326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318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313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306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65" t="s">
        <v>260</v>
      </c>
      <c r="B365" s="165"/>
      <c r="C365" s="165"/>
      <c r="D365" s="165"/>
      <c r="E365" s="165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327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328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329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330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331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332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333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334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335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336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337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313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12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7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5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6"/>
        <v>0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10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6"/>
        <v>0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8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6"/>
        <v>0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12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6"/>
        <v>0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31</v>
      </c>
      <c r="E507" s="100" t="s">
        <v>274</v>
      </c>
      <c r="F507" s="88">
        <f>IFERROR(IF($D507="","",VLOOKUP($D507,Cadastro!$C$4:$E$7,3,FALSE())),"")</f>
        <v>0.35</v>
      </c>
      <c r="G507" s="89">
        <v>17</v>
      </c>
      <c r="H507" s="88">
        <f>IFERROR(IF($G507="","",$G507*$S$513/$G$513/Cadastro!$E$33),"")</f>
        <v>0</v>
      </c>
      <c r="I507" s="90">
        <f>IFERROR(IF($D507="","",VLOOKUP($D507,Cadastro!$C$4:$G$7,5,FALSE())),"")</f>
        <v>0.6</v>
      </c>
      <c r="J507" s="91">
        <f t="shared" si="126"/>
        <v>0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0</v>
      </c>
      <c r="I508" s="90">
        <f>IFERROR(IF($D508="","",VLOOKUP($D508,Cadastro!$C$4:$G$7,5,FALSE())),"")</f>
        <v>0.6</v>
      </c>
      <c r="J508" s="91">
        <f t="shared" si="126"/>
        <v>0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/>
      <c r="Q508" s="66">
        <f t="shared" ca="1" si="128"/>
        <v>9.005787069327198E-4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0</v>
      </c>
      <c r="I509" s="90">
        <f>IFERROR(IF($D509="","",VLOOKUP($D509,Cadastro!$C$4:$G$7,5,FALSE())),"")</f>
        <v>0.6</v>
      </c>
      <c r="J509" s="91">
        <f t="shared" si="126"/>
        <v>0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0</v>
      </c>
      <c r="I510" s="90">
        <f>IFERROR(IF($D510="","",VLOOKUP($D510,Cadastro!$C$4:$G$7,5,FALSE())),"")</f>
        <v>0.6</v>
      </c>
      <c r="J510" s="91">
        <f t="shared" si="126"/>
        <v>0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0</v>
      </c>
      <c r="I511" s="90">
        <f>IFERROR(IF($D511="","",VLOOKUP($D511,Cadastro!$C$4:$G$7,5,FALSE())),"")</f>
        <v>0.6</v>
      </c>
      <c r="J511" s="91">
        <f t="shared" si="126"/>
        <v>0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0</v>
      </c>
      <c r="I513" s="106"/>
      <c r="J513" s="107">
        <f>IFERROR(SUM(J501:J512),"")</f>
        <v>0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9.8122800929154805E-2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598.33999999999992</v>
      </c>
      <c r="I514" s="110"/>
      <c r="J514" s="111">
        <f>IFERROR(J500+J513,"")</f>
        <v>86.160960000000003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0.18978946759582144</v>
      </c>
      <c r="R514" s="1" t="s">
        <v>264</v>
      </c>
      <c r="S514" s="82">
        <f>IFERROR(S500+S513,"")</f>
        <v>598340</v>
      </c>
      <c r="T514" s="118">
        <f>IFERROR(J514,"")</f>
        <v>86.160960000000003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477" activePane="bottomLeft" state="frozen"/>
      <selection pane="bottomLeft" activeCell="P506" sqref="P506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338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300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306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338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338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340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341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342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343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344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345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346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314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65" t="s">
        <v>260</v>
      </c>
      <c r="B149" s="165"/>
      <c r="C149" s="165"/>
      <c r="D149" s="165"/>
      <c r="E149" s="165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306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347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348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317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349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351</v>
      </c>
      <c r="Q222" s="66" t="str">
        <f t="shared" ca="1" si="49"/>
        <v/>
      </c>
      <c r="R222" s="63" t="s">
        <v>352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353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324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354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325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306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65" t="s">
        <v>260</v>
      </c>
      <c r="B365" s="165"/>
      <c r="C365" s="165"/>
      <c r="D365" s="165"/>
      <c r="E365" s="165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355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328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356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357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65" t="s">
        <v>263</v>
      </c>
      <c r="B432" s="165"/>
      <c r="C432" s="165"/>
      <c r="D432" s="165"/>
      <c r="E432" s="165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64" t="s">
        <v>249</v>
      </c>
      <c r="B433" s="164"/>
      <c r="C433" s="164"/>
      <c r="D433" s="164"/>
      <c r="E433" s="164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358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358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359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306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360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345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7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0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361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9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3"/>
        <v>0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7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3"/>
        <v>0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6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3"/>
        <v>0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6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3"/>
        <v>0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362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31</v>
      </c>
      <c r="E507" s="100" t="s">
        <v>274</v>
      </c>
      <c r="F507" s="88">
        <f>IFERROR(IF($D507="","",VLOOKUP($D507,Cadastro!$C$4:$E$7,3,FALSE())),"")</f>
        <v>0.35</v>
      </c>
      <c r="G507" s="89">
        <v>12</v>
      </c>
      <c r="H507" s="88">
        <f>IFERROR(IF($G507="","",$G507*$S$513/$G$513/Cadastro!$E$33),"")</f>
        <v>0</v>
      </c>
      <c r="I507" s="90">
        <f>IFERROR(IF($D507="","",VLOOKUP($D507,Cadastro!$C$4:$G$7,5,FALSE())),"")</f>
        <v>0.6</v>
      </c>
      <c r="J507" s="91">
        <f t="shared" si="123"/>
        <v>0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0</v>
      </c>
      <c r="I508" s="90">
        <f>IFERROR(IF($D508="","",VLOOKUP($D508,Cadastro!$C$4:$G$7,5,FALSE())),"")</f>
        <v>0.6</v>
      </c>
      <c r="J508" s="91">
        <f t="shared" si="123"/>
        <v>0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0</v>
      </c>
      <c r="I509" s="90">
        <f>IFERROR(IF($D509="","",VLOOKUP($D509,Cadastro!$C$4:$G$7,5,FALSE())),"")</f>
        <v>0.6</v>
      </c>
      <c r="J509" s="91">
        <f t="shared" si="123"/>
        <v>0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0</v>
      </c>
      <c r="I510" s="90">
        <f>IFERROR(IF($D510="","",VLOOKUP($D510,Cadastro!$C$4:$G$7,5,FALSE())),"")</f>
        <v>0.6</v>
      </c>
      <c r="J510" s="91">
        <f t="shared" si="123"/>
        <v>0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0</v>
      </c>
      <c r="I511" s="90">
        <f>IFERROR(IF($D511="","",VLOOKUP($D511,Cadastro!$C$4:$G$7,5,FALSE())),"")</f>
        <v>0.6</v>
      </c>
      <c r="J511" s="91">
        <f t="shared" si="123"/>
        <v>0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3"/>
        <v/>
      </c>
      <c r="K512" s="64" t="str">
        <f t="shared" si="124"/>
        <v/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65" t="s">
        <v>263</v>
      </c>
      <c r="B513" s="165"/>
      <c r="C513" s="165"/>
      <c r="D513" s="165"/>
      <c r="E513" s="165"/>
      <c r="F513" s="105"/>
      <c r="G513" s="96">
        <f>SUM(G501:G512)</f>
        <v>84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/>
      <c r="T513" s="99">
        <f>IFERROR(J513,"")</f>
        <v>0</v>
      </c>
    </row>
    <row r="514" spans="1:20" ht="18" customHeight="1">
      <c r="A514" s="164" t="s">
        <v>249</v>
      </c>
      <c r="B514" s="164"/>
      <c r="C514" s="164"/>
      <c r="D514" s="164"/>
      <c r="E514" s="164"/>
      <c r="F514" s="108"/>
      <c r="G514" s="109">
        <f>G500+G513</f>
        <v>156</v>
      </c>
      <c r="H514" s="108">
        <f>IFERROR(H500+H513,"")</f>
        <v>372.25</v>
      </c>
      <c r="I514" s="110"/>
      <c r="J514" s="111">
        <f>IFERROR(J500+J513,"")</f>
        <v>53.603999999999992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372250</v>
      </c>
      <c r="T514" s="118">
        <f>IFERROR(J514,"")</f>
        <v>53.603999999999992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27">IFERROR(IF($H515="","",$H515*$F515*$I515),"")</f>
        <v/>
      </c>
      <c r="K515" s="69" t="str">
        <f t="shared" ref="K515:K526" si="128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29">IFERROR(IF(O515="","",IF(P515="",MOD(NOW()-O515,1),IF(P515&gt;=O515,P515-O515,P515+1-O515))),"")</f>
        <v/>
      </c>
      <c r="R515" s="63"/>
      <c r="S515" s="81"/>
    </row>
    <row r="516" spans="1:20" ht="15" customHeight="1">
      <c r="A516" s="59">
        <v>46254</v>
      </c>
      <c r="B516" s="60">
        <f t="shared" ref="B516:B526" si="130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27"/>
        <v/>
      </c>
      <c r="K516" s="64" t="str">
        <f t="shared" si="128"/>
        <v/>
      </c>
      <c r="L516" s="70"/>
      <c r="M516" s="61"/>
      <c r="N516" s="70"/>
      <c r="O516" s="65"/>
      <c r="P516" s="65"/>
      <c r="Q516" s="66" t="str">
        <f t="shared" ca="1" si="129"/>
        <v/>
      </c>
      <c r="R516" s="63"/>
      <c r="S516" s="81"/>
    </row>
    <row r="517" spans="1:20" ht="15" customHeight="1">
      <c r="A517" s="18">
        <v>46254</v>
      </c>
      <c r="B517" s="68">
        <f t="shared" si="130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27"/>
        <v/>
      </c>
      <c r="K517" s="69" t="str">
        <f t="shared" si="128"/>
        <v/>
      </c>
      <c r="L517" s="70"/>
      <c r="M517" s="70"/>
      <c r="N517" s="70"/>
      <c r="O517" s="65"/>
      <c r="P517" s="65"/>
      <c r="Q517" s="71" t="str">
        <f t="shared" ca="1" si="129"/>
        <v/>
      </c>
      <c r="R517" s="63"/>
      <c r="S517" s="81"/>
    </row>
    <row r="518" spans="1:20" ht="15" customHeight="1">
      <c r="A518" s="59">
        <v>46254</v>
      </c>
      <c r="B518" s="60">
        <f t="shared" si="130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27"/>
        <v/>
      </c>
      <c r="K518" s="64" t="str">
        <f t="shared" si="128"/>
        <v/>
      </c>
      <c r="L518" s="70"/>
      <c r="M518" s="61"/>
      <c r="N518" s="61"/>
      <c r="O518" s="65"/>
      <c r="P518" s="65"/>
      <c r="Q518" s="66" t="str">
        <f t="shared" ca="1" si="129"/>
        <v/>
      </c>
      <c r="R518" s="63"/>
      <c r="S518" s="81"/>
    </row>
    <row r="519" spans="1:20" ht="15" customHeight="1">
      <c r="A519" s="18">
        <v>46254</v>
      </c>
      <c r="B519" s="68">
        <f t="shared" si="130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27"/>
        <v/>
      </c>
      <c r="K519" s="69" t="str">
        <f t="shared" si="128"/>
        <v/>
      </c>
      <c r="L519" s="70"/>
      <c r="M519" s="70"/>
      <c r="N519" s="70"/>
      <c r="O519" s="65"/>
      <c r="P519" s="65"/>
      <c r="Q519" s="71" t="str">
        <f t="shared" ca="1" si="129"/>
        <v/>
      </c>
      <c r="R519" s="63"/>
      <c r="S519" s="81"/>
    </row>
    <row r="520" spans="1:20" ht="15" customHeight="1">
      <c r="A520" s="59">
        <v>46254</v>
      </c>
      <c r="B520" s="60">
        <f t="shared" si="130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27"/>
        <v/>
      </c>
      <c r="K520" s="64" t="str">
        <f t="shared" si="128"/>
        <v/>
      </c>
      <c r="L520" s="61"/>
      <c r="M520" s="61"/>
      <c r="N520" s="61"/>
      <c r="O520" s="65"/>
      <c r="P520" s="65"/>
      <c r="Q520" s="66" t="str">
        <f t="shared" ca="1" si="129"/>
        <v/>
      </c>
      <c r="R520" s="63"/>
      <c r="S520" s="81"/>
    </row>
    <row r="521" spans="1:20" ht="15" customHeight="1">
      <c r="A521" s="18">
        <v>46254</v>
      </c>
      <c r="B521" s="68">
        <f t="shared" si="130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27"/>
        <v/>
      </c>
      <c r="K521" s="69" t="str">
        <f t="shared" si="128"/>
        <v/>
      </c>
      <c r="L521" s="70"/>
      <c r="M521" s="70"/>
      <c r="N521" s="70"/>
      <c r="O521" s="65"/>
      <c r="P521" s="65"/>
      <c r="Q521" s="71" t="str">
        <f t="shared" ca="1" si="129"/>
        <v/>
      </c>
      <c r="R521" s="63"/>
      <c r="S521" s="81"/>
    </row>
    <row r="522" spans="1:20" ht="15" customHeight="1">
      <c r="A522" s="59">
        <v>46254</v>
      </c>
      <c r="B522" s="60">
        <f t="shared" si="130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27"/>
        <v/>
      </c>
      <c r="K522" s="64" t="str">
        <f t="shared" si="128"/>
        <v/>
      </c>
      <c r="L522" s="61"/>
      <c r="M522" s="61"/>
      <c r="N522" s="61"/>
      <c r="O522" s="65"/>
      <c r="P522" s="65"/>
      <c r="Q522" s="66" t="str">
        <f t="shared" ca="1" si="129"/>
        <v/>
      </c>
      <c r="R522" s="63"/>
      <c r="S522" s="81"/>
    </row>
    <row r="523" spans="1:20" ht="15" customHeight="1">
      <c r="A523" s="18">
        <v>46254</v>
      </c>
      <c r="B523" s="68">
        <f t="shared" si="130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27"/>
        <v/>
      </c>
      <c r="K523" s="69" t="str">
        <f t="shared" si="128"/>
        <v/>
      </c>
      <c r="L523" s="70"/>
      <c r="M523" s="70"/>
      <c r="N523" s="70"/>
      <c r="O523" s="65"/>
      <c r="P523" s="65"/>
      <c r="Q523" s="71" t="str">
        <f t="shared" ca="1" si="129"/>
        <v/>
      </c>
      <c r="R523" s="63"/>
      <c r="S523" s="81"/>
    </row>
    <row r="524" spans="1:20" ht="15" customHeight="1">
      <c r="A524" s="59">
        <v>46254</v>
      </c>
      <c r="B524" s="60">
        <f t="shared" si="130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27"/>
        <v/>
      </c>
      <c r="K524" s="64" t="str">
        <f t="shared" si="128"/>
        <v/>
      </c>
      <c r="L524" s="61"/>
      <c r="M524" s="61"/>
      <c r="N524" s="61"/>
      <c r="O524" s="65"/>
      <c r="P524" s="65"/>
      <c r="Q524" s="66" t="str">
        <f t="shared" ca="1" si="129"/>
        <v/>
      </c>
      <c r="R524" s="63"/>
      <c r="S524" s="81"/>
    </row>
    <row r="525" spans="1:20" ht="15" customHeight="1">
      <c r="A525" s="18">
        <v>46254</v>
      </c>
      <c r="B525" s="68">
        <f t="shared" si="130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27"/>
        <v/>
      </c>
      <c r="K525" s="69" t="str">
        <f t="shared" si="128"/>
        <v/>
      </c>
      <c r="L525" s="70"/>
      <c r="M525" s="70"/>
      <c r="N525" s="70"/>
      <c r="O525" s="65"/>
      <c r="P525" s="65"/>
      <c r="Q525" s="71" t="str">
        <f t="shared" ca="1" si="129"/>
        <v/>
      </c>
      <c r="R525" s="63"/>
      <c r="S525" s="81"/>
    </row>
    <row r="526" spans="1:20" ht="15" customHeight="1">
      <c r="A526" s="59">
        <v>46254</v>
      </c>
      <c r="B526" s="60">
        <f t="shared" si="130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27"/>
        <v/>
      </c>
      <c r="K526" s="64" t="str">
        <f t="shared" si="128"/>
        <v/>
      </c>
      <c r="L526" s="61"/>
      <c r="M526" s="61"/>
      <c r="N526" s="61"/>
      <c r="O526" s="65"/>
      <c r="P526" s="65"/>
      <c r="Q526" s="66" t="str">
        <f t="shared" ca="1" si="129"/>
        <v/>
      </c>
      <c r="R526" s="63"/>
      <c r="S526" s="81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479" activePane="bottomLeft" state="frozen"/>
      <selection pane="bottomLeft" activeCell="L506" sqref="L506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363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303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338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364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365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366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367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368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369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338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338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370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371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306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338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372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373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314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374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376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377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378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379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380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381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382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383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384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385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386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387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388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389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390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391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328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392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393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394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395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65" t="s">
        <v>263</v>
      </c>
      <c r="B432" s="165"/>
      <c r="C432" s="165"/>
      <c r="D432" s="165"/>
      <c r="E432" s="165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64" t="s">
        <v>249</v>
      </c>
      <c r="B433" s="164"/>
      <c r="C433" s="164"/>
      <c r="D433" s="164"/>
      <c r="E433" s="164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396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390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397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360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10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14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23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6"/>
        <v>0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7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6"/>
        <v>0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398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7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6"/>
        <v>0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14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6"/>
        <v>0</v>
      </c>
      <c r="K506" s="64">
        <f>IF(G506="","",IF(E506="PC 17",G506*4.2,IF(E506="PC 19",G506*5,IF(E506="CB",G506*24,""))))</f>
        <v>58.800000000000004</v>
      </c>
      <c r="L506" s="61" t="s">
        <v>29</v>
      </c>
      <c r="M506" s="61"/>
      <c r="N506" s="61"/>
      <c r="O506" s="65">
        <v>0.27291666666666664</v>
      </c>
      <c r="P506" s="65"/>
      <c r="Q506" s="66">
        <f t="shared" ca="1" si="128"/>
        <v>3.6783564792131074E-3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31</v>
      </c>
      <c r="E507" s="154" t="s">
        <v>274</v>
      </c>
      <c r="F507" s="88">
        <f>IFERROR(IF($D507="","",VLOOKUP($D507,Cadastro!$C$4:$E$7,3,FALSE())),"")</f>
        <v>0.35</v>
      </c>
      <c r="G507" s="89">
        <v>22</v>
      </c>
      <c r="H507" s="88">
        <f>IFERROR(IF($G507="","",$G507*$S$513/$G$513/Cadastro!$E$33),"")</f>
        <v>0</v>
      </c>
      <c r="I507" s="90">
        <f>IFERROR(IF($D507="","",VLOOKUP($D507,Cadastro!$C$4:$G$7,5,FALSE())),"")</f>
        <v>0.6</v>
      </c>
      <c r="J507" s="91">
        <f t="shared" si="126"/>
        <v>0</v>
      </c>
      <c r="K507" s="69" t="e">
        <f>IF(G507="","",IF(#REF!="PC 17",G507*4.2,IF(#REF!="PC 19",G507*5,IF(#REF!="CB",G507*24,""))))</f>
        <v>#REF!</v>
      </c>
      <c r="L507" s="70"/>
      <c r="M507" s="70"/>
      <c r="N507" s="70"/>
      <c r="O507" s="65"/>
      <c r="P507" s="65"/>
      <c r="Q507" s="71" t="str">
        <f t="shared" ca="1" si="128"/>
        <v/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0</v>
      </c>
      <c r="I508" s="90">
        <f>IFERROR(IF($D508="","",VLOOKUP($D508,Cadastro!$C$4:$G$7,5,FALSE())),"")</f>
        <v>0.6</v>
      </c>
      <c r="J508" s="91">
        <f t="shared" si="126"/>
        <v>0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0</v>
      </c>
      <c r="I509" s="90">
        <f>IFERROR(IF($D509="","",VLOOKUP($D509,Cadastro!$C$4:$G$7,5,FALSE())),"")</f>
        <v>0.6</v>
      </c>
      <c r="J509" s="91">
        <f t="shared" si="126"/>
        <v>0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0</v>
      </c>
      <c r="I510" s="90">
        <f>IFERROR(IF($D510="","",VLOOKUP($D510,Cadastro!$C$4:$G$7,5,FALSE())),"")</f>
        <v>0.6</v>
      </c>
      <c r="J510" s="91">
        <f t="shared" si="126"/>
        <v>0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0</v>
      </c>
      <c r="I511" s="90">
        <f>IFERROR(IF($D511="","",VLOOKUP($D511,Cadastro!$C$4:$G$7,5,FALSE())),"")</f>
        <v>0.6</v>
      </c>
      <c r="J511" s="91">
        <f t="shared" si="126"/>
        <v>0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65" t="s">
        <v>263</v>
      </c>
      <c r="B513" s="165"/>
      <c r="C513" s="165"/>
      <c r="D513" s="165"/>
      <c r="E513" s="165"/>
      <c r="F513" s="105"/>
      <c r="G513" s="96">
        <f>SUM(G501:G512)</f>
        <v>160</v>
      </c>
      <c r="H513" s="105">
        <f>IFERROR(SUM(H501:H512),"")</f>
        <v>0</v>
      </c>
      <c r="I513" s="106"/>
      <c r="J513" s="107">
        <f>IFERROR(SUM(J501:J512),"")</f>
        <v>0</v>
      </c>
      <c r="K513" s="2" t="e">
        <f>SUM(K501:K512)</f>
        <v>#REF!</v>
      </c>
      <c r="L513" s="72"/>
      <c r="M513" s="72"/>
      <c r="N513" s="72"/>
      <c r="O513" s="134"/>
      <c r="P513" s="134"/>
      <c r="Q513" s="73">
        <f ca="1">IFERROR(SUM(Q501:Q512),"")</f>
        <v>0.11131724536810211</v>
      </c>
      <c r="R513" s="2" t="s">
        <v>261</v>
      </c>
      <c r="S513" s="74"/>
      <c r="T513" s="99">
        <f>IFERROR(J513,"")</f>
        <v>0</v>
      </c>
    </row>
    <row r="514" spans="1:20" ht="18" customHeight="1">
      <c r="A514" s="164" t="s">
        <v>249</v>
      </c>
      <c r="B514" s="164"/>
      <c r="C514" s="164"/>
      <c r="D514" s="164"/>
      <c r="E514" s="164"/>
      <c r="F514" s="108"/>
      <c r="G514" s="109">
        <f>G500+G513</f>
        <v>362</v>
      </c>
      <c r="H514" s="108">
        <f>IFERROR(H500+H513,"")</f>
        <v>864.28</v>
      </c>
      <c r="I514" s="110"/>
      <c r="J514" s="111">
        <f>IFERROR(J500+J513,"")</f>
        <v>124.45631999999999</v>
      </c>
      <c r="K514" s="1" t="e">
        <f>K500+K513</f>
        <v>#REF!</v>
      </c>
      <c r="L514" s="76"/>
      <c r="M514" s="76"/>
      <c r="N514" s="76"/>
      <c r="O514" s="135"/>
      <c r="P514" s="135"/>
      <c r="Q514" s="77">
        <f ca="1">IFERROR(Q500+Q513,"")</f>
        <v>0.19603946759032365</v>
      </c>
      <c r="R514" s="1" t="s">
        <v>264</v>
      </c>
      <c r="S514" s="82">
        <f>IFERROR(S500+S513,"")</f>
        <v>864280</v>
      </c>
      <c r="T514" s="118">
        <f>IFERROR(J514,"")</f>
        <v>124.45631999999999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134"/>
      <c r="P527" s="134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135"/>
      <c r="P541" s="135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dfRPgXhTQwsFGwHGTBGCfrGej3jH2dpuWbMlNWIVOIidfYQ287ObjJ2finMWh23loXamaW1R3AISQcwSy5UzcA==" saltValue="w5BbqAfU/RjRcT0QW6msh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2026-08-20T10:38:22Z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