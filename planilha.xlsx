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399" documentId="8_{AF585B22-221D-4780-BB9C-493D365A6A02}" xr6:coauthVersionLast="47" xr6:coauthVersionMax="47" xr10:uidLastSave="{D4CED45F-28FE-421A-AED7-53D1BA9FFE69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<sst xmlns="http://schemas.openxmlformats.org/spreadsheetml/2006/main" count="6537" uniqueCount="327">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</sst>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C21" sqref="C21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1576070</v>
      </c>
      <c r="D18" s="8">
        <f>IFERROR('Linha 1'!O406,"")</f>
        <v>281950</v>
      </c>
      <c r="E18" s="8">
        <f>IFERROR('Linha 2'!O406,"")</f>
        <v>399940</v>
      </c>
      <c r="F18" s="8">
        <f>IFERROR('Linha 3'!O406,"")</f>
        <v>565570</v>
      </c>
      <c r="G18" s="9">
        <f t="shared" si="0"/>
        <v>1247460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43719092</v>
      </c>
      <c r="D35" s="13">
        <f>IFERROR(SUM(D4:D34),"")</f>
        <v>16028150</v>
      </c>
      <c r="E35" s="13">
        <f>IFERROR(SUM(E4:E34),"")</f>
        <v>10699830</v>
      </c>
      <c r="F35" s="13">
        <f>IFERROR(SUM(F4:F34),"")</f>
        <v>19982890</v>
      </c>
      <c r="G35" s="13">
        <f>IFERROR(SUM(G4:G34),"")</f>
        <v>46710870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390" activePane="bottomLeft" state="frozen"/>
      <selection pane="bottomLeft" activeCell="F398" sqref="F39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>
        <v>16</v>
      </c>
      <c r="G394" s="28">
        <f t="shared" si="87"/>
        <v>80</v>
      </c>
      <c r="H394" s="26" t="s">
        <v>17</v>
      </c>
      <c r="I394" s="26"/>
      <c r="J394" s="26" t="s">
        <v>25</v>
      </c>
      <c r="K394" s="29">
        <v>3.6805555555555557E-2</v>
      </c>
      <c r="L394" s="29"/>
      <c r="M394" s="30">
        <f t="shared" ca="1" si="88"/>
        <v>1.7307407404587138E-2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>
        <v>11</v>
      </c>
      <c r="G395" s="34">
        <f t="shared" si="87"/>
        <v>55</v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134</v>
      </c>
      <c r="G405" s="36">
        <f>SUM(G393:G404)</f>
        <v>670</v>
      </c>
      <c r="H405" s="37"/>
      <c r="I405" s="37"/>
      <c r="J405" s="37"/>
      <c r="K405" s="37"/>
      <c r="L405" s="37"/>
      <c r="M405" s="38">
        <f ca="1">IFERROR(SUM(M393:M404),"")</f>
        <v>2.5640740737920442E-2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394</v>
      </c>
      <c r="G406" s="40">
        <f>G392+G405</f>
        <v>1970</v>
      </c>
      <c r="H406" s="41"/>
      <c r="I406" s="41"/>
      <c r="J406" s="41"/>
      <c r="K406" s="41"/>
      <c r="L406" s="41"/>
      <c r="M406" s="42">
        <f ca="1">IFERROR(M392+M405,"")</f>
        <v>0.1409185185156982</v>
      </c>
      <c r="N406" s="40" t="s">
        <v>226</v>
      </c>
      <c r="O406" s="48">
        <f>IFERROR(O392+O405,"")</f>
        <v>1576070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87" activePane="bottomLeft" state="frozen"/>
      <selection pane="bottomLeft" activeCell="L397" sqref="L39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242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268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242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242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270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242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242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242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242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242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242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242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242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242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242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242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272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273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242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242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242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242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0.81452962962794118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0.97216851851683006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1.0818907407390523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242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242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242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242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257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242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274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242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242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242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242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242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275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242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238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242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197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242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242</v>
      </c>
      <c r="F397" s="27">
        <v>10</v>
      </c>
      <c r="G397" s="34">
        <f t="shared" si="87"/>
        <v>42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242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242</v>
      </c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242</v>
      </c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242</v>
      </c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242</v>
      </c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242</v>
      </c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75</v>
      </c>
      <c r="G405" s="36">
        <f>SUM(G393:G404)</f>
        <v>315</v>
      </c>
      <c r="H405" s="37"/>
      <c r="I405" s="37"/>
      <c r="J405" s="37"/>
      <c r="K405" s="37"/>
      <c r="L405" s="37"/>
      <c r="M405" s="38">
        <f ca="1">IFERROR(SUM(M393:M404),"")</f>
        <v>0.14722222222222225</v>
      </c>
      <c r="N405" s="36" t="s">
        <v>223</v>
      </c>
      <c r="O405" s="78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149</v>
      </c>
      <c r="G406" s="40">
        <f>G392+G405</f>
        <v>625.79999999999995</v>
      </c>
      <c r="H406" s="41"/>
      <c r="I406" s="41"/>
      <c r="J406" s="41"/>
      <c r="K406" s="41"/>
      <c r="L406" s="41"/>
      <c r="M406" s="42">
        <f ca="1">IFERROR(M392+M405,"")</f>
        <v>0.48749999999999999</v>
      </c>
      <c r="N406" s="40" t="s">
        <v>226</v>
      </c>
      <c r="O406" s="84">
        <f>IFERROR(O392+O405,"")</f>
        <v>281950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88" zoomScale="50" zoomScaleNormal="50" workbookViewId="0">
      <selection activeCell="L394" sqref="L39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256</v>
      </c>
      <c r="K141" s="29">
        <v>0.71597222222222223</v>
      </c>
      <c r="L141" s="29" t="s">
        <v>283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285</v>
      </c>
      <c r="N166" s="27" t="s">
        <v>286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288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289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242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242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242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242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242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242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242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242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242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242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242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242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242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242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242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242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242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242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242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242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242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242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242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242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242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242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242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242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242</v>
      </c>
      <c r="F394" s="27">
        <v>10</v>
      </c>
      <c r="G394" s="28">
        <f t="shared" si="87"/>
        <v>42</v>
      </c>
      <c r="H394" s="26" t="s">
        <v>16</v>
      </c>
      <c r="I394" s="26" t="s">
        <v>159</v>
      </c>
      <c r="J394" s="26" t="s">
        <v>40</v>
      </c>
      <c r="K394" s="29">
        <v>4.9305555555555554E-2</v>
      </c>
      <c r="L394" s="29"/>
      <c r="M394" s="30">
        <f t="shared" ca="1" si="88"/>
        <v>4.8074074074975215E-3</v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242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242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242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242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242</v>
      </c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242</v>
      </c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242</v>
      </c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242</v>
      </c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242</v>
      </c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45</v>
      </c>
      <c r="G405" s="36">
        <f>SUM(G393:G404)</f>
        <v>198.60000000000002</v>
      </c>
      <c r="H405" s="37"/>
      <c r="I405" s="37"/>
      <c r="J405" s="37"/>
      <c r="K405" s="37"/>
      <c r="L405" s="37"/>
      <c r="M405" s="38">
        <f ca="1">IFERROR(SUM(M393:M404),"")</f>
        <v>1.7307407407497519E-2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140</v>
      </c>
      <c r="G406" s="40">
        <f>G392+G405</f>
        <v>597.60000000000014</v>
      </c>
      <c r="H406" s="41"/>
      <c r="I406" s="41"/>
      <c r="J406" s="41"/>
      <c r="K406" s="41"/>
      <c r="L406" s="41"/>
      <c r="M406" s="42">
        <f ca="1">IFERROR(M392+M405,"")</f>
        <v>4.7168518518608579E-2</v>
      </c>
      <c r="N406" s="40" t="s">
        <v>226</v>
      </c>
      <c r="O406" s="48">
        <f>IFERROR(O392+O405,"")</f>
        <v>399940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88" activePane="bottomLeft" state="frozen"/>
      <selection pane="bottomLeft" activeCell="L396" sqref="L39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298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299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300</v>
      </c>
      <c r="L58" s="29">
        <v>0.54097222222222219</v>
      </c>
      <c r="M58" s="30" t="str">
        <f t="shared" ca="1" si="13"/>
        <v/>
      </c>
      <c r="N58" s="27" t="s">
        <v>301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308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309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0.8048074074104079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1.0041129629659635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1.3714740740770746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242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242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242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242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242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242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242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242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318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319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242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251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242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242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280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242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242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242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242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242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242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242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242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242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242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242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242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242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242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242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242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242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242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325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242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242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312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242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242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242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242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242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242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242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179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326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242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242</v>
      </c>
      <c r="F396" s="27">
        <v>21</v>
      </c>
      <c r="G396" s="28">
        <f t="shared" si="87"/>
        <v>88.2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242</v>
      </c>
      <c r="F397" s="27">
        <v>11</v>
      </c>
      <c r="G397" s="34">
        <f t="shared" si="87"/>
        <v>46.2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242</v>
      </c>
      <c r="F398" s="27">
        <v>15</v>
      </c>
      <c r="G398" s="28">
        <f t="shared" si="87"/>
        <v>63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242</v>
      </c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242</v>
      </c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242</v>
      </c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242</v>
      </c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242</v>
      </c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90</v>
      </c>
      <c r="G405" s="36">
        <f>SUM(G393:G404)</f>
        <v>398</v>
      </c>
      <c r="H405" s="37"/>
      <c r="I405" s="37"/>
      <c r="J405" s="37"/>
      <c r="K405" s="61"/>
      <c r="L405" s="61"/>
      <c r="M405" s="38">
        <f ca="1">IFERROR(SUM(M393:M404),"")</f>
        <v>6.5277777777777921E-2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233</v>
      </c>
      <c r="G406" s="40">
        <f>G392+G405</f>
        <v>998.6</v>
      </c>
      <c r="H406" s="41"/>
      <c r="I406" s="41"/>
      <c r="J406" s="41"/>
      <c r="K406" s="63"/>
      <c r="L406" s="63"/>
      <c r="M406" s="42">
        <f ca="1">IFERROR(M392+M405,"")</f>
        <v>0.2479166666666669</v>
      </c>
      <c r="N406" s="40" t="s">
        <v>226</v>
      </c>
      <c r="O406" s="48">
        <f>IFERROR(O392+O405,"")</f>
        <v>565570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2026-07-16T05:18:29Z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