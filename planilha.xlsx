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69" documentId="8_{AF585B22-221D-4780-BB9C-493D365A6A02}" xr6:coauthVersionLast="47" xr6:coauthVersionMax="47" xr10:uidLastSave="{66787402-AD39-4522-9F85-D5FBFC293486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E19" i="1" s="1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D19" i="1" s="1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C19" i="1" s="1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433" i="5" l="1"/>
  <c r="F433" i="5"/>
  <c r="G32" i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<sst xmlns="http://schemas.openxmlformats.org/spreadsheetml/2006/main" count="6953" uniqueCount="336">
  <si>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</si>
  <si>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</si>
  <si>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</si>
  <si>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</si>
  <si>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</si>
  <si>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</si>
  <si>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</si>
  <si>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</si>
  <si>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</si>
  <si>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</si>
  <si>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</si>
  <si>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</si>
  <si>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</si>
  <si>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</si>
  <si>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</si>
  <si>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</si>
  <si>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</si>
  <si>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</si>
  <si>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</si>
  <si>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</si>
  <si>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</si>
  <si>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</si>
  <si>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</si>
  <si>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</si>
  <si>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</si>
  <si>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</si>
  <si>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</si>
  <si>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</si>
  <si>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</si>
  <si>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</si>
  <si>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</si>
  <si>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</si>
  <si>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</si>
  <si>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</si>
  <si>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</si>
  <si>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</si>
  <si>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</si>
  <si>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</si>
  <si>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</si>
  <si>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</si>
  <si>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</si>
  <si>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</si>
  <si>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</si>
  <si>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</si>
  <si>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</si>
  <si>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</si>
  <si>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</si>
  <si>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</si>
  <si>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</si>
  <si>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</si>
  <si>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</si>
  <si>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</si>
  <si>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</si>
  <si>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</si>
  <si>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</si>
  <si>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</si>
  <si>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</si>
  <si>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</si>
  <si>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</si>
  <si>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</si>
  <si>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</si>
  <si>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</si>
  <si>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</si>
  <si>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</si>
  <si>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</si>
  <si>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</si>
  <si>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</si>
  <si>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</si>
  <si>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</si>
  <si>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</si>
  <si>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</si>
  <si>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</si>
  <si>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</si>
  <si>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</si>
  <si>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</si>
  <si>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</si>
  <si>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</si>
  <si>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</si>
  <si>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</si>
  <si>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</si>
  <si>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</si>
  <si>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</si>
  <si>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</si>
  <si>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</si>
  <si>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</si>
  <si>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</si>
  <si>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</si>
  <si>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</si>
  <si>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</si>
  <si>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</si>
  <si>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</si>
  <si>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</si>
  <si>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</si>
  <si>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</si>
  <si>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</si>
  <si>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</si>
  <si>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</si>
  <si>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</si>
  <si>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</si>
  <si>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</si>
  <si>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</si>
  <si>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</si>
  <si>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</si>
  <si>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</si>
  <si>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</si>
  <si>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</si>
  <si>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</si>
  <si>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</si>
  <si>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</si>
  <si>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</si>
  <si>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</si>
  <si>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</si>
  <si>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</si>
  <si>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</si>
  <si>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</si>
  <si>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</si>
  <si>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</si>
  <si>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</si>
  <si>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</si>
  <si>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</si>
  <si>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</si>
  <si>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</si>
  <si>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</si>
  <si>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</si>
  <si>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</si>
  <si>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</si>
  <si>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</si>
  <si>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</si>
  <si>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</si>
  <si>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</si>
  <si>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</si>
  <si>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</si>
  <si>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</si>
  <si>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</si>
  <si>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</si>
  <si>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</si>
  <si>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</si>
  <si>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</si>
  <si>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</si>
  <si>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</si>
  <si>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</si>
  <si>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</si>
  <si>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</si>
  <si>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</si>
  <si>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</si>
  <si>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</si>
  <si>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</si>
  <si>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</si>
  <si>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</si>
  <si>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</si>
  <si>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</si>
  <si>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</si>
  <si>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</si>
  <si>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</si>
  <si>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</si>
  <si>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</si>
  <si>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</si>
  <si>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</si>
  <si>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</si>
  <si>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</si>
  <si>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</si>
  <si>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</si>
  <si>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</si>
  <si>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</si>
  <si>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</si>
  <si>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</si>
  <si>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</si>
  <si>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</si>
  <si>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</si>
  <si>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</si>
  <si>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</si>
  <si>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</si>
  <si>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</si>
  <si>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</si>
  <si>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</si>
  <si>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</si>
  <si>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</si>
  <si>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</si>
  <si>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</si>
  <si>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</si>
  <si>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</si>
  <si>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</si>
  <si>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</si>
  <si>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</si>
  <si>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</si>
  <si>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</si>
  <si>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</si>
  <si>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</si>
  <si>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</si>
  <si>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</si>
  <si>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</si>
  <si>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</si>
  <si>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</si>
  <si>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</si>
  <si>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</si>
  <si>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</si>
  <si>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</si>
  <si>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</si>
  <si>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</si>
  <si>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</si>
  <si>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</si>
  <si>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</si>
  <si>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</si>
  <si>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</si>
  <si>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</si>
  <si>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</si>
  <si>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</si>
  <si>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</si>
  <si>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</si>
  <si>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</si>
  <si>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</si>
  <si>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</si>
  <si>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</si>
  <si>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</si>
  <si>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</si>
  <si>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</si>
  <si>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</si>
  <si>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</si>
  <si>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</si>
  <si>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</si>
  <si>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</si>
  <si>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</si>
  <si>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</si>
  <si>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</si>
  <si>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</si>
  <si>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</si>
  <si>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</si>
  <si>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</si>
  <si>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</si>
  <si>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</si>
  <si>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</si>
  <si>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</si>
  <si>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</si>
  <si>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</si>
  <si>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</si>
  <si>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</si>
  <si>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</si>
  <si>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</si>
  <si>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</si>
  <si>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</si>
  <si>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</si>
  <si>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</si>
  <si>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</si>
  <si>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</si>
  <si>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</si>
  <si>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</si>
  <si>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</si>
  <si>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</si>
  <si>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</si>
  <si>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</si>
  <si>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</si>
  <si>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</si>
  <si>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</si>
  <si>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</si>
  <si>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</si>
  <si>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</si>
  <si>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</si>
  <si>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</si>
  <si>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</si>
  <si>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</si>
  <si>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</si>
  <si>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</si>
  <si>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</si>
  <si>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</si>
  <si>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</si>
  <si>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</si>
  <si>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</si>
  <si>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</si>
  <si>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</si>
  <si>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</si>
  <si>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</si>
  <si>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</si>
  <si>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</si>
  <si>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</si>
  <si>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</si>
  <si>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</si>
  <si>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</si>
  <si>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</si>
  <si>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</si>
  <si>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</si>
  <si>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</si>
  <si>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</si>
  <si>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</si>
  <si>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</si>
  <si>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</si>
  <si>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</si>
  <si>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</si>
  <si>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</si>
  <si>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</si>
  <si>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</si>
  <si>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</si>
  <si>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</si>
  <si>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</si>
  <si>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</si>
  <si>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</si>
  <si>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</si>
  <si>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</si>
  <si>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</si>
  <si>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</si>
  <si>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</si>
  <si>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</si>
  <si>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</si>
  <si>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</si>
  <si>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</si>
  <si>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</si>
  <si>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</si>
  <si>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</si>
  <si>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</si>
  <si>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</si>
  <si>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</si>
  <si>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</si>
  <si>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</si>
  <si>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</si>
  <si>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</si>
  <si>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</si>
  <si>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</si>
  <si>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</si>
  <si>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</si>
  <si>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</si>
  <si>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</si>
  <si>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</si>
  <si>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</si>
  <si>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</si>
  <si>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</si>
  <si>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</si>
  <si>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</si>
  <si>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</si>
  <si>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</si>
  <si>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</si>
  <si>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</si>
  <si>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</si>
  <si>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troca de pino</t>
  </si>
  <si>
    <t>bomba dágua suja (10"x8")</t>
  </si>
  <si>
    <t xml:space="preserve">troca da bomba centrífuga (10"x8") </t>
  </si>
  <si>
    <t xml:space="preserve">A obstrução foi devido a falha na bomba d'agua 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</si>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</sst>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13" borderId="1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12" activePane="bottomLeft" state="frozen"/>
      <selection pane="bottomLeft" activeCell="H18" sqref="H18"/>
    </sheetView>
  </sheetViews>
  <sheetFormatPr defaultColWidth="8.5546875" defaultRowHeight="14.4" x14ac:dyDescent="0.3"/>
  <cols>
    <col min="1" max="1" width="17.5546875" customWidth="1"/>
    <col min="2" max="2" width="21" style="71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 x14ac:dyDescent="0.3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02" t="s">
        <v>9</v>
      </c>
      <c r="B35" s="102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 x14ac:dyDescent="0.3">
      <c r="H2" s="104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3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3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3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3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3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3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3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3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3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3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3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3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3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3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3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3">
      <c r="A38" s="16"/>
      <c r="C38" s="16"/>
      <c r="E38" s="16"/>
      <c r="G38" s="16" t="s">
        <v>332</v>
      </c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 x14ac:dyDescent="0.3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 x14ac:dyDescent="0.3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 x14ac:dyDescent="0.3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 x14ac:dyDescent="0.3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 x14ac:dyDescent="0.3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 x14ac:dyDescent="0.3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 x14ac:dyDescent="0.3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 x14ac:dyDescent="0.3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 x14ac:dyDescent="0.3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 x14ac:dyDescent="0.3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 x14ac:dyDescent="0.3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 x14ac:dyDescent="0.3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 x14ac:dyDescent="0.3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 x14ac:dyDescent="0.3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 x14ac:dyDescent="0.3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 x14ac:dyDescent="0.3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 x14ac:dyDescent="0.3">
      <c r="H55" s="104"/>
      <c r="I55" s="17"/>
      <c r="J55" s="17"/>
      <c r="K55" s="17" t="s">
        <v>199</v>
      </c>
      <c r="L55" s="17"/>
      <c r="M55" s="17"/>
    </row>
    <row r="56" spans="1:13" ht="15" customHeight="1" x14ac:dyDescent="0.3">
      <c r="H56" s="104"/>
      <c r="I56" s="16"/>
      <c r="J56" s="16"/>
      <c r="K56" s="16" t="s">
        <v>200</v>
      </c>
      <c r="L56" s="16"/>
      <c r="M56" s="16"/>
    </row>
    <row r="57" spans="1:13" ht="15" customHeight="1" x14ac:dyDescent="0.3">
      <c r="H57" s="104"/>
      <c r="I57" s="17"/>
      <c r="J57" s="17"/>
      <c r="K57" s="17" t="s">
        <v>50</v>
      </c>
      <c r="L57" s="17"/>
      <c r="M57" s="17"/>
    </row>
    <row r="58" spans="1:13" ht="15" customHeight="1" x14ac:dyDescent="0.3">
      <c r="H58" s="104"/>
      <c r="I58" s="16"/>
      <c r="J58" s="16"/>
      <c r="K58" s="16" t="s">
        <v>201</v>
      </c>
      <c r="L58" s="16"/>
      <c r="M58" s="16"/>
    </row>
    <row r="59" spans="1:13" ht="15" customHeight="1" x14ac:dyDescent="0.3">
      <c r="H59" s="104"/>
      <c r="I59" s="17"/>
      <c r="J59" s="17"/>
      <c r="K59" s="17" t="s">
        <v>202</v>
      </c>
      <c r="L59" s="17"/>
      <c r="M59" s="17"/>
    </row>
    <row r="60" spans="1:13" ht="15" customHeight="1" x14ac:dyDescent="0.3">
      <c r="H60" s="104"/>
      <c r="I60" s="16"/>
      <c r="J60" s="16"/>
      <c r="K60" s="87" t="s">
        <v>105</v>
      </c>
      <c r="L60" s="16"/>
      <c r="M60" s="16"/>
    </row>
    <row r="61" spans="1:13" ht="15" customHeight="1" x14ac:dyDescent="0.3">
      <c r="H61" s="104"/>
      <c r="I61" s="17"/>
      <c r="J61" s="17"/>
      <c r="K61" s="17" t="s">
        <v>203</v>
      </c>
      <c r="L61" s="17"/>
      <c r="M61" s="17"/>
    </row>
    <row r="62" spans="1:13" ht="15" customHeight="1" x14ac:dyDescent="0.3">
      <c r="H62" s="104"/>
      <c r="I62" s="16"/>
      <c r="J62" s="16"/>
      <c r="K62" s="16" t="s">
        <v>204</v>
      </c>
      <c r="L62" s="16"/>
      <c r="M62" s="16"/>
    </row>
    <row r="63" spans="1:13" ht="15" customHeight="1" x14ac:dyDescent="0.3">
      <c r="H63" s="104"/>
      <c r="I63" s="17"/>
      <c r="J63" s="17"/>
      <c r="K63" s="17" t="s">
        <v>205</v>
      </c>
      <c r="L63" s="17"/>
      <c r="M63" s="17"/>
    </row>
    <row r="64" spans="1:13" ht="15" customHeight="1" x14ac:dyDescent="0.3">
      <c r="H64" s="104"/>
      <c r="I64" s="16"/>
      <c r="J64" s="16"/>
      <c r="K64" s="16" t="s">
        <v>206</v>
      </c>
      <c r="L64" s="16"/>
      <c r="M64" s="16"/>
    </row>
    <row r="65" spans="8:13" ht="15" customHeight="1" x14ac:dyDescent="0.3">
      <c r="H65" s="104"/>
      <c r="I65" s="17"/>
      <c r="J65" s="17"/>
      <c r="K65" s="17" t="s">
        <v>207</v>
      </c>
      <c r="L65" s="17"/>
      <c r="M65" s="17"/>
    </row>
    <row r="66" spans="8:13" ht="15" customHeight="1" x14ac:dyDescent="0.3">
      <c r="H66" s="104"/>
      <c r="I66" s="16"/>
      <c r="J66" s="16"/>
      <c r="K66" s="16" t="s">
        <v>208</v>
      </c>
      <c r="L66" s="16"/>
      <c r="M66" s="16"/>
    </row>
    <row r="67" spans="8:13" ht="15" customHeight="1" x14ac:dyDescent="0.3">
      <c r="H67" s="104"/>
      <c r="I67" s="17"/>
      <c r="J67" s="17"/>
      <c r="K67" s="17" t="s">
        <v>333</v>
      </c>
      <c r="L67" s="17"/>
      <c r="M67" s="17"/>
    </row>
    <row r="68" spans="8:13" ht="15" customHeight="1" x14ac:dyDescent="0.3">
      <c r="H68" s="104"/>
      <c r="I68" s="16"/>
      <c r="J68" s="16"/>
      <c r="K68" s="16"/>
      <c r="L68" s="16"/>
      <c r="M68" s="16"/>
    </row>
    <row r="69" spans="8:13" ht="15" customHeight="1" x14ac:dyDescent="0.3">
      <c r="H69" s="104"/>
      <c r="I69" s="17"/>
      <c r="J69" s="17"/>
      <c r="K69" s="17"/>
      <c r="L69" s="17"/>
      <c r="M69" s="17"/>
    </row>
    <row r="70" spans="8:13" ht="15" customHeight="1" x14ac:dyDescent="0.3">
      <c r="H70" s="104"/>
      <c r="I70" s="16"/>
      <c r="J70" s="16"/>
      <c r="K70" s="16"/>
      <c r="L70" s="16"/>
      <c r="M70" s="16"/>
    </row>
    <row r="71" spans="8:13" ht="15" customHeight="1" x14ac:dyDescent="0.3">
      <c r="H71" s="104"/>
      <c r="I71" s="17"/>
      <c r="J71" s="17"/>
      <c r="K71" s="17"/>
      <c r="L71" s="17"/>
      <c r="M71" s="17"/>
    </row>
    <row r="72" spans="8:13" ht="15" customHeight="1" x14ac:dyDescent="0.3">
      <c r="H72" s="104"/>
      <c r="I72" s="16"/>
      <c r="J72" s="16"/>
      <c r="K72" s="16"/>
      <c r="L72" s="16"/>
      <c r="M72" s="16"/>
    </row>
    <row r="73" spans="8:13" ht="15" customHeight="1" x14ac:dyDescent="0.3">
      <c r="H73" s="104"/>
      <c r="I73" s="17"/>
      <c r="J73" s="17"/>
      <c r="K73" s="17"/>
      <c r="L73" s="17"/>
      <c r="M73" s="17"/>
    </row>
    <row r="74" spans="8:13" ht="15" customHeight="1" x14ac:dyDescent="0.3">
      <c r="H74" s="104"/>
      <c r="I74" s="16"/>
      <c r="J74" s="16"/>
      <c r="K74" s="16"/>
      <c r="L74" s="16"/>
      <c r="M74" s="16"/>
    </row>
    <row r="75" spans="8:13" ht="15" customHeight="1" x14ac:dyDescent="0.3">
      <c r="H75" s="104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99" activePane="bottomLeft" state="frozen"/>
      <selection pane="bottomLeft" activeCell="O433" sqref="O433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 x14ac:dyDescent="0.3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 x14ac:dyDescent="0.3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 x14ac:dyDescent="0.3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 x14ac:dyDescent="0.3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 x14ac:dyDescent="0.3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 x14ac:dyDescent="0.3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 x14ac:dyDescent="0.3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 x14ac:dyDescent="0.3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 x14ac:dyDescent="0.3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 x14ac:dyDescent="0.3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 x14ac:dyDescent="0.3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 x14ac:dyDescent="0.3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 x14ac:dyDescent="0.3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 x14ac:dyDescent="0.3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 x14ac:dyDescent="0.3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 x14ac:dyDescent="0.3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331</v>
      </c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244</v>
      </c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244</v>
      </c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>
        <v>1801910</v>
      </c>
    </row>
    <row r="433" spans="1:15" ht="18" customHeight="1" x14ac:dyDescent="0.3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3402600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 x14ac:dyDescent="0.3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 x14ac:dyDescent="0.3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 x14ac:dyDescent="0.3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 x14ac:dyDescent="0.3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 x14ac:dyDescent="0.3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 x14ac:dyDescent="0.3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 x14ac:dyDescent="0.3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 x14ac:dyDescent="0.3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 x14ac:dyDescent="0.3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 x14ac:dyDescent="0.3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 x14ac:dyDescent="0.3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 x14ac:dyDescent="0.3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 x14ac:dyDescent="0.3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 x14ac:dyDescent="0.3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92" activePane="bottomLeft" state="frozen"/>
      <selection pane="bottomLeft" activeCell="F417" sqref="F417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64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 x14ac:dyDescent="0.3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246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247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 x14ac:dyDescent="0.3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248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249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 x14ac:dyDescent="0.3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250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251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252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253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 x14ac:dyDescent="0.3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254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255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256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257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 x14ac:dyDescent="0.3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258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260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261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 x14ac:dyDescent="0.3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 x14ac:dyDescent="0.3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262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263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 x14ac:dyDescent="0.3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264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265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260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 x14ac:dyDescent="0.3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267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 x14ac:dyDescent="0.3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268</v>
      </c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269</v>
      </c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270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 x14ac:dyDescent="0.3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271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271</v>
      </c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272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273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 x14ac:dyDescent="0.3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274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275</v>
      </c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276</v>
      </c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 x14ac:dyDescent="0.3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5.5214351850736421E-2</v>
      </c>
      <c r="N377" s="46"/>
      <c r="O377" s="47"/>
    </row>
    <row r="378" spans="1:15" ht="15.75" customHeight="1" x14ac:dyDescent="0.3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0.2128532407396253</v>
      </c>
      <c r="N378" s="36" t="s">
        <v>223</v>
      </c>
      <c r="O378" s="78">
        <v>511980</v>
      </c>
    </row>
    <row r="379" spans="1:15" ht="18" customHeight="1" x14ac:dyDescent="0.3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0.32257546296184747</v>
      </c>
      <c r="N379" s="40" t="s">
        <v>226</v>
      </c>
      <c r="O379" s="84">
        <f>IFERROR(O365+O378,"")</f>
        <v>1320530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260</v>
      </c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277</v>
      </c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278</v>
      </c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 x14ac:dyDescent="0.3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332</v>
      </c>
      <c r="J420" s="26" t="s">
        <v>333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334</v>
      </c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3.368657407554565E-2</v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0.20451990740887901</v>
      </c>
      <c r="N432" s="36" t="s">
        <v>223</v>
      </c>
      <c r="O432" s="78">
        <v>484540</v>
      </c>
    </row>
    <row r="433" spans="1:15" ht="18" customHeight="1" x14ac:dyDescent="0.3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0.34965879629776786</v>
      </c>
      <c r="N433" s="40" t="s">
        <v>226</v>
      </c>
      <c r="O433" s="84">
        <f>IFERROR(O419+O432,"")</f>
        <v>1184540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 x14ac:dyDescent="0.3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 x14ac:dyDescent="0.3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 x14ac:dyDescent="0.3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 x14ac:dyDescent="0.3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 x14ac:dyDescent="0.3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 x14ac:dyDescent="0.3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 x14ac:dyDescent="0.3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 x14ac:dyDescent="0.3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 x14ac:dyDescent="0.3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 x14ac:dyDescent="0.3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 x14ac:dyDescent="0.3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 x14ac:dyDescent="0.3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 x14ac:dyDescent="0.3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 x14ac:dyDescent="0.3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0" zoomScale="60" zoomScaleNormal="60" workbookViewId="0">
      <selection activeCell="H414" sqref="H414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39.332031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279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280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 x14ac:dyDescent="0.3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281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 x14ac:dyDescent="0.3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282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283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 x14ac:dyDescent="0.3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284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 x14ac:dyDescent="0.3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257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 x14ac:dyDescent="0.3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259</v>
      </c>
      <c r="K141" s="29">
        <v>0.71597222222222223</v>
      </c>
      <c r="L141" s="29" t="s">
        <v>286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287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261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 x14ac:dyDescent="0.3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288</v>
      </c>
      <c r="N166" s="27" t="s">
        <v>289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 x14ac:dyDescent="0.3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290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 x14ac:dyDescent="0.3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 x14ac:dyDescent="0.3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291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292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 x14ac:dyDescent="0.3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293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294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 x14ac:dyDescent="0.3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295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296</v>
      </c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 x14ac:dyDescent="0.3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298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283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 x14ac:dyDescent="0.3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 x14ac:dyDescent="0.3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 x14ac:dyDescent="0.3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thickBot="1" x14ac:dyDescent="0.35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 thickBot="1" x14ac:dyDescent="0.35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332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106" t="s">
        <v>334</v>
      </c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>
        <v>229150</v>
      </c>
    </row>
    <row r="433" spans="1:15" ht="18" customHeight="1" x14ac:dyDescent="0.3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438150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 x14ac:dyDescent="0.3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 x14ac:dyDescent="0.3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 x14ac:dyDescent="0.3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 x14ac:dyDescent="0.3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 x14ac:dyDescent="0.3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 x14ac:dyDescent="0.3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 x14ac:dyDescent="0.3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 x14ac:dyDescent="0.3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 x14ac:dyDescent="0.3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 x14ac:dyDescent="0.3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 x14ac:dyDescent="0.3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 x14ac:dyDescent="0.3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 x14ac:dyDescent="0.3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 x14ac:dyDescent="0.3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99" activePane="bottomLeft" state="frozen"/>
      <selection pane="bottomLeft" activeCell="F417" sqref="F417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5.4414062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299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283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300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 x14ac:dyDescent="0.3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301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302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 x14ac:dyDescent="0.3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303</v>
      </c>
      <c r="L58" s="29">
        <v>0.54097222222222219</v>
      </c>
      <c r="M58" s="30" t="str">
        <f t="shared" ca="1" si="13"/>
        <v/>
      </c>
      <c r="N58" s="27" t="s">
        <v>304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279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305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306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307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308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 x14ac:dyDescent="0.3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309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 x14ac:dyDescent="0.3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310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311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312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4.5492129633203149E-2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257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0.24479768518875877</v>
      </c>
      <c r="N135" s="36" t="s">
        <v>223</v>
      </c>
      <c r="O135" s="39">
        <v>729290</v>
      </c>
    </row>
    <row r="136" spans="1:18" ht="18" customHeight="1" x14ac:dyDescent="0.3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0.6121587962998698</v>
      </c>
      <c r="N136" s="40" t="s">
        <v>226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313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314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 x14ac:dyDescent="0.3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315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 x14ac:dyDescent="0.3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316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317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318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 x14ac:dyDescent="0.3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319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320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322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 x14ac:dyDescent="0.3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323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 x14ac:dyDescent="0.3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 x14ac:dyDescent="0.3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324</v>
      </c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254</v>
      </c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 x14ac:dyDescent="0.3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283</v>
      </c>
      <c r="O327" s="60"/>
    </row>
    <row r="328" spans="1:15" ht="15" customHeight="1" x14ac:dyDescent="0.3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326</v>
      </c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 x14ac:dyDescent="0.3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 x14ac:dyDescent="0.3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328</v>
      </c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315</v>
      </c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329</v>
      </c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330</v>
      </c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 x14ac:dyDescent="0.3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 x14ac:dyDescent="0.3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332</v>
      </c>
      <c r="J420" s="26" t="s">
        <v>333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178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223</v>
      </c>
      <c r="O432" s="39">
        <v>605220</v>
      </c>
    </row>
    <row r="433" spans="1:17" ht="18" customHeight="1" x14ac:dyDescent="0.3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226</v>
      </c>
      <c r="O433" s="48">
        <f>IFERROR(O419+O432,"")</f>
        <v>1096740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 x14ac:dyDescent="0.3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 x14ac:dyDescent="0.3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 x14ac:dyDescent="0.3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 x14ac:dyDescent="0.3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 x14ac:dyDescent="0.3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 x14ac:dyDescent="0.3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 x14ac:dyDescent="0.3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 x14ac:dyDescent="0.3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 x14ac:dyDescent="0.3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 x14ac:dyDescent="0.3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 x14ac:dyDescent="0.3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 x14ac:dyDescent="0.3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 x14ac:dyDescent="0.3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 x14ac:dyDescent="0.3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2026-07-17T11:05:10Z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