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714" documentId="8_{AF585B22-221D-4780-BB9C-493D365A6A02}" xr6:coauthVersionLast="47" xr6:coauthVersionMax="47" xr10:uidLastSave="{1F337E6C-758A-450F-BAF3-CF2D18B776ED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<sst xmlns="http://schemas.openxmlformats.org/spreadsheetml/2006/main" count="5166" uniqueCount="301">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</sst>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955688</v>
      </c>
      <c r="D15" s="11">
        <f>IFERROR('Linha 1'!O325,"")</f>
        <v>605560</v>
      </c>
      <c r="E15" s="11">
        <f>IFERROR('Linha 2'!O325,"")</f>
        <v>373300</v>
      </c>
      <c r="F15" s="11">
        <f>IFERROR('Linha 3'!O325,"")</f>
        <v>145580</v>
      </c>
      <c r="G15" s="12">
        <f t="shared" si="0"/>
        <v>1124440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34823228</v>
      </c>
      <c r="D35" s="13">
        <f>IFERROR(SUM(D4:D34),"")</f>
        <v>12465840</v>
      </c>
      <c r="E35" s="13">
        <f>IFERROR(SUM(E4:E34),"")</f>
        <v>8582050</v>
      </c>
      <c r="F35" s="13">
        <f>IFERROR(SUM(F4:F34),"")</f>
        <v>15574780</v>
      </c>
      <c r="G35" s="13">
        <f>IFERROR(SUM(G4:G34),"")</f>
        <v>36622670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74" activePane="bottomLeft" state="frozen"/>
      <selection pane="bottomLeft" activeCell="O312" sqref="O31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217.5</v>
      </c>
      <c r="G311" s="36">
        <f>SUM(G299:G310)</f>
        <v>1087.5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217.5</v>
      </c>
      <c r="G325" s="40">
        <f>G311+G324</f>
        <v>1087.5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955688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72" activePane="bottomLeft" state="frozen"/>
      <selection pane="bottomLeft" activeCell="O312" sqref="O31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91</v>
      </c>
      <c r="G325" s="40">
        <f>G311+G324</f>
        <v>382.2</v>
      </c>
      <c r="H325" s="41"/>
      <c r="I325" s="41"/>
      <c r="J325" s="41"/>
      <c r="K325" s="41"/>
      <c r="L325" s="41"/>
      <c r="M325" s="42">
        <f ca="1">IFERROR(M311+M324,"")</f>
        <v>0.15069444444444441</v>
      </c>
      <c r="N325" s="40" t="s">
        <v>221</v>
      </c>
      <c r="O325" s="84">
        <f>IFERROR(O311+O324,"")</f>
        <v>605560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75" zoomScale="50" zoomScaleNormal="50" workbookViewId="0">
      <selection activeCell="O312" sqref="O31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267</v>
      </c>
      <c r="N166" s="27" t="s">
        <v>268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69</v>
      </c>
      <c r="G325" s="40">
        <f>G311+G324</f>
        <v>294.60000000000002</v>
      </c>
      <c r="H325" s="41"/>
      <c r="I325" s="41"/>
      <c r="J325" s="41"/>
      <c r="K325" s="41"/>
      <c r="L325" s="41"/>
      <c r="M325" s="42">
        <f ca="1">IFERROR(M311+M324,"")</f>
        <v>9.9305555555555439E-2</v>
      </c>
      <c r="N325" s="40" t="s">
        <v>221</v>
      </c>
      <c r="O325" s="48">
        <f>IFERROR(O311+O324,"")</f>
        <v>373300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86" activePane="bottomLeft" state="frozen"/>
      <selection pane="bottomLeft" activeCell="J303" sqref="J30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279</v>
      </c>
      <c r="L58" s="29">
        <v>0.54097222222222219</v>
      </c>
      <c r="M58" s="30" t="str">
        <f t="shared" ca="1" si="13"/>
        <v/>
      </c>
      <c r="N58" s="27" t="s">
        <v>280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0.54262986111280043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0.74193541666835605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1.1092965277794671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299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300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0</v>
      </c>
      <c r="G303" s="34">
        <f t="shared" si="66"/>
        <v>0</v>
      </c>
      <c r="H303" s="33" t="s">
        <v>20</v>
      </c>
      <c r="I303" s="33" t="s">
        <v>136</v>
      </c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1.7361111111111049E-2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30</v>
      </c>
      <c r="G325" s="40">
        <f>G311+G324</f>
        <v>126</v>
      </c>
      <c r="H325" s="41"/>
      <c r="I325" s="41"/>
      <c r="J325" s="41"/>
      <c r="K325" s="63"/>
      <c r="L325" s="63"/>
      <c r="M325" s="42">
        <f ca="1">IFERROR(M311+M324,"")</f>
        <v>0.43055555555555558</v>
      </c>
      <c r="N325" s="40" t="s">
        <v>221</v>
      </c>
      <c r="O325" s="48">
        <f>IFERROR(O311+O324,"")</f>
        <v>145580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2026-07-12T23:00:25Z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