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421" documentId="8_{AF585B22-221D-4780-BB9C-493D365A6A02}" xr6:coauthVersionLast="47" xr6:coauthVersionMax="47" xr10:uidLastSave="{51ED27D1-8604-4AA0-87B0-0B18E235FFA4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<sst xmlns="http://schemas.openxmlformats.org/spreadsheetml/2006/main" count="10722" uniqueCount="402">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</sst>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05" sqref="F70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131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233</v>
      </c>
      <c r="O702" s="39">
        <v>1620480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236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230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131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230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230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230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230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230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230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230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230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230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230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230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8</v>
      </c>
      <c r="G716" s="36">
        <f>SUM(G704:G715)</f>
        <v>40</v>
      </c>
      <c r="H716" s="37"/>
      <c r="I716" s="37"/>
      <c r="J716" s="37"/>
      <c r="K716" s="37"/>
      <c r="L716" s="37"/>
      <c r="M716" s="38">
        <f ca="1">IFERROR(SUM(M704:M715),"")</f>
        <v>2.3611111111111083E-2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8</v>
      </c>
      <c r="G730" s="40">
        <f>G716+G729</f>
        <v>40</v>
      </c>
      <c r="H730" s="41"/>
      <c r="I730" s="41"/>
      <c r="J730" s="41"/>
      <c r="K730" s="41"/>
      <c r="L730" s="41"/>
      <c r="M730" s="42">
        <f ca="1">IFERROR(M716+M729,"")</f>
        <v>2.3611111111111083E-2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4" activePane="bottomLeft" state="frozen"/>
      <selection pane="bottomLeft" activeCell="K705" sqref="K7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0.12146666666376404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0.27910555555265293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0.38882777777487509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9.9938888888573274E-2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0.27077222222190667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0.41591111111079554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12" t="s">
        <v>257</v>
      </c>
      <c r="F680" s="113"/>
      <c r="G680" s="114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232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233</v>
      </c>
      <c r="O702" s="77">
        <v>813880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236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257</v>
      </c>
      <c r="F704" s="27">
        <v>11</v>
      </c>
      <c r="G704" s="28">
        <f t="shared" ref="G704:G715" si="156">IF(F704="","",IF(E704="PC 17",F704*4.2,IF(E704="PC 19",F704*5,"")))</f>
        <v>46.2</v>
      </c>
      <c r="H704" s="26"/>
      <c r="I704" s="26"/>
      <c r="J704" s="26"/>
      <c r="K704" s="29">
        <v>0.35486111111111113</v>
      </c>
      <c r="L704" s="29"/>
      <c r="M704" s="30">
        <f t="shared" ref="M704:M715" ca="1" si="157">IFERROR(IF(K704="","",IF(L704="",MOD(NOW()-K704,1),IF(L704&gt;=K704,L704-K704,L704+1-K704))),"")</f>
        <v>6.188888888573274E-3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257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257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257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257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257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257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257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257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257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257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257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11</v>
      </c>
      <c r="G716" s="36">
        <f>SUM(G704:G715)</f>
        <v>46.2</v>
      </c>
      <c r="H716" s="37"/>
      <c r="I716" s="37"/>
      <c r="J716" s="37"/>
      <c r="K716" s="37"/>
      <c r="L716" s="37"/>
      <c r="M716" s="38">
        <f ca="1">IFERROR(SUM(M704:M715),"")</f>
        <v>6.188888888573274E-3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11</v>
      </c>
      <c r="G730" s="40">
        <f>G716+G729</f>
        <v>46.2</v>
      </c>
      <c r="H730" s="41"/>
      <c r="I730" s="41"/>
      <c r="J730" s="41"/>
      <c r="K730" s="41"/>
      <c r="L730" s="41"/>
      <c r="M730" s="42">
        <f ca="1">IFERROR(M716+M729,"")</f>
        <v>6.188888888573274E-3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89" zoomScale="50" zoomScaleNormal="50" workbookViewId="0">
      <selection activeCell="I704" sqref="I7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330</v>
      </c>
      <c r="N166" s="27" t="s">
        <v>331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233</v>
      </c>
      <c r="O702" s="39">
        <v>349730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236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257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137</v>
      </c>
      <c r="J704" s="26"/>
      <c r="K704" s="29">
        <v>0.35486111111111113</v>
      </c>
      <c r="L704" s="29"/>
      <c r="M704" s="30">
        <f t="shared" ref="M704:M715" ca="1" si="157">IFERROR(IF(K704="","",IF(L704="",MOD(NOW()-K704,1),IF(L704&gt;=K704,L704-K704,L704+1-K704))),"")</f>
        <v>6.188888888573274E-3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257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257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257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257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257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257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257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257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257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257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257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8</v>
      </c>
      <c r="G716" s="36">
        <f>SUM(G704:G715)</f>
        <v>33.6</v>
      </c>
      <c r="H716" s="37"/>
      <c r="I716" s="37"/>
      <c r="J716" s="37"/>
      <c r="K716" s="37"/>
      <c r="L716" s="37"/>
      <c r="M716" s="38">
        <f ca="1">IFERROR(SUM(M704:M715),"")</f>
        <v>6.188888888573274E-3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8</v>
      </c>
      <c r="G730" s="40">
        <f>G716+G729</f>
        <v>33.6</v>
      </c>
      <c r="H730" s="41"/>
      <c r="I730" s="41"/>
      <c r="J730" s="41"/>
      <c r="K730" s="41"/>
      <c r="L730" s="41"/>
      <c r="M730" s="42">
        <f ca="1">IFERROR(M716+M729,"")</f>
        <v>6.188888888573274E-3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05" sqref="F70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356</v>
      </c>
      <c r="L58" s="29">
        <v>0.54097222222222219</v>
      </c>
      <c r="M58" s="30" t="str">
        <f t="shared" ca="1" si="13"/>
        <v/>
      </c>
      <c r="N58" s="27" t="s">
        <v>357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0.11174444444623077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0.3110500000017864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0.67841111111289742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233</v>
      </c>
      <c r="O702" s="39">
        <v>988790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236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257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159</v>
      </c>
      <c r="J704" s="26"/>
      <c r="K704" s="29">
        <v>0.29166666666666669</v>
      </c>
      <c r="L704" s="29"/>
      <c r="M704" s="30">
        <f t="shared" ref="M704:M715" ca="1" si="157">IFERROR(IF(K704="","",IF(L704="",MOD(NOW()-K704,1),IF(L704&gt;=K704,L704-K704,L704+1-K704))),"")</f>
        <v>6.938333333528135E-2</v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257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257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257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257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257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257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257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257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257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257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257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2</v>
      </c>
      <c r="G716" s="36">
        <f>SUM(G704:G715)</f>
        <v>8.4</v>
      </c>
      <c r="H716" s="37"/>
      <c r="I716" s="37"/>
      <c r="J716" s="37"/>
      <c r="K716" s="61"/>
      <c r="L716" s="61"/>
      <c r="M716" s="38">
        <f ca="1">IFERROR(SUM(M704:M715),"")</f>
        <v>6.938333333528135E-2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2</v>
      </c>
      <c r="G730" s="40">
        <f>G716+G729</f>
        <v>8.4</v>
      </c>
      <c r="H730" s="41"/>
      <c r="I730" s="41"/>
      <c r="J730" s="41"/>
      <c r="K730" s="63"/>
      <c r="L730" s="63"/>
      <c r="M730" s="42">
        <f ca="1">IFERROR(M716+M729,"")</f>
        <v>6.938333333528135E-2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2026-07-27T12:41:41Z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