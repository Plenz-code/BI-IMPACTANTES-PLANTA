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94" documentId="13_ncr:1_{A6DBCFB4-28D9-4249-9038-216934055CA6}" xr6:coauthVersionLast="47" xr6:coauthVersionMax="47" xr10:uidLastSave="{5CA8CFA8-AB84-4625-9051-CED20B64BD7B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43" i="5" l="1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<sst xmlns="http://schemas.openxmlformats.org/spreadsheetml/2006/main" count="9316" uniqueCount="408">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</sst>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C555" sqref="C55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0.49999999999999994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0" activePane="bottomLeft" state="frozen"/>
      <selection pane="bottomLeft" activeCell="M562" sqref="M56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0.70208819444087567</v>
      </c>
      <c r="R53" s="80" t="s">
        <v>308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0.8409770833297634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0.92569930555198621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/>
      <c r="F555" s="101">
        <f>IFERROR(IF($D555="","",VLOOKUP($D555,Cadastro!$C$4:$E$7,3,FALSE())),"")</f>
        <v>0.24</v>
      </c>
      <c r="G555" s="89"/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3.1949305557645857E-2</v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/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3.1949305557645857E-2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0.35347708333542349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36" activePane="bottomLeft" state="frozen"/>
      <selection pane="bottomLeft" activeCell="N555" sqref="N55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342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342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342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344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345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346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347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348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349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350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351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352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353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354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355</v>
      </c>
      <c r="Q222" s="66" t="str">
        <f t="shared" ca="1" si="49"/>
        <v/>
      </c>
      <c r="R222" s="63" t="s">
        <v>356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357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358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359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360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361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362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362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363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364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349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365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366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367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368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369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/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/>
      <c r="Q555" s="71">
        <f t="shared" ref="Q555:Q566" ca="1" si="141">IFERROR(IF(O555="","",IF(P555="",MOD(NOW()-O555,1),IF(P555&gt;=O555,P555-O555,P555+1-O555))),"")</f>
        <v>6.9930555764585733E-4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/>
      <c r="F557" s="88">
        <f>IFERROR(IF($D557="","",VLOOKUP($D557,Cadastro!$C$4:$E$7,3,FALSE())),"")</f>
        <v>0.24</v>
      </c>
      <c r="G557" s="89"/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6.9930555764585733E-4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9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37.800000000000004</v>
      </c>
      <c r="L568" s="76"/>
      <c r="M568" s="76"/>
      <c r="N568" s="76"/>
      <c r="O568" s="76"/>
      <c r="P568" s="76"/>
      <c r="Q568" s="77">
        <f ca="1">IFERROR(Q554+Q567,"")</f>
        <v>0.41111597222431256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36" activePane="bottomLeft" state="frozen"/>
      <selection pane="bottomLeft" activeCell="D558" sqref="D558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342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342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342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342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364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/>
      <c r="F555" s="101">
        <f>IFERROR(IF($D555="","",VLOOKUP($D555,Cadastro!$C$4:$E$7,3,FALSE())),"")</f>
        <v>0.24</v>
      </c>
      <c r="G555" s="89"/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/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/>
      <c r="F557" s="88">
        <f>IFERROR(IF($D557="","",VLOOKUP($D557,Cadastro!$C$4:$E$7,3,FALSE())),"")</f>
        <v>0.24</v>
      </c>
      <c r="G557" s="89"/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/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131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550.20000000000005</v>
      </c>
      <c r="L568" s="76"/>
      <c r="M568" s="76"/>
      <c r="N568" s="76"/>
      <c r="O568" s="135"/>
      <c r="P568" s="135"/>
      <c r="Q568" s="77">
        <f ca="1">IFERROR(Q554+Q567,"")</f>
        <v>0.15625000000000006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2026-08-21T23:46:01Z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