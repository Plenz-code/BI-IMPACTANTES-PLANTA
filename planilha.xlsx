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116" documentId="8_{AF585B22-221D-4780-BB9C-493D365A6A02}" xr6:coauthVersionLast="47" xr6:coauthVersionMax="47" xr10:uidLastSave="{7113A85A-B53C-4228-B1FF-2B6B836290B5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<sst xmlns="http://schemas.openxmlformats.org/spreadsheetml/2006/main" count="9644" uniqueCount="383">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</sst>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70988998</v>
      </c>
      <c r="D35" s="13">
        <f>IFERROR(SUM(D4:D34),"")</f>
        <v>28216440</v>
      </c>
      <c r="E35" s="13">
        <f>IFERROR(SUM(E4:E34),"")</f>
        <v>16084900</v>
      </c>
      <c r="F35" s="13">
        <f>IFERROR(SUM(F4:F34),"")</f>
        <v>30397740</v>
      </c>
      <c r="G35" s="13">
        <f>IFERROR(SUM(G4:G34),"")</f>
        <v>74699080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06" activePane="bottomLeft" state="frozen"/>
      <selection pane="bottomLeft" activeCell="F625" sqref="F62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40</v>
      </c>
      <c r="G635" s="36">
        <f>SUM(G623:G634)</f>
        <v>200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40</v>
      </c>
      <c r="G649" s="40">
        <f>G635+G648</f>
        <v>200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07" activePane="bottomLeft" state="frozen"/>
      <selection pane="bottomLeft" activeCell="F626" sqref="F6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0.17643703703652136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0.33407592592541024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0.44379814814763241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0.15490925926133059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0.32574259259466398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0.47088148148355286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/>
      <c r="I623" s="33"/>
      <c r="J623" s="33"/>
      <c r="K623" s="29">
        <v>0.29166666666666669</v>
      </c>
      <c r="L623" s="29"/>
      <c r="M623" s="35">
        <f t="shared" ref="M623:M634" ca="1" si="139">IFERROR(IF(K623="","",IF(L623="",MOD(NOW()-K623,1),IF(L623&gt;=K623,L623-K623,L623+1-K623))),"")</f>
        <v>0.12435370370803867</v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29</v>
      </c>
      <c r="G635" s="36">
        <f>SUM(G623:G634)</f>
        <v>121.80000000000001</v>
      </c>
      <c r="H635" s="37"/>
      <c r="I635" s="37"/>
      <c r="J635" s="37"/>
      <c r="K635" s="37"/>
      <c r="L635" s="37"/>
      <c r="M635" s="38">
        <f ca="1">IFERROR(SUM(M623:M634),"")</f>
        <v>0.12435370370803867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29</v>
      </c>
      <c r="G649" s="40">
        <f>G635+G648</f>
        <v>121.80000000000001</v>
      </c>
      <c r="H649" s="41"/>
      <c r="I649" s="41"/>
      <c r="J649" s="41"/>
      <c r="K649" s="41"/>
      <c r="L649" s="41"/>
      <c r="M649" s="42">
        <f ca="1">IFERROR(M635+M648,"")</f>
        <v>0.12435370370803867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07" zoomScale="50" zoomScaleNormal="50" workbookViewId="0">
      <selection activeCell="F626" sqref="F6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46</v>
      </c>
      <c r="G635" s="36">
        <f>SUM(G623:G634)</f>
        <v>193.2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46</v>
      </c>
      <c r="G649" s="40">
        <f>G635+G648</f>
        <v>193.2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07" activePane="bottomLeft" state="frozen"/>
      <selection pane="bottomLeft" activeCell="F626" sqref="F62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0.16671481481898809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0.36602037037454371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0.73338148148565474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43</v>
      </c>
      <c r="G635" s="36">
        <f>SUM(G623:G634)</f>
        <v>180.60000000000002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43</v>
      </c>
      <c r="G649" s="40">
        <f>G635+G648</f>
        <v>180.60000000000002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2026-07-24T14:00:56Z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