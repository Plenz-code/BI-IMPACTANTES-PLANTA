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095" documentId="8_{C51EB6CB-002B-4D6B-B68F-DDEBDB4460C0}" xr6:coauthVersionLast="47" xr6:coauthVersionMax="47" xr10:uidLastSave="{4912A136-8ABD-47B7-9C64-C829CA6C5FB6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<sst xmlns="http://schemas.openxmlformats.org/spreadsheetml/2006/main" count="3466" uniqueCount="286">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</sst>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3" fontId="14" fillId="14" borderId="6" xfId="0" applyNumberFormat="1" applyFont="1" applyFill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3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3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3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3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3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3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3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3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3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3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3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3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3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3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3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3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3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3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3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3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3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3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3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3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3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3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6" activePane="bottomLeft" state="frozen"/>
      <selection pane="bottomLeft" activeCell="K152" sqref="K15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18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/>
      <c r="M152" s="30">
        <f t="shared" ca="1" si="34"/>
        <v>2.4132175924023613E-2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31</v>
      </c>
      <c r="G162" s="36">
        <f>SUM(G150:G161)</f>
        <v>155</v>
      </c>
      <c r="H162" s="37"/>
      <c r="I162" s="37"/>
      <c r="J162" s="37"/>
      <c r="K162" s="37"/>
      <c r="L162" s="37"/>
      <c r="M162" s="38">
        <f ca="1">IFERROR(SUM(M150:M161),"")</f>
        <v>8.8715509257356939E-2</v>
      </c>
      <c r="N162" s="36" t="s">
        <v>233</v>
      </c>
      <c r="O162" s="4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320</v>
      </c>
      <c r="G163" s="40">
        <f>G149+G162</f>
        <v>1600</v>
      </c>
      <c r="H163" s="41"/>
      <c r="I163" s="41"/>
      <c r="J163" s="41"/>
      <c r="K163" s="41"/>
      <c r="L163" s="41"/>
      <c r="M163" s="42">
        <f ca="1">IFERROR(M149+M162,"")</f>
        <v>0.18732662036846809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0" activePane="bottomLeft" state="frozen"/>
      <selection pane="bottomLeft" activeCell="F154" sqref="F15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0.83524328703060746</v>
      </c>
      <c r="N53" s="46" t="s">
        <v>254</v>
      </c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0.9741321759194963</v>
      </c>
      <c r="N54" s="36" t="s">
        <v>233</v>
      </c>
      <c r="O54" s="84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1.0588543981417187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/>
      <c r="M152" s="30">
        <f t="shared" ca="1" si="34"/>
        <v>5.3821759211132303E-3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45</v>
      </c>
      <c r="G162" s="36">
        <f>SUM(G150:G161)</f>
        <v>189.00000000000003</v>
      </c>
      <c r="H162" s="37"/>
      <c r="I162" s="37"/>
      <c r="J162" s="37"/>
      <c r="K162" s="37"/>
      <c r="L162" s="37"/>
      <c r="M162" s="38">
        <f ca="1">IFERROR(SUM(M150:M161),"")</f>
        <v>3.5243287032224457E-2</v>
      </c>
      <c r="N162" s="36" t="s">
        <v>233</v>
      </c>
      <c r="O162" s="5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185</v>
      </c>
      <c r="G163" s="40">
        <f>G149+G162</f>
        <v>777</v>
      </c>
      <c r="H163" s="41"/>
      <c r="I163" s="41"/>
      <c r="J163" s="41"/>
      <c r="K163" s="41"/>
      <c r="L163" s="41"/>
      <c r="M163" s="42">
        <f ca="1">IFERROR(M149+M162,"")</f>
        <v>0.21093773147666889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232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F154" sqref="F15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4</v>
      </c>
      <c r="G153" s="34">
        <f t="shared" si="33"/>
        <v>16.8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12</v>
      </c>
      <c r="G162" s="36">
        <f>SUM(G150:G161)</f>
        <v>50.400000000000006</v>
      </c>
      <c r="H162" s="37"/>
      <c r="I162" s="37"/>
      <c r="J162" s="37"/>
      <c r="K162" s="37"/>
      <c r="L162" s="37"/>
      <c r="M162" s="38">
        <f ca="1">IFERROR(SUM(M150:M161),"")</f>
        <v>6.8055555555555536E-2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45</v>
      </c>
      <c r="G163" s="40">
        <f>G149+G162</f>
        <v>189</v>
      </c>
      <c r="H163" s="41"/>
      <c r="I163" s="41"/>
      <c r="J163" s="41"/>
      <c r="K163" s="41"/>
      <c r="L163" s="41"/>
      <c r="M163" s="42">
        <f ca="1">IFERROR(M149+M162,"")</f>
        <v>0.22152777777777771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28" activePane="bottomLeft" state="frozen"/>
      <selection pane="bottomLeft" activeCell="F154" sqref="F15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232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/>
      <c r="M150" s="30">
        <f t="shared" ref="M150:M161" ca="1" si="34">IFERROR(IF(K150="","",IF(L150="",MOD(NOW()-K150,1),IF(L150&gt;=K150,L150-K150,L150+1-K150))),"")</f>
        <v>3.7326620367821306E-2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38</v>
      </c>
      <c r="G162" s="36">
        <f>SUM(G150:G161)</f>
        <v>159.6</v>
      </c>
      <c r="H162" s="37"/>
      <c r="I162" s="37"/>
      <c r="J162" s="37"/>
      <c r="K162" s="61"/>
      <c r="L162" s="61"/>
      <c r="M162" s="38">
        <f ca="1">IFERROR(SUM(M150:M161),"")</f>
        <v>3.7326620367821306E-2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220</v>
      </c>
      <c r="G163" s="40">
        <f>G149+G162</f>
        <v>924.00000000000011</v>
      </c>
      <c r="H163" s="41"/>
      <c r="I163" s="41"/>
      <c r="J163" s="41"/>
      <c r="K163" s="63"/>
      <c r="L163" s="63"/>
      <c r="M163" s="42">
        <f ca="1">IFERROR(M149+M162,"")</f>
        <v>0.13177106481226569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232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2026-08-07T02:58:03Z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