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08" documentId="8_{C51EB6CB-002B-4D6B-B68F-DDEBDB4460C0}" xr6:coauthVersionLast="47" xr6:coauthVersionMax="47" xr10:uidLastSave="{03E39175-A50B-4E43-85AB-2362D9349575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<sst xmlns="http://schemas.openxmlformats.org/spreadsheetml/2006/main" count="3857" uniqueCount="292">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</sst>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 t="s">
        <v>221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9" activePane="bottomLeft" state="frozen"/>
      <selection pane="bottomLeft" activeCell="F177" sqref="F17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234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232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232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235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234</v>
      </c>
      <c r="O27" s="39">
        <v>997910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238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232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239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232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235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234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232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232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232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234</v>
      </c>
      <c r="O54" s="39">
        <v>981310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238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232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234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232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241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234</v>
      </c>
      <c r="O81" s="39">
        <v>1547910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238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232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232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242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234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243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3156240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238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234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234</v>
      </c>
      <c r="O135" s="39">
        <v>2875180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238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232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232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232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234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232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232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232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232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234</v>
      </c>
      <c r="O162" s="44">
        <v>842000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238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246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232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234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232</v>
      </c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232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232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232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232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232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232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232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232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232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232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402</v>
      </c>
      <c r="G190" s="40">
        <f>G176+G189</f>
        <v>2010</v>
      </c>
      <c r="H190" s="41"/>
      <c r="I190" s="41"/>
      <c r="J190" s="41"/>
      <c r="K190" s="41"/>
      <c r="L190" s="41"/>
      <c r="M190" s="42">
        <f ca="1">IFERROR(M176+M189,"")</f>
        <v>8.0555555555555547E-2</v>
      </c>
      <c r="N190" s="40" t="s">
        <v>238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13" t="s">
        <v>237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60" activePane="bottomLeft" state="frozen"/>
      <selection pane="bottomLeft" activeCell="J177" sqref="J1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234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247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247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247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247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247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247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247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247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247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247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234</v>
      </c>
      <c r="O27" s="77">
        <v>549860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238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234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247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247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247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247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247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247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247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247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0.66886967592290603</v>
      </c>
      <c r="N53" s="46" t="s">
        <v>256</v>
      </c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0.80775856481179487</v>
      </c>
      <c r="N54" s="36" t="s">
        <v>234</v>
      </c>
      <c r="O54" s="84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0.89248078703401723</v>
      </c>
      <c r="N55" s="40" t="s">
        <v>238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234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247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247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247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247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247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247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247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247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234</v>
      </c>
      <c r="O81" s="54">
        <v>634210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238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258</v>
      </c>
      <c r="E83" s="59" t="s">
        <v>247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234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259</v>
      </c>
      <c r="M96" s="30" t="str">
        <f t="shared" ref="M96:M107" ca="1" si="22">IFERROR(IF(K96="","",IF(L96="",MOD(NOW()-K96,1),IF(L96&gt;=K96,L96-K96,L96+1-K96))),"")</f>
        <v/>
      </c>
      <c r="N96" s="46" t="s">
        <v>260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235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234</v>
      </c>
      <c r="O108" s="54">
        <v>456830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238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234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234</v>
      </c>
      <c r="O135" s="54">
        <v>756720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238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247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247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247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247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247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247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247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247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247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234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234</v>
      </c>
      <c r="O162" s="54">
        <v>501750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238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247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247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247</v>
      </c>
      <c r="F167" s="27">
        <v>6</v>
      </c>
      <c r="G167" s="34">
        <f t="shared" si="36"/>
        <v>25.200000000000003</v>
      </c>
      <c r="H167" s="33" t="s">
        <v>20</v>
      </c>
      <c r="I167" s="33" t="s">
        <v>156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156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247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247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247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247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247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247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247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234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247</v>
      </c>
      <c r="F177" s="27"/>
      <c r="G177" s="34" t="str">
        <f t="shared" ref="G177:G188" si="39">IF(F177="","",IF(E177="PC 17",F177*4.2,IF(E177="PC 19",F177*5,IF(E177="CB",F177*24,""))))</f>
        <v/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/>
      <c r="M177" s="35">
        <f t="shared" ref="M177:M188" ca="1" si="40">IFERROR(IF(K177="","",IF(L177="",MOD(NOW()-K177,1),IF(L177&gt;=K177,L177-K177,L177+1-K177))),"")</f>
        <v>0.99873078703967622</v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247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247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247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247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247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247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247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247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0.99873078703967622</v>
      </c>
      <c r="N189" s="36" t="s">
        <v>234</v>
      </c>
      <c r="O189" s="77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69</v>
      </c>
      <c r="G190" s="40">
        <f>G176+G189</f>
        <v>289.8</v>
      </c>
      <c r="H190" s="41"/>
      <c r="I190" s="41"/>
      <c r="J190" s="41"/>
      <c r="K190" s="41"/>
      <c r="L190" s="41"/>
      <c r="M190" s="42">
        <f ca="1">IFERROR(M176+M189,"")</f>
        <v>1.0813696759285651</v>
      </c>
      <c r="N190" s="40" t="s">
        <v>238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77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233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77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77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77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77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77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77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77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77"/>
    </row>
    <row r="433" spans="1:15" ht="18" customHeight="1">
      <c r="A433" s="92" t="s">
        <v>237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77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77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77"/>
    </row>
    <row r="514" spans="1:15" ht="18" customHeight="1">
      <c r="A514" s="92" t="s">
        <v>237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77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77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77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77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77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77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77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84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57" zoomScale="50" zoomScaleNormal="50" workbookViewId="0">
      <selection activeCell="F177" sqref="F1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234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247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247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247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247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247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247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247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247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247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234</v>
      </c>
      <c r="O27" s="39">
        <v>358000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238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234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234</v>
      </c>
      <c r="O54" s="39">
        <v>279980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238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247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247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247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247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247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247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247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247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234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234</v>
      </c>
      <c r="O81" s="39">
        <v>185920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238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234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234</v>
      </c>
      <c r="O108" s="39">
        <v>434370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238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234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234</v>
      </c>
      <c r="O135" s="39">
        <v>416350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238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234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234</v>
      </c>
      <c r="O162" s="39">
        <v>169760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238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>
        <v>4</v>
      </c>
      <c r="G172" s="28">
        <f t="shared" si="36"/>
        <v>16.8</v>
      </c>
      <c r="H172" s="26" t="s">
        <v>20</v>
      </c>
      <c r="I172" s="26" t="s">
        <v>156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>
        <v>3</v>
      </c>
      <c r="G173" s="34">
        <f t="shared" si="36"/>
        <v>12.600000000000001</v>
      </c>
      <c r="H173" s="33" t="s">
        <v>20</v>
      </c>
      <c r="I173" s="33" t="s">
        <v>156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234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247</v>
      </c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247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247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247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247</v>
      </c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247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247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247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247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65</v>
      </c>
      <c r="G190" s="40">
        <f>G176+G189</f>
        <v>273</v>
      </c>
      <c r="H190" s="41"/>
      <c r="I190" s="41"/>
      <c r="J190" s="41"/>
      <c r="K190" s="41"/>
      <c r="L190" s="41"/>
      <c r="M190" s="42">
        <f ca="1">IFERROR(M176+M189,"")</f>
        <v>8.4722222222222254E-2</v>
      </c>
      <c r="N190" s="40" t="s">
        <v>238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39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F177" sqref="F17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234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247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247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247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247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247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247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247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247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234</v>
      </c>
      <c r="O27" s="39">
        <v>491520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238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247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247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247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247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247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247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247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247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247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247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233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234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234</v>
      </c>
      <c r="O54" s="39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238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234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247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234</v>
      </c>
      <c r="O81" s="39">
        <v>612410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238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234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234</v>
      </c>
      <c r="O108" s="39">
        <v>956070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238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234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234</v>
      </c>
      <c r="O135" s="39">
        <v>912240</v>
      </c>
    </row>
    <row r="136" spans="1:18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238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233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234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234</v>
      </c>
      <c r="O162" s="39">
        <v>573230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238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155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140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161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291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140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234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247</v>
      </c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247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247</v>
      </c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247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247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247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247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247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247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680.4</v>
      </c>
      <c r="H190" s="41"/>
      <c r="I190" s="41"/>
      <c r="J190" s="41"/>
      <c r="K190" s="63"/>
      <c r="L190" s="63"/>
      <c r="M190" s="42">
        <f ca="1">IFERROR(M176+M189,"")</f>
        <v>0.13263888888888897</v>
      </c>
      <c r="N190" s="40" t="s">
        <v>238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233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234</v>
      </c>
      <c r="O432" s="39"/>
    </row>
    <row r="433" spans="1:17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234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238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2026-08-07T22:58:31Z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