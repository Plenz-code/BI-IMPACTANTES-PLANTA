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84" documentId="8_{AF585B22-221D-4780-BB9C-493D365A6A02}" xr6:coauthVersionLast="47" xr6:coauthVersionMax="47" xr10:uidLastSave="{6092E8DC-4A52-4571-9822-94D3A913371E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<sst xmlns="http://schemas.openxmlformats.org/spreadsheetml/2006/main" count="6351" uniqueCount="323">
  <si>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</si>
  <si>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</si>
  <si>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</si>
  <si>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</si>
  <si>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</si>
  <si>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</si>
  <si>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</si>
  <si>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</si>
  <si>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</si>
  <si>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</si>
  <si>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</si>
  <si>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</si>
  <si>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</si>
  <si>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</si>
  <si>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</si>
  <si>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</si>
  <si>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</si>
  <si>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</si>
  <si>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</si>
  <si>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</si>
  <si>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</si>
  <si>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</si>
  <si>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</si>
  <si>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</si>
  <si>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</si>
  <si>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</si>
  <si>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</si>
  <si>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</si>
  <si>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</si>
  <si>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</si>
  <si>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</si>
  <si>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</si>
  <si>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</si>
  <si>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</si>
  <si>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</si>
  <si>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</si>
  <si>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</si>
  <si>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</si>
  <si>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</si>
  <si>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</si>
  <si>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</si>
  <si>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</si>
  <si>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</si>
  <si>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</si>
  <si>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</si>
  <si>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</si>
  <si>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</si>
  <si>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</si>
  <si>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</si>
  <si>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</si>
  <si>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</si>
  <si>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</si>
  <si>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</si>
  <si>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</si>
  <si>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</si>
  <si>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</si>
  <si>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</si>
  <si>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</si>
  <si>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</si>
  <si>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</si>
  <si>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</si>
  <si>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</si>
  <si>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</si>
  <si>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</si>
  <si>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</si>
  <si>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</si>
  <si>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</si>
  <si>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</si>
  <si>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</si>
  <si>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</si>
  <si>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</si>
  <si>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</si>
  <si>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</si>
  <si>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</si>
  <si>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</si>
  <si>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</si>
  <si>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</si>
  <si>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</si>
  <si>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</si>
  <si>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</si>
  <si>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</si>
  <si>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</si>
  <si>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</si>
  <si>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</si>
  <si>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</si>
  <si>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</si>
  <si>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</si>
  <si>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</si>
  <si>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</si>
  <si>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</si>
  <si>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</si>
  <si>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</si>
  <si>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</si>
  <si>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</si>
  <si>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</si>
  <si>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</si>
  <si>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</si>
  <si>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</si>
  <si>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</si>
  <si>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</si>
  <si>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</si>
  <si>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</si>
  <si>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</si>
  <si>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</si>
  <si>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</si>
  <si>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</si>
  <si>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</si>
  <si>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</si>
  <si>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</si>
  <si>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</si>
  <si>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</si>
  <si>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</si>
  <si>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</si>
  <si>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</si>
  <si>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</si>
  <si>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</si>
  <si>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</si>
  <si>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</si>
  <si>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</si>
  <si>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</si>
  <si>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</si>
  <si>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</si>
  <si>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</si>
  <si>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</si>
  <si>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</si>
  <si>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</si>
  <si>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</si>
  <si>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</si>
  <si>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</si>
  <si>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</si>
  <si>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</si>
  <si>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</si>
  <si>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</si>
  <si>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</si>
  <si>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</si>
  <si>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</si>
  <si>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</si>
  <si>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</si>
  <si>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</si>
  <si>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</si>
  <si>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</si>
  <si>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</si>
  <si>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</si>
  <si>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</si>
  <si>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</si>
  <si>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</si>
  <si>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</si>
  <si>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</si>
  <si>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</si>
  <si>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</si>
  <si>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</si>
  <si>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</si>
  <si>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</si>
  <si>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</si>
  <si>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</si>
  <si>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</si>
  <si>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</si>
  <si>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</si>
  <si>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</si>
  <si>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</si>
  <si>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</si>
  <si>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</si>
  <si>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</si>
  <si>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</si>
  <si>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</si>
  <si>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</si>
  <si>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</si>
  <si>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</si>
  <si>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</si>
  <si>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</si>
  <si>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</si>
  <si>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</si>
  <si>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</si>
  <si>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</si>
  <si>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</si>
  <si>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</si>
  <si>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</si>
  <si>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</si>
  <si>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</si>
  <si>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</si>
  <si>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</si>
  <si>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</si>
  <si>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</si>
  <si>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</si>
  <si>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</si>
  <si>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</si>
  <si>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</si>
  <si>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</si>
  <si>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</si>
  <si>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</si>
  <si>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</si>
  <si>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</si>
  <si>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</si>
  <si>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</si>
  <si>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</si>
  <si>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</si>
  <si>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</si>
  <si>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</si>
  <si>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</si>
  <si>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</si>
  <si>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</si>
  <si>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</si>
  <si>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</si>
  <si>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</si>
  <si>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</si>
  <si>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</si>
  <si>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</si>
  <si>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</si>
  <si>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</si>
  <si>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</si>
  <si>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</si>
  <si>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</si>
  <si>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</si>
  <si>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</si>
  <si>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</si>
  <si>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</si>
  <si>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</si>
  <si>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</si>
  <si>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</si>
  <si>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</si>
  <si>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</si>
  <si>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</si>
  <si>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</si>
  <si>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</si>
  <si>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</si>
  <si>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</si>
  <si>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</si>
  <si>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</si>
  <si>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</si>
  <si>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</si>
  <si>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</si>
  <si>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</si>
  <si>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</si>
  <si>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</si>
  <si>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</si>
  <si>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</si>
  <si>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</si>
  <si>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</si>
  <si>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</si>
  <si>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troca de pino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</si>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</sst>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N383" sqref="N3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/>
      <c r="M382" s="30">
        <f t="shared" ca="1" si="85"/>
        <v>3.3563541670446284E-2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194</v>
      </c>
      <c r="G392" s="36">
        <f>SUM(G380:G391)</f>
        <v>970</v>
      </c>
      <c r="H392" s="37"/>
      <c r="I392" s="37"/>
      <c r="J392" s="37"/>
      <c r="K392" s="37"/>
      <c r="L392" s="37"/>
      <c r="M392" s="38">
        <f ca="1">IFERROR(SUM(M380:M391),"")</f>
        <v>5.4396875003779599E-2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194</v>
      </c>
      <c r="G406" s="40">
        <f>G392+G405</f>
        <v>970</v>
      </c>
      <c r="H406" s="41"/>
      <c r="I406" s="41"/>
      <c r="J406" s="41"/>
      <c r="K406" s="41"/>
      <c r="L406" s="41"/>
      <c r="M406" s="42">
        <f ca="1">IFERROR(M392+M405,"")</f>
        <v>5.4396875003779599E-2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3" activePane="bottomLeft" state="frozen"/>
      <selection pane="bottomLeft" activeCell="J384" sqref="J3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0.33773020833177725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0.49536909722066613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0.6050913194428883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18</v>
      </c>
      <c r="I384" s="26" t="s">
        <v>155</v>
      </c>
      <c r="J384" s="26" t="s">
        <v>126</v>
      </c>
      <c r="K384" s="29">
        <v>0.56944444444444442</v>
      </c>
      <c r="L384" s="29"/>
      <c r="M384" s="30">
        <f t="shared" ca="1" si="85"/>
        <v>7.8690972222830169E-3</v>
      </c>
      <c r="N384" s="46" t="s">
        <v>272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64</v>
      </c>
      <c r="G392" s="36">
        <f>SUM(G380:G391)</f>
        <v>268.8</v>
      </c>
      <c r="H392" s="37"/>
      <c r="I392" s="37"/>
      <c r="J392" s="37"/>
      <c r="K392" s="37"/>
      <c r="L392" s="37"/>
      <c r="M392" s="38">
        <f ca="1">IFERROR(SUM(M380:M391),"")</f>
        <v>0.12592465277783854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64</v>
      </c>
      <c r="G406" s="40">
        <f>G392+G405</f>
        <v>268.8</v>
      </c>
      <c r="H406" s="41"/>
      <c r="I406" s="41"/>
      <c r="J406" s="41"/>
      <c r="K406" s="41"/>
      <c r="L406" s="41"/>
      <c r="M406" s="42">
        <f ca="1">IFERROR(M392+M405,"")</f>
        <v>0.12592465277783854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6" sqref="F3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52</v>
      </c>
      <c r="G392" s="36">
        <f>SUM(G380:G391)</f>
        <v>218.4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52</v>
      </c>
      <c r="G406" s="40">
        <f>G392+G405</f>
        <v>218.4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6" sqref="F38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297</v>
      </c>
      <c r="L58" s="29">
        <v>0.54097222222222219</v>
      </c>
      <c r="M58" s="30" t="str">
        <f t="shared" ca="1" si="13"/>
        <v/>
      </c>
      <c r="N58" s="27" t="s">
        <v>298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0.32800798611424398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0.5273135416697996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0.89467465278091063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55</v>
      </c>
      <c r="G392" s="36">
        <f>SUM(G380:G391)</f>
        <v>231</v>
      </c>
      <c r="H392" s="37"/>
      <c r="I392" s="37"/>
      <c r="J392" s="37"/>
      <c r="K392" s="61"/>
      <c r="L392" s="61"/>
      <c r="M392" s="38">
        <f ca="1">IFERROR(SUM(M380:M391),"")</f>
        <v>0.14166666666666666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55</v>
      </c>
      <c r="G406" s="40">
        <f>G392+G405</f>
        <v>231</v>
      </c>
      <c r="H406" s="41"/>
      <c r="I406" s="41"/>
      <c r="J406" s="41"/>
      <c r="K406" s="63"/>
      <c r="L406" s="63"/>
      <c r="M406" s="42">
        <f ca="1">IFERROR(M392+M405,"")</f>
        <v>0.14166666666666666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2026-07-15T17:51:43Z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