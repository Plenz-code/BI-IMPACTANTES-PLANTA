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79" documentId="8_{C51EB6CB-002B-4D6B-B68F-DDEBDB4460C0}" xr6:coauthVersionLast="47" xr6:coauthVersionMax="47" xr10:uidLastSave="{E8ED1972-2975-46F2-AC25-5DFABB7A1336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<sst xmlns="http://schemas.openxmlformats.org/spreadsheetml/2006/main" count="5901" uniqueCount="344">
  <si>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</si>
  <si>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</si>
  <si>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</si>
  <si>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</si>
  <si>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</si>
  <si>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</si>
  <si>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</si>
  <si>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</si>
  <si>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</si>
  <si>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</si>
  <si>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</si>
  <si>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</si>
  <si>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</si>
  <si>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</si>
  <si>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</si>
  <si>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</si>
  <si>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</si>
  <si>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</si>
  <si>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</si>
  <si>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</si>
  <si>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</si>
  <si>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</si>
  <si>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</si>
  <si>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</si>
  <si>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</si>
  <si>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</si>
  <si>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</si>
  <si>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</si>
  <si>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</si>
  <si>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</si>
  <si>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</si>
  <si>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</si>
  <si>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</si>
  <si>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</si>
  <si>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</si>
  <si>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</si>
  <si>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</si>
  <si>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</si>
  <si>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</si>
  <si>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</si>
  <si>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</si>
  <si>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</si>
  <si>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</si>
  <si>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</si>
  <si>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</si>
  <si>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</si>
  <si>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</si>
  <si>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</si>
  <si>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</si>
  <si>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</si>
  <si>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</si>
  <si>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</si>
  <si>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</si>
  <si>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</si>
  <si>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</si>
  <si>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</si>
  <si>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</si>
  <si>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</si>
  <si>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</si>
  <si>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</si>
  <si>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</si>
  <si>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</si>
  <si>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</si>
  <si>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</si>
  <si>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</si>
  <si>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</si>
  <si>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</si>
  <si>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</si>
  <si>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</si>
  <si>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</si>
  <si>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</si>
  <si>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</si>
  <si>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</si>
  <si>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</si>
  <si>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</si>
  <si>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</si>
  <si>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</si>
  <si>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</si>
  <si>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</si>
  <si>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</si>
  <si>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</si>
  <si>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</si>
  <si>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</si>
  <si>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</si>
  <si>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</si>
  <si>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</si>
  <si>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</si>
  <si>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</si>
  <si>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</si>
  <si>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</si>
  <si>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</si>
  <si>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</si>
  <si>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</si>
  <si>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</si>
  <si>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</si>
  <si>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</si>
  <si>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</si>
  <si>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</si>
  <si>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</si>
  <si>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</si>
  <si>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</si>
  <si>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</si>
  <si>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</si>
  <si>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</si>
  <si>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</si>
  <si>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</si>
  <si>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</si>
  <si>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</si>
  <si>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</si>
  <si>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</si>
  <si>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</si>
  <si>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</si>
  <si>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</si>
  <si>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</si>
  <si>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</si>
  <si>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</si>
  <si>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</si>
  <si>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</si>
  <si>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</si>
  <si>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</si>
  <si>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</si>
  <si>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</si>
  <si>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</si>
  <si>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</si>
  <si>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</si>
  <si>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</si>
  <si>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</si>
  <si>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</si>
  <si>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</si>
  <si>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</si>
  <si>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</si>
  <si>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</si>
  <si>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</si>
  <si>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</si>
  <si>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</si>
  <si>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</si>
  <si>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</si>
  <si>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</si>
  <si>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</si>
  <si>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</si>
  <si>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</si>
  <si>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</si>
  <si>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</si>
  <si>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</si>
  <si>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</si>
  <si>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</si>
  <si>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</si>
  <si>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</si>
  <si>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</si>
  <si>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</si>
  <si>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</si>
  <si>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</si>
  <si>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</si>
  <si>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</si>
  <si>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</si>
  <si>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</si>
  <si>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</si>
  <si>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</si>
  <si>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</si>
  <si>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</si>
  <si>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</si>
  <si>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</si>
  <si>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</si>
  <si>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</si>
  <si>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</si>
  <si>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</si>
  <si>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</si>
  <si>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</si>
  <si>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</si>
  <si>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</si>
  <si>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</si>
  <si>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</si>
  <si>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</si>
  <si>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</si>
  <si>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</si>
  <si>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</si>
  <si>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</si>
  <si>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</si>
  <si>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</si>
  <si>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</si>
  <si>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</si>
  <si>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</si>
  <si>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</si>
  <si>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</si>
  <si>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</si>
  <si>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</si>
  <si>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</si>
  <si>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</si>
  <si>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</si>
  <si>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</si>
  <si>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</si>
  <si>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</si>
  <si>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</si>
  <si>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</si>
  <si>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</si>
  <si>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</si>
  <si>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</si>
  <si>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</si>
  <si>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</si>
  <si>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</si>
  <si>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</si>
  <si>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</si>
  <si>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</si>
  <si>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</si>
  <si>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</si>
  <si>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</si>
  <si>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</si>
  <si>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</si>
  <si>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</si>
  <si>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</si>
  <si>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</si>
  <si>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</si>
  <si>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</si>
  <si>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</si>
  <si>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</si>
  <si>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</si>
  <si>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</si>
  <si>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</si>
  <si>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</si>
  <si>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</si>
  <si>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</si>
  <si>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</si>
  <si>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</si>
  <si>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</si>
  <si>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</si>
  <si>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</si>
  <si>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</si>
  <si>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</si>
  <si>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</si>
  <si>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</si>
  <si>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</si>
  <si>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</si>
  <si>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</si>
  <si>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</si>
  <si>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</si>
  <si>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</si>
  <si>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</si>
  <si>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</si>
  <si>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</si>
  <si>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</si>
  <si>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</si>
  <si>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</si>
  <si>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</si>
  <si>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</si>
  <si>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</si>
  <si>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</si>
  <si>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</si>
  <si>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</si>
  <si>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</si>
  <si>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</si>
  <si>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</si>
  <si>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</si>
  <si>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</si>
  <si>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</si>
  <si>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</si>
  <si>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</si>
  <si>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</si>
  <si>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</si>
  <si>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</si>
  <si>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</si>
  <si>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</si>
  <si>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</si>
  <si>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</si>
  <si>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</si>
  <si>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</si>
  <si>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</si>
  <si>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</si>
  <si>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</si>
  <si>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</si>
  <si>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</si>
  <si>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</si>
  <si>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</si>
  <si>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</si>
  <si>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</si>
  <si>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</si>
  <si>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</si>
  <si>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</si>
  <si>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</si>
  <si>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</si>
  <si>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</si>
  <si>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</si>
  <si>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</si>
  <si>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</si>
  <si>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</si>
  <si>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</si>
  <si>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</si>
  <si>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</si>
  <si>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</si>
  <si>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</si>
  <si>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</si>
  <si>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</si>
  <si>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</si>
  <si>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</si>
  <si>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</si>
  <si>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</si>
  <si>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</si>
  <si>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</si>
  <si>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</si>
  <si>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</si>
  <si>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</si>
  <si>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</si>
  <si>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</si>
  <si>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</si>
  <si>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</si>
  <si>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</si>
  <si>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</si>
  <si>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</si>
  <si>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</si>
  <si>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</si>
  <si>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</si>
  <si>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</si>
  <si>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lubrificação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</si>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</sst>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4.0011111108469777E-2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0.14209444444180319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0.23167777777513648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J320" sqref="J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0.13723333332745824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0.27612222221634714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0.36084444443856944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/>
      <c r="M320" s="30">
        <f t="shared" ca="1" si="70"/>
        <v>8.0666666617617011E-3</v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164</v>
      </c>
      <c r="G324" s="36">
        <f>SUM(G312:G323)</f>
        <v>699.2</v>
      </c>
      <c r="H324" s="37"/>
      <c r="I324" s="37"/>
      <c r="J324" s="37"/>
      <c r="K324" s="37"/>
      <c r="L324" s="37"/>
      <c r="M324" s="38">
        <f ca="1">IFERROR(SUM(M312:M323),"")</f>
        <v>9.6261111106205971E-2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333</v>
      </c>
      <c r="G325" s="40">
        <f>G311+G324</f>
        <v>1409</v>
      </c>
      <c r="H325" s="41"/>
      <c r="I325" s="41"/>
      <c r="J325" s="41"/>
      <c r="K325" s="41"/>
      <c r="L325" s="41"/>
      <c r="M325" s="42">
        <f ca="1">IFERROR(M311+M324,"")</f>
        <v>0.14973333332842811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N317" sqref="N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306</v>
      </c>
      <c r="M222" s="30" t="str">
        <f t="shared" ca="1" si="49"/>
        <v/>
      </c>
      <c r="N222" s="27" t="s">
        <v>307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6.4316666663216893E-2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0.12612222221877245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0.18723333332988362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309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310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/>
      <c r="M316" s="30">
        <f t="shared" ca="1" si="70"/>
        <v>8.0666666617617011E-3</v>
      </c>
      <c r="N316" s="27" t="s">
        <v>311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4.5566666661761665E-2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7.4038888883983953E-2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3" sqref="F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213</v>
      </c>
      <c r="G324" s="36">
        <f>SUM(G312:G323)</f>
        <v>908.19999999999993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405</v>
      </c>
      <c r="G325" s="40">
        <f>G311+G324</f>
        <v>1714.6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