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76" documentId="13_ncr:1_{9DFDFEE8-78F7-4C04-B87C-99924EE6CC37}" xr6:coauthVersionLast="47" xr6:coauthVersionMax="47" xr10:uidLastSave="{CF4EC8E7-79BC-4C4D-A00E-D4E7817FB756}"/>
  <bookViews>
    <workbookView xWindow="-120" yWindow="-120" windowWidth="29040" windowHeight="15720" tabRatio="500" firstSheet="3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<sst xmlns="http://schemas.openxmlformats.org/spreadsheetml/2006/main" count="4367" uniqueCount="1301">
  <si>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</si>
  <si>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</si>
  <si>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</si>
  <si>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</si>
  <si>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</si>
  <si>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</si>
  <si>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</si>
  <si>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</si>
  <si>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</si>
  <si>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</si>
  <si>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</si>
  <si>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</si>
  <si>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</si>
  <si>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</si>
  <si>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</si>
  <si>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</si>
  <si>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</si>
  <si>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</si>
  <si>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</si>
  <si>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</si>
  <si>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</si>
  <si>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</si>
  <si>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</si>
  <si>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</si>
  <si>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</si>
  <si>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</si>
  <si>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</si>
  <si>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</si>
  <si>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</si>
  <si>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</si>
  <si>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</si>
  <si>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</si>
  <si>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</si>
  <si>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</si>
  <si>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</si>
  <si>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</si>
  <si>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</si>
  <si>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</si>
  <si>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</si>
  <si>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</si>
  <si>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</si>
  <si>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</si>
  <si>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</si>
  <si>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</si>
  <si>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</si>
  <si>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</si>
  <si>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</si>
  <si>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</si>
  <si>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</si>
  <si>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</si>
  <si>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</si>
  <si>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</si>
  <si>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</si>
  <si>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</si>
  <si>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</si>
  <si>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</si>
  <si>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</si>
  <si>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</si>
  <si>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</si>
  <si>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</si>
  <si>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</si>
  <si>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</si>
  <si>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</si>
  <si>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</si>
  <si>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</si>
  <si>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</si>
  <si>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</si>
  <si>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</si>
  <si>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</si>
  <si>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</si>
  <si>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</si>
  <si>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</si>
  <si>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</si>
  <si>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</si>
  <si>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</si>
  <si>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</si>
  <si>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</si>
  <si>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</si>
  <si>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</si>
  <si>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</si>
  <si>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</si>
  <si>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</si>
  <si>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</si>
  <si>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</si>
  <si>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</si>
  <si>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</si>
  <si>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</si>
  <si>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</si>
  <si>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</si>
  <si>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</si>
  <si>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</si>
  <si>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</si>
  <si>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</si>
  <si>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</si>
  <si>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</si>
  <si>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</si>
  <si>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</si>
  <si>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</si>
  <si>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</si>
  <si>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</si>
  <si>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</si>
  <si>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</si>
  <si>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</si>
  <si>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</si>
  <si>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</si>
  <si>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</si>
  <si>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</si>
  <si>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</si>
  <si>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</si>
  <si>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</si>
  <si>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</si>
  <si>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</si>
  <si>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</si>
  <si>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</si>
  <si>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</si>
  <si>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</si>
  <si>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</si>
  <si>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</si>
  <si>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</si>
  <si>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</si>
  <si>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</si>
  <si>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</si>
  <si>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</si>
  <si>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</si>
  <si>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</si>
  <si>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</si>
  <si>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</si>
  <si>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</si>
  <si>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</si>
  <si>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</si>
  <si>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</si>
  <si>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</si>
  <si>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</si>
  <si>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</si>
  <si>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</si>
  <si>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</si>
  <si>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</si>
  <si>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</si>
  <si>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</si>
  <si>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</si>
  <si>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</si>
  <si>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</si>
  <si>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</si>
  <si>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</si>
  <si>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</si>
  <si>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</si>
  <si>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</si>
  <si>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</si>
  <si>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</si>
  <si>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</si>
  <si>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</si>
  <si>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</si>
  <si>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</si>
  <si>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</si>
  <si>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</si>
  <si>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</si>
  <si>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</si>
  <si>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</si>
  <si>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</si>
  <si>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</si>
  <si>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</si>
  <si>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</si>
  <si>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</si>
  <si>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</si>
  <si>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</si>
  <si>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</si>
  <si>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</si>
  <si>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</si>
  <si>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</si>
  <si>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</si>
  <si>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</si>
  <si>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</si>
  <si>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</si>
  <si>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</si>
  <si>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</si>
  <si>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</si>
  <si>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</si>
  <si>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</si>
  <si>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</si>
  <si>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</si>
  <si>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</si>
  <si>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</si>
  <si>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</si>
  <si>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</si>
  <si>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</si>
  <si>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</si>
  <si>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</si>
  <si>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</si>
  <si>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</si>
  <si>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</si>
  <si>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</si>
  <si>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</si>
  <si>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</si>
  <si>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</si>
  <si>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</si>
  <si>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</si>
  <si>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</si>
  <si>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</si>
  <si>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</si>
  <si>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</si>
  <si>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</si>
  <si>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</si>
  <si>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</si>
  <si>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</si>
  <si>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</si>
  <si>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</si>
  <si>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</si>
  <si>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</si>
  <si>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</si>
  <si>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</si>
  <si>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</si>
  <si>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</si>
  <si>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</si>
  <si>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</si>
  <si>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</si>
  <si>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</si>
  <si>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</si>
  <si>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</si>
  <si>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</si>
  <si>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</si>
  <si>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</si>
  <si>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</si>
  <si>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</si>
  <si>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</si>
  <si>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</si>
  <si>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</si>
  <si>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</si>
  <si>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</si>
  <si>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</si>
  <si>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</si>
  <si>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</si>
  <si>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</si>
  <si>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</si>
  <si>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</si>
  <si>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</si>
  <si>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</si>
  <si>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</si>
  <si>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</si>
  <si>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</si>
  <si>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</si>
  <si>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</si>
  <si>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</si>
  <si>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</si>
  <si>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</si>
  <si>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</si>
  <si>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</si>
  <si>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</si>
  <si>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</si>
  <si>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</si>
  <si>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</si>
  <si>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</si>
  <si>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</si>
  <si>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</si>
  <si>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</si>
  <si>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</si>
  <si>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</si>
  <si>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</si>
  <si>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</si>
  <si>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</si>
  <si>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</si>
  <si>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</si>
  <si>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</si>
  <si>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</si>
  <si>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</si>
  <si>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</si>
  <si>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</si>
  <si>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</si>
  <si>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</si>
  <si>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</si>
  <si>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</si>
  <si>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</si>
  <si>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</si>
  <si>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</si>
  <si>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</si>
  <si>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</si>
  <si>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</si>
  <si>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</si>
  <si>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</si>
  <si>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</si>
  <si>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</si>
  <si>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</si>
  <si>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</si>
  <si>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</si>
  <si>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</si>
  <si>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</si>
  <si>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</si>
  <si>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</si>
  <si>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</si>
  <si>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</si>
  <si>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</si>
  <si>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</si>
  <si>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</si>
  <si>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</si>
  <si>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</si>
  <si>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</si>
  <si>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</si>
  <si>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</si>
  <si>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</si>
  <si>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</si>
  <si>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</si>
  <si>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</si>
  <si>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</si>
  <si>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</si>
  <si>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01 - MINA - CAVA SUMP</t>
  </si>
  <si>
    <t>ESTERIL</t>
  </si>
  <si>
    <t>06 - PILHAS ESTERIL - PILHA ESTERIL</t>
  </si>
  <si>
    <t>EH-039</t>
  </si>
  <si>
    <t>CB-142 CAM. BASCULANTE VOLVO FMX 500</t>
  </si>
  <si>
    <t>SF - IZAEL DO CARMO DE CAMARGO</t>
  </si>
  <si>
    <t>04 - ESTOQUE MINERIO - PATIO DE ALIMENTACAO</t>
  </si>
  <si>
    <t>EH-009</t>
  </si>
  <si>
    <t>BR SANTA FELICIDADE 02</t>
  </si>
  <si>
    <t>CB-143 CAM. BASCULANTE VOLVO FMX 500</t>
  </si>
  <si>
    <t>SF - MARLON JOSE RODRIGUES</t>
  </si>
  <si>
    <t>SANTA FELICIDADE - 02 - BARRAGEM</t>
  </si>
  <si>
    <t>CASCALHO</t>
  </si>
  <si>
    <t>EH-035</t>
  </si>
  <si>
    <t>CB-145 CAM. BASCULANTE VOLVO FMX 500</t>
  </si>
  <si>
    <t>ARI BATISTA DA SILVA</t>
  </si>
  <si>
    <t>04 - ESTOQUE MINERIO - PATIO C2</t>
  </si>
  <si>
    <t>CB-146 CAM. BASCULANTE VOLVO FMX 500</t>
  </si>
  <si>
    <t>SF - PATRIC SANTOS SOUZA</t>
  </si>
  <si>
    <t>CB-149 CAM. BASCULANTE VOLVO FMX 500</t>
  </si>
  <si>
    <t>CB-150 CAM. BASCULANTE VOLVO FMX 500</t>
  </si>
  <si>
    <t>SF - GIULLIANO NASCIMENTO DE MIRANDA</t>
  </si>
  <si>
    <t>BR SANTA FELICIDADE 01</t>
  </si>
  <si>
    <t>JOSE HENRIQUE FERREIRA</t>
  </si>
  <si>
    <t>CB-165 CAM. BASCULANTE VOLVO FMX 500</t>
  </si>
  <si>
    <t>SF - RICARDO DE SOUZA FARIA</t>
  </si>
  <si>
    <t>04 - ESTOQUE MINERIO - PILHA FORMIGUINHA</t>
  </si>
  <si>
    <t>CB-166 CAM. BASCULANTE VOLVO FMX 500</t>
  </si>
  <si>
    <t>CB-167 CAM. BASCULANTE VOLVO FMX 500</t>
  </si>
  <si>
    <t>EMERSON GUSMAO DE LIMA</t>
  </si>
  <si>
    <t>BR SANTA FELICIDADE 04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</si>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</sst>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H2" sqref="H2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 x14ac:dyDescent="0.25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25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25">
      <c r="M2" s="17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3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3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3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3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3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3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3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3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3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3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3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3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3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3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3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2" sqref="F32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 x14ac:dyDescent="0.25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6" t="s">
        <v>267</v>
      </c>
      <c r="B41" s="176"/>
      <c r="C41" s="176"/>
      <c r="D41" s="176"/>
      <c r="E41" s="176"/>
      <c r="F41" s="2">
        <f>SUM(F29:F40)</f>
        <v>80</v>
      </c>
      <c r="G41" s="2">
        <f>SUM(G29:G40)</f>
        <v>400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 x14ac:dyDescent="0.25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 x14ac:dyDescent="0.25">
      <c r="A55" s="177" t="s">
        <v>254</v>
      </c>
      <c r="B55" s="177"/>
      <c r="C55" s="177"/>
      <c r="D55" s="177"/>
      <c r="E55" s="177"/>
      <c r="F55" s="1">
        <f>F41+F54</f>
        <v>80</v>
      </c>
      <c r="G55" s="1">
        <f>G41+G54</f>
        <v>400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 x14ac:dyDescent="0.25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 x14ac:dyDescent="0.25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 x14ac:dyDescent="0.25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 x14ac:dyDescent="0.25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 x14ac:dyDescent="0.25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 x14ac:dyDescent="0.25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 x14ac:dyDescent="0.25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 x14ac:dyDescent="0.25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 x14ac:dyDescent="0.25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 x14ac:dyDescent="0.25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 x14ac:dyDescent="0.25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 x14ac:dyDescent="0.25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 x14ac:dyDescent="0.25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 x14ac:dyDescent="0.25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 x14ac:dyDescent="0.25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 x14ac:dyDescent="0.25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 x14ac:dyDescent="0.25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 x14ac:dyDescent="0.25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 x14ac:dyDescent="0.25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 x14ac:dyDescent="0.25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 x14ac:dyDescent="0.25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 x14ac:dyDescent="0.25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 x14ac:dyDescent="0.25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 x14ac:dyDescent="0.25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 x14ac:dyDescent="0.25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 x14ac:dyDescent="0.25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 x14ac:dyDescent="0.25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 x14ac:dyDescent="0.25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 x14ac:dyDescent="0.25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 x14ac:dyDescent="0.25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 x14ac:dyDescent="0.25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 x14ac:dyDescent="0.25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" activePane="bottomLeft" state="frozen"/>
      <selection pane="bottomLeft" activeCell="N33" sqref="N33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68" t="s">
        <v>267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68" t="s">
        <v>270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67" t="s">
        <v>254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0.11308240740618203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68" t="s">
        <v>267</v>
      </c>
      <c r="B41" s="168"/>
      <c r="C41" s="168"/>
      <c r="D41" s="168"/>
      <c r="E41" s="168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0.11308240740618203</v>
      </c>
      <c r="R41" s="2" t="s">
        <v>268</v>
      </c>
      <c r="S41" s="131"/>
      <c r="T41" s="132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68" t="s">
        <v>270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 x14ac:dyDescent="0.25">
      <c r="A55" s="167" t="s">
        <v>254</v>
      </c>
      <c r="B55" s="167"/>
      <c r="C55" s="167"/>
      <c r="D55" s="167"/>
      <c r="E55" s="16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0.11308240740618203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68" t="s">
        <v>267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68" t="s">
        <v>270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 x14ac:dyDescent="0.25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68" t="s">
        <v>267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68" t="s">
        <v>270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 x14ac:dyDescent="0.25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68" t="s">
        <v>267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68" t="s">
        <v>270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 x14ac:dyDescent="0.25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68" t="s">
        <v>267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68" t="s">
        <v>270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 x14ac:dyDescent="0.25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68" t="s">
        <v>267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68" t="s">
        <v>270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25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68" t="s">
        <v>267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68" t="s">
        <v>270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25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68" t="s">
        <v>267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68" t="s">
        <v>270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25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68" t="s">
        <v>267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68" t="s">
        <v>270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25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68" t="s">
        <v>267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68" t="s">
        <v>270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25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68" t="s">
        <v>267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68" t="s">
        <v>270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25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68" t="s">
        <v>267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68" t="s">
        <v>270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25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68" t="s">
        <v>267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68" t="s">
        <v>270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25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68" t="s">
        <v>267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68" t="s">
        <v>270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25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68" t="s">
        <v>267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 x14ac:dyDescent="0.25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68" t="s">
        <v>267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68" t="s">
        <v>270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25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68" t="s">
        <v>267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68" t="s">
        <v>270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25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68" t="s">
        <v>267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25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68" t="s">
        <v>267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68" t="s">
        <v>270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25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68" t="s">
        <v>267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68" t="s">
        <v>270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25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68" t="s">
        <v>267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68" t="s">
        <v>270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25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68" t="s">
        <v>267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68" t="s">
        <v>270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25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68" t="s">
        <v>267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68" t="s">
        <v>270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25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68" t="s">
        <v>267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68" t="s">
        <v>270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25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68" t="s">
        <v>267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68" t="s">
        <v>270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25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68" t="s">
        <v>267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68" t="s">
        <v>270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25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68" t="s">
        <v>267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68" t="s">
        <v>270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25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68" t="s">
        <v>267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68" t="s">
        <v>270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25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68" t="s">
        <v>267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68" t="s">
        <v>270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25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68" t="s">
        <v>267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68" t="s">
        <v>270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 x14ac:dyDescent="0.25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activeCell="B1" sqref="B1"/>
      <selection pane="bottomLeft" activeCell="G31" sqref="G31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68" t="s">
        <v>267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68" t="s">
        <v>270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67" t="s">
        <v>254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0.15266574074485106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29</v>
      </c>
      <c r="M31" s="85" t="s">
        <v>56</v>
      </c>
      <c r="N31" s="85" t="s">
        <v>60</v>
      </c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68" t="s">
        <v>267</v>
      </c>
      <c r="B41" s="168"/>
      <c r="C41" s="168"/>
      <c r="D41" s="168"/>
      <c r="E41" s="168"/>
      <c r="F41" s="114"/>
      <c r="G41" s="115">
        <f>SUM(G29:G40)</f>
        <v>23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96.600000000000009</v>
      </c>
      <c r="L41" s="87"/>
      <c r="M41" s="87"/>
      <c r="N41" s="87"/>
      <c r="O41" s="87"/>
      <c r="P41" s="87"/>
      <c r="Q41" s="88">
        <f ca="1">IFERROR(SUM(Q29:Q40),"")</f>
        <v>0.20405462963373994</v>
      </c>
      <c r="R41" s="2" t="s">
        <v>268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68" t="s">
        <v>270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 x14ac:dyDescent="0.25">
      <c r="A55" s="167" t="s">
        <v>254</v>
      </c>
      <c r="B55" s="167"/>
      <c r="C55" s="167"/>
      <c r="D55" s="167"/>
      <c r="E55" s="167"/>
      <c r="F55" s="127"/>
      <c r="G55" s="128">
        <f>G41+G54</f>
        <v>23</v>
      </c>
      <c r="H55" s="127">
        <f>IFERROR(H41+H54,"")</f>
        <v>0</v>
      </c>
      <c r="I55" s="129"/>
      <c r="J55" s="130">
        <f>IFERROR(J41+J54,"")</f>
        <v>0</v>
      </c>
      <c r="K55" s="1">
        <f>K41+K54</f>
        <v>96.600000000000009</v>
      </c>
      <c r="L55" s="91"/>
      <c r="M55" s="91"/>
      <c r="N55" s="91"/>
      <c r="O55" s="91"/>
      <c r="P55" s="91"/>
      <c r="Q55" s="92">
        <f ca="1">IFERROR(Q41+Q54,"")</f>
        <v>0.20405462963373994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68" t="s">
        <v>267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68" t="s">
        <v>270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 x14ac:dyDescent="0.25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68" t="s">
        <v>267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68" t="s">
        <v>270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 x14ac:dyDescent="0.25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68" t="s">
        <v>267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68" t="s">
        <v>270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 x14ac:dyDescent="0.25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68" t="s">
        <v>267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8" t="s">
        <v>270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 x14ac:dyDescent="0.25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8" t="s">
        <v>267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8" t="s">
        <v>270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25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8" t="s">
        <v>267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68" t="s">
        <v>270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25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68" t="s">
        <v>267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68" t="s">
        <v>270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25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68" t="s">
        <v>267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68" t="s">
        <v>270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25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68" t="s">
        <v>267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68" t="s">
        <v>270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25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68" t="s">
        <v>267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68" t="s">
        <v>270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25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68" t="s">
        <v>267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68" t="s">
        <v>270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25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68" t="s">
        <v>267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68" t="s">
        <v>270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25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68" t="s">
        <v>267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68" t="s">
        <v>270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25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68" t="s">
        <v>267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68" t="s">
        <v>270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 x14ac:dyDescent="0.25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68" t="s">
        <v>267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68" t="s">
        <v>270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25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68" t="s">
        <v>267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68" t="s">
        <v>270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25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68" t="s">
        <v>267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68" t="s">
        <v>270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25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68" t="s">
        <v>267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68" t="s">
        <v>270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25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68" t="s">
        <v>267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68" t="s">
        <v>270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25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68" t="s">
        <v>267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68" t="s">
        <v>270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25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68" t="s">
        <v>267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68" t="s">
        <v>270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25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68" t="s">
        <v>267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68" t="s">
        <v>270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25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68" t="s">
        <v>267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68" t="s">
        <v>270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25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68" t="s">
        <v>267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68" t="s">
        <v>270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25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68" t="s">
        <v>267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68" t="s">
        <v>270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25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68" t="s">
        <v>267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68" t="s">
        <v>270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25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68" t="s">
        <v>267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68" t="s">
        <v>270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25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68" t="s">
        <v>267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68" t="s">
        <v>270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25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68" t="s">
        <v>267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68" t="s">
        <v>270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 x14ac:dyDescent="0.25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P32" sqref="P32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68" t="s">
        <v>267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68" t="s">
        <v>270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67" t="s">
        <v>254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68" t="s">
        <v>267</v>
      </c>
      <c r="B41" s="168"/>
      <c r="C41" s="168"/>
      <c r="D41" s="168"/>
      <c r="E41" s="168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154"/>
      <c r="P41" s="154"/>
      <c r="Q41" s="88">
        <f ca="1">IFERROR(SUM(Q29:Q40),"")</f>
        <v>6.6666666666666707E-2</v>
      </c>
      <c r="R41" s="2" t="s">
        <v>268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68" t="s">
        <v>270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 x14ac:dyDescent="0.25">
      <c r="A55" s="167" t="s">
        <v>254</v>
      </c>
      <c r="B55" s="167"/>
      <c r="C55" s="167"/>
      <c r="D55" s="167"/>
      <c r="E55" s="16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155"/>
      <c r="P55" s="155"/>
      <c r="Q55" s="92">
        <f ca="1">IFERROR(Q41+Q54,"")</f>
        <v>6.6666666666666707E-2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68" t="s">
        <v>267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68" t="s">
        <v>270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 x14ac:dyDescent="0.25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68" t="s">
        <v>267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68" t="s">
        <v>270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 x14ac:dyDescent="0.25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68" t="s">
        <v>267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68" t="s">
        <v>270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 x14ac:dyDescent="0.25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8" t="s">
        <v>270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 x14ac:dyDescent="0.25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8" t="s">
        <v>267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8" t="s">
        <v>270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25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8" t="s">
        <v>267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68" t="s">
        <v>270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25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68" t="s">
        <v>267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68" t="s">
        <v>270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25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68" t="s">
        <v>267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68" t="s">
        <v>270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25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68" t="s">
        <v>267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68" t="s">
        <v>270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25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68" t="s">
        <v>267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68" t="s">
        <v>270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25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68" t="s">
        <v>267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68" t="s">
        <v>270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25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68" t="s">
        <v>270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25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68" t="s">
        <v>267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68" t="s">
        <v>270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25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68" t="s">
        <v>267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68" t="s">
        <v>270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 x14ac:dyDescent="0.25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68" t="s">
        <v>267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68" t="s">
        <v>270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25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68" t="s">
        <v>267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68" t="s">
        <v>270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25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68" t="s">
        <v>267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68" t="s">
        <v>270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25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68" t="s">
        <v>267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68" t="s">
        <v>270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25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68" t="s">
        <v>267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68" t="s">
        <v>270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25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68" t="s">
        <v>267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68" t="s">
        <v>270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25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68" t="s">
        <v>267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68" t="s">
        <v>270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25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68" t="s">
        <v>267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68" t="s">
        <v>270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25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68" t="s">
        <v>267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68" t="s">
        <v>270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25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68" t="s">
        <v>267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68" t="s">
        <v>270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25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68" t="s">
        <v>267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68" t="s">
        <v>270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25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68" t="s">
        <v>267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68" t="s">
        <v>270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25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68" t="s">
        <v>267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68" t="s">
        <v>270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25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68" t="s">
        <v>267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68" t="s">
        <v>270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25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68" t="s">
        <v>267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68" t="s">
        <v>270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 x14ac:dyDescent="0.25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abSelected="1" zoomScaleNormal="100" workbookViewId="0">
      <selection activeCell="B7" sqref="B7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 x14ac:dyDescent="0.25">
      <c r="A2" s="151" t="s">
        <v>301</v>
      </c>
      <c r="B2" s="151" t="s">
        <v>302</v>
      </c>
      <c r="C2" s="164" t="s">
        <v>334</v>
      </c>
      <c r="D2" s="164" t="s">
        <v>335</v>
      </c>
      <c r="E2" s="165">
        <v>2.8472222222222223E-3</v>
      </c>
      <c r="F2" s="151" t="s">
        <v>303</v>
      </c>
      <c r="H2" s="151" t="s">
        <v>304</v>
      </c>
      <c r="I2" s="164" t="s">
        <v>336</v>
      </c>
      <c r="J2" s="164" t="s">
        <v>337</v>
      </c>
      <c r="K2" s="165">
        <v>4.9768518518518521E-4</v>
      </c>
      <c r="L2" s="151" t="s">
        <v>305</v>
      </c>
      <c r="N2" s="151" t="s">
        <v>306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301</v>
      </c>
      <c r="B3" s="151" t="s">
        <v>302</v>
      </c>
      <c r="C3" s="164" t="s">
        <v>338</v>
      </c>
      <c r="D3" s="164" t="s">
        <v>339</v>
      </c>
      <c r="E3" s="165">
        <v>1.724537037037037E-3</v>
      </c>
      <c r="F3" s="151" t="s">
        <v>303</v>
      </c>
      <c r="H3" s="151" t="s">
        <v>304</v>
      </c>
      <c r="I3" s="164" t="s">
        <v>340</v>
      </c>
      <c r="J3" s="164" t="s">
        <v>341</v>
      </c>
      <c r="K3" s="165">
        <v>6.2500000000000001E-4</v>
      </c>
      <c r="L3" s="151" t="s">
        <v>305</v>
      </c>
      <c r="N3" s="151" t="s">
        <v>306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301</v>
      </c>
      <c r="B4" s="151" t="s">
        <v>302</v>
      </c>
      <c r="C4" s="164" t="s">
        <v>342</v>
      </c>
      <c r="D4" s="164" t="s">
        <v>343</v>
      </c>
      <c r="E4" s="165">
        <v>1.9212962962962964E-3</v>
      </c>
      <c r="F4" s="151" t="s">
        <v>303</v>
      </c>
      <c r="H4" s="151" t="s">
        <v>304</v>
      </c>
      <c r="I4" s="164" t="s">
        <v>344</v>
      </c>
      <c r="J4" s="164" t="s">
        <v>345</v>
      </c>
      <c r="K4" s="165">
        <v>5.4398148148148144E-4</v>
      </c>
      <c r="L4" s="151" t="s">
        <v>305</v>
      </c>
      <c r="N4" s="151" t="s">
        <v>306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301</v>
      </c>
      <c r="B5" s="151" t="s">
        <v>302</v>
      </c>
      <c r="C5" s="164" t="s">
        <v>346</v>
      </c>
      <c r="D5" s="164" t="s">
        <v>347</v>
      </c>
      <c r="E5" s="165">
        <v>1.5046296296296296E-3</v>
      </c>
      <c r="F5" s="151" t="s">
        <v>303</v>
      </c>
      <c r="H5" s="151" t="s">
        <v>304</v>
      </c>
      <c r="I5" s="164" t="s">
        <v>348</v>
      </c>
      <c r="J5" s="164" t="s">
        <v>349</v>
      </c>
      <c r="K5" s="165">
        <v>6.018518518518519E-4</v>
      </c>
      <c r="L5" s="151" t="s">
        <v>305</v>
      </c>
      <c r="N5" s="151" t="s">
        <v>306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301</v>
      </c>
      <c r="B6" s="151" t="s">
        <v>302</v>
      </c>
      <c r="C6" s="164" t="s">
        <v>350</v>
      </c>
      <c r="D6" s="164" t="s">
        <v>351</v>
      </c>
      <c r="E6" s="165">
        <v>3.1481481481481482E-3</v>
      </c>
      <c r="F6" s="151" t="s">
        <v>303</v>
      </c>
      <c r="H6" s="151" t="s">
        <v>304</v>
      </c>
      <c r="I6" s="164" t="s">
        <v>352</v>
      </c>
      <c r="J6" s="164" t="s">
        <v>353</v>
      </c>
      <c r="K6" s="165">
        <v>8.1018518518518516E-4</v>
      </c>
      <c r="L6" s="151" t="s">
        <v>305</v>
      </c>
      <c r="N6" s="151" t="s">
        <v>306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301</v>
      </c>
      <c r="B7" s="151" t="s">
        <v>302</v>
      </c>
      <c r="C7" s="164" t="s">
        <v>354</v>
      </c>
      <c r="D7" s="164" t="s">
        <v>355</v>
      </c>
      <c r="E7" s="165">
        <v>2.1643518518518518E-3</v>
      </c>
      <c r="F7" s="151" t="s">
        <v>303</v>
      </c>
      <c r="H7" s="166" t="s">
        <v>304</v>
      </c>
      <c r="I7" s="164" t="s">
        <v>356</v>
      </c>
      <c r="J7" s="164" t="s">
        <v>357</v>
      </c>
      <c r="K7" s="165">
        <v>5.4398148148148144E-4</v>
      </c>
      <c r="L7" s="151" t="s">
        <v>305</v>
      </c>
      <c r="N7" s="151" t="s">
        <v>306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301</v>
      </c>
      <c r="B8" s="151" t="s">
        <v>302</v>
      </c>
      <c r="C8" s="164" t="s">
        <v>358</v>
      </c>
      <c r="D8" s="164" t="s">
        <v>359</v>
      </c>
      <c r="E8" s="165">
        <v>1.9675925925925924E-3</v>
      </c>
      <c r="F8" s="151" t="s">
        <v>303</v>
      </c>
      <c r="H8" s="151" t="s">
        <v>304</v>
      </c>
      <c r="I8" s="164" t="s">
        <v>360</v>
      </c>
      <c r="J8" s="164" t="s">
        <v>361</v>
      </c>
      <c r="K8" s="165">
        <v>5.6712962962962967E-4</v>
      </c>
      <c r="L8" s="151" t="s">
        <v>305</v>
      </c>
      <c r="N8" s="151" t="s">
        <v>306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301</v>
      </c>
      <c r="B9" s="151" t="s">
        <v>302</v>
      </c>
      <c r="C9" s="164" t="s">
        <v>362</v>
      </c>
      <c r="D9" s="164" t="s">
        <v>363</v>
      </c>
      <c r="E9" s="165">
        <v>2.0023148148148148E-3</v>
      </c>
      <c r="F9" s="151" t="s">
        <v>303</v>
      </c>
      <c r="H9" s="151" t="s">
        <v>304</v>
      </c>
      <c r="I9" s="164" t="s">
        <v>364</v>
      </c>
      <c r="J9" s="164" t="s">
        <v>365</v>
      </c>
      <c r="K9" s="165">
        <v>7.8703703703703705E-4</v>
      </c>
      <c r="L9" s="151" t="s">
        <v>305</v>
      </c>
      <c r="N9" s="151" t="s">
        <v>306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301</v>
      </c>
      <c r="B10" s="151" t="s">
        <v>302</v>
      </c>
      <c r="C10" s="164" t="s">
        <v>366</v>
      </c>
      <c r="D10" s="164" t="s">
        <v>367</v>
      </c>
      <c r="E10" s="165">
        <v>1.724537037037037E-3</v>
      </c>
      <c r="F10" s="151" t="s">
        <v>303</v>
      </c>
      <c r="H10" s="166" t="s">
        <v>304</v>
      </c>
      <c r="I10" s="164" t="s">
        <v>368</v>
      </c>
      <c r="J10" s="164" t="s">
        <v>369</v>
      </c>
      <c r="K10" s="165">
        <v>4.0509259259259258E-4</v>
      </c>
      <c r="L10" s="151" t="s">
        <v>305</v>
      </c>
      <c r="N10" s="151" t="s">
        <v>306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301</v>
      </c>
      <c r="B11" s="151" t="s">
        <v>302</v>
      </c>
      <c r="C11" s="164" t="s">
        <v>370</v>
      </c>
      <c r="D11" s="164" t="s">
        <v>371</v>
      </c>
      <c r="E11" s="165">
        <v>2.685185185185185E-3</v>
      </c>
      <c r="F11" s="151" t="s">
        <v>303</v>
      </c>
      <c r="H11" s="151" t="s">
        <v>304</v>
      </c>
      <c r="I11" s="164" t="s">
        <v>372</v>
      </c>
      <c r="J11" s="164" t="s">
        <v>373</v>
      </c>
      <c r="K11" s="165">
        <v>6.134259259259259E-4</v>
      </c>
      <c r="L11" s="151" t="s">
        <v>305</v>
      </c>
      <c r="N11" s="151" t="s">
        <v>306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301</v>
      </c>
      <c r="B12" s="151" t="s">
        <v>302</v>
      </c>
      <c r="C12" s="164" t="s">
        <v>374</v>
      </c>
      <c r="D12" s="164" t="s">
        <v>375</v>
      </c>
      <c r="E12" s="165">
        <v>2.2106481481481482E-3</v>
      </c>
      <c r="F12" s="151" t="s">
        <v>303</v>
      </c>
      <c r="H12" s="151" t="s">
        <v>304</v>
      </c>
      <c r="I12" s="164" t="s">
        <v>376</v>
      </c>
      <c r="J12" s="164" t="s">
        <v>377</v>
      </c>
      <c r="K12" s="165">
        <v>7.291666666666667E-4</v>
      </c>
      <c r="L12" s="151" t="s">
        <v>305</v>
      </c>
      <c r="N12" s="151" t="s">
        <v>306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301</v>
      </c>
      <c r="B13" s="151" t="s">
        <v>302</v>
      </c>
      <c r="C13" s="164" t="s">
        <v>378</v>
      </c>
      <c r="D13" s="164" t="s">
        <v>379</v>
      </c>
      <c r="E13" s="165">
        <v>2.6157407407407405E-3</v>
      </c>
      <c r="F13" s="151" t="s">
        <v>303</v>
      </c>
      <c r="H13" s="151" t="s">
        <v>304</v>
      </c>
      <c r="I13" s="164" t="s">
        <v>380</v>
      </c>
      <c r="J13" s="164" t="s">
        <v>381</v>
      </c>
      <c r="K13" s="165">
        <v>5.9027777777777778E-4</v>
      </c>
      <c r="L13" s="151" t="s">
        <v>305</v>
      </c>
      <c r="N13" s="151" t="s">
        <v>306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301</v>
      </c>
      <c r="B14" s="151" t="s">
        <v>302</v>
      </c>
      <c r="C14" s="164" t="s">
        <v>382</v>
      </c>
      <c r="D14" s="164" t="s">
        <v>383</v>
      </c>
      <c r="E14" s="165">
        <v>2.8124999999999999E-3</v>
      </c>
      <c r="F14" s="151" t="s">
        <v>303</v>
      </c>
      <c r="H14" s="151" t="s">
        <v>304</v>
      </c>
      <c r="I14" s="164" t="s">
        <v>384</v>
      </c>
      <c r="J14" s="164" t="s">
        <v>385</v>
      </c>
      <c r="K14" s="165">
        <v>6.5972222222222224E-4</v>
      </c>
      <c r="L14" s="151" t="s">
        <v>305</v>
      </c>
      <c r="N14" s="151" t="s">
        <v>306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301</v>
      </c>
      <c r="B15" s="151" t="s">
        <v>302</v>
      </c>
      <c r="C15" s="164" t="s">
        <v>386</v>
      </c>
      <c r="D15" s="164" t="s">
        <v>387</v>
      </c>
      <c r="E15" s="165">
        <v>2.0833333333333333E-3</v>
      </c>
      <c r="F15" s="151" t="s">
        <v>303</v>
      </c>
      <c r="H15" s="151" t="s">
        <v>304</v>
      </c>
      <c r="I15" s="164" t="s">
        <v>388</v>
      </c>
      <c r="J15" s="164" t="s">
        <v>389</v>
      </c>
      <c r="K15" s="165">
        <v>5.0925925925925921E-4</v>
      </c>
      <c r="L15" s="151" t="s">
        <v>305</v>
      </c>
      <c r="N15" s="151" t="s">
        <v>306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301</v>
      </c>
      <c r="B16" s="151" t="s">
        <v>302</v>
      </c>
      <c r="C16" s="164" t="s">
        <v>390</v>
      </c>
      <c r="D16" s="164" t="s">
        <v>391</v>
      </c>
      <c r="E16" s="165">
        <v>1.712962962962963E-3</v>
      </c>
      <c r="F16" s="151" t="s">
        <v>303</v>
      </c>
      <c r="H16" s="151" t="s">
        <v>304</v>
      </c>
      <c r="I16" s="164" t="s">
        <v>392</v>
      </c>
      <c r="J16" s="164" t="s">
        <v>393</v>
      </c>
      <c r="K16" s="165">
        <v>4.9768518518518521E-4</v>
      </c>
      <c r="L16" s="151" t="s">
        <v>305</v>
      </c>
      <c r="N16" s="151" t="s">
        <v>306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301</v>
      </c>
      <c r="B17" s="151" t="s">
        <v>302</v>
      </c>
      <c r="C17" s="164" t="s">
        <v>394</v>
      </c>
      <c r="D17" s="164" t="s">
        <v>395</v>
      </c>
      <c r="E17" s="165">
        <v>1.5393518518518519E-3</v>
      </c>
      <c r="F17" s="151" t="s">
        <v>303</v>
      </c>
      <c r="H17" s="151" t="s">
        <v>304</v>
      </c>
      <c r="I17" s="164" t="s">
        <v>396</v>
      </c>
      <c r="J17" s="164" t="s">
        <v>397</v>
      </c>
      <c r="K17" s="165">
        <v>7.291666666666667E-4</v>
      </c>
      <c r="L17" s="151" t="s">
        <v>305</v>
      </c>
      <c r="N17" s="151" t="s">
        <v>306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301</v>
      </c>
      <c r="B18" s="151" t="s">
        <v>302</v>
      </c>
      <c r="C18" s="164" t="s">
        <v>398</v>
      </c>
      <c r="D18" s="164" t="s">
        <v>399</v>
      </c>
      <c r="E18" s="165">
        <v>2.2337962962962962E-3</v>
      </c>
      <c r="F18" s="151" t="s">
        <v>303</v>
      </c>
      <c r="H18" s="151" t="s">
        <v>304</v>
      </c>
      <c r="I18" s="164" t="s">
        <v>400</v>
      </c>
      <c r="J18" s="164" t="s">
        <v>401</v>
      </c>
      <c r="K18" s="165">
        <v>3.8194444444444446E-4</v>
      </c>
      <c r="L18" s="151" t="s">
        <v>305</v>
      </c>
      <c r="N18" s="151" t="s">
        <v>306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301</v>
      </c>
      <c r="B19" s="151" t="s">
        <v>302</v>
      </c>
      <c r="C19" s="164" t="s">
        <v>402</v>
      </c>
      <c r="D19" s="164" t="s">
        <v>403</v>
      </c>
      <c r="E19" s="165">
        <v>2.0138888888888888E-3</v>
      </c>
      <c r="F19" s="151" t="s">
        <v>303</v>
      </c>
      <c r="H19" s="151" t="s">
        <v>304</v>
      </c>
      <c r="I19" s="164" t="s">
        <v>404</v>
      </c>
      <c r="J19" s="164" t="s">
        <v>405</v>
      </c>
      <c r="K19" s="165">
        <v>1.0879629629629629E-3</v>
      </c>
      <c r="L19" s="151" t="s">
        <v>305</v>
      </c>
      <c r="N19" s="151" t="s">
        <v>306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301</v>
      </c>
      <c r="B20" s="151" t="s">
        <v>302</v>
      </c>
      <c r="C20" s="164" t="s">
        <v>406</v>
      </c>
      <c r="D20" s="164" t="s">
        <v>407</v>
      </c>
      <c r="E20" s="165">
        <v>2.2222222222222222E-3</v>
      </c>
      <c r="F20" s="151" t="s">
        <v>303</v>
      </c>
      <c r="H20" s="151" t="s">
        <v>304</v>
      </c>
      <c r="I20" s="164" t="s">
        <v>408</v>
      </c>
      <c r="J20" s="164" t="s">
        <v>409</v>
      </c>
      <c r="K20" s="165">
        <v>4.9768518518518521E-4</v>
      </c>
      <c r="L20" s="151" t="s">
        <v>305</v>
      </c>
      <c r="N20" s="151" t="s">
        <v>306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301</v>
      </c>
      <c r="B21" s="151" t="s">
        <v>302</v>
      </c>
      <c r="C21" s="164" t="s">
        <v>410</v>
      </c>
      <c r="D21" s="164" t="s">
        <v>411</v>
      </c>
      <c r="E21" s="165">
        <v>3.7847222222222223E-3</v>
      </c>
      <c r="F21" s="151" t="s">
        <v>303</v>
      </c>
      <c r="H21" s="151" t="s">
        <v>304</v>
      </c>
      <c r="I21" s="164" t="s">
        <v>412</v>
      </c>
      <c r="J21" s="164" t="s">
        <v>413</v>
      </c>
      <c r="K21" s="165">
        <v>6.5972222222222224E-4</v>
      </c>
      <c r="L21" s="151" t="s">
        <v>305</v>
      </c>
      <c r="N21" s="151" t="s">
        <v>306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301</v>
      </c>
      <c r="B22" s="151" t="s">
        <v>302</v>
      </c>
      <c r="C22" s="164" t="s">
        <v>414</v>
      </c>
      <c r="D22" s="164" t="s">
        <v>415</v>
      </c>
      <c r="E22" s="165">
        <v>3.3680555555555556E-3</v>
      </c>
      <c r="F22" s="151" t="s">
        <v>303</v>
      </c>
      <c r="H22" s="151" t="s">
        <v>304</v>
      </c>
      <c r="I22" s="164" t="s">
        <v>416</v>
      </c>
      <c r="J22" s="164" t="s">
        <v>417</v>
      </c>
      <c r="K22" s="165">
        <v>3.1250000000000001E-4</v>
      </c>
      <c r="L22" s="151" t="s">
        <v>305</v>
      </c>
      <c r="N22" s="151" t="s">
        <v>306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301</v>
      </c>
      <c r="B23" s="151" t="s">
        <v>302</v>
      </c>
      <c r="C23" s="164" t="s">
        <v>418</v>
      </c>
      <c r="D23" s="164" t="s">
        <v>419</v>
      </c>
      <c r="E23" s="165">
        <v>8.4490740740740739E-4</v>
      </c>
      <c r="F23" s="151" t="s">
        <v>303</v>
      </c>
      <c r="H23" s="151" t="s">
        <v>304</v>
      </c>
      <c r="I23" s="164" t="s">
        <v>420</v>
      </c>
      <c r="J23" s="164" t="s">
        <v>421</v>
      </c>
      <c r="K23" s="165">
        <v>4.9768518518518521E-4</v>
      </c>
      <c r="L23" s="151" t="s">
        <v>305</v>
      </c>
      <c r="N23" s="151" t="s">
        <v>306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307</v>
      </c>
      <c r="B24" s="151" t="s">
        <v>308</v>
      </c>
      <c r="C24" s="164" t="s">
        <v>422</v>
      </c>
      <c r="D24" s="164" t="s">
        <v>423</v>
      </c>
      <c r="E24" s="165">
        <v>2.2337962962962962E-3</v>
      </c>
      <c r="F24" s="151" t="s">
        <v>303</v>
      </c>
      <c r="H24" s="151" t="s">
        <v>304</v>
      </c>
      <c r="I24" s="164" t="s">
        <v>424</v>
      </c>
      <c r="J24" s="164" t="s">
        <v>425</v>
      </c>
      <c r="K24" s="165">
        <v>5.0925925925925921E-4</v>
      </c>
      <c r="L24" s="151" t="s">
        <v>305</v>
      </c>
      <c r="N24" s="151" t="s">
        <v>306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307</v>
      </c>
      <c r="B25" s="151" t="s">
        <v>308</v>
      </c>
      <c r="C25" s="164" t="s">
        <v>426</v>
      </c>
      <c r="D25" s="164" t="s">
        <v>427</v>
      </c>
      <c r="E25" s="165">
        <v>1.6898148148148148E-3</v>
      </c>
      <c r="F25" s="151" t="s">
        <v>303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329</v>
      </c>
      <c r="N25" s="151" t="s">
        <v>310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307</v>
      </c>
      <c r="B26" s="151" t="s">
        <v>308</v>
      </c>
      <c r="C26" s="164" t="s">
        <v>430</v>
      </c>
      <c r="D26" s="164" t="s">
        <v>431</v>
      </c>
      <c r="E26" s="165">
        <v>3.1944444444444446E-3</v>
      </c>
      <c r="F26" s="151" t="s">
        <v>303</v>
      </c>
      <c r="H26" s="151" t="s">
        <v>47</v>
      </c>
      <c r="I26" s="164" t="s">
        <v>432</v>
      </c>
      <c r="J26" s="164" t="s">
        <v>433</v>
      </c>
      <c r="K26" s="165">
        <v>5.9027777777777778E-4</v>
      </c>
      <c r="L26" s="151" t="s">
        <v>329</v>
      </c>
      <c r="N26" s="151" t="s">
        <v>310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307</v>
      </c>
      <c r="B27" s="151" t="s">
        <v>308</v>
      </c>
      <c r="C27" s="164" t="s">
        <v>434</v>
      </c>
      <c r="D27" s="164" t="s">
        <v>435</v>
      </c>
      <c r="E27" s="165">
        <v>3.7499999999999999E-3</v>
      </c>
      <c r="F27" s="151" t="s">
        <v>303</v>
      </c>
      <c r="H27" s="151" t="s">
        <v>31</v>
      </c>
      <c r="I27" s="164" t="s">
        <v>436</v>
      </c>
      <c r="J27" s="164" t="s">
        <v>437</v>
      </c>
      <c r="K27" s="165">
        <v>5.9027777777777778E-4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307</v>
      </c>
      <c r="B28" s="151" t="s">
        <v>308</v>
      </c>
      <c r="C28" s="164" t="s">
        <v>438</v>
      </c>
      <c r="D28" s="164" t="s">
        <v>439</v>
      </c>
      <c r="E28" s="165">
        <v>3.8078703703703703E-3</v>
      </c>
      <c r="F28" s="151" t="s">
        <v>303</v>
      </c>
      <c r="H28" s="151" t="s">
        <v>31</v>
      </c>
      <c r="I28" s="164" t="s">
        <v>440</v>
      </c>
      <c r="J28" s="164" t="s">
        <v>441</v>
      </c>
      <c r="K28" s="165">
        <v>5.7870370370370367E-4</v>
      </c>
      <c r="L28" s="151" t="s">
        <v>309</v>
      </c>
      <c r="N28" s="151" t="s">
        <v>310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307</v>
      </c>
      <c r="B29" s="151" t="s">
        <v>308</v>
      </c>
      <c r="C29" s="164" t="s">
        <v>442</v>
      </c>
      <c r="D29" s="164" t="s">
        <v>443</v>
      </c>
      <c r="E29" s="165">
        <v>1.3888888888888889E-3</v>
      </c>
      <c r="F29" s="151" t="s">
        <v>303</v>
      </c>
      <c r="H29" s="151" t="s">
        <v>304</v>
      </c>
      <c r="I29" s="164" t="s">
        <v>444</v>
      </c>
      <c r="J29" s="164" t="s">
        <v>445</v>
      </c>
      <c r="K29" s="165">
        <v>6.018518518518519E-4</v>
      </c>
      <c r="L29" s="151" t="s">
        <v>305</v>
      </c>
      <c r="N29" s="151" t="s">
        <v>306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307</v>
      </c>
      <c r="B30" s="151" t="s">
        <v>308</v>
      </c>
      <c r="C30" s="164" t="s">
        <v>446</v>
      </c>
      <c r="D30" s="164" t="s">
        <v>447</v>
      </c>
      <c r="E30" s="165">
        <v>1.1574074074074073E-3</v>
      </c>
      <c r="F30" s="151" t="s">
        <v>303</v>
      </c>
      <c r="H30" s="151" t="s">
        <v>304</v>
      </c>
      <c r="I30" s="164" t="s">
        <v>448</v>
      </c>
      <c r="J30" s="164" t="s">
        <v>449</v>
      </c>
      <c r="K30" s="165">
        <v>5.7870370370370367E-4</v>
      </c>
      <c r="L30" s="151" t="s">
        <v>305</v>
      </c>
      <c r="N30" s="151" t="s">
        <v>306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307</v>
      </c>
      <c r="B31" s="151" t="s">
        <v>308</v>
      </c>
      <c r="C31" s="164" t="s">
        <v>450</v>
      </c>
      <c r="D31" s="164" t="s">
        <v>451</v>
      </c>
      <c r="E31" s="165">
        <v>3.7152777777777778E-3</v>
      </c>
      <c r="F31" s="151" t="s">
        <v>303</v>
      </c>
      <c r="H31" s="151" t="s">
        <v>31</v>
      </c>
      <c r="I31" s="164" t="s">
        <v>452</v>
      </c>
      <c r="J31" s="164" t="s">
        <v>453</v>
      </c>
      <c r="K31" s="165">
        <v>6.134259259259259E-4</v>
      </c>
      <c r="L31" s="151" t="s">
        <v>309</v>
      </c>
      <c r="N31" s="151" t="s">
        <v>310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307</v>
      </c>
      <c r="B32" s="151" t="s">
        <v>308</v>
      </c>
      <c r="C32" s="164" t="s">
        <v>454</v>
      </c>
      <c r="D32" s="164" t="s">
        <v>455</v>
      </c>
      <c r="E32" s="165">
        <v>2.3032407407407407E-3</v>
      </c>
      <c r="F32" s="151" t="s">
        <v>303</v>
      </c>
      <c r="H32" s="151" t="s">
        <v>31</v>
      </c>
      <c r="I32" s="164" t="s">
        <v>456</v>
      </c>
      <c r="J32" s="164" t="s">
        <v>457</v>
      </c>
      <c r="K32" s="165">
        <v>5.7870370370370367E-4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307</v>
      </c>
      <c r="B33" s="151" t="s">
        <v>308</v>
      </c>
      <c r="C33" s="164" t="s">
        <v>458</v>
      </c>
      <c r="D33" s="164" t="s">
        <v>459</v>
      </c>
      <c r="E33" s="165">
        <v>2.0717592592592593E-3</v>
      </c>
      <c r="F33" s="151" t="s">
        <v>303</v>
      </c>
      <c r="H33" s="151" t="s">
        <v>31</v>
      </c>
      <c r="I33" s="164" t="s">
        <v>460</v>
      </c>
      <c r="J33" s="164" t="s">
        <v>461</v>
      </c>
      <c r="K33" s="165">
        <v>6.4814814814814813E-4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307</v>
      </c>
      <c r="B34" s="151" t="s">
        <v>308</v>
      </c>
      <c r="C34" s="164" t="s">
        <v>462</v>
      </c>
      <c r="D34" s="164" t="s">
        <v>463</v>
      </c>
      <c r="E34" s="165">
        <v>1.1805555555555556E-3</v>
      </c>
      <c r="F34" s="151" t="s">
        <v>303</v>
      </c>
      <c r="H34" s="151" t="s">
        <v>304</v>
      </c>
      <c r="I34" s="164" t="s">
        <v>464</v>
      </c>
      <c r="J34" s="164" t="s">
        <v>465</v>
      </c>
      <c r="K34" s="165">
        <v>7.8703703703703705E-4</v>
      </c>
      <c r="L34" s="151" t="s">
        <v>305</v>
      </c>
      <c r="N34" s="151" t="s">
        <v>306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307</v>
      </c>
      <c r="B35" s="151" t="s">
        <v>308</v>
      </c>
      <c r="C35" s="164" t="s">
        <v>466</v>
      </c>
      <c r="D35" s="164" t="s">
        <v>467</v>
      </c>
      <c r="E35" s="165">
        <v>1.5162037037037036E-3</v>
      </c>
      <c r="F35" s="151" t="s">
        <v>303</v>
      </c>
      <c r="H35" s="151" t="s">
        <v>304</v>
      </c>
      <c r="I35" s="164" t="s">
        <v>468</v>
      </c>
      <c r="J35" s="164" t="s">
        <v>469</v>
      </c>
      <c r="K35" s="165">
        <v>5.9027777777777778E-4</v>
      </c>
      <c r="L35" s="151" t="s">
        <v>305</v>
      </c>
      <c r="N35" s="151" t="s">
        <v>306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307</v>
      </c>
      <c r="B36" s="151" t="s">
        <v>308</v>
      </c>
      <c r="C36" s="164" t="s">
        <v>470</v>
      </c>
      <c r="D36" s="164" t="s">
        <v>471</v>
      </c>
      <c r="E36" s="165">
        <v>2.1412037037037038E-3</v>
      </c>
      <c r="F36" s="151" t="s">
        <v>303</v>
      </c>
      <c r="H36" s="151" t="s">
        <v>31</v>
      </c>
      <c r="I36" s="164" t="s">
        <v>472</v>
      </c>
      <c r="J36" s="164" t="s">
        <v>473</v>
      </c>
      <c r="K36" s="165">
        <v>6.2500000000000001E-4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307</v>
      </c>
      <c r="B37" s="151" t="s">
        <v>308</v>
      </c>
      <c r="C37" s="164" t="s">
        <v>474</v>
      </c>
      <c r="D37" s="164" t="s">
        <v>475</v>
      </c>
      <c r="E37" s="165">
        <v>1.4351851851851852E-3</v>
      </c>
      <c r="F37" s="151" t="s">
        <v>303</v>
      </c>
      <c r="H37" s="151" t="s">
        <v>304</v>
      </c>
      <c r="I37" s="164" t="s">
        <v>476</v>
      </c>
      <c r="J37" s="164" t="s">
        <v>477</v>
      </c>
      <c r="K37" s="165">
        <v>5.7870370370370367E-4</v>
      </c>
      <c r="L37" s="151" t="s">
        <v>305</v>
      </c>
      <c r="N37" s="151" t="s">
        <v>306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307</v>
      </c>
      <c r="B38" s="151" t="s">
        <v>308</v>
      </c>
      <c r="C38" s="164" t="s">
        <v>478</v>
      </c>
      <c r="D38" s="164" t="s">
        <v>479</v>
      </c>
      <c r="E38" s="165">
        <v>5.1736111111111115E-3</v>
      </c>
      <c r="F38" s="151" t="s">
        <v>303</v>
      </c>
      <c r="H38" s="151" t="s">
        <v>31</v>
      </c>
      <c r="I38" s="164" t="s">
        <v>480</v>
      </c>
      <c r="J38" s="164" t="s">
        <v>481</v>
      </c>
      <c r="K38" s="165">
        <v>6.2500000000000001E-4</v>
      </c>
      <c r="L38" s="151" t="s">
        <v>309</v>
      </c>
      <c r="N38" s="151" t="s">
        <v>310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307</v>
      </c>
      <c r="B39" s="151" t="s">
        <v>308</v>
      </c>
      <c r="C39" s="164" t="s">
        <v>482</v>
      </c>
      <c r="D39" s="164" t="s">
        <v>483</v>
      </c>
      <c r="E39" s="165">
        <v>1.25E-3</v>
      </c>
      <c r="F39" s="151" t="s">
        <v>303</v>
      </c>
      <c r="H39" s="151" t="s">
        <v>304</v>
      </c>
      <c r="I39" s="164" t="s">
        <v>484</v>
      </c>
      <c r="J39" s="164" t="s">
        <v>485</v>
      </c>
      <c r="K39" s="165">
        <v>7.8703703703703705E-4</v>
      </c>
      <c r="L39" s="151" t="s">
        <v>305</v>
      </c>
      <c r="N39" s="151" t="s">
        <v>306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307</v>
      </c>
      <c r="B40" s="151" t="s">
        <v>308</v>
      </c>
      <c r="C40" s="164" t="s">
        <v>486</v>
      </c>
      <c r="D40" s="164" t="s">
        <v>487</v>
      </c>
      <c r="E40" s="165">
        <v>1.4699074074074074E-3</v>
      </c>
      <c r="F40" s="151" t="s">
        <v>303</v>
      </c>
      <c r="H40" s="151" t="s">
        <v>304</v>
      </c>
      <c r="I40" s="164" t="s">
        <v>488</v>
      </c>
      <c r="J40" s="164" t="s">
        <v>489</v>
      </c>
      <c r="K40" s="165">
        <v>5.7870370370370367E-4</v>
      </c>
      <c r="L40" s="151" t="s">
        <v>305</v>
      </c>
      <c r="N40" s="151" t="s">
        <v>306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307</v>
      </c>
      <c r="B41" s="151" t="s">
        <v>308</v>
      </c>
      <c r="C41" s="164" t="s">
        <v>490</v>
      </c>
      <c r="D41" s="164" t="s">
        <v>491</v>
      </c>
      <c r="E41" s="165">
        <v>1.0879629629629629E-3</v>
      </c>
      <c r="F41" s="151" t="s">
        <v>303</v>
      </c>
      <c r="H41" s="151" t="s">
        <v>304</v>
      </c>
      <c r="I41" s="164" t="s">
        <v>492</v>
      </c>
      <c r="J41" s="164" t="s">
        <v>493</v>
      </c>
      <c r="K41" s="165">
        <v>8.4490740740740739E-4</v>
      </c>
      <c r="L41" s="151" t="s">
        <v>305</v>
      </c>
      <c r="N41" s="151" t="s">
        <v>306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307</v>
      </c>
      <c r="B42" s="151" t="s">
        <v>308</v>
      </c>
      <c r="C42" s="164" t="s">
        <v>494</v>
      </c>
      <c r="D42" s="164" t="s">
        <v>495</v>
      </c>
      <c r="E42" s="165">
        <v>1.1342592592592593E-3</v>
      </c>
      <c r="F42" s="151" t="s">
        <v>303</v>
      </c>
      <c r="H42" s="151" t="s">
        <v>304</v>
      </c>
      <c r="I42" s="164" t="s">
        <v>496</v>
      </c>
      <c r="J42" s="164" t="s">
        <v>497</v>
      </c>
      <c r="K42" s="165">
        <v>6.2500000000000001E-4</v>
      </c>
      <c r="L42" s="151" t="s">
        <v>305</v>
      </c>
      <c r="N42" s="151" t="s">
        <v>306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307</v>
      </c>
      <c r="B43" s="151" t="s">
        <v>308</v>
      </c>
      <c r="C43" s="164" t="s">
        <v>498</v>
      </c>
      <c r="D43" s="164" t="s">
        <v>499</v>
      </c>
      <c r="E43" s="165">
        <v>1.4004629629629629E-3</v>
      </c>
      <c r="F43" s="151" t="s">
        <v>303</v>
      </c>
      <c r="H43" s="151" t="s">
        <v>304</v>
      </c>
      <c r="I43" s="164" t="s">
        <v>398</v>
      </c>
      <c r="J43" s="164" t="s">
        <v>500</v>
      </c>
      <c r="K43" s="165">
        <v>5.6712962962962967E-4</v>
      </c>
      <c r="L43" s="151" t="s">
        <v>305</v>
      </c>
      <c r="N43" s="151" t="s">
        <v>306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307</v>
      </c>
      <c r="B44" s="151" t="s">
        <v>308</v>
      </c>
      <c r="C44" s="164" t="s">
        <v>501</v>
      </c>
      <c r="D44" s="164" t="s">
        <v>502</v>
      </c>
      <c r="E44" s="165">
        <v>2.7083333333333334E-3</v>
      </c>
      <c r="F44" s="151" t="s">
        <v>303</v>
      </c>
      <c r="H44" s="151" t="s">
        <v>31</v>
      </c>
      <c r="J44" s="164" t="s">
        <v>503</v>
      </c>
      <c r="K44" s="165">
        <v>0</v>
      </c>
      <c r="L44" s="151" t="s">
        <v>309</v>
      </c>
      <c r="M44" s="151" t="s">
        <v>311</v>
      </c>
      <c r="N44" s="151" t="s">
        <v>310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307</v>
      </c>
      <c r="B45" s="151" t="s">
        <v>308</v>
      </c>
      <c r="C45" s="164" t="s">
        <v>504</v>
      </c>
      <c r="D45" s="164" t="s">
        <v>505</v>
      </c>
      <c r="E45" s="165">
        <v>1.0995370370370371E-3</v>
      </c>
      <c r="F45" s="151" t="s">
        <v>303</v>
      </c>
      <c r="H45" s="151" t="s">
        <v>304</v>
      </c>
      <c r="I45" s="164" t="s">
        <v>506</v>
      </c>
      <c r="J45" s="164" t="s">
        <v>507</v>
      </c>
      <c r="K45" s="165">
        <v>5.7870370370370367E-4</v>
      </c>
      <c r="L45" s="151" t="s">
        <v>305</v>
      </c>
      <c r="N45" s="151" t="s">
        <v>306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307</v>
      </c>
      <c r="B46" s="151" t="s">
        <v>308</v>
      </c>
      <c r="C46" s="164" t="s">
        <v>508</v>
      </c>
      <c r="D46" s="164" t="s">
        <v>509</v>
      </c>
      <c r="E46" s="165">
        <v>1.8287037037037037E-3</v>
      </c>
      <c r="F46" s="151" t="s">
        <v>303</v>
      </c>
      <c r="H46" s="151" t="s">
        <v>304</v>
      </c>
      <c r="I46" s="164" t="s">
        <v>510</v>
      </c>
      <c r="J46" s="164" t="s">
        <v>511</v>
      </c>
      <c r="K46" s="165">
        <v>5.7870370370370367E-4</v>
      </c>
      <c r="L46" s="151" t="s">
        <v>305</v>
      </c>
      <c r="N46" s="151" t="s">
        <v>306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307</v>
      </c>
      <c r="B47" s="151" t="s">
        <v>308</v>
      </c>
      <c r="C47" s="164" t="s">
        <v>512</v>
      </c>
      <c r="D47" s="164" t="s">
        <v>513</v>
      </c>
      <c r="E47" s="165">
        <v>2.3726851851851851E-3</v>
      </c>
      <c r="F47" s="151" t="s">
        <v>303</v>
      </c>
      <c r="H47" s="151" t="s">
        <v>304</v>
      </c>
      <c r="I47" s="164" t="s">
        <v>514</v>
      </c>
      <c r="J47" s="164" t="s">
        <v>515</v>
      </c>
      <c r="K47" s="165">
        <v>5.4398148148148144E-4</v>
      </c>
      <c r="L47" s="151" t="s">
        <v>305</v>
      </c>
      <c r="N47" s="151" t="s">
        <v>306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312</v>
      </c>
      <c r="B48" s="151" t="s">
        <v>313</v>
      </c>
      <c r="C48" s="164" t="s">
        <v>516</v>
      </c>
      <c r="D48" s="164" t="s">
        <v>517</v>
      </c>
      <c r="E48" s="165">
        <v>1.9675925925925924E-3</v>
      </c>
      <c r="F48" s="151" t="s">
        <v>314</v>
      </c>
      <c r="G48" s="151" t="s">
        <v>311</v>
      </c>
      <c r="H48" s="151" t="s">
        <v>315</v>
      </c>
      <c r="J48" s="164" t="s">
        <v>518</v>
      </c>
      <c r="K48" s="165">
        <v>0</v>
      </c>
      <c r="L48" s="151" t="s">
        <v>314</v>
      </c>
      <c r="M48" s="151" t="s">
        <v>311</v>
      </c>
      <c r="N48" s="151" t="s">
        <v>316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312</v>
      </c>
      <c r="B49" s="151" t="s">
        <v>313</v>
      </c>
      <c r="C49" s="164" t="s">
        <v>519</v>
      </c>
      <c r="D49" s="164" t="s">
        <v>520</v>
      </c>
      <c r="E49" s="165">
        <v>2.3263888888888887E-3</v>
      </c>
      <c r="F49" s="151" t="s">
        <v>314</v>
      </c>
      <c r="G49" s="151" t="s">
        <v>311</v>
      </c>
      <c r="H49" s="151" t="s">
        <v>315</v>
      </c>
      <c r="I49" s="164" t="s">
        <v>521</v>
      </c>
      <c r="J49" s="164" t="s">
        <v>522</v>
      </c>
      <c r="K49" s="165">
        <v>8.3333333333333339E-4</v>
      </c>
      <c r="L49" s="151" t="s">
        <v>314</v>
      </c>
      <c r="M49" s="151" t="s">
        <v>311</v>
      </c>
      <c r="N49" s="151" t="s">
        <v>316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312</v>
      </c>
      <c r="B50" s="151" t="s">
        <v>313</v>
      </c>
      <c r="C50" s="164" t="s">
        <v>523</v>
      </c>
      <c r="D50" s="164" t="s">
        <v>524</v>
      </c>
      <c r="E50" s="165">
        <v>2.3379629629629631E-3</v>
      </c>
      <c r="F50" s="151" t="s">
        <v>314</v>
      </c>
      <c r="G50" s="151" t="s">
        <v>311</v>
      </c>
      <c r="H50" s="151" t="s">
        <v>315</v>
      </c>
      <c r="J50" s="164" t="s">
        <v>525</v>
      </c>
      <c r="K50" s="165">
        <v>0</v>
      </c>
      <c r="L50" s="151" t="s">
        <v>314</v>
      </c>
      <c r="M50" s="151" t="s">
        <v>311</v>
      </c>
      <c r="N50" s="151" t="s">
        <v>316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312</v>
      </c>
      <c r="B51" s="151" t="s">
        <v>313</v>
      </c>
      <c r="C51" s="164" t="s">
        <v>526</v>
      </c>
      <c r="D51" s="164" t="s">
        <v>527</v>
      </c>
      <c r="E51" s="165">
        <v>1.9907407407407408E-3</v>
      </c>
      <c r="F51" s="151" t="s">
        <v>314</v>
      </c>
      <c r="G51" s="151" t="s">
        <v>311</v>
      </c>
      <c r="H51" s="151" t="s">
        <v>315</v>
      </c>
      <c r="I51" s="164" t="s">
        <v>528</v>
      </c>
      <c r="J51" s="164" t="s">
        <v>529</v>
      </c>
      <c r="K51" s="165">
        <v>1.4930555555555556E-3</v>
      </c>
      <c r="L51" s="151" t="s">
        <v>314</v>
      </c>
      <c r="M51" s="151" t="s">
        <v>311</v>
      </c>
      <c r="N51" s="151" t="s">
        <v>316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312</v>
      </c>
      <c r="B52" s="151" t="s">
        <v>313</v>
      </c>
      <c r="C52" s="164" t="s">
        <v>530</v>
      </c>
      <c r="D52" s="164" t="s">
        <v>531</v>
      </c>
      <c r="E52" s="165">
        <v>2.0949074074074073E-3</v>
      </c>
      <c r="F52" s="151" t="s">
        <v>314</v>
      </c>
      <c r="G52" s="151" t="s">
        <v>311</v>
      </c>
      <c r="H52" s="151" t="s">
        <v>315</v>
      </c>
      <c r="I52" s="164" t="s">
        <v>532</v>
      </c>
      <c r="J52" s="164" t="s">
        <v>533</v>
      </c>
      <c r="K52" s="165">
        <v>3.9351851851851852E-4</v>
      </c>
      <c r="L52" s="151" t="s">
        <v>314</v>
      </c>
      <c r="M52" s="151" t="s">
        <v>311</v>
      </c>
      <c r="N52" s="151" t="s">
        <v>316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312</v>
      </c>
      <c r="B53" s="151" t="s">
        <v>313</v>
      </c>
      <c r="C53" s="164" t="s">
        <v>534</v>
      </c>
      <c r="D53" s="164" t="s">
        <v>535</v>
      </c>
      <c r="E53" s="165">
        <v>2.1990740740740742E-3</v>
      </c>
      <c r="F53" s="151" t="s">
        <v>314</v>
      </c>
      <c r="G53" s="151" t="s">
        <v>311</v>
      </c>
      <c r="H53" s="151" t="s">
        <v>315</v>
      </c>
      <c r="I53" s="164" t="s">
        <v>536</v>
      </c>
      <c r="J53" s="164" t="s">
        <v>537</v>
      </c>
      <c r="K53" s="165">
        <v>3.8194444444444446E-4</v>
      </c>
      <c r="L53" s="151" t="s">
        <v>314</v>
      </c>
      <c r="M53" s="151" t="s">
        <v>311</v>
      </c>
      <c r="N53" s="151" t="s">
        <v>316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312</v>
      </c>
      <c r="B54" s="151" t="s">
        <v>313</v>
      </c>
      <c r="C54" s="164" t="s">
        <v>538</v>
      </c>
      <c r="D54" s="164" t="s">
        <v>539</v>
      </c>
      <c r="E54" s="165">
        <v>2.4189814814814816E-3</v>
      </c>
      <c r="F54" s="151" t="s">
        <v>314</v>
      </c>
      <c r="G54" s="151" t="s">
        <v>311</v>
      </c>
      <c r="H54" s="151" t="s">
        <v>315</v>
      </c>
      <c r="I54" s="164" t="s">
        <v>540</v>
      </c>
      <c r="J54" s="164" t="s">
        <v>541</v>
      </c>
      <c r="K54" s="165">
        <v>3.8194444444444446E-4</v>
      </c>
      <c r="L54" s="151" t="s">
        <v>314</v>
      </c>
      <c r="M54" s="151" t="s">
        <v>311</v>
      </c>
      <c r="N54" s="151" t="s">
        <v>316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312</v>
      </c>
      <c r="B55" s="151" t="s">
        <v>313</v>
      </c>
      <c r="C55" s="164" t="s">
        <v>542</v>
      </c>
      <c r="D55" s="164" t="s">
        <v>543</v>
      </c>
      <c r="E55" s="165">
        <v>1.9212962962962964E-3</v>
      </c>
      <c r="F55" s="151" t="s">
        <v>314</v>
      </c>
      <c r="G55" s="151" t="s">
        <v>311</v>
      </c>
      <c r="H55" s="151" t="s">
        <v>315</v>
      </c>
      <c r="I55" s="164" t="s">
        <v>544</v>
      </c>
      <c r="J55" s="164" t="s">
        <v>545</v>
      </c>
      <c r="K55" s="165">
        <v>4.0509259259259258E-4</v>
      </c>
      <c r="L55" s="151" t="s">
        <v>314</v>
      </c>
      <c r="M55" s="151" t="s">
        <v>311</v>
      </c>
      <c r="N55" s="151" t="s">
        <v>316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312</v>
      </c>
      <c r="B56" s="151" t="s">
        <v>313</v>
      </c>
      <c r="C56" s="164" t="s">
        <v>546</v>
      </c>
      <c r="D56" s="164" t="s">
        <v>547</v>
      </c>
      <c r="E56" s="165">
        <v>2.4652777777777776E-3</v>
      </c>
      <c r="F56" s="151" t="s">
        <v>314</v>
      </c>
      <c r="G56" s="151" t="s">
        <v>311</v>
      </c>
      <c r="H56" s="151" t="s">
        <v>315</v>
      </c>
      <c r="I56" s="164" t="s">
        <v>548</v>
      </c>
      <c r="J56" s="164" t="s">
        <v>549</v>
      </c>
      <c r="K56" s="165">
        <v>4.5138888888888887E-4</v>
      </c>
      <c r="L56" s="151" t="s">
        <v>314</v>
      </c>
      <c r="M56" s="151" t="s">
        <v>311</v>
      </c>
      <c r="N56" s="151" t="s">
        <v>316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312</v>
      </c>
      <c r="B57" s="151" t="s">
        <v>313</v>
      </c>
      <c r="C57" s="164" t="s">
        <v>550</v>
      </c>
      <c r="D57" s="164" t="s">
        <v>551</v>
      </c>
      <c r="E57" s="165">
        <v>1.7592592592592592E-3</v>
      </c>
      <c r="F57" s="151" t="s">
        <v>314</v>
      </c>
      <c r="G57" s="151" t="s">
        <v>311</v>
      </c>
      <c r="H57" s="151" t="s">
        <v>315</v>
      </c>
      <c r="I57" s="164" t="s">
        <v>552</v>
      </c>
      <c r="J57" s="164" t="s">
        <v>553</v>
      </c>
      <c r="K57" s="165">
        <v>4.3981481481481481E-4</v>
      </c>
      <c r="L57" s="151" t="s">
        <v>314</v>
      </c>
      <c r="M57" s="151" t="s">
        <v>311</v>
      </c>
      <c r="N57" s="151" t="s">
        <v>316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312</v>
      </c>
      <c r="B58" s="151" t="s">
        <v>313</v>
      </c>
      <c r="C58" s="164" t="s">
        <v>554</v>
      </c>
      <c r="D58" s="164" t="s">
        <v>555</v>
      </c>
      <c r="E58" s="165">
        <v>1.5625000000000001E-3</v>
      </c>
      <c r="F58" s="151" t="s">
        <v>314</v>
      </c>
      <c r="G58" s="151" t="s">
        <v>311</v>
      </c>
      <c r="H58" s="151" t="s">
        <v>315</v>
      </c>
      <c r="I58" s="164" t="s">
        <v>556</v>
      </c>
      <c r="J58" s="164" t="s">
        <v>557</v>
      </c>
      <c r="K58" s="165">
        <v>4.2824074074074075E-4</v>
      </c>
      <c r="L58" s="151" t="s">
        <v>314</v>
      </c>
      <c r="M58" s="151" t="s">
        <v>311</v>
      </c>
      <c r="N58" s="151" t="s">
        <v>316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312</v>
      </c>
      <c r="B59" s="151" t="s">
        <v>313</v>
      </c>
      <c r="C59" s="164" t="s">
        <v>558</v>
      </c>
      <c r="D59" s="164" t="s">
        <v>559</v>
      </c>
      <c r="E59" s="165">
        <v>1.8055555555555555E-3</v>
      </c>
      <c r="F59" s="151" t="s">
        <v>314</v>
      </c>
      <c r="G59" s="151" t="s">
        <v>311</v>
      </c>
      <c r="H59" s="151" t="s">
        <v>315</v>
      </c>
      <c r="I59" s="164" t="s">
        <v>560</v>
      </c>
      <c r="J59" s="164" t="s">
        <v>561</v>
      </c>
      <c r="K59" s="165">
        <v>4.0509259259259258E-4</v>
      </c>
      <c r="L59" s="151" t="s">
        <v>314</v>
      </c>
      <c r="M59" s="151" t="s">
        <v>311</v>
      </c>
      <c r="N59" s="151" t="s">
        <v>316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312</v>
      </c>
      <c r="B60" s="151" t="s">
        <v>313</v>
      </c>
      <c r="C60" s="164" t="s">
        <v>562</v>
      </c>
      <c r="D60" s="164" t="s">
        <v>563</v>
      </c>
      <c r="E60" s="165">
        <v>1.8865740740740742E-3</v>
      </c>
      <c r="F60" s="151" t="s">
        <v>314</v>
      </c>
      <c r="G60" s="151" t="s">
        <v>311</v>
      </c>
      <c r="H60" s="151" t="s">
        <v>315</v>
      </c>
      <c r="J60" s="164" t="s">
        <v>564</v>
      </c>
      <c r="K60" s="165">
        <v>0</v>
      </c>
      <c r="L60" s="151" t="s">
        <v>314</v>
      </c>
      <c r="M60" s="151" t="s">
        <v>311</v>
      </c>
      <c r="N60" s="151" t="s">
        <v>316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312</v>
      </c>
      <c r="B61" s="151" t="s">
        <v>313</v>
      </c>
      <c r="C61" s="164" t="s">
        <v>565</v>
      </c>
      <c r="D61" s="164" t="s">
        <v>566</v>
      </c>
      <c r="E61" s="165">
        <v>2.0949074074074073E-3</v>
      </c>
      <c r="F61" s="151" t="s">
        <v>314</v>
      </c>
      <c r="G61" s="151" t="s">
        <v>311</v>
      </c>
      <c r="H61" s="151" t="s">
        <v>315</v>
      </c>
      <c r="I61" s="164" t="s">
        <v>567</v>
      </c>
      <c r="J61" s="164" t="s">
        <v>568</v>
      </c>
      <c r="K61" s="165">
        <v>4.0509259259259258E-4</v>
      </c>
      <c r="L61" s="151" t="s">
        <v>314</v>
      </c>
      <c r="M61" s="151" t="s">
        <v>311</v>
      </c>
      <c r="N61" s="151" t="s">
        <v>316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312</v>
      </c>
      <c r="B62" s="151" t="s">
        <v>313</v>
      </c>
      <c r="C62" s="164" t="s">
        <v>569</v>
      </c>
      <c r="D62" s="164" t="s">
        <v>570</v>
      </c>
      <c r="E62" s="165">
        <v>2.1064814814814813E-3</v>
      </c>
      <c r="F62" s="151" t="s">
        <v>314</v>
      </c>
      <c r="G62" s="151" t="s">
        <v>311</v>
      </c>
      <c r="H62" s="151" t="s">
        <v>315</v>
      </c>
      <c r="I62" s="164" t="s">
        <v>571</v>
      </c>
      <c r="J62" s="164" t="s">
        <v>572</v>
      </c>
      <c r="K62" s="165">
        <v>4.2824074074074075E-4</v>
      </c>
      <c r="L62" s="151" t="s">
        <v>314</v>
      </c>
      <c r="M62" s="151" t="s">
        <v>311</v>
      </c>
      <c r="N62" s="151" t="s">
        <v>316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312</v>
      </c>
      <c r="B63" s="151" t="s">
        <v>313</v>
      </c>
      <c r="C63" s="164" t="s">
        <v>573</v>
      </c>
      <c r="D63" s="164" t="s">
        <v>574</v>
      </c>
      <c r="E63" s="165">
        <v>1.8865740740740742E-3</v>
      </c>
      <c r="F63" s="151" t="s">
        <v>314</v>
      </c>
      <c r="G63" s="151" t="s">
        <v>311</v>
      </c>
      <c r="H63" s="151" t="s">
        <v>315</v>
      </c>
      <c r="I63" s="164" t="s">
        <v>575</v>
      </c>
      <c r="J63" s="164" t="s">
        <v>576</v>
      </c>
      <c r="K63" s="165">
        <v>4.1666666666666669E-4</v>
      </c>
      <c r="L63" s="151" t="s">
        <v>314</v>
      </c>
      <c r="M63" s="151" t="s">
        <v>311</v>
      </c>
      <c r="N63" s="151" t="s">
        <v>316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312</v>
      </c>
      <c r="B64" s="151" t="s">
        <v>313</v>
      </c>
      <c r="C64" s="164" t="s">
        <v>577</v>
      </c>
      <c r="D64" s="164" t="s">
        <v>578</v>
      </c>
      <c r="E64" s="165">
        <v>1.8518518518518519E-3</v>
      </c>
      <c r="F64" s="151" t="s">
        <v>314</v>
      </c>
      <c r="G64" s="151" t="s">
        <v>311</v>
      </c>
      <c r="H64" s="151" t="s">
        <v>315</v>
      </c>
      <c r="I64" s="164" t="s">
        <v>579</v>
      </c>
      <c r="J64" s="164" t="s">
        <v>580</v>
      </c>
      <c r="K64" s="165">
        <v>4.0509259259259258E-4</v>
      </c>
      <c r="L64" s="151" t="s">
        <v>314</v>
      </c>
      <c r="M64" s="151" t="s">
        <v>311</v>
      </c>
      <c r="N64" s="151" t="s">
        <v>316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312</v>
      </c>
      <c r="B65" s="151" t="s">
        <v>313</v>
      </c>
      <c r="C65" s="164" t="s">
        <v>581</v>
      </c>
      <c r="D65" s="164" t="s">
        <v>582</v>
      </c>
      <c r="E65" s="165">
        <v>2.0023148148148148E-3</v>
      </c>
      <c r="F65" s="151" t="s">
        <v>314</v>
      </c>
      <c r="G65" s="151" t="s">
        <v>311</v>
      </c>
      <c r="H65" s="151" t="s">
        <v>315</v>
      </c>
      <c r="I65" s="164" t="s">
        <v>583</v>
      </c>
      <c r="J65" s="164" t="s">
        <v>584</v>
      </c>
      <c r="K65" s="165">
        <v>4.2824074074074075E-4</v>
      </c>
      <c r="L65" s="151" t="s">
        <v>314</v>
      </c>
      <c r="M65" s="151" t="s">
        <v>311</v>
      </c>
      <c r="N65" s="151" t="s">
        <v>316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312</v>
      </c>
      <c r="B66" s="151" t="s">
        <v>313</v>
      </c>
      <c r="C66" s="164" t="s">
        <v>585</v>
      </c>
      <c r="D66" s="164" t="s">
        <v>586</v>
      </c>
      <c r="E66" s="165">
        <v>2.4305555555555556E-3</v>
      </c>
      <c r="F66" s="151" t="s">
        <v>314</v>
      </c>
      <c r="G66" s="151" t="s">
        <v>311</v>
      </c>
      <c r="H66" s="151" t="s">
        <v>315</v>
      </c>
      <c r="I66" s="164" t="s">
        <v>587</v>
      </c>
      <c r="J66" s="164" t="s">
        <v>588</v>
      </c>
      <c r="K66" s="165">
        <v>4.3981481481481481E-4</v>
      </c>
      <c r="L66" s="151" t="s">
        <v>314</v>
      </c>
      <c r="M66" s="151" t="s">
        <v>311</v>
      </c>
      <c r="N66" s="151" t="s">
        <v>316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312</v>
      </c>
      <c r="B67" s="151" t="s">
        <v>313</v>
      </c>
      <c r="C67" s="164" t="s">
        <v>589</v>
      </c>
      <c r="D67" s="164" t="s">
        <v>590</v>
      </c>
      <c r="E67" s="165">
        <v>1.4699074074074074E-3</v>
      </c>
      <c r="F67" s="151" t="s">
        <v>314</v>
      </c>
      <c r="G67" s="151" t="s">
        <v>311</v>
      </c>
      <c r="H67" s="151" t="s">
        <v>315</v>
      </c>
      <c r="I67" s="164" t="s">
        <v>591</v>
      </c>
      <c r="J67" s="164" t="s">
        <v>592</v>
      </c>
      <c r="K67" s="165">
        <v>4.2824074074074075E-4</v>
      </c>
      <c r="L67" s="151" t="s">
        <v>314</v>
      </c>
      <c r="M67" s="151" t="s">
        <v>311</v>
      </c>
      <c r="N67" s="151" t="s">
        <v>316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312</v>
      </c>
      <c r="B68" s="151" t="s">
        <v>313</v>
      </c>
      <c r="C68" s="164" t="s">
        <v>593</v>
      </c>
      <c r="D68" s="164" t="s">
        <v>594</v>
      </c>
      <c r="E68" s="165">
        <v>1.736111111111111E-3</v>
      </c>
      <c r="F68" s="151" t="s">
        <v>314</v>
      </c>
      <c r="G68" s="151" t="s">
        <v>311</v>
      </c>
      <c r="H68" s="151" t="s">
        <v>315</v>
      </c>
      <c r="I68" s="164" t="s">
        <v>595</v>
      </c>
      <c r="J68" s="164" t="s">
        <v>596</v>
      </c>
      <c r="K68" s="165">
        <v>4.2824074074074075E-4</v>
      </c>
      <c r="L68" s="151" t="s">
        <v>314</v>
      </c>
      <c r="M68" s="151" t="s">
        <v>311</v>
      </c>
      <c r="N68" s="151" t="s">
        <v>316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312</v>
      </c>
      <c r="B69" s="151" t="s">
        <v>313</v>
      </c>
      <c r="C69" s="164" t="s">
        <v>597</v>
      </c>
      <c r="D69" s="164" t="s">
        <v>598</v>
      </c>
      <c r="E69" s="165">
        <v>1.4583333333333334E-3</v>
      </c>
      <c r="F69" s="151" t="s">
        <v>314</v>
      </c>
      <c r="G69" s="151" t="s">
        <v>311</v>
      </c>
      <c r="H69" s="151" t="s">
        <v>315</v>
      </c>
      <c r="I69" s="164" t="s">
        <v>599</v>
      </c>
      <c r="J69" s="164" t="s">
        <v>600</v>
      </c>
      <c r="K69" s="165">
        <v>4.2824074074074075E-4</v>
      </c>
      <c r="L69" s="151" t="s">
        <v>314</v>
      </c>
      <c r="M69" s="151" t="s">
        <v>311</v>
      </c>
      <c r="N69" s="151" t="s">
        <v>316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312</v>
      </c>
      <c r="B70" s="151" t="s">
        <v>313</v>
      </c>
      <c r="C70" s="164" t="s">
        <v>601</v>
      </c>
      <c r="D70" s="164" t="s">
        <v>602</v>
      </c>
      <c r="E70" s="165">
        <v>2.0486111111111113E-3</v>
      </c>
      <c r="F70" s="151" t="s">
        <v>314</v>
      </c>
      <c r="G70" s="151" t="s">
        <v>311</v>
      </c>
      <c r="H70" s="151" t="s">
        <v>315</v>
      </c>
      <c r="I70" s="164" t="s">
        <v>603</v>
      </c>
      <c r="J70" s="164" t="s">
        <v>604</v>
      </c>
      <c r="K70" s="165">
        <v>4.2824074074074075E-4</v>
      </c>
      <c r="L70" s="151" t="s">
        <v>314</v>
      </c>
      <c r="M70" s="151" t="s">
        <v>311</v>
      </c>
      <c r="N70" s="151" t="s">
        <v>316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312</v>
      </c>
      <c r="B71" s="151" t="s">
        <v>313</v>
      </c>
      <c r="C71" s="164" t="s">
        <v>605</v>
      </c>
      <c r="D71" s="164" t="s">
        <v>606</v>
      </c>
      <c r="E71" s="165">
        <v>2.0023148148148148E-3</v>
      </c>
      <c r="F71" s="151" t="s">
        <v>314</v>
      </c>
      <c r="G71" s="151" t="s">
        <v>311</v>
      </c>
      <c r="H71" s="151" t="s">
        <v>315</v>
      </c>
      <c r="I71" s="164" t="s">
        <v>607</v>
      </c>
      <c r="J71" s="164" t="s">
        <v>608</v>
      </c>
      <c r="K71" s="165">
        <v>4.0509259259259258E-4</v>
      </c>
      <c r="L71" s="151" t="s">
        <v>314</v>
      </c>
      <c r="M71" s="151" t="s">
        <v>311</v>
      </c>
      <c r="N71" s="151" t="s">
        <v>316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312</v>
      </c>
      <c r="B72" s="151" t="s">
        <v>313</v>
      </c>
      <c r="C72" s="164" t="s">
        <v>609</v>
      </c>
      <c r="D72" s="164" t="s">
        <v>610</v>
      </c>
      <c r="E72" s="165">
        <v>1.8749999999999999E-3</v>
      </c>
      <c r="F72" s="151" t="s">
        <v>314</v>
      </c>
      <c r="G72" s="151" t="s">
        <v>311</v>
      </c>
      <c r="H72" s="151" t="s">
        <v>315</v>
      </c>
      <c r="I72" s="164" t="s">
        <v>611</v>
      </c>
      <c r="J72" s="164" t="s">
        <v>612</v>
      </c>
      <c r="K72" s="165">
        <v>4.861111111111111E-4</v>
      </c>
      <c r="L72" s="151" t="s">
        <v>314</v>
      </c>
      <c r="M72" s="151" t="s">
        <v>311</v>
      </c>
      <c r="N72" s="151" t="s">
        <v>316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312</v>
      </c>
      <c r="B73" s="151" t="s">
        <v>313</v>
      </c>
      <c r="C73" s="164" t="s">
        <v>613</v>
      </c>
      <c r="D73" s="164" t="s">
        <v>614</v>
      </c>
      <c r="E73" s="165">
        <v>2.5115740740740741E-3</v>
      </c>
      <c r="F73" s="151" t="s">
        <v>314</v>
      </c>
      <c r="G73" s="151" t="s">
        <v>311</v>
      </c>
      <c r="H73" s="151" t="s">
        <v>315</v>
      </c>
      <c r="I73" s="164" t="s">
        <v>615</v>
      </c>
      <c r="J73" s="164" t="s">
        <v>616</v>
      </c>
      <c r="K73" s="165">
        <v>4.6296296296296294E-5</v>
      </c>
      <c r="L73" s="151" t="s">
        <v>314</v>
      </c>
      <c r="M73" s="151" t="s">
        <v>311</v>
      </c>
      <c r="N73" s="151" t="s">
        <v>316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312</v>
      </c>
      <c r="B74" s="151" t="s">
        <v>313</v>
      </c>
      <c r="C74" s="164" t="s">
        <v>617</v>
      </c>
      <c r="D74" s="164" t="s">
        <v>618</v>
      </c>
      <c r="E74" s="165">
        <v>5.2083333333333333E-4</v>
      </c>
      <c r="F74" s="151" t="s">
        <v>314</v>
      </c>
      <c r="G74" s="151" t="s">
        <v>311</v>
      </c>
      <c r="H74" s="151" t="s">
        <v>315</v>
      </c>
      <c r="I74" s="164" t="s">
        <v>619</v>
      </c>
      <c r="J74" s="164" t="s">
        <v>620</v>
      </c>
      <c r="K74" s="165">
        <v>4.5138888888888887E-4</v>
      </c>
      <c r="L74" s="151" t="s">
        <v>314</v>
      </c>
      <c r="M74" s="151" t="s">
        <v>311</v>
      </c>
      <c r="N74" s="151" t="s">
        <v>316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312</v>
      </c>
      <c r="B75" s="151" t="s">
        <v>313</v>
      </c>
      <c r="C75" s="164" t="s">
        <v>621</v>
      </c>
      <c r="D75" s="164" t="s">
        <v>622</v>
      </c>
      <c r="E75" s="165">
        <v>1.1458333333333333E-3</v>
      </c>
      <c r="F75" s="151" t="s">
        <v>314</v>
      </c>
      <c r="G75" s="151" t="s">
        <v>311</v>
      </c>
      <c r="H75" s="151" t="s">
        <v>315</v>
      </c>
      <c r="I75" s="164" t="s">
        <v>623</v>
      </c>
      <c r="J75" s="164" t="s">
        <v>624</v>
      </c>
      <c r="K75" s="165">
        <v>3.8194444444444446E-4</v>
      </c>
      <c r="L75" s="151" t="s">
        <v>314</v>
      </c>
      <c r="M75" s="151" t="s">
        <v>311</v>
      </c>
      <c r="N75" s="151" t="s">
        <v>316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312</v>
      </c>
      <c r="B76" s="151" t="s">
        <v>313</v>
      </c>
      <c r="C76" s="164" t="s">
        <v>625</v>
      </c>
      <c r="D76" s="164" t="s">
        <v>626</v>
      </c>
      <c r="E76" s="165">
        <v>2.1527777777777778E-3</v>
      </c>
      <c r="F76" s="151" t="s">
        <v>314</v>
      </c>
      <c r="G76" s="151" t="s">
        <v>311</v>
      </c>
      <c r="H76" s="151" t="s">
        <v>315</v>
      </c>
      <c r="I76" s="164" t="s">
        <v>627</v>
      </c>
      <c r="J76" s="164" t="s">
        <v>628</v>
      </c>
      <c r="K76" s="165">
        <v>4.0509259259259258E-4</v>
      </c>
      <c r="L76" s="151" t="s">
        <v>314</v>
      </c>
      <c r="M76" s="151" t="s">
        <v>311</v>
      </c>
      <c r="N76" s="151" t="s">
        <v>316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312</v>
      </c>
      <c r="B77" s="151" t="s">
        <v>313</v>
      </c>
      <c r="C77" s="164" t="s">
        <v>629</v>
      </c>
      <c r="D77" s="164" t="s">
        <v>630</v>
      </c>
      <c r="E77" s="165">
        <v>1.4814814814814814E-3</v>
      </c>
      <c r="F77" s="151" t="s">
        <v>314</v>
      </c>
      <c r="G77" s="151" t="s">
        <v>311</v>
      </c>
      <c r="H77" s="151" t="s">
        <v>315</v>
      </c>
      <c r="I77" s="164" t="s">
        <v>631</v>
      </c>
      <c r="J77" s="164" t="s">
        <v>632</v>
      </c>
      <c r="K77" s="165">
        <v>3.8194444444444446E-4</v>
      </c>
      <c r="L77" s="151" t="s">
        <v>314</v>
      </c>
      <c r="M77" s="151" t="s">
        <v>311</v>
      </c>
      <c r="N77" s="151" t="s">
        <v>316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312</v>
      </c>
      <c r="B78" s="151" t="s">
        <v>313</v>
      </c>
      <c r="C78" s="164" t="s">
        <v>633</v>
      </c>
      <c r="D78" s="164" t="s">
        <v>634</v>
      </c>
      <c r="E78" s="165">
        <v>1.4699074074074074E-3</v>
      </c>
      <c r="F78" s="151" t="s">
        <v>314</v>
      </c>
      <c r="G78" s="151" t="s">
        <v>311</v>
      </c>
      <c r="H78" s="151" t="s">
        <v>315</v>
      </c>
      <c r="I78" s="164" t="s">
        <v>635</v>
      </c>
      <c r="J78" s="164" t="s">
        <v>636</v>
      </c>
      <c r="K78" s="165">
        <v>1.5046296296296297E-4</v>
      </c>
      <c r="L78" s="151" t="s">
        <v>314</v>
      </c>
      <c r="M78" s="151" t="s">
        <v>311</v>
      </c>
      <c r="N78" s="151" t="s">
        <v>316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312</v>
      </c>
      <c r="B79" s="151" t="s">
        <v>313</v>
      </c>
      <c r="C79" s="164" t="s">
        <v>637</v>
      </c>
      <c r="D79" s="164" t="s">
        <v>638</v>
      </c>
      <c r="E79" s="165">
        <v>1.8981481481481482E-3</v>
      </c>
      <c r="F79" s="151" t="s">
        <v>314</v>
      </c>
      <c r="G79" s="151" t="s">
        <v>311</v>
      </c>
      <c r="H79" s="151" t="s">
        <v>315</v>
      </c>
      <c r="I79" s="164" t="s">
        <v>639</v>
      </c>
      <c r="J79" s="164" t="s">
        <v>640</v>
      </c>
      <c r="K79" s="165">
        <v>3.7037037037037035E-4</v>
      </c>
      <c r="L79" s="151" t="s">
        <v>314</v>
      </c>
      <c r="M79" s="151" t="s">
        <v>311</v>
      </c>
      <c r="N79" s="151" t="s">
        <v>316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312</v>
      </c>
      <c r="B80" s="151" t="s">
        <v>313</v>
      </c>
      <c r="C80" s="164" t="s">
        <v>641</v>
      </c>
      <c r="D80" s="164" t="s">
        <v>642</v>
      </c>
      <c r="E80" s="165">
        <v>1.8171296296296297E-3</v>
      </c>
      <c r="F80" s="151" t="s">
        <v>314</v>
      </c>
      <c r="G80" s="151" t="s">
        <v>311</v>
      </c>
      <c r="H80" s="151" t="s">
        <v>315</v>
      </c>
      <c r="I80" s="164" t="s">
        <v>643</v>
      </c>
      <c r="J80" s="164" t="s">
        <v>644</v>
      </c>
      <c r="K80" s="165">
        <v>3.8194444444444446E-4</v>
      </c>
      <c r="L80" s="151" t="s">
        <v>314</v>
      </c>
      <c r="M80" s="151" t="s">
        <v>311</v>
      </c>
      <c r="N80" s="151" t="s">
        <v>316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312</v>
      </c>
      <c r="B81" s="151" t="s">
        <v>313</v>
      </c>
      <c r="C81" s="164" t="s">
        <v>645</v>
      </c>
      <c r="D81" s="164" t="s">
        <v>646</v>
      </c>
      <c r="E81" s="165">
        <v>1.9675925925925924E-3</v>
      </c>
      <c r="F81" s="151" t="s">
        <v>314</v>
      </c>
      <c r="G81" s="151" t="s">
        <v>311</v>
      </c>
      <c r="H81" s="151" t="s">
        <v>315</v>
      </c>
      <c r="I81" s="164" t="s">
        <v>647</v>
      </c>
      <c r="J81" s="164" t="s">
        <v>648</v>
      </c>
      <c r="K81" s="165">
        <v>4.1666666666666669E-4</v>
      </c>
      <c r="L81" s="151" t="s">
        <v>314</v>
      </c>
      <c r="M81" s="151" t="s">
        <v>311</v>
      </c>
      <c r="N81" s="151" t="s">
        <v>316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312</v>
      </c>
      <c r="B82" s="151" t="s">
        <v>313</v>
      </c>
      <c r="C82" s="164" t="s">
        <v>649</v>
      </c>
      <c r="D82" s="164" t="s">
        <v>650</v>
      </c>
      <c r="E82" s="165">
        <v>1.6898148148148148E-3</v>
      </c>
      <c r="F82" s="151" t="s">
        <v>314</v>
      </c>
      <c r="G82" s="151" t="s">
        <v>311</v>
      </c>
      <c r="H82" s="151" t="s">
        <v>315</v>
      </c>
      <c r="I82" s="164" t="s">
        <v>651</v>
      </c>
      <c r="J82" s="164" t="s">
        <v>652</v>
      </c>
      <c r="K82" s="165">
        <v>4.1666666666666669E-4</v>
      </c>
      <c r="L82" s="151" t="s">
        <v>314</v>
      </c>
      <c r="M82" s="151" t="s">
        <v>311</v>
      </c>
      <c r="N82" s="151" t="s">
        <v>316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312</v>
      </c>
      <c r="B83" s="151" t="s">
        <v>313</v>
      </c>
      <c r="C83" s="164" t="s">
        <v>653</v>
      </c>
      <c r="D83" s="164" t="s">
        <v>654</v>
      </c>
      <c r="E83" s="165">
        <v>2.476851851851852E-3</v>
      </c>
      <c r="F83" s="151" t="s">
        <v>314</v>
      </c>
      <c r="G83" s="151" t="s">
        <v>311</v>
      </c>
      <c r="H83" s="151" t="s">
        <v>315</v>
      </c>
      <c r="I83" s="164" t="s">
        <v>655</v>
      </c>
      <c r="J83" s="164" t="s">
        <v>656</v>
      </c>
      <c r="K83" s="165">
        <v>3.9351851851851852E-4</v>
      </c>
      <c r="L83" s="151" t="s">
        <v>314</v>
      </c>
      <c r="M83" s="151" t="s">
        <v>311</v>
      </c>
      <c r="N83" s="151" t="s">
        <v>316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312</v>
      </c>
      <c r="B84" s="151" t="s">
        <v>313</v>
      </c>
      <c r="C84" s="164" t="s">
        <v>657</v>
      </c>
      <c r="D84" s="164" t="s">
        <v>658</v>
      </c>
      <c r="E84" s="165">
        <v>1.8981481481481482E-3</v>
      </c>
      <c r="F84" s="151" t="s">
        <v>314</v>
      </c>
      <c r="G84" s="151" t="s">
        <v>311</v>
      </c>
      <c r="H84" s="151" t="s">
        <v>315</v>
      </c>
      <c r="I84" s="164" t="s">
        <v>659</v>
      </c>
      <c r="J84" s="164" t="s">
        <v>660</v>
      </c>
      <c r="K84" s="165">
        <v>3.8194444444444446E-4</v>
      </c>
      <c r="L84" s="151" t="s">
        <v>314</v>
      </c>
      <c r="M84" s="151" t="s">
        <v>311</v>
      </c>
      <c r="N84" s="151" t="s">
        <v>316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312</v>
      </c>
      <c r="B85" s="151" t="s">
        <v>313</v>
      </c>
      <c r="C85" s="164" t="s">
        <v>661</v>
      </c>
      <c r="D85" s="164" t="s">
        <v>662</v>
      </c>
      <c r="E85" s="165">
        <v>1.9560185185185184E-3</v>
      </c>
      <c r="F85" s="151" t="s">
        <v>314</v>
      </c>
      <c r="G85" s="151" t="s">
        <v>311</v>
      </c>
      <c r="H85" s="151" t="s">
        <v>315</v>
      </c>
      <c r="I85" s="164" t="s">
        <v>663</v>
      </c>
      <c r="J85" s="164" t="s">
        <v>664</v>
      </c>
      <c r="K85" s="165">
        <v>4.0509259259259258E-4</v>
      </c>
      <c r="L85" s="151" t="s">
        <v>314</v>
      </c>
      <c r="M85" s="151" t="s">
        <v>311</v>
      </c>
      <c r="N85" s="151" t="s">
        <v>316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312</v>
      </c>
      <c r="B86" s="151" t="s">
        <v>313</v>
      </c>
      <c r="C86" s="164" t="s">
        <v>665</v>
      </c>
      <c r="D86" s="164" t="s">
        <v>666</v>
      </c>
      <c r="E86" s="165">
        <v>1.6203703703703703E-3</v>
      </c>
      <c r="F86" s="151" t="s">
        <v>314</v>
      </c>
      <c r="G86" s="151" t="s">
        <v>311</v>
      </c>
      <c r="H86" s="151" t="s">
        <v>315</v>
      </c>
      <c r="I86" s="164" t="s">
        <v>667</v>
      </c>
      <c r="J86" s="164" t="s">
        <v>668</v>
      </c>
      <c r="K86" s="165">
        <v>3.9351851851851852E-4</v>
      </c>
      <c r="L86" s="151" t="s">
        <v>314</v>
      </c>
      <c r="M86" s="151" t="s">
        <v>311</v>
      </c>
      <c r="N86" s="151" t="s">
        <v>316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312</v>
      </c>
      <c r="B87" s="151" t="s">
        <v>313</v>
      </c>
      <c r="C87" s="164" t="s">
        <v>669</v>
      </c>
      <c r="D87" s="164" t="s">
        <v>670</v>
      </c>
      <c r="E87" s="165">
        <v>1.8518518518518519E-3</v>
      </c>
      <c r="F87" s="151" t="s">
        <v>314</v>
      </c>
      <c r="G87" s="151" t="s">
        <v>311</v>
      </c>
      <c r="H87" s="151" t="s">
        <v>315</v>
      </c>
      <c r="I87" s="164" t="s">
        <v>671</v>
      </c>
      <c r="J87" s="164" t="s">
        <v>672</v>
      </c>
      <c r="K87" s="165">
        <v>1.1574074074074073E-3</v>
      </c>
      <c r="L87" s="151" t="s">
        <v>314</v>
      </c>
      <c r="M87" s="151" t="s">
        <v>311</v>
      </c>
      <c r="N87" s="151" t="s">
        <v>316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312</v>
      </c>
      <c r="B88" s="151" t="s">
        <v>313</v>
      </c>
      <c r="C88" s="164" t="s">
        <v>673</v>
      </c>
      <c r="D88" s="164" t="s">
        <v>674</v>
      </c>
      <c r="E88" s="165">
        <v>1.5046296296296296E-3</v>
      </c>
      <c r="F88" s="151" t="s">
        <v>314</v>
      </c>
      <c r="G88" s="151" t="s">
        <v>311</v>
      </c>
      <c r="H88" s="151" t="s">
        <v>315</v>
      </c>
      <c r="I88" s="164" t="s">
        <v>675</v>
      </c>
      <c r="J88" s="164" t="s">
        <v>676</v>
      </c>
      <c r="K88" s="165">
        <v>3.9351851851851852E-4</v>
      </c>
      <c r="L88" s="151" t="s">
        <v>314</v>
      </c>
      <c r="M88" s="151" t="s">
        <v>311</v>
      </c>
      <c r="N88" s="151" t="s">
        <v>316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312</v>
      </c>
      <c r="B89" s="151" t="s">
        <v>313</v>
      </c>
      <c r="C89" s="164" t="s">
        <v>677</v>
      </c>
      <c r="D89" s="164" t="s">
        <v>678</v>
      </c>
      <c r="E89" s="165">
        <v>1.5046296296296296E-3</v>
      </c>
      <c r="F89" s="151" t="s">
        <v>314</v>
      </c>
      <c r="G89" s="151" t="s">
        <v>311</v>
      </c>
      <c r="H89" s="151" t="s">
        <v>315</v>
      </c>
      <c r="I89" s="164" t="s">
        <v>679</v>
      </c>
      <c r="J89" s="164" t="s">
        <v>680</v>
      </c>
      <c r="K89" s="165">
        <v>5.3240740740740744E-4</v>
      </c>
      <c r="L89" s="151" t="s">
        <v>314</v>
      </c>
      <c r="M89" s="151" t="s">
        <v>311</v>
      </c>
      <c r="N89" s="151" t="s">
        <v>316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312</v>
      </c>
      <c r="B90" s="151" t="s">
        <v>313</v>
      </c>
      <c r="C90" s="164" t="s">
        <v>681</v>
      </c>
      <c r="D90" s="164" t="s">
        <v>682</v>
      </c>
      <c r="E90" s="165">
        <v>9.3749999999999997E-4</v>
      </c>
      <c r="F90" s="151" t="s">
        <v>314</v>
      </c>
      <c r="G90" s="151" t="s">
        <v>311</v>
      </c>
      <c r="H90" s="151" t="s">
        <v>315</v>
      </c>
      <c r="I90" s="164" t="s">
        <v>683</v>
      </c>
      <c r="J90" s="164" t="s">
        <v>684</v>
      </c>
      <c r="K90" s="165">
        <v>5.4398148148148144E-4</v>
      </c>
      <c r="L90" s="151" t="s">
        <v>314</v>
      </c>
      <c r="M90" s="151" t="s">
        <v>311</v>
      </c>
      <c r="N90" s="151" t="s">
        <v>316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312</v>
      </c>
      <c r="B91" s="151" t="s">
        <v>313</v>
      </c>
      <c r="C91" s="164" t="s">
        <v>685</v>
      </c>
      <c r="D91" s="164" t="s">
        <v>686</v>
      </c>
      <c r="E91" s="165">
        <v>1.1226851851851851E-3</v>
      </c>
      <c r="F91" s="151" t="s">
        <v>314</v>
      </c>
      <c r="G91" s="151" t="s">
        <v>311</v>
      </c>
      <c r="H91" s="151" t="s">
        <v>315</v>
      </c>
      <c r="I91" s="164" t="s">
        <v>687</v>
      </c>
      <c r="J91" s="164" t="s">
        <v>688</v>
      </c>
      <c r="K91" s="165">
        <v>3.9351851851851852E-4</v>
      </c>
      <c r="L91" s="151" t="s">
        <v>314</v>
      </c>
      <c r="M91" s="151" t="s">
        <v>311</v>
      </c>
      <c r="N91" s="151" t="s">
        <v>316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317</v>
      </c>
      <c r="B92" s="151" t="s">
        <v>318</v>
      </c>
      <c r="C92" s="164" t="s">
        <v>689</v>
      </c>
      <c r="D92" s="164" t="s">
        <v>690</v>
      </c>
      <c r="E92" s="165">
        <v>1.1111111111111111E-3</v>
      </c>
      <c r="F92" s="151" t="s">
        <v>303</v>
      </c>
      <c r="H92" s="151" t="s">
        <v>304</v>
      </c>
      <c r="I92" s="164" t="s">
        <v>691</v>
      </c>
      <c r="J92" s="164" t="s">
        <v>692</v>
      </c>
      <c r="K92" s="165">
        <v>4.0509259259259258E-4</v>
      </c>
      <c r="L92" s="151" t="s">
        <v>305</v>
      </c>
      <c r="N92" s="151" t="s">
        <v>306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317</v>
      </c>
      <c r="B93" s="151" t="s">
        <v>318</v>
      </c>
      <c r="C93" s="164" t="s">
        <v>693</v>
      </c>
      <c r="D93" s="164" t="s">
        <v>694</v>
      </c>
      <c r="E93" s="165">
        <v>1.8171296296296297E-3</v>
      </c>
      <c r="F93" s="151" t="s">
        <v>303</v>
      </c>
      <c r="H93" s="151" t="s">
        <v>304</v>
      </c>
      <c r="I93" s="164" t="s">
        <v>695</v>
      </c>
      <c r="J93" s="164" t="s">
        <v>696</v>
      </c>
      <c r="K93" s="165">
        <v>3.4722222222222224E-4</v>
      </c>
      <c r="L93" s="151" t="s">
        <v>305</v>
      </c>
      <c r="N93" s="151" t="s">
        <v>306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317</v>
      </c>
      <c r="B94" s="151" t="s">
        <v>318</v>
      </c>
      <c r="C94" s="164" t="s">
        <v>697</v>
      </c>
      <c r="D94" s="164" t="s">
        <v>698</v>
      </c>
      <c r="E94" s="165">
        <v>1.5509259259259259E-3</v>
      </c>
      <c r="F94" s="151" t="s">
        <v>303</v>
      </c>
      <c r="H94" s="151" t="s">
        <v>304</v>
      </c>
      <c r="I94" s="164" t="s">
        <v>699</v>
      </c>
      <c r="J94" s="164" t="s">
        <v>700</v>
      </c>
      <c r="K94" s="165">
        <v>3.9351851851851852E-4</v>
      </c>
      <c r="L94" s="151" t="s">
        <v>305</v>
      </c>
      <c r="N94" s="151" t="s">
        <v>306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317</v>
      </c>
      <c r="B95" s="151" t="s">
        <v>318</v>
      </c>
      <c r="C95" s="164" t="s">
        <v>701</v>
      </c>
      <c r="D95" s="164" t="s">
        <v>702</v>
      </c>
      <c r="E95" s="165">
        <v>3.8773148148148148E-3</v>
      </c>
      <c r="F95" s="151" t="s">
        <v>303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309</v>
      </c>
      <c r="N95" s="151" t="s">
        <v>310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317</v>
      </c>
      <c r="B96" s="151" t="s">
        <v>318</v>
      </c>
      <c r="C96" s="164" t="s">
        <v>705</v>
      </c>
      <c r="D96" s="164" t="s">
        <v>706</v>
      </c>
      <c r="E96" s="165">
        <v>6.6319444444444446E-3</v>
      </c>
      <c r="F96" s="151" t="s">
        <v>303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309</v>
      </c>
      <c r="N96" s="151" t="s">
        <v>310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317</v>
      </c>
      <c r="B97" s="151" t="s">
        <v>318</v>
      </c>
      <c r="C97" s="164" t="s">
        <v>709</v>
      </c>
      <c r="D97" s="164" t="s">
        <v>710</v>
      </c>
      <c r="E97" s="165">
        <v>1.4930555555555556E-3</v>
      </c>
      <c r="F97" s="151" t="s">
        <v>303</v>
      </c>
      <c r="H97" s="151" t="s">
        <v>304</v>
      </c>
      <c r="I97" s="164" t="s">
        <v>711</v>
      </c>
      <c r="J97" s="164" t="s">
        <v>712</v>
      </c>
      <c r="K97" s="165">
        <v>3.9351851851851852E-4</v>
      </c>
      <c r="L97" s="151" t="s">
        <v>305</v>
      </c>
      <c r="N97" s="151" t="s">
        <v>306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317</v>
      </c>
      <c r="B98" s="151" t="s">
        <v>318</v>
      </c>
      <c r="C98" s="164" t="s">
        <v>713</v>
      </c>
      <c r="D98" s="164" t="s">
        <v>714</v>
      </c>
      <c r="E98" s="165">
        <v>1.2847222222222223E-3</v>
      </c>
      <c r="F98" s="151" t="s">
        <v>303</v>
      </c>
      <c r="H98" s="151" t="s">
        <v>304</v>
      </c>
      <c r="I98" s="164" t="s">
        <v>715</v>
      </c>
      <c r="J98" s="164" t="s">
        <v>716</v>
      </c>
      <c r="K98" s="165">
        <v>5.2083333333333333E-4</v>
      </c>
      <c r="L98" s="151" t="s">
        <v>305</v>
      </c>
      <c r="N98" s="151" t="s">
        <v>306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317</v>
      </c>
      <c r="B99" s="151" t="s">
        <v>318</v>
      </c>
      <c r="C99" s="164" t="s">
        <v>717</v>
      </c>
      <c r="D99" s="164" t="s">
        <v>718</v>
      </c>
      <c r="E99" s="165">
        <v>1.0995370370370371E-3</v>
      </c>
      <c r="F99" s="151" t="s">
        <v>303</v>
      </c>
      <c r="H99" s="151" t="s">
        <v>304</v>
      </c>
      <c r="I99" s="164" t="s">
        <v>719</v>
      </c>
      <c r="J99" s="164" t="s">
        <v>720</v>
      </c>
      <c r="K99" s="165">
        <v>4.6296296296296298E-4</v>
      </c>
      <c r="L99" s="151" t="s">
        <v>305</v>
      </c>
      <c r="N99" s="151" t="s">
        <v>306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317</v>
      </c>
      <c r="B100" s="151" t="s">
        <v>318</v>
      </c>
      <c r="C100" s="164" t="s">
        <v>721</v>
      </c>
      <c r="D100" s="164" t="s">
        <v>722</v>
      </c>
      <c r="E100" s="165">
        <v>1.2268518518518518E-3</v>
      </c>
      <c r="F100" s="151" t="s">
        <v>303</v>
      </c>
      <c r="H100" s="151" t="s">
        <v>304</v>
      </c>
      <c r="I100" s="164" t="s">
        <v>723</v>
      </c>
      <c r="J100" s="164" t="s">
        <v>724</v>
      </c>
      <c r="K100" s="165">
        <v>4.7453703703703704E-4</v>
      </c>
      <c r="L100" s="151" t="s">
        <v>305</v>
      </c>
      <c r="N100" s="151" t="s">
        <v>306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317</v>
      </c>
      <c r="B101" s="151" t="s">
        <v>318</v>
      </c>
      <c r="C101" s="164" t="s">
        <v>725</v>
      </c>
      <c r="D101" s="164" t="s">
        <v>726</v>
      </c>
      <c r="E101" s="165">
        <v>1.261574074074074E-3</v>
      </c>
      <c r="F101" s="151" t="s">
        <v>303</v>
      </c>
      <c r="H101" s="151" t="s">
        <v>304</v>
      </c>
      <c r="I101" s="164" t="s">
        <v>727</v>
      </c>
      <c r="J101" s="164" t="s">
        <v>728</v>
      </c>
      <c r="K101" s="165">
        <v>4.2824074074074075E-4</v>
      </c>
      <c r="L101" s="151" t="s">
        <v>305</v>
      </c>
      <c r="N101" s="151" t="s">
        <v>306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317</v>
      </c>
      <c r="B102" s="151" t="s">
        <v>318</v>
      </c>
      <c r="C102" s="164" t="s">
        <v>729</v>
      </c>
      <c r="D102" s="164" t="s">
        <v>730</v>
      </c>
      <c r="E102" s="165">
        <v>2.4537037037037036E-3</v>
      </c>
      <c r="F102" s="151" t="s">
        <v>303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317</v>
      </c>
      <c r="B103" s="151" t="s">
        <v>318</v>
      </c>
      <c r="C103" s="164" t="s">
        <v>733</v>
      </c>
      <c r="D103" s="164" t="s">
        <v>734</v>
      </c>
      <c r="E103" s="165">
        <v>7.6851851851851855E-3</v>
      </c>
      <c r="F103" s="151" t="s">
        <v>303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320</v>
      </c>
      <c r="B104" s="151" t="s">
        <v>321</v>
      </c>
      <c r="C104" s="164" t="s">
        <v>737</v>
      </c>
      <c r="D104" s="164" t="s">
        <v>738</v>
      </c>
      <c r="E104" s="165">
        <v>1.8171296296296297E-3</v>
      </c>
      <c r="F104" s="151" t="s">
        <v>303</v>
      </c>
      <c r="H104" s="151" t="s">
        <v>304</v>
      </c>
      <c r="I104" s="164" t="s">
        <v>739</v>
      </c>
      <c r="J104" s="164" t="s">
        <v>740</v>
      </c>
      <c r="K104" s="165">
        <v>1.2037037037037038E-3</v>
      </c>
      <c r="L104" s="151" t="s">
        <v>305</v>
      </c>
      <c r="N104" s="151" t="s">
        <v>306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320</v>
      </c>
      <c r="B105" s="151" t="s">
        <v>321</v>
      </c>
      <c r="C105" s="164" t="s">
        <v>741</v>
      </c>
      <c r="D105" s="164" t="s">
        <v>742</v>
      </c>
      <c r="E105" s="165">
        <v>1.9791666666666668E-3</v>
      </c>
      <c r="F105" s="151" t="s">
        <v>303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329</v>
      </c>
      <c r="N105" s="151" t="s">
        <v>310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320</v>
      </c>
      <c r="B106" s="151" t="s">
        <v>321</v>
      </c>
      <c r="C106" s="164" t="s">
        <v>745</v>
      </c>
      <c r="D106" s="164" t="s">
        <v>746</v>
      </c>
      <c r="E106" s="165">
        <v>1.2037037037037038E-3</v>
      </c>
      <c r="F106" s="151" t="s">
        <v>303</v>
      </c>
      <c r="H106" s="151" t="s">
        <v>304</v>
      </c>
      <c r="I106" s="164" t="s">
        <v>747</v>
      </c>
      <c r="J106" s="164" t="s">
        <v>748</v>
      </c>
      <c r="K106" s="165">
        <v>8.9120370370370373E-4</v>
      </c>
      <c r="L106" s="151" t="s">
        <v>305</v>
      </c>
      <c r="N106" s="151" t="s">
        <v>306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320</v>
      </c>
      <c r="B107" s="151" t="s">
        <v>321</v>
      </c>
      <c r="C107" s="164" t="s">
        <v>749</v>
      </c>
      <c r="D107" s="164" t="s">
        <v>750</v>
      </c>
      <c r="E107" s="165">
        <v>1.1458333333333333E-3</v>
      </c>
      <c r="F107" s="151" t="s">
        <v>303</v>
      </c>
      <c r="H107" s="151" t="s">
        <v>304</v>
      </c>
      <c r="I107" s="164" t="s">
        <v>751</v>
      </c>
      <c r="J107" s="164" t="s">
        <v>752</v>
      </c>
      <c r="K107" s="165">
        <v>7.1759259259259259E-4</v>
      </c>
      <c r="L107" s="151" t="s">
        <v>305</v>
      </c>
      <c r="N107" s="151" t="s">
        <v>306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320</v>
      </c>
      <c r="B108" s="151" t="s">
        <v>321</v>
      </c>
      <c r="C108" s="164" t="s">
        <v>753</v>
      </c>
      <c r="D108" s="164" t="s">
        <v>754</v>
      </c>
      <c r="E108" s="165">
        <v>1.2847222222222223E-3</v>
      </c>
      <c r="F108" s="151" t="s">
        <v>303</v>
      </c>
      <c r="H108" s="151" t="s">
        <v>304</v>
      </c>
      <c r="I108" s="164" t="s">
        <v>755</v>
      </c>
      <c r="J108" s="164" t="s">
        <v>756</v>
      </c>
      <c r="K108" s="165">
        <v>6.018518518518519E-4</v>
      </c>
      <c r="L108" s="151" t="s">
        <v>305</v>
      </c>
      <c r="N108" s="151" t="s">
        <v>306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320</v>
      </c>
      <c r="B109" s="151" t="s">
        <v>321</v>
      </c>
      <c r="C109" s="164" t="s">
        <v>757</v>
      </c>
      <c r="D109" s="164" t="s">
        <v>758</v>
      </c>
      <c r="E109" s="165">
        <v>1.5162037037037036E-3</v>
      </c>
      <c r="F109" s="151" t="s">
        <v>303</v>
      </c>
      <c r="H109" s="151" t="s">
        <v>304</v>
      </c>
      <c r="I109" s="164" t="s">
        <v>759</v>
      </c>
      <c r="J109" s="164" t="s">
        <v>760</v>
      </c>
      <c r="K109" s="165">
        <v>9.3749999999999997E-4</v>
      </c>
      <c r="L109" s="151" t="s">
        <v>305</v>
      </c>
      <c r="N109" s="151" t="s">
        <v>306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320</v>
      </c>
      <c r="B110" s="151" t="s">
        <v>321</v>
      </c>
      <c r="C110" s="164" t="s">
        <v>761</v>
      </c>
      <c r="D110" s="164" t="s">
        <v>762</v>
      </c>
      <c r="E110" s="165">
        <v>1.3194444444444445E-3</v>
      </c>
      <c r="F110" s="151" t="s">
        <v>303</v>
      </c>
      <c r="H110" s="151" t="s">
        <v>304</v>
      </c>
      <c r="I110" s="164" t="s">
        <v>763</v>
      </c>
      <c r="J110" s="164" t="s">
        <v>764</v>
      </c>
      <c r="K110" s="165">
        <v>1.0185185185185184E-3</v>
      </c>
      <c r="L110" s="151" t="s">
        <v>305</v>
      </c>
      <c r="N110" s="151" t="s">
        <v>306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320</v>
      </c>
      <c r="B111" s="151" t="s">
        <v>321</v>
      </c>
      <c r="C111" s="164" t="s">
        <v>765</v>
      </c>
      <c r="D111" s="164" t="s">
        <v>766</v>
      </c>
      <c r="E111" s="165">
        <v>1.5856481481481481E-3</v>
      </c>
      <c r="F111" s="151" t="s">
        <v>303</v>
      </c>
      <c r="H111" s="151" t="s">
        <v>304</v>
      </c>
      <c r="I111" s="164" t="s">
        <v>767</v>
      </c>
      <c r="J111" s="164" t="s">
        <v>768</v>
      </c>
      <c r="K111" s="165">
        <v>7.291666666666667E-4</v>
      </c>
      <c r="L111" s="151" t="s">
        <v>305</v>
      </c>
      <c r="N111" s="151" t="s">
        <v>306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320</v>
      </c>
      <c r="B112" s="151" t="s">
        <v>321</v>
      </c>
      <c r="C112" s="164" t="s">
        <v>769</v>
      </c>
      <c r="D112" s="164" t="s">
        <v>770</v>
      </c>
      <c r="E112" s="165">
        <v>1.2962962962962963E-3</v>
      </c>
      <c r="F112" s="151" t="s">
        <v>303</v>
      </c>
      <c r="H112" s="151" t="s">
        <v>304</v>
      </c>
      <c r="I112" s="164" t="s">
        <v>771</v>
      </c>
      <c r="J112" s="164" t="s">
        <v>772</v>
      </c>
      <c r="K112" s="165">
        <v>8.1018518518518516E-4</v>
      </c>
      <c r="L112" s="166" t="s">
        <v>305</v>
      </c>
      <c r="N112" s="151" t="s">
        <v>306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322</v>
      </c>
      <c r="B113" s="151" t="s">
        <v>318</v>
      </c>
      <c r="C113" s="164" t="s">
        <v>773</v>
      </c>
      <c r="D113" s="164" t="s">
        <v>774</v>
      </c>
      <c r="E113" s="165">
        <v>1.4699074074074074E-3</v>
      </c>
      <c r="F113" s="151" t="s">
        <v>303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322</v>
      </c>
      <c r="B114" s="151" t="s">
        <v>318</v>
      </c>
      <c r="C114" s="164" t="s">
        <v>777</v>
      </c>
      <c r="D114" s="164" t="s">
        <v>778</v>
      </c>
      <c r="E114" s="165">
        <v>1.6435185185185185E-3</v>
      </c>
      <c r="F114" s="151" t="s">
        <v>303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322</v>
      </c>
      <c r="B115" s="151" t="s">
        <v>302</v>
      </c>
      <c r="C115" s="164" t="s">
        <v>781</v>
      </c>
      <c r="D115" s="164" t="s">
        <v>782</v>
      </c>
      <c r="E115" s="165">
        <v>1.4930555555555556E-3</v>
      </c>
      <c r="F115" s="151" t="s">
        <v>303</v>
      </c>
      <c r="H115" s="151" t="s">
        <v>304</v>
      </c>
      <c r="I115" s="164" t="s">
        <v>783</v>
      </c>
      <c r="J115" s="164" t="s">
        <v>784</v>
      </c>
      <c r="K115" s="165">
        <v>3.3564814814814812E-4</v>
      </c>
      <c r="L115" s="151" t="s">
        <v>305</v>
      </c>
      <c r="N115" s="151" t="s">
        <v>306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322</v>
      </c>
      <c r="B116" s="151" t="s">
        <v>302</v>
      </c>
      <c r="C116" s="164" t="s">
        <v>785</v>
      </c>
      <c r="D116" s="164" t="s">
        <v>786</v>
      </c>
      <c r="E116" s="165">
        <v>2.1527777777777778E-3</v>
      </c>
      <c r="F116" s="151" t="s">
        <v>303</v>
      </c>
      <c r="H116" s="151" t="s">
        <v>304</v>
      </c>
      <c r="I116" s="164" t="s">
        <v>787</v>
      </c>
      <c r="J116" s="164" t="s">
        <v>788</v>
      </c>
      <c r="K116" s="165">
        <v>3.0092592592592595E-4</v>
      </c>
      <c r="L116" s="151" t="s">
        <v>305</v>
      </c>
      <c r="N116" s="151" t="s">
        <v>306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322</v>
      </c>
      <c r="B117" s="151" t="s">
        <v>302</v>
      </c>
      <c r="C117" s="164" t="s">
        <v>789</v>
      </c>
      <c r="D117" s="164" t="s">
        <v>790</v>
      </c>
      <c r="E117" s="165">
        <v>1.4120370370370369E-3</v>
      </c>
      <c r="F117" s="151" t="s">
        <v>303</v>
      </c>
      <c r="H117" s="151" t="s">
        <v>304</v>
      </c>
      <c r="I117" s="164" t="s">
        <v>791</v>
      </c>
      <c r="J117" s="164" t="s">
        <v>792</v>
      </c>
      <c r="K117" s="165">
        <v>8.2175925925925927E-4</v>
      </c>
      <c r="L117" s="151" t="s">
        <v>305</v>
      </c>
      <c r="N117" s="151" t="s">
        <v>306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323</v>
      </c>
      <c r="B118" s="151" t="s">
        <v>324</v>
      </c>
      <c r="C118" s="164" t="s">
        <v>793</v>
      </c>
      <c r="D118" s="164" t="s">
        <v>794</v>
      </c>
      <c r="E118" s="165">
        <v>2.1990740740740742E-3</v>
      </c>
      <c r="F118" s="151" t="s">
        <v>314</v>
      </c>
      <c r="G118" s="151" t="s">
        <v>325</v>
      </c>
      <c r="H118" s="151" t="s">
        <v>315</v>
      </c>
      <c r="I118" s="164" t="s">
        <v>795</v>
      </c>
      <c r="J118" s="164" t="s">
        <v>796</v>
      </c>
      <c r="K118" s="165">
        <v>4.1666666666666669E-4</v>
      </c>
      <c r="L118" s="151" t="s">
        <v>314</v>
      </c>
      <c r="M118" s="151" t="s">
        <v>325</v>
      </c>
      <c r="N118" s="151" t="s">
        <v>316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323</v>
      </c>
      <c r="B119" s="151" t="s">
        <v>324</v>
      </c>
      <c r="C119" s="164" t="s">
        <v>797</v>
      </c>
      <c r="D119" s="164" t="s">
        <v>798</v>
      </c>
      <c r="E119" s="165">
        <v>1.4814814814814814E-3</v>
      </c>
      <c r="F119" s="151" t="s">
        <v>314</v>
      </c>
      <c r="G119" s="151" t="s">
        <v>325</v>
      </c>
      <c r="H119" s="151" t="s">
        <v>315</v>
      </c>
      <c r="I119" s="164" t="s">
        <v>799</v>
      </c>
      <c r="J119" s="164" t="s">
        <v>800</v>
      </c>
      <c r="K119" s="165">
        <v>2.7777777777777778E-4</v>
      </c>
      <c r="L119" s="151" t="s">
        <v>314</v>
      </c>
      <c r="M119" s="151" t="s">
        <v>325</v>
      </c>
      <c r="N119" s="151" t="s">
        <v>316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323</v>
      </c>
      <c r="B120" s="151" t="s">
        <v>324</v>
      </c>
      <c r="C120" s="164" t="s">
        <v>801</v>
      </c>
      <c r="D120" s="164" t="s">
        <v>802</v>
      </c>
      <c r="E120" s="165">
        <v>2.0601851851851853E-3</v>
      </c>
      <c r="F120" s="151" t="s">
        <v>314</v>
      </c>
      <c r="G120" s="151" t="s">
        <v>325</v>
      </c>
      <c r="H120" s="151" t="s">
        <v>315</v>
      </c>
      <c r="I120" s="164" t="s">
        <v>803</v>
      </c>
      <c r="J120" s="164" t="s">
        <v>804</v>
      </c>
      <c r="K120" s="165">
        <v>2.7777777777777778E-4</v>
      </c>
      <c r="L120" s="151" t="s">
        <v>314</v>
      </c>
      <c r="M120" s="151" t="s">
        <v>325</v>
      </c>
      <c r="N120" s="151" t="s">
        <v>316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323</v>
      </c>
      <c r="B121" s="151" t="s">
        <v>324</v>
      </c>
      <c r="C121" s="164" t="s">
        <v>805</v>
      </c>
      <c r="D121" s="164" t="s">
        <v>806</v>
      </c>
      <c r="E121" s="165">
        <v>2.1527777777777778E-3</v>
      </c>
      <c r="F121" s="151" t="s">
        <v>314</v>
      </c>
      <c r="G121" s="151" t="s">
        <v>325</v>
      </c>
      <c r="H121" s="151" t="s">
        <v>315</v>
      </c>
      <c r="I121" s="164" t="s">
        <v>807</v>
      </c>
      <c r="J121" s="164" t="s">
        <v>808</v>
      </c>
      <c r="K121" s="165">
        <v>8.2175925925925927E-4</v>
      </c>
      <c r="L121" s="151" t="s">
        <v>314</v>
      </c>
      <c r="M121" s="151" t="s">
        <v>325</v>
      </c>
      <c r="N121" s="151" t="s">
        <v>316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323</v>
      </c>
      <c r="B122" s="151" t="s">
        <v>324</v>
      </c>
      <c r="C122" s="164" t="s">
        <v>809</v>
      </c>
      <c r="D122" s="164" t="s">
        <v>810</v>
      </c>
      <c r="E122" s="165">
        <v>2.1759259259259258E-3</v>
      </c>
      <c r="F122" s="151" t="s">
        <v>314</v>
      </c>
      <c r="G122" s="151" t="s">
        <v>325</v>
      </c>
      <c r="H122" s="151" t="s">
        <v>315</v>
      </c>
      <c r="I122" s="164" t="s">
        <v>811</v>
      </c>
      <c r="J122" s="164" t="s">
        <v>812</v>
      </c>
      <c r="K122" s="165">
        <v>3.1250000000000001E-4</v>
      </c>
      <c r="L122" s="151" t="s">
        <v>314</v>
      </c>
      <c r="M122" s="151" t="s">
        <v>325</v>
      </c>
      <c r="N122" s="151" t="s">
        <v>316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323</v>
      </c>
      <c r="B123" s="151" t="s">
        <v>324</v>
      </c>
      <c r="C123" s="164" t="s">
        <v>813</v>
      </c>
      <c r="D123" s="164" t="s">
        <v>814</v>
      </c>
      <c r="E123" s="165">
        <v>2.5115740740740741E-3</v>
      </c>
      <c r="F123" s="151" t="s">
        <v>314</v>
      </c>
      <c r="G123" s="151" t="s">
        <v>325</v>
      </c>
      <c r="H123" s="151" t="s">
        <v>315</v>
      </c>
      <c r="I123" s="164" t="s">
        <v>815</v>
      </c>
      <c r="J123" s="164" t="s">
        <v>816</v>
      </c>
      <c r="K123" s="165">
        <v>3.4722222222222222E-5</v>
      </c>
      <c r="L123" s="151" t="s">
        <v>314</v>
      </c>
      <c r="M123" s="151" t="s">
        <v>325</v>
      </c>
      <c r="N123" s="151" t="s">
        <v>316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323</v>
      </c>
      <c r="B124" s="151" t="s">
        <v>324</v>
      </c>
      <c r="C124" s="164" t="s">
        <v>817</v>
      </c>
      <c r="D124" s="164" t="s">
        <v>818</v>
      </c>
      <c r="E124" s="165">
        <v>2.5347222222222221E-3</v>
      </c>
      <c r="F124" s="151" t="s">
        <v>314</v>
      </c>
      <c r="G124" s="151" t="s">
        <v>325</v>
      </c>
      <c r="H124" s="151" t="s">
        <v>315</v>
      </c>
      <c r="I124" s="164" t="s">
        <v>819</v>
      </c>
      <c r="J124" s="164" t="s">
        <v>820</v>
      </c>
      <c r="K124" s="165">
        <v>3.0092592592592595E-4</v>
      </c>
      <c r="L124" s="151" t="s">
        <v>314</v>
      </c>
      <c r="M124" s="151" t="s">
        <v>325</v>
      </c>
      <c r="N124" s="151" t="s">
        <v>316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323</v>
      </c>
      <c r="B125" s="151" t="s">
        <v>324</v>
      </c>
      <c r="C125" s="164" t="s">
        <v>821</v>
      </c>
      <c r="D125" s="164" t="s">
        <v>822</v>
      </c>
      <c r="E125" s="165">
        <v>2.5115740740740741E-3</v>
      </c>
      <c r="F125" s="151" t="s">
        <v>314</v>
      </c>
      <c r="G125" s="151" t="s">
        <v>325</v>
      </c>
      <c r="H125" s="151" t="s">
        <v>315</v>
      </c>
      <c r="I125" s="164" t="s">
        <v>823</v>
      </c>
      <c r="J125" s="164" t="s">
        <v>824</v>
      </c>
      <c r="K125" s="165">
        <v>4.2824074074074075E-4</v>
      </c>
      <c r="L125" s="151" t="s">
        <v>314</v>
      </c>
      <c r="M125" s="151" t="s">
        <v>325</v>
      </c>
      <c r="N125" s="151" t="s">
        <v>316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323</v>
      </c>
      <c r="B126" s="151" t="s">
        <v>324</v>
      </c>
      <c r="C126" s="164" t="s">
        <v>825</v>
      </c>
      <c r="D126" s="164" t="s">
        <v>440</v>
      </c>
      <c r="E126" s="165">
        <v>2.0138888888888888E-3</v>
      </c>
      <c r="F126" s="151" t="s">
        <v>314</v>
      </c>
      <c r="G126" s="151" t="s">
        <v>325</v>
      </c>
      <c r="H126" s="151" t="s">
        <v>315</v>
      </c>
      <c r="I126" s="164" t="s">
        <v>826</v>
      </c>
      <c r="J126" s="164" t="s">
        <v>827</v>
      </c>
      <c r="K126" s="165">
        <v>2.199074074074074E-4</v>
      </c>
      <c r="L126" s="151" t="s">
        <v>314</v>
      </c>
      <c r="M126" s="151" t="s">
        <v>325</v>
      </c>
      <c r="N126" s="151" t="s">
        <v>316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323</v>
      </c>
      <c r="B127" s="151" t="s">
        <v>324</v>
      </c>
      <c r="C127" s="164" t="s">
        <v>828</v>
      </c>
      <c r="D127" s="164" t="s">
        <v>829</v>
      </c>
      <c r="E127" s="165">
        <v>1.7824074074074075E-3</v>
      </c>
      <c r="F127" s="151" t="s">
        <v>314</v>
      </c>
      <c r="G127" s="151" t="s">
        <v>325</v>
      </c>
      <c r="H127" s="151" t="s">
        <v>315</v>
      </c>
      <c r="I127" s="164" t="s">
        <v>830</v>
      </c>
      <c r="J127" s="164" t="s">
        <v>831</v>
      </c>
      <c r="K127" s="165">
        <v>2.8935185185185184E-4</v>
      </c>
      <c r="L127" s="151" t="s">
        <v>314</v>
      </c>
      <c r="M127" s="151" t="s">
        <v>325</v>
      </c>
      <c r="N127" s="151" t="s">
        <v>316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323</v>
      </c>
      <c r="B128" s="151" t="s">
        <v>324</v>
      </c>
      <c r="C128" s="164" t="s">
        <v>832</v>
      </c>
      <c r="D128" s="164" t="s">
        <v>833</v>
      </c>
      <c r="E128" s="165">
        <v>2.1412037037037038E-3</v>
      </c>
      <c r="F128" s="151" t="s">
        <v>314</v>
      </c>
      <c r="G128" s="151" t="s">
        <v>325</v>
      </c>
      <c r="H128" s="151" t="s">
        <v>315</v>
      </c>
      <c r="I128" s="164" t="s">
        <v>834</v>
      </c>
      <c r="J128" s="164" t="s">
        <v>835</v>
      </c>
      <c r="K128" s="165">
        <v>3.4722222222222224E-4</v>
      </c>
      <c r="L128" s="151" t="s">
        <v>314</v>
      </c>
      <c r="M128" s="151" t="s">
        <v>325</v>
      </c>
      <c r="N128" s="151" t="s">
        <v>316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323</v>
      </c>
      <c r="B129" s="151" t="s">
        <v>324</v>
      </c>
      <c r="C129" s="164" t="s">
        <v>836</v>
      </c>
      <c r="D129" s="164" t="s">
        <v>706</v>
      </c>
      <c r="E129" s="165">
        <v>1.7592592592592592E-3</v>
      </c>
      <c r="F129" s="151" t="s">
        <v>314</v>
      </c>
      <c r="G129" s="151" t="s">
        <v>325</v>
      </c>
      <c r="H129" s="151" t="s">
        <v>315</v>
      </c>
      <c r="I129" s="164" t="s">
        <v>837</v>
      </c>
      <c r="J129" s="164" t="s">
        <v>838</v>
      </c>
      <c r="K129" s="165">
        <v>3.0092592592592595E-4</v>
      </c>
      <c r="L129" s="151" t="s">
        <v>314</v>
      </c>
      <c r="M129" s="151" t="s">
        <v>325</v>
      </c>
      <c r="N129" s="151" t="s">
        <v>316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323</v>
      </c>
      <c r="B130" s="151" t="s">
        <v>324</v>
      </c>
      <c r="C130" s="164" t="s">
        <v>839</v>
      </c>
      <c r="D130" s="164" t="s">
        <v>840</v>
      </c>
      <c r="E130" s="165">
        <v>1.7708333333333332E-3</v>
      </c>
      <c r="F130" s="151" t="s">
        <v>314</v>
      </c>
      <c r="G130" s="151" t="s">
        <v>325</v>
      </c>
      <c r="H130" s="151" t="s">
        <v>315</v>
      </c>
      <c r="I130" s="164" t="s">
        <v>841</v>
      </c>
      <c r="J130" s="164" t="s">
        <v>842</v>
      </c>
      <c r="K130" s="165">
        <v>3.0092592592592595E-4</v>
      </c>
      <c r="L130" s="151" t="s">
        <v>314</v>
      </c>
      <c r="M130" s="151" t="s">
        <v>325</v>
      </c>
      <c r="N130" s="151" t="s">
        <v>316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323</v>
      </c>
      <c r="B131" s="151" t="s">
        <v>324</v>
      </c>
      <c r="C131" s="164" t="s">
        <v>843</v>
      </c>
      <c r="D131" s="164" t="s">
        <v>844</v>
      </c>
      <c r="E131" s="165">
        <v>1.8402777777777777E-3</v>
      </c>
      <c r="F131" s="151" t="s">
        <v>314</v>
      </c>
      <c r="G131" s="151" t="s">
        <v>325</v>
      </c>
      <c r="H131" s="151" t="s">
        <v>315</v>
      </c>
      <c r="I131" s="164" t="s">
        <v>845</v>
      </c>
      <c r="J131" s="164" t="s">
        <v>846</v>
      </c>
      <c r="K131" s="165">
        <v>3.8194444444444446E-4</v>
      </c>
      <c r="L131" s="151" t="s">
        <v>314</v>
      </c>
      <c r="M131" s="151" t="s">
        <v>325</v>
      </c>
      <c r="N131" s="151" t="s">
        <v>316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323</v>
      </c>
      <c r="B132" s="151" t="s">
        <v>324</v>
      </c>
      <c r="C132" s="164" t="s">
        <v>847</v>
      </c>
      <c r="D132" s="164" t="s">
        <v>848</v>
      </c>
      <c r="E132" s="165">
        <v>2.0949074074074073E-3</v>
      </c>
      <c r="F132" s="151" t="s">
        <v>314</v>
      </c>
      <c r="G132" s="151" t="s">
        <v>325</v>
      </c>
      <c r="H132" s="151" t="s">
        <v>315</v>
      </c>
      <c r="I132" s="164" t="s">
        <v>849</v>
      </c>
      <c r="J132" s="164" t="s">
        <v>850</v>
      </c>
      <c r="K132" s="165">
        <v>3.2407407407407406E-4</v>
      </c>
      <c r="L132" s="151" t="s">
        <v>314</v>
      </c>
      <c r="M132" s="151" t="s">
        <v>325</v>
      </c>
      <c r="N132" s="151" t="s">
        <v>316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323</v>
      </c>
      <c r="B133" s="151" t="s">
        <v>324</v>
      </c>
      <c r="C133" s="164" t="s">
        <v>851</v>
      </c>
      <c r="D133" s="164" t="s">
        <v>852</v>
      </c>
      <c r="E133" s="165">
        <v>1.9212962962962964E-3</v>
      </c>
      <c r="F133" s="151" t="s">
        <v>314</v>
      </c>
      <c r="G133" s="151" t="s">
        <v>325</v>
      </c>
      <c r="H133" s="151" t="s">
        <v>315</v>
      </c>
      <c r="I133" s="164" t="s">
        <v>853</v>
      </c>
      <c r="J133" s="164" t="s">
        <v>854</v>
      </c>
      <c r="K133" s="165">
        <v>4.0509259259259258E-4</v>
      </c>
      <c r="L133" s="151" t="s">
        <v>314</v>
      </c>
      <c r="M133" s="151" t="s">
        <v>325</v>
      </c>
      <c r="N133" s="151" t="s">
        <v>316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323</v>
      </c>
      <c r="B134" s="151" t="s">
        <v>324</v>
      </c>
      <c r="C134" s="164" t="s">
        <v>855</v>
      </c>
      <c r="D134" s="164" t="s">
        <v>856</v>
      </c>
      <c r="E134" s="165">
        <v>1.8981481481481482E-3</v>
      </c>
      <c r="F134" s="151" t="s">
        <v>314</v>
      </c>
      <c r="G134" s="151" t="s">
        <v>325</v>
      </c>
      <c r="H134" s="151" t="s">
        <v>315</v>
      </c>
      <c r="I134" s="164" t="s">
        <v>857</v>
      </c>
      <c r="J134" s="164" t="s">
        <v>858</v>
      </c>
      <c r="K134" s="165">
        <v>3.5879629629629629E-4</v>
      </c>
      <c r="L134" s="151" t="s">
        <v>314</v>
      </c>
      <c r="M134" s="151" t="s">
        <v>325</v>
      </c>
      <c r="N134" s="151" t="s">
        <v>316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323</v>
      </c>
      <c r="B135" s="151" t="s">
        <v>324</v>
      </c>
      <c r="C135" s="164" t="s">
        <v>859</v>
      </c>
      <c r="D135" s="164" t="s">
        <v>860</v>
      </c>
      <c r="E135" s="165">
        <v>1.8287037037037037E-3</v>
      </c>
      <c r="F135" s="151" t="s">
        <v>314</v>
      </c>
      <c r="G135" s="151" t="s">
        <v>325</v>
      </c>
      <c r="H135" s="151" t="s">
        <v>315</v>
      </c>
      <c r="I135" s="164" t="s">
        <v>861</v>
      </c>
      <c r="J135" s="164" t="s">
        <v>862</v>
      </c>
      <c r="K135" s="165">
        <v>3.2407407407407406E-4</v>
      </c>
      <c r="L135" s="151" t="s">
        <v>314</v>
      </c>
      <c r="M135" s="151" t="s">
        <v>325</v>
      </c>
      <c r="N135" s="151" t="s">
        <v>316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323</v>
      </c>
      <c r="B136" s="151" t="s">
        <v>324</v>
      </c>
      <c r="C136" s="164" t="s">
        <v>863</v>
      </c>
      <c r="D136" s="164" t="s">
        <v>864</v>
      </c>
      <c r="E136" s="165">
        <v>1.9097222222222222E-3</v>
      </c>
      <c r="F136" s="151" t="s">
        <v>314</v>
      </c>
      <c r="G136" s="151" t="s">
        <v>325</v>
      </c>
      <c r="H136" s="151" t="s">
        <v>315</v>
      </c>
      <c r="I136" s="164" t="s">
        <v>865</v>
      </c>
      <c r="J136" s="164" t="s">
        <v>866</v>
      </c>
      <c r="K136" s="165">
        <v>4.0509259259259258E-4</v>
      </c>
      <c r="L136" s="151" t="s">
        <v>314</v>
      </c>
      <c r="M136" s="151" t="s">
        <v>325</v>
      </c>
      <c r="N136" s="151" t="s">
        <v>316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323</v>
      </c>
      <c r="B137" s="151" t="s">
        <v>324</v>
      </c>
      <c r="C137" s="164" t="s">
        <v>867</v>
      </c>
      <c r="D137" s="164" t="s">
        <v>868</v>
      </c>
      <c r="E137" s="165">
        <v>1.7824074074074075E-3</v>
      </c>
      <c r="F137" s="151" t="s">
        <v>314</v>
      </c>
      <c r="G137" s="151" t="s">
        <v>325</v>
      </c>
      <c r="H137" s="151" t="s">
        <v>315</v>
      </c>
      <c r="I137" s="164" t="s">
        <v>869</v>
      </c>
      <c r="J137" s="164" t="s">
        <v>870</v>
      </c>
      <c r="K137" s="165">
        <v>3.5879629629629629E-4</v>
      </c>
      <c r="L137" s="151" t="s">
        <v>314</v>
      </c>
      <c r="M137" s="151" t="s">
        <v>325</v>
      </c>
      <c r="N137" s="151" t="s">
        <v>316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323</v>
      </c>
      <c r="B138" s="151" t="s">
        <v>324</v>
      </c>
      <c r="C138" s="164" t="s">
        <v>871</v>
      </c>
      <c r="D138" s="164" t="s">
        <v>872</v>
      </c>
      <c r="E138" s="165">
        <v>1.5046296296296296E-3</v>
      </c>
      <c r="F138" s="151" t="s">
        <v>314</v>
      </c>
      <c r="G138" s="151" t="s">
        <v>325</v>
      </c>
      <c r="H138" s="151" t="s">
        <v>315</v>
      </c>
      <c r="I138" s="164" t="s">
        <v>593</v>
      </c>
      <c r="J138" s="164" t="s">
        <v>873</v>
      </c>
      <c r="K138" s="165">
        <v>4.2824074074074075E-4</v>
      </c>
      <c r="L138" s="151" t="s">
        <v>314</v>
      </c>
      <c r="M138" s="151" t="s">
        <v>325</v>
      </c>
      <c r="N138" s="151" t="s">
        <v>316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323</v>
      </c>
      <c r="B139" s="151" t="s">
        <v>324</v>
      </c>
      <c r="C139" s="164" t="s">
        <v>874</v>
      </c>
      <c r="D139" s="164" t="s">
        <v>875</v>
      </c>
      <c r="E139" s="165">
        <v>1.2731481481481483E-3</v>
      </c>
      <c r="F139" s="151" t="s">
        <v>314</v>
      </c>
      <c r="G139" s="151" t="s">
        <v>325</v>
      </c>
      <c r="H139" s="151" t="s">
        <v>315</v>
      </c>
      <c r="I139" s="164" t="s">
        <v>876</v>
      </c>
      <c r="J139" s="164" t="s">
        <v>877</v>
      </c>
      <c r="K139" s="165">
        <v>4.7453703703703704E-4</v>
      </c>
      <c r="L139" s="151" t="s">
        <v>314</v>
      </c>
      <c r="M139" s="151" t="s">
        <v>325</v>
      </c>
      <c r="N139" s="151" t="s">
        <v>316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323</v>
      </c>
      <c r="B140" s="151" t="s">
        <v>324</v>
      </c>
      <c r="C140" s="164" t="s">
        <v>878</v>
      </c>
      <c r="D140" s="164" t="s">
        <v>879</v>
      </c>
      <c r="E140" s="165">
        <v>2.0023148148148148E-3</v>
      </c>
      <c r="F140" s="151" t="s">
        <v>314</v>
      </c>
      <c r="G140" s="151" t="s">
        <v>325</v>
      </c>
      <c r="H140" s="151" t="s">
        <v>315</v>
      </c>
      <c r="I140" s="164" t="s">
        <v>601</v>
      </c>
      <c r="J140" s="164" t="s">
        <v>880</v>
      </c>
      <c r="K140" s="165">
        <v>6.4814814814814813E-4</v>
      </c>
      <c r="L140" s="151" t="s">
        <v>314</v>
      </c>
      <c r="M140" s="151" t="s">
        <v>325</v>
      </c>
      <c r="N140" s="151" t="s">
        <v>316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323</v>
      </c>
      <c r="B141" s="151" t="s">
        <v>324</v>
      </c>
      <c r="C141" s="164" t="s">
        <v>881</v>
      </c>
      <c r="D141" s="164" t="s">
        <v>882</v>
      </c>
      <c r="E141" s="165">
        <v>2.5810185185185185E-3</v>
      </c>
      <c r="F141" s="151" t="s">
        <v>314</v>
      </c>
      <c r="G141" s="151" t="s">
        <v>325</v>
      </c>
      <c r="H141" s="151" t="s">
        <v>315</v>
      </c>
      <c r="I141" s="164" t="s">
        <v>883</v>
      </c>
      <c r="J141" s="164" t="s">
        <v>884</v>
      </c>
      <c r="K141" s="165">
        <v>2.7777777777777778E-4</v>
      </c>
      <c r="L141" s="151" t="s">
        <v>314</v>
      </c>
      <c r="M141" s="151" t="s">
        <v>325</v>
      </c>
      <c r="N141" s="151" t="s">
        <v>316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323</v>
      </c>
      <c r="B142" s="151" t="s">
        <v>324</v>
      </c>
      <c r="C142" s="164" t="s">
        <v>885</v>
      </c>
      <c r="D142" s="164" t="s">
        <v>886</v>
      </c>
      <c r="E142" s="165">
        <v>2.2800925925925927E-3</v>
      </c>
      <c r="F142" s="151" t="s">
        <v>314</v>
      </c>
      <c r="G142" s="151" t="s">
        <v>325</v>
      </c>
      <c r="H142" s="151" t="s">
        <v>315</v>
      </c>
      <c r="I142" s="164" t="s">
        <v>887</v>
      </c>
      <c r="J142" s="164" t="s">
        <v>888</v>
      </c>
      <c r="K142" s="165">
        <v>2.8935185185185184E-4</v>
      </c>
      <c r="L142" s="151" t="s">
        <v>314</v>
      </c>
      <c r="M142" s="151" t="s">
        <v>325</v>
      </c>
      <c r="N142" s="151" t="s">
        <v>316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323</v>
      </c>
      <c r="B143" s="151" t="s">
        <v>324</v>
      </c>
      <c r="C143" s="164" t="s">
        <v>889</v>
      </c>
      <c r="D143" s="164" t="s">
        <v>890</v>
      </c>
      <c r="E143" s="165">
        <v>2.627314814814815E-3</v>
      </c>
      <c r="F143" s="151" t="s">
        <v>314</v>
      </c>
      <c r="G143" s="151" t="s">
        <v>325</v>
      </c>
      <c r="H143" s="151" t="s">
        <v>315</v>
      </c>
      <c r="I143" s="164" t="s">
        <v>891</v>
      </c>
      <c r="J143" s="164" t="s">
        <v>892</v>
      </c>
      <c r="K143" s="165">
        <v>4.6296296296296298E-4</v>
      </c>
      <c r="L143" s="151" t="s">
        <v>314</v>
      </c>
      <c r="M143" s="151" t="s">
        <v>325</v>
      </c>
      <c r="N143" s="151" t="s">
        <v>316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323</v>
      </c>
      <c r="B144" s="151" t="s">
        <v>324</v>
      </c>
      <c r="C144" s="164" t="s">
        <v>893</v>
      </c>
      <c r="D144" s="164" t="s">
        <v>894</v>
      </c>
      <c r="E144" s="165">
        <v>2.5115740740740741E-3</v>
      </c>
      <c r="F144" s="151" t="s">
        <v>314</v>
      </c>
      <c r="G144" s="151" t="s">
        <v>325</v>
      </c>
      <c r="H144" s="151" t="s">
        <v>315</v>
      </c>
      <c r="I144" s="164" t="s">
        <v>895</v>
      </c>
      <c r="J144" s="164" t="s">
        <v>896</v>
      </c>
      <c r="K144" s="165">
        <v>2.8935185185185184E-4</v>
      </c>
      <c r="L144" s="151" t="s">
        <v>314</v>
      </c>
      <c r="M144" s="151" t="s">
        <v>325</v>
      </c>
      <c r="N144" s="151" t="s">
        <v>316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323</v>
      </c>
      <c r="B145" s="151" t="s">
        <v>324</v>
      </c>
      <c r="C145" s="164" t="s">
        <v>897</v>
      </c>
      <c r="D145" s="164" t="s">
        <v>898</v>
      </c>
      <c r="E145" s="165">
        <v>1.9212962962962964E-3</v>
      </c>
      <c r="F145" s="151" t="s">
        <v>314</v>
      </c>
      <c r="G145" s="151" t="s">
        <v>325</v>
      </c>
      <c r="H145" s="151" t="s">
        <v>315</v>
      </c>
      <c r="I145" s="164" t="s">
        <v>899</v>
      </c>
      <c r="J145" s="164" t="s">
        <v>900</v>
      </c>
      <c r="K145" s="165">
        <v>2.6620370370370372E-4</v>
      </c>
      <c r="L145" s="151" t="s">
        <v>314</v>
      </c>
      <c r="M145" s="151" t="s">
        <v>325</v>
      </c>
      <c r="N145" s="151" t="s">
        <v>316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323</v>
      </c>
      <c r="B146" s="151" t="s">
        <v>324</v>
      </c>
      <c r="C146" s="164" t="s">
        <v>901</v>
      </c>
      <c r="D146" s="164" t="s">
        <v>902</v>
      </c>
      <c r="E146" s="165">
        <v>1.7939814814814815E-3</v>
      </c>
      <c r="F146" s="151" t="s">
        <v>314</v>
      </c>
      <c r="G146" s="151" t="s">
        <v>325</v>
      </c>
      <c r="H146" s="151" t="s">
        <v>315</v>
      </c>
      <c r="I146" s="164" t="s">
        <v>903</v>
      </c>
      <c r="J146" s="164" t="s">
        <v>904</v>
      </c>
      <c r="K146" s="165">
        <v>2.8935185185185184E-4</v>
      </c>
      <c r="L146" s="151" t="s">
        <v>314</v>
      </c>
      <c r="M146" s="151" t="s">
        <v>325</v>
      </c>
      <c r="N146" s="151" t="s">
        <v>316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323</v>
      </c>
      <c r="B147" s="151" t="s">
        <v>324</v>
      </c>
      <c r="C147" s="164" t="s">
        <v>905</v>
      </c>
      <c r="D147" s="164" t="s">
        <v>906</v>
      </c>
      <c r="E147" s="165">
        <v>2.1875000000000002E-3</v>
      </c>
      <c r="F147" s="151" t="s">
        <v>314</v>
      </c>
      <c r="G147" s="151" t="s">
        <v>325</v>
      </c>
      <c r="H147" s="151" t="s">
        <v>315</v>
      </c>
      <c r="I147" s="164" t="s">
        <v>907</v>
      </c>
      <c r="J147" s="164" t="s">
        <v>908</v>
      </c>
      <c r="K147" s="165">
        <v>2.6620370370370372E-4</v>
      </c>
      <c r="L147" s="151" t="s">
        <v>314</v>
      </c>
      <c r="M147" s="151" t="s">
        <v>325</v>
      </c>
      <c r="N147" s="151" t="s">
        <v>316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323</v>
      </c>
      <c r="B148" s="151" t="s">
        <v>324</v>
      </c>
      <c r="C148" s="164" t="s">
        <v>909</v>
      </c>
      <c r="D148" s="164" t="s">
        <v>910</v>
      </c>
      <c r="E148" s="165">
        <v>3.1018518518518517E-3</v>
      </c>
      <c r="F148" s="151" t="s">
        <v>314</v>
      </c>
      <c r="G148" s="151" t="s">
        <v>325</v>
      </c>
      <c r="H148" s="151" t="s">
        <v>315</v>
      </c>
      <c r="I148" s="164" t="s">
        <v>911</v>
      </c>
      <c r="J148" s="164" t="s">
        <v>912</v>
      </c>
      <c r="K148" s="165">
        <v>2.7777777777777778E-4</v>
      </c>
      <c r="L148" s="151" t="s">
        <v>314</v>
      </c>
      <c r="M148" s="151" t="s">
        <v>325</v>
      </c>
      <c r="N148" s="151" t="s">
        <v>316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323</v>
      </c>
      <c r="B149" s="151" t="s">
        <v>324</v>
      </c>
      <c r="C149" s="164" t="s">
        <v>913</v>
      </c>
      <c r="D149" s="164" t="s">
        <v>914</v>
      </c>
      <c r="E149" s="165">
        <v>2.0023148148148148E-3</v>
      </c>
      <c r="F149" s="151" t="s">
        <v>314</v>
      </c>
      <c r="G149" s="151" t="s">
        <v>325</v>
      </c>
      <c r="H149" s="151" t="s">
        <v>315</v>
      </c>
      <c r="I149" s="164" t="s">
        <v>915</v>
      </c>
      <c r="J149" s="164" t="s">
        <v>916</v>
      </c>
      <c r="K149" s="165">
        <v>2.6620370370370372E-4</v>
      </c>
      <c r="L149" s="151" t="s">
        <v>314</v>
      </c>
      <c r="M149" s="151" t="s">
        <v>325</v>
      </c>
      <c r="N149" s="151" t="s">
        <v>316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323</v>
      </c>
      <c r="B150" s="151" t="s">
        <v>324</v>
      </c>
      <c r="C150" s="164" t="s">
        <v>917</v>
      </c>
      <c r="D150" s="164" t="s">
        <v>918</v>
      </c>
      <c r="E150" s="165">
        <v>2.1064814814814813E-3</v>
      </c>
      <c r="F150" s="151" t="s">
        <v>314</v>
      </c>
      <c r="G150" s="151" t="s">
        <v>325</v>
      </c>
      <c r="H150" s="151" t="s">
        <v>315</v>
      </c>
      <c r="I150" s="164" t="s">
        <v>919</v>
      </c>
      <c r="J150" s="164" t="s">
        <v>920</v>
      </c>
      <c r="K150" s="165">
        <v>2.7777777777777778E-4</v>
      </c>
      <c r="L150" s="151" t="s">
        <v>314</v>
      </c>
      <c r="M150" s="151" t="s">
        <v>325</v>
      </c>
      <c r="N150" s="151" t="s">
        <v>316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323</v>
      </c>
      <c r="B151" s="151" t="s">
        <v>324</v>
      </c>
      <c r="C151" s="164" t="s">
        <v>921</v>
      </c>
      <c r="D151" s="164" t="s">
        <v>922</v>
      </c>
      <c r="E151" s="165">
        <v>1.7592592592592592E-3</v>
      </c>
      <c r="F151" s="151" t="s">
        <v>314</v>
      </c>
      <c r="G151" s="151" t="s">
        <v>325</v>
      </c>
      <c r="H151" s="151" t="s">
        <v>315</v>
      </c>
      <c r="I151" s="164" t="s">
        <v>923</v>
      </c>
      <c r="J151" s="164" t="s">
        <v>924</v>
      </c>
      <c r="K151" s="165">
        <v>3.0092592592592595E-4</v>
      </c>
      <c r="L151" s="151" t="s">
        <v>314</v>
      </c>
      <c r="M151" s="151" t="s">
        <v>325</v>
      </c>
      <c r="N151" s="151" t="s">
        <v>316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323</v>
      </c>
      <c r="B152" s="151" t="s">
        <v>324</v>
      </c>
      <c r="C152" s="164" t="s">
        <v>925</v>
      </c>
      <c r="D152" s="164" t="s">
        <v>926</v>
      </c>
      <c r="E152" s="165">
        <v>2.5810185185185185E-3</v>
      </c>
      <c r="F152" s="151" t="s">
        <v>314</v>
      </c>
      <c r="G152" s="151" t="s">
        <v>325</v>
      </c>
      <c r="H152" s="151" t="s">
        <v>315</v>
      </c>
      <c r="I152" s="164" t="s">
        <v>927</v>
      </c>
      <c r="J152" s="164" t="s">
        <v>928</v>
      </c>
      <c r="K152" s="165">
        <v>2.8935185185185184E-4</v>
      </c>
      <c r="L152" s="151" t="s">
        <v>314</v>
      </c>
      <c r="M152" s="151" t="s">
        <v>325</v>
      </c>
      <c r="N152" s="151" t="s">
        <v>316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323</v>
      </c>
      <c r="B153" s="151" t="s">
        <v>324</v>
      </c>
      <c r="C153" s="164" t="s">
        <v>929</v>
      </c>
      <c r="D153" s="164" t="s">
        <v>930</v>
      </c>
      <c r="E153" s="165">
        <v>2.3379629629629631E-3</v>
      </c>
      <c r="F153" s="151" t="s">
        <v>314</v>
      </c>
      <c r="G153" s="151" t="s">
        <v>325</v>
      </c>
      <c r="H153" s="151" t="s">
        <v>315</v>
      </c>
      <c r="I153" s="164" t="s">
        <v>931</v>
      </c>
      <c r="J153" s="164" t="s">
        <v>932</v>
      </c>
      <c r="K153" s="165">
        <v>2.8935185185185184E-4</v>
      </c>
      <c r="L153" s="151" t="s">
        <v>314</v>
      </c>
      <c r="M153" s="151" t="s">
        <v>325</v>
      </c>
      <c r="N153" s="151" t="s">
        <v>316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323</v>
      </c>
      <c r="B154" s="151" t="s">
        <v>324</v>
      </c>
      <c r="C154" s="164" t="s">
        <v>933</v>
      </c>
      <c r="D154" s="164" t="s">
        <v>934</v>
      </c>
      <c r="E154" s="165">
        <v>1.1342592592592593E-3</v>
      </c>
      <c r="F154" s="151" t="s">
        <v>314</v>
      </c>
      <c r="G154" s="151" t="s">
        <v>325</v>
      </c>
      <c r="H154" s="151" t="s">
        <v>315</v>
      </c>
      <c r="I154" s="164" t="s">
        <v>935</v>
      </c>
      <c r="J154" s="164" t="s">
        <v>936</v>
      </c>
      <c r="K154" s="165">
        <v>2.7777777777777778E-4</v>
      </c>
      <c r="L154" s="151" t="s">
        <v>314</v>
      </c>
      <c r="M154" s="151" t="s">
        <v>325</v>
      </c>
      <c r="N154" s="151" t="s">
        <v>316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323</v>
      </c>
      <c r="B155" s="151" t="s">
        <v>324</v>
      </c>
      <c r="C155" s="164" t="s">
        <v>937</v>
      </c>
      <c r="D155" s="164" t="s">
        <v>938</v>
      </c>
      <c r="E155" s="165">
        <v>2.1412037037037038E-3</v>
      </c>
      <c r="F155" s="151" t="s">
        <v>314</v>
      </c>
      <c r="G155" s="151" t="s">
        <v>325</v>
      </c>
      <c r="H155" s="151" t="s">
        <v>315</v>
      </c>
      <c r="I155" s="164" t="s">
        <v>939</v>
      </c>
      <c r="J155" s="164" t="s">
        <v>940</v>
      </c>
      <c r="K155" s="165">
        <v>3.0092592592592595E-4</v>
      </c>
      <c r="L155" s="151" t="s">
        <v>314</v>
      </c>
      <c r="M155" s="151" t="s">
        <v>325</v>
      </c>
      <c r="N155" s="151" t="s">
        <v>316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323</v>
      </c>
      <c r="B156" s="151" t="s">
        <v>324</v>
      </c>
      <c r="C156" s="164" t="s">
        <v>941</v>
      </c>
      <c r="D156" s="164" t="s">
        <v>942</v>
      </c>
      <c r="E156" s="165">
        <v>1.9560185185185184E-3</v>
      </c>
      <c r="F156" s="151" t="s">
        <v>314</v>
      </c>
      <c r="G156" s="151" t="s">
        <v>325</v>
      </c>
      <c r="H156" s="151" t="s">
        <v>315</v>
      </c>
      <c r="I156" s="164" t="s">
        <v>943</v>
      </c>
      <c r="J156" s="164" t="s">
        <v>944</v>
      </c>
      <c r="K156" s="165">
        <v>2.8935185185185184E-4</v>
      </c>
      <c r="L156" s="151" t="s">
        <v>314</v>
      </c>
      <c r="M156" s="151" t="s">
        <v>325</v>
      </c>
      <c r="N156" s="151" t="s">
        <v>316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323</v>
      </c>
      <c r="B157" s="151" t="s">
        <v>324</v>
      </c>
      <c r="C157" s="164" t="s">
        <v>945</v>
      </c>
      <c r="D157" s="164" t="s">
        <v>946</v>
      </c>
      <c r="E157" s="165">
        <v>2.0138888888888888E-3</v>
      </c>
      <c r="F157" s="151" t="s">
        <v>314</v>
      </c>
      <c r="G157" s="151" t="s">
        <v>325</v>
      </c>
      <c r="H157" s="151" t="s">
        <v>315</v>
      </c>
      <c r="I157" s="164" t="s">
        <v>947</v>
      </c>
      <c r="J157" s="164" t="s">
        <v>948</v>
      </c>
      <c r="K157" s="165">
        <v>4.0509259259259258E-4</v>
      </c>
      <c r="L157" s="151" t="s">
        <v>314</v>
      </c>
      <c r="M157" s="151" t="s">
        <v>325</v>
      </c>
      <c r="N157" s="151" t="s">
        <v>316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323</v>
      </c>
      <c r="B158" s="151" t="s">
        <v>324</v>
      </c>
      <c r="C158" s="164" t="s">
        <v>949</v>
      </c>
      <c r="D158" s="164" t="s">
        <v>950</v>
      </c>
      <c r="E158" s="165">
        <v>2.1064814814814813E-3</v>
      </c>
      <c r="F158" s="151" t="s">
        <v>314</v>
      </c>
      <c r="G158" s="151" t="s">
        <v>325</v>
      </c>
      <c r="H158" s="151" t="s">
        <v>315</v>
      </c>
      <c r="I158" s="164" t="s">
        <v>951</v>
      </c>
      <c r="J158" s="164" t="s">
        <v>952</v>
      </c>
      <c r="K158" s="165">
        <v>3.0092592592592595E-4</v>
      </c>
      <c r="L158" s="151" t="s">
        <v>314</v>
      </c>
      <c r="M158" s="151" t="s">
        <v>325</v>
      </c>
      <c r="N158" s="151" t="s">
        <v>316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323</v>
      </c>
      <c r="B159" s="151" t="s">
        <v>324</v>
      </c>
      <c r="C159" s="164" t="s">
        <v>953</v>
      </c>
      <c r="D159" s="164" t="s">
        <v>954</v>
      </c>
      <c r="E159" s="165">
        <v>2.627314814814815E-3</v>
      </c>
      <c r="F159" s="151" t="s">
        <v>314</v>
      </c>
      <c r="G159" s="151" t="s">
        <v>325</v>
      </c>
      <c r="H159" s="151" t="s">
        <v>315</v>
      </c>
      <c r="I159" s="164" t="s">
        <v>955</v>
      </c>
      <c r="J159" s="164" t="s">
        <v>956</v>
      </c>
      <c r="K159" s="165">
        <v>2.6620370370370372E-4</v>
      </c>
      <c r="L159" s="151" t="s">
        <v>314</v>
      </c>
      <c r="M159" s="151" t="s">
        <v>325</v>
      </c>
      <c r="N159" s="151" t="s">
        <v>316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323</v>
      </c>
      <c r="B160" s="151" t="s">
        <v>324</v>
      </c>
      <c r="C160" s="164" t="s">
        <v>957</v>
      </c>
      <c r="D160" s="164" t="s">
        <v>958</v>
      </c>
      <c r="E160" s="165">
        <v>2.0949074074074073E-3</v>
      </c>
      <c r="F160" s="151" t="s">
        <v>314</v>
      </c>
      <c r="G160" s="151" t="s">
        <v>325</v>
      </c>
      <c r="H160" s="151" t="s">
        <v>315</v>
      </c>
      <c r="I160" s="164" t="s">
        <v>959</v>
      </c>
      <c r="J160" s="164" t="s">
        <v>960</v>
      </c>
      <c r="K160" s="165">
        <v>3.5879629629629629E-4</v>
      </c>
      <c r="L160" s="151" t="s">
        <v>314</v>
      </c>
      <c r="M160" s="151" t="s">
        <v>325</v>
      </c>
      <c r="N160" s="151" t="s">
        <v>316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323</v>
      </c>
      <c r="B161" s="151" t="s">
        <v>324</v>
      </c>
      <c r="C161" s="164" t="s">
        <v>961</v>
      </c>
      <c r="D161" s="164" t="s">
        <v>962</v>
      </c>
      <c r="E161" s="165">
        <v>2.5231481481481481E-3</v>
      </c>
      <c r="F161" s="151" t="s">
        <v>314</v>
      </c>
      <c r="G161" s="151" t="s">
        <v>325</v>
      </c>
      <c r="H161" s="151" t="s">
        <v>315</v>
      </c>
      <c r="I161" s="164" t="s">
        <v>963</v>
      </c>
      <c r="J161" s="164" t="s">
        <v>964</v>
      </c>
      <c r="K161" s="165">
        <v>2.6620370370370372E-4</v>
      </c>
      <c r="L161" s="151" t="s">
        <v>314</v>
      </c>
      <c r="M161" s="151" t="s">
        <v>325</v>
      </c>
      <c r="N161" s="151" t="s">
        <v>316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323</v>
      </c>
      <c r="B162" s="151" t="s">
        <v>324</v>
      </c>
      <c r="C162" s="164" t="s">
        <v>965</v>
      </c>
      <c r="D162" s="164" t="s">
        <v>966</v>
      </c>
      <c r="E162" s="165">
        <v>2.0486111111111113E-3</v>
      </c>
      <c r="F162" s="151" t="s">
        <v>314</v>
      </c>
      <c r="G162" s="151" t="s">
        <v>325</v>
      </c>
      <c r="H162" s="151" t="s">
        <v>315</v>
      </c>
      <c r="I162" s="164" t="s">
        <v>967</v>
      </c>
      <c r="J162" s="164" t="s">
        <v>968</v>
      </c>
      <c r="K162" s="165">
        <v>3.1250000000000001E-4</v>
      </c>
      <c r="L162" s="151" t="s">
        <v>314</v>
      </c>
      <c r="M162" s="151" t="s">
        <v>325</v>
      </c>
      <c r="N162" s="151" t="s">
        <v>316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323</v>
      </c>
      <c r="B163" s="151" t="s">
        <v>324</v>
      </c>
      <c r="C163" s="164" t="s">
        <v>969</v>
      </c>
      <c r="D163" s="164" t="s">
        <v>970</v>
      </c>
      <c r="E163" s="165">
        <v>1.6203703703703703E-3</v>
      </c>
      <c r="F163" s="151" t="s">
        <v>314</v>
      </c>
      <c r="G163" s="151" t="s">
        <v>325</v>
      </c>
      <c r="H163" s="151" t="s">
        <v>315</v>
      </c>
      <c r="I163" s="164" t="s">
        <v>971</v>
      </c>
      <c r="J163" s="164" t="s">
        <v>972</v>
      </c>
      <c r="K163" s="165">
        <v>2.7777777777777778E-4</v>
      </c>
      <c r="L163" s="151" t="s">
        <v>314</v>
      </c>
      <c r="M163" s="151" t="s">
        <v>325</v>
      </c>
      <c r="N163" s="151" t="s">
        <v>316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323</v>
      </c>
      <c r="B164" s="151" t="s">
        <v>324</v>
      </c>
      <c r="C164" s="164" t="s">
        <v>973</v>
      </c>
      <c r="D164" s="164" t="s">
        <v>974</v>
      </c>
      <c r="E164" s="165">
        <v>2.0138888888888888E-3</v>
      </c>
      <c r="F164" s="151" t="s">
        <v>314</v>
      </c>
      <c r="G164" s="151" t="s">
        <v>325</v>
      </c>
      <c r="H164" s="151" t="s">
        <v>315</v>
      </c>
      <c r="I164" s="164" t="s">
        <v>975</v>
      </c>
      <c r="J164" s="164" t="s">
        <v>976</v>
      </c>
      <c r="K164" s="165">
        <v>5.9027777777777778E-4</v>
      </c>
      <c r="L164" s="151" t="s">
        <v>314</v>
      </c>
      <c r="M164" s="151" t="s">
        <v>325</v>
      </c>
      <c r="N164" s="151" t="s">
        <v>316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323</v>
      </c>
      <c r="B165" s="151" t="s">
        <v>324</v>
      </c>
      <c r="C165" s="164" t="s">
        <v>977</v>
      </c>
      <c r="D165" s="164" t="s">
        <v>978</v>
      </c>
      <c r="E165" s="165">
        <v>1.8634259259259259E-3</v>
      </c>
      <c r="F165" s="151" t="s">
        <v>314</v>
      </c>
      <c r="G165" s="151" t="s">
        <v>325</v>
      </c>
      <c r="H165" s="151" t="s">
        <v>315</v>
      </c>
      <c r="I165" s="164" t="s">
        <v>979</v>
      </c>
      <c r="J165" s="164" t="s">
        <v>980</v>
      </c>
      <c r="K165" s="165">
        <v>3.0092592592592595E-4</v>
      </c>
      <c r="L165" s="151" t="s">
        <v>314</v>
      </c>
      <c r="M165" s="151" t="s">
        <v>325</v>
      </c>
      <c r="N165" s="151" t="s">
        <v>316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323</v>
      </c>
      <c r="B166" s="151" t="s">
        <v>324</v>
      </c>
      <c r="C166" s="164" t="s">
        <v>981</v>
      </c>
      <c r="D166" s="164" t="s">
        <v>982</v>
      </c>
      <c r="E166" s="165">
        <v>2.0254629629629629E-3</v>
      </c>
      <c r="F166" s="151" t="s">
        <v>314</v>
      </c>
      <c r="G166" s="151" t="s">
        <v>325</v>
      </c>
      <c r="H166" s="151" t="s">
        <v>315</v>
      </c>
      <c r="I166" s="164" t="s">
        <v>983</v>
      </c>
      <c r="J166" s="164" t="s">
        <v>984</v>
      </c>
      <c r="K166" s="165">
        <v>3.2407407407407406E-4</v>
      </c>
      <c r="L166" s="151" t="s">
        <v>314</v>
      </c>
      <c r="M166" s="151" t="s">
        <v>325</v>
      </c>
      <c r="N166" s="151" t="s">
        <v>316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323</v>
      </c>
      <c r="B167" s="151" t="s">
        <v>324</v>
      </c>
      <c r="C167" s="164" t="s">
        <v>985</v>
      </c>
      <c r="D167" s="164" t="s">
        <v>986</v>
      </c>
      <c r="E167" s="165">
        <v>1.8865740740740742E-3</v>
      </c>
      <c r="F167" s="151" t="s">
        <v>314</v>
      </c>
      <c r="G167" s="151" t="s">
        <v>325</v>
      </c>
      <c r="H167" s="151" t="s">
        <v>315</v>
      </c>
      <c r="I167" s="164" t="s">
        <v>987</v>
      </c>
      <c r="J167" s="164" t="s">
        <v>988</v>
      </c>
      <c r="K167" s="165">
        <v>2.8935185185185184E-4</v>
      </c>
      <c r="L167" s="151" t="s">
        <v>314</v>
      </c>
      <c r="M167" s="151" t="s">
        <v>325</v>
      </c>
      <c r="N167" s="151" t="s">
        <v>316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989</v>
      </c>
      <c r="B168" s="151" t="s">
        <v>326</v>
      </c>
      <c r="C168" s="164" t="s">
        <v>990</v>
      </c>
      <c r="D168" s="164" t="s">
        <v>991</v>
      </c>
      <c r="E168" s="165">
        <v>2.5231481481481481E-3</v>
      </c>
      <c r="F168" s="151" t="s">
        <v>303</v>
      </c>
      <c r="H168" s="151" t="s">
        <v>39</v>
      </c>
      <c r="I168" s="164" t="s">
        <v>992</v>
      </c>
      <c r="J168" s="164" t="s">
        <v>993</v>
      </c>
      <c r="K168" s="165">
        <v>3.7037037037037035E-4</v>
      </c>
      <c r="L168" s="151" t="s">
        <v>319</v>
      </c>
      <c r="N168" s="151" t="s">
        <v>310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989</v>
      </c>
      <c r="B169" s="151" t="s">
        <v>326</v>
      </c>
      <c r="C169" s="164" t="s">
        <v>994</v>
      </c>
      <c r="D169" s="164" t="s">
        <v>995</v>
      </c>
      <c r="E169" s="165">
        <v>1.8749999999999999E-3</v>
      </c>
      <c r="F169" s="151" t="s">
        <v>303</v>
      </c>
      <c r="H169" s="151" t="s">
        <v>47</v>
      </c>
      <c r="I169" s="164" t="s">
        <v>996</v>
      </c>
      <c r="J169" s="164" t="s">
        <v>997</v>
      </c>
      <c r="K169" s="165">
        <v>4.6296296296296298E-4</v>
      </c>
      <c r="L169" s="151" t="s">
        <v>329</v>
      </c>
      <c r="N169" s="151" t="s">
        <v>310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989</v>
      </c>
      <c r="B170" s="151" t="s">
        <v>326</v>
      </c>
      <c r="C170" s="164" t="s">
        <v>998</v>
      </c>
      <c r="D170" s="164" t="s">
        <v>999</v>
      </c>
      <c r="E170" s="165">
        <v>3.4837962962962965E-3</v>
      </c>
      <c r="F170" s="151" t="s">
        <v>303</v>
      </c>
      <c r="H170" s="166" t="s">
        <v>31</v>
      </c>
      <c r="I170" s="164" t="s">
        <v>1000</v>
      </c>
      <c r="J170" s="164" t="s">
        <v>1001</v>
      </c>
      <c r="K170" s="165">
        <v>6.4814814814814813E-4</v>
      </c>
      <c r="L170" s="151" t="s">
        <v>309</v>
      </c>
      <c r="N170" s="151" t="s">
        <v>310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989</v>
      </c>
      <c r="B171" s="151" t="s">
        <v>326</v>
      </c>
      <c r="C171" s="164" t="s">
        <v>1002</v>
      </c>
      <c r="D171" s="164" t="s">
        <v>1003</v>
      </c>
      <c r="E171" s="165">
        <v>4.1435185185185186E-3</v>
      </c>
      <c r="F171" s="151" t="s">
        <v>303</v>
      </c>
      <c r="H171" s="166" t="s">
        <v>31</v>
      </c>
      <c r="I171" s="164" t="s">
        <v>1004</v>
      </c>
      <c r="J171" s="164" t="s">
        <v>1005</v>
      </c>
      <c r="K171" s="165">
        <v>5.2083333333333333E-4</v>
      </c>
      <c r="L171" s="151" t="s">
        <v>309</v>
      </c>
      <c r="N171" s="151" t="s">
        <v>310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989</v>
      </c>
      <c r="B172" s="151" t="s">
        <v>326</v>
      </c>
      <c r="C172" s="164" t="s">
        <v>1006</v>
      </c>
      <c r="D172" s="164" t="s">
        <v>1007</v>
      </c>
      <c r="E172" s="165">
        <v>6.4120370370370373E-3</v>
      </c>
      <c r="F172" s="151" t="s">
        <v>303</v>
      </c>
      <c r="H172" s="166" t="s">
        <v>31</v>
      </c>
      <c r="I172" s="164" t="s">
        <v>1008</v>
      </c>
      <c r="J172" s="164" t="s">
        <v>1009</v>
      </c>
      <c r="K172" s="165">
        <v>5.4398148148148144E-4</v>
      </c>
      <c r="L172" s="151" t="s">
        <v>309</v>
      </c>
      <c r="N172" s="151" t="s">
        <v>310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989</v>
      </c>
      <c r="B173" s="151" t="s">
        <v>326</v>
      </c>
      <c r="C173" s="164" t="s">
        <v>766</v>
      </c>
      <c r="D173" s="164" t="s">
        <v>1010</v>
      </c>
      <c r="E173" s="165">
        <v>3.3796296296296296E-3</v>
      </c>
      <c r="F173" s="151" t="s">
        <v>303</v>
      </c>
      <c r="H173" s="166" t="s">
        <v>31</v>
      </c>
      <c r="I173" s="164" t="s">
        <v>1011</v>
      </c>
      <c r="J173" s="164" t="s">
        <v>1012</v>
      </c>
      <c r="K173" s="165">
        <v>5.7870370370370367E-4</v>
      </c>
      <c r="L173" s="151" t="s">
        <v>309</v>
      </c>
      <c r="N173" s="151" t="s">
        <v>310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989</v>
      </c>
      <c r="B174" s="151" t="s">
        <v>326</v>
      </c>
      <c r="C174" s="164" t="s">
        <v>1013</v>
      </c>
      <c r="D174" s="164" t="s">
        <v>1014</v>
      </c>
      <c r="E174" s="165">
        <v>2.9629629629629628E-3</v>
      </c>
      <c r="F174" s="151" t="s">
        <v>303</v>
      </c>
      <c r="H174" s="166" t="s">
        <v>31</v>
      </c>
      <c r="I174" s="164" t="s">
        <v>1015</v>
      </c>
      <c r="J174" s="164" t="s">
        <v>1016</v>
      </c>
      <c r="K174" s="165">
        <v>6.3657407407407413E-4</v>
      </c>
      <c r="L174" s="151" t="s">
        <v>309</v>
      </c>
      <c r="N174" s="151" t="s">
        <v>310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989</v>
      </c>
      <c r="B175" s="151" t="s">
        <v>326</v>
      </c>
      <c r="C175" s="164" t="s">
        <v>1017</v>
      </c>
      <c r="D175" s="164" t="s">
        <v>1018</v>
      </c>
      <c r="E175" s="165">
        <v>1.9791666666666668E-3</v>
      </c>
      <c r="F175" s="151" t="s">
        <v>303</v>
      </c>
      <c r="H175" s="166" t="s">
        <v>31</v>
      </c>
      <c r="I175" s="164" t="s">
        <v>1019</v>
      </c>
      <c r="J175" s="164" t="s">
        <v>1020</v>
      </c>
      <c r="K175" s="165">
        <v>5.3240740740740744E-4</v>
      </c>
      <c r="L175" s="151" t="s">
        <v>309</v>
      </c>
      <c r="N175" s="151" t="s">
        <v>310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989</v>
      </c>
      <c r="B176" s="151" t="s">
        <v>326</v>
      </c>
      <c r="C176" s="164" t="s">
        <v>1021</v>
      </c>
      <c r="D176" s="164" t="s">
        <v>597</v>
      </c>
      <c r="E176" s="165">
        <v>5.4976851851851853E-3</v>
      </c>
      <c r="F176" s="151" t="s">
        <v>303</v>
      </c>
      <c r="H176" s="166" t="s">
        <v>31</v>
      </c>
      <c r="I176" s="164" t="s">
        <v>1022</v>
      </c>
      <c r="J176" s="164" t="s">
        <v>1023</v>
      </c>
      <c r="K176" s="165">
        <v>5.0925925925925921E-4</v>
      </c>
      <c r="L176" s="151" t="s">
        <v>309</v>
      </c>
      <c r="N176" s="151" t="s">
        <v>310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989</v>
      </c>
      <c r="B177" s="151" t="s">
        <v>326</v>
      </c>
      <c r="C177" s="164" t="s">
        <v>1024</v>
      </c>
      <c r="D177" s="164" t="s">
        <v>1025</v>
      </c>
      <c r="E177" s="165">
        <v>3.7268518518518519E-3</v>
      </c>
      <c r="F177" s="151" t="s">
        <v>303</v>
      </c>
      <c r="H177" s="166" t="s">
        <v>31</v>
      </c>
      <c r="I177" s="164" t="s">
        <v>1026</v>
      </c>
      <c r="J177" s="164" t="s">
        <v>1027</v>
      </c>
      <c r="K177" s="165">
        <v>5.4398148148148144E-4</v>
      </c>
      <c r="L177" s="151" t="s">
        <v>309</v>
      </c>
      <c r="N177" s="151" t="s">
        <v>310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989</v>
      </c>
      <c r="B178" s="151" t="s">
        <v>326</v>
      </c>
      <c r="C178" s="164" t="s">
        <v>1028</v>
      </c>
      <c r="D178" s="164" t="s">
        <v>1029</v>
      </c>
      <c r="E178" s="165">
        <v>3.8310185185185183E-3</v>
      </c>
      <c r="F178" s="151" t="s">
        <v>303</v>
      </c>
      <c r="H178" s="166" t="s">
        <v>31</v>
      </c>
      <c r="I178" s="164" t="s">
        <v>1030</v>
      </c>
      <c r="J178" s="164" t="s">
        <v>1031</v>
      </c>
      <c r="K178" s="165">
        <v>5.2083333333333333E-4</v>
      </c>
      <c r="L178" s="151" t="s">
        <v>309</v>
      </c>
      <c r="N178" s="151" t="s">
        <v>310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989</v>
      </c>
      <c r="B179" s="151" t="s">
        <v>326</v>
      </c>
      <c r="C179" s="164" t="s">
        <v>1032</v>
      </c>
      <c r="D179" s="164" t="s">
        <v>1033</v>
      </c>
      <c r="E179" s="165">
        <v>2.8819444444444444E-3</v>
      </c>
      <c r="F179" s="151" t="s">
        <v>303</v>
      </c>
      <c r="H179" s="151" t="s">
        <v>304</v>
      </c>
      <c r="I179" s="164" t="s">
        <v>1034</v>
      </c>
      <c r="J179" s="164" t="s">
        <v>1035</v>
      </c>
      <c r="K179" s="165">
        <v>5.3240740740740744E-4</v>
      </c>
      <c r="L179" s="151" t="s">
        <v>305</v>
      </c>
      <c r="N179" s="151" t="s">
        <v>306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989</v>
      </c>
      <c r="B180" s="151" t="s">
        <v>326</v>
      </c>
      <c r="C180" s="164" t="s">
        <v>1036</v>
      </c>
      <c r="D180" s="164" t="s">
        <v>1037</v>
      </c>
      <c r="E180" s="165">
        <v>1.1458333333333333E-3</v>
      </c>
      <c r="F180" s="151" t="s">
        <v>303</v>
      </c>
      <c r="H180" s="151" t="s">
        <v>304</v>
      </c>
      <c r="I180" s="164" t="s">
        <v>1038</v>
      </c>
      <c r="J180" s="164" t="s">
        <v>1039</v>
      </c>
      <c r="K180" s="165">
        <v>5.2083333333333333E-4</v>
      </c>
      <c r="L180" s="151" t="s">
        <v>305</v>
      </c>
      <c r="N180" s="151" t="s">
        <v>306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989</v>
      </c>
      <c r="B181" s="151" t="s">
        <v>326</v>
      </c>
      <c r="C181" s="164" t="s">
        <v>1040</v>
      </c>
      <c r="D181" s="164" t="s">
        <v>1041</v>
      </c>
      <c r="E181" s="165">
        <v>1.4004629629629629E-3</v>
      </c>
      <c r="F181" s="151" t="s">
        <v>303</v>
      </c>
      <c r="H181" s="151" t="s">
        <v>304</v>
      </c>
      <c r="I181" s="164" t="s">
        <v>1042</v>
      </c>
      <c r="J181" s="164" t="s">
        <v>1043</v>
      </c>
      <c r="K181" s="165">
        <v>5.6712962962962967E-4</v>
      </c>
      <c r="L181" s="151" t="s">
        <v>305</v>
      </c>
      <c r="N181" s="151" t="s">
        <v>306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989</v>
      </c>
      <c r="B182" s="151" t="s">
        <v>326</v>
      </c>
      <c r="C182" s="164" t="s">
        <v>1044</v>
      </c>
      <c r="D182" s="164" t="s">
        <v>1045</v>
      </c>
      <c r="E182" s="165">
        <v>1.6435185185185185E-3</v>
      </c>
      <c r="F182" s="151" t="s">
        <v>303</v>
      </c>
      <c r="H182" s="151" t="s">
        <v>304</v>
      </c>
      <c r="I182" s="164" t="s">
        <v>1046</v>
      </c>
      <c r="J182" s="164" t="s">
        <v>1047</v>
      </c>
      <c r="K182" s="165">
        <v>2.0833333333333335E-4</v>
      </c>
      <c r="L182" s="151" t="s">
        <v>305</v>
      </c>
      <c r="N182" s="151" t="s">
        <v>306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989</v>
      </c>
      <c r="B183" s="151" t="s">
        <v>326</v>
      </c>
      <c r="C183" s="164" t="s">
        <v>1048</v>
      </c>
      <c r="D183" s="164" t="s">
        <v>1049</v>
      </c>
      <c r="E183" s="165">
        <v>1.2037037037037038E-3</v>
      </c>
      <c r="F183" s="151" t="s">
        <v>303</v>
      </c>
      <c r="H183" s="151" t="s">
        <v>304</v>
      </c>
      <c r="I183" s="164" t="s">
        <v>1050</v>
      </c>
      <c r="J183" s="164" t="s">
        <v>1051</v>
      </c>
      <c r="K183" s="165">
        <v>4.7453703703703704E-4</v>
      </c>
      <c r="L183" s="151" t="s">
        <v>305</v>
      </c>
      <c r="N183" s="151" t="s">
        <v>306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989</v>
      </c>
      <c r="B184" s="151" t="s">
        <v>326</v>
      </c>
      <c r="C184" s="164" t="s">
        <v>1052</v>
      </c>
      <c r="D184" s="164" t="s">
        <v>1053</v>
      </c>
      <c r="E184" s="165">
        <v>1.0879629629629629E-3</v>
      </c>
      <c r="F184" s="151" t="s">
        <v>303</v>
      </c>
      <c r="H184" s="166" t="s">
        <v>304</v>
      </c>
      <c r="I184" s="164" t="s">
        <v>1054</v>
      </c>
      <c r="J184" s="164" t="s">
        <v>1055</v>
      </c>
      <c r="K184" s="165">
        <v>4.1666666666666669E-4</v>
      </c>
      <c r="L184" s="151" t="s">
        <v>305</v>
      </c>
      <c r="N184" s="151" t="s">
        <v>306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989</v>
      </c>
      <c r="B185" s="151" t="s">
        <v>326</v>
      </c>
      <c r="C185" s="164" t="s">
        <v>1056</v>
      </c>
      <c r="D185" s="164" t="s">
        <v>1057</v>
      </c>
      <c r="E185" s="165">
        <v>1.3425925925925925E-3</v>
      </c>
      <c r="F185" s="151" t="s">
        <v>303</v>
      </c>
      <c r="H185" s="151" t="s">
        <v>304</v>
      </c>
      <c r="I185" s="164" t="s">
        <v>1058</v>
      </c>
      <c r="J185" s="164" t="s">
        <v>1059</v>
      </c>
      <c r="K185" s="165">
        <v>1.3773148148148147E-3</v>
      </c>
      <c r="L185" s="151" t="s">
        <v>305</v>
      </c>
      <c r="N185" s="151" t="s">
        <v>306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989</v>
      </c>
      <c r="B186" s="151" t="s">
        <v>326</v>
      </c>
      <c r="C186" s="164" t="s">
        <v>1060</v>
      </c>
      <c r="D186" s="164" t="s">
        <v>1061</v>
      </c>
      <c r="E186" s="165">
        <v>1.2037037037037038E-3</v>
      </c>
      <c r="F186" s="151" t="s">
        <v>303</v>
      </c>
      <c r="H186" s="151" t="s">
        <v>304</v>
      </c>
      <c r="I186" s="164" t="s">
        <v>1062</v>
      </c>
      <c r="J186" s="164" t="s">
        <v>1063</v>
      </c>
      <c r="K186" s="165">
        <v>4.5138888888888887E-4</v>
      </c>
      <c r="L186" s="151" t="s">
        <v>305</v>
      </c>
      <c r="N186" s="151" t="s">
        <v>306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989</v>
      </c>
      <c r="B187" s="151" t="s">
        <v>326</v>
      </c>
      <c r="C187" s="164" t="s">
        <v>1064</v>
      </c>
      <c r="D187" s="164" t="s">
        <v>1065</v>
      </c>
      <c r="E187" s="165">
        <v>1.4814814814814814E-3</v>
      </c>
      <c r="F187" s="151" t="s">
        <v>303</v>
      </c>
      <c r="H187" s="151" t="s">
        <v>304</v>
      </c>
      <c r="I187" s="164" t="s">
        <v>1066</v>
      </c>
      <c r="J187" s="164" t="s">
        <v>1067</v>
      </c>
      <c r="K187" s="165">
        <v>5.0925925925925921E-4</v>
      </c>
      <c r="L187" s="151" t="s">
        <v>305</v>
      </c>
      <c r="N187" s="151" t="s">
        <v>306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989</v>
      </c>
      <c r="B188" s="151" t="s">
        <v>326</v>
      </c>
      <c r="C188" s="164" t="s">
        <v>1068</v>
      </c>
      <c r="D188" s="164" t="s">
        <v>1069</v>
      </c>
      <c r="E188" s="165">
        <v>1.1226851851851851E-3</v>
      </c>
      <c r="F188" s="151" t="s">
        <v>303</v>
      </c>
      <c r="H188" s="151" t="s">
        <v>304</v>
      </c>
      <c r="I188" s="164" t="s">
        <v>1070</v>
      </c>
      <c r="J188" s="164" t="s">
        <v>1071</v>
      </c>
      <c r="K188" s="165">
        <v>4.9768518518518521E-4</v>
      </c>
      <c r="L188" s="151" t="s">
        <v>305</v>
      </c>
      <c r="N188" s="151" t="s">
        <v>306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989</v>
      </c>
      <c r="B189" s="151" t="s">
        <v>326</v>
      </c>
      <c r="C189" s="164" t="s">
        <v>1072</v>
      </c>
      <c r="D189" s="164" t="s">
        <v>1073</v>
      </c>
      <c r="E189" s="165">
        <v>1.9907407407407408E-3</v>
      </c>
      <c r="F189" s="151" t="s">
        <v>303</v>
      </c>
      <c r="H189" s="151" t="s">
        <v>304</v>
      </c>
      <c r="I189" s="164" t="s">
        <v>1074</v>
      </c>
      <c r="J189" s="164" t="s">
        <v>1075</v>
      </c>
      <c r="K189" s="165">
        <v>5.7870370370370367E-4</v>
      </c>
      <c r="L189" s="151" t="s">
        <v>305</v>
      </c>
      <c r="N189" s="151" t="s">
        <v>306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327</v>
      </c>
      <c r="B190" s="151" t="s">
        <v>328</v>
      </c>
      <c r="C190" s="164" t="s">
        <v>1076</v>
      </c>
      <c r="D190" s="164" t="s">
        <v>1077</v>
      </c>
      <c r="E190" s="165">
        <v>3.1944444444444446E-3</v>
      </c>
      <c r="F190" s="151" t="s">
        <v>303</v>
      </c>
      <c r="H190" s="151" t="s">
        <v>31</v>
      </c>
      <c r="I190" s="164" t="s">
        <v>1078</v>
      </c>
      <c r="J190" s="164" t="s">
        <v>1079</v>
      </c>
      <c r="K190" s="165">
        <v>2.8935185185185184E-4</v>
      </c>
      <c r="L190" s="151" t="s">
        <v>309</v>
      </c>
      <c r="N190" s="151" t="s">
        <v>310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327</v>
      </c>
      <c r="B191" s="151" t="s">
        <v>328</v>
      </c>
      <c r="C191" s="164" t="s">
        <v>1080</v>
      </c>
      <c r="D191" s="164" t="s">
        <v>1081</v>
      </c>
      <c r="E191" s="165">
        <v>1.9560185185185184E-3</v>
      </c>
      <c r="F191" s="151" t="s">
        <v>303</v>
      </c>
      <c r="H191" s="151" t="s">
        <v>39</v>
      </c>
      <c r="I191" s="164" t="s">
        <v>1082</v>
      </c>
      <c r="J191" s="164" t="s">
        <v>1083</v>
      </c>
      <c r="K191" s="165">
        <v>3.8194444444444446E-4</v>
      </c>
      <c r="L191" s="151" t="s">
        <v>319</v>
      </c>
      <c r="N191" s="151" t="s">
        <v>310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327</v>
      </c>
      <c r="B192" s="151" t="s">
        <v>328</v>
      </c>
      <c r="C192" s="164" t="s">
        <v>1084</v>
      </c>
      <c r="D192" s="164" t="s">
        <v>744</v>
      </c>
      <c r="E192" s="165">
        <v>1.9907407407407408E-3</v>
      </c>
      <c r="F192" s="151" t="s">
        <v>303</v>
      </c>
      <c r="H192" s="151" t="s">
        <v>47</v>
      </c>
      <c r="I192" s="164" t="s">
        <v>1085</v>
      </c>
      <c r="J192" s="164" t="s">
        <v>1086</v>
      </c>
      <c r="K192" s="165">
        <v>1.8518518518518518E-4</v>
      </c>
      <c r="L192" s="151" t="s">
        <v>329</v>
      </c>
      <c r="N192" s="151" t="s">
        <v>310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327</v>
      </c>
      <c r="B193" s="151" t="s">
        <v>328</v>
      </c>
      <c r="C193" s="164" t="s">
        <v>1087</v>
      </c>
      <c r="D193" s="164" t="s">
        <v>1088</v>
      </c>
      <c r="E193" s="165">
        <v>2.9513888888888888E-3</v>
      </c>
      <c r="F193" s="151" t="s">
        <v>303</v>
      </c>
      <c r="H193" s="151" t="s">
        <v>31</v>
      </c>
      <c r="I193" s="164" t="s">
        <v>1089</v>
      </c>
      <c r="K193" s="165">
        <v>0</v>
      </c>
      <c r="L193" s="151" t="s">
        <v>309</v>
      </c>
      <c r="N193" s="151" t="s">
        <v>310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327</v>
      </c>
      <c r="B194" s="151" t="s">
        <v>328</v>
      </c>
      <c r="C194" s="164" t="s">
        <v>1090</v>
      </c>
      <c r="D194" s="164" t="s">
        <v>1091</v>
      </c>
      <c r="E194" s="165">
        <v>5.8217592592592592E-3</v>
      </c>
      <c r="F194" s="151" t="s">
        <v>303</v>
      </c>
      <c r="H194" s="151" t="s">
        <v>31</v>
      </c>
      <c r="I194" s="164" t="s">
        <v>1092</v>
      </c>
      <c r="J194" s="164" t="s">
        <v>1093</v>
      </c>
      <c r="K194" s="165">
        <v>2.7777777777777778E-4</v>
      </c>
      <c r="L194" s="151" t="s">
        <v>309</v>
      </c>
      <c r="N194" s="151" t="s">
        <v>310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327</v>
      </c>
      <c r="B195" s="151" t="s">
        <v>328</v>
      </c>
      <c r="C195" s="164" t="s">
        <v>1094</v>
      </c>
      <c r="D195" s="164" t="s">
        <v>1095</v>
      </c>
      <c r="E195" s="165">
        <v>2.1990740740740742E-3</v>
      </c>
      <c r="F195" s="151" t="s">
        <v>303</v>
      </c>
      <c r="H195" s="151" t="s">
        <v>304</v>
      </c>
      <c r="I195" s="164" t="s">
        <v>1096</v>
      </c>
      <c r="J195" s="164" t="s">
        <v>1097</v>
      </c>
      <c r="K195" s="165">
        <v>2.0833333333333335E-4</v>
      </c>
      <c r="L195" s="151" t="s">
        <v>305</v>
      </c>
      <c r="N195" s="151" t="s">
        <v>306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327</v>
      </c>
      <c r="B196" s="151" t="s">
        <v>328</v>
      </c>
      <c r="C196" s="164" t="s">
        <v>1098</v>
      </c>
      <c r="D196" s="164" t="s">
        <v>1099</v>
      </c>
      <c r="E196" s="165">
        <v>3.6805555555555554E-3</v>
      </c>
      <c r="F196" s="151" t="s">
        <v>303</v>
      </c>
      <c r="H196" s="151" t="s">
        <v>31</v>
      </c>
      <c r="I196" s="164" t="s">
        <v>1100</v>
      </c>
      <c r="J196" s="164" t="s">
        <v>1101</v>
      </c>
      <c r="K196" s="165">
        <v>2.8935185185185184E-4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327</v>
      </c>
      <c r="B197" s="151" t="s">
        <v>328</v>
      </c>
      <c r="C197" s="164" t="s">
        <v>1102</v>
      </c>
      <c r="D197" s="164" t="s">
        <v>1103</v>
      </c>
      <c r="E197" s="165">
        <v>1.238425925925926E-3</v>
      </c>
      <c r="F197" s="151" t="s">
        <v>303</v>
      </c>
      <c r="H197" s="151" t="s">
        <v>304</v>
      </c>
      <c r="I197" s="164" t="s">
        <v>1104</v>
      </c>
      <c r="J197" s="164" t="s">
        <v>1105</v>
      </c>
      <c r="K197" s="165">
        <v>6.5972222222222224E-4</v>
      </c>
      <c r="L197" s="151" t="s">
        <v>305</v>
      </c>
      <c r="N197" s="151" t="s">
        <v>306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327</v>
      </c>
      <c r="B198" s="151" t="s">
        <v>328</v>
      </c>
      <c r="C198" s="164" t="s">
        <v>1106</v>
      </c>
      <c r="D198" s="164" t="s">
        <v>1107</v>
      </c>
      <c r="E198" s="165">
        <v>2.0254629629629629E-3</v>
      </c>
      <c r="F198" s="151" t="s">
        <v>303</v>
      </c>
      <c r="H198" s="151" t="s">
        <v>31</v>
      </c>
      <c r="J198" s="164" t="s">
        <v>1108</v>
      </c>
      <c r="K198" s="165">
        <v>0</v>
      </c>
      <c r="L198" s="151" t="s">
        <v>309</v>
      </c>
      <c r="M198" s="151" t="s">
        <v>333</v>
      </c>
      <c r="N198" s="151" t="s">
        <v>310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327</v>
      </c>
      <c r="B199" s="151" t="s">
        <v>328</v>
      </c>
      <c r="C199" s="164" t="s">
        <v>1109</v>
      </c>
      <c r="D199" s="164" t="s">
        <v>1110</v>
      </c>
      <c r="E199" s="165">
        <v>1.5856481481481481E-3</v>
      </c>
      <c r="F199" s="151" t="s">
        <v>303</v>
      </c>
      <c r="H199" s="151" t="s">
        <v>304</v>
      </c>
      <c r="I199" s="164" t="s">
        <v>582</v>
      </c>
      <c r="J199" s="164" t="s">
        <v>1111</v>
      </c>
      <c r="K199" s="165">
        <v>8.2175925925925927E-4</v>
      </c>
      <c r="L199" s="151" t="s">
        <v>305</v>
      </c>
      <c r="N199" s="151" t="s">
        <v>306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327</v>
      </c>
      <c r="B200" s="151" t="s">
        <v>328</v>
      </c>
      <c r="C200" s="164" t="s">
        <v>1112</v>
      </c>
      <c r="D200" s="164" t="s">
        <v>1113</v>
      </c>
      <c r="E200" s="165">
        <v>5.2893518518518515E-3</v>
      </c>
      <c r="F200" s="151" t="s">
        <v>303</v>
      </c>
      <c r="H200" s="151" t="s">
        <v>31</v>
      </c>
      <c r="I200" s="164" t="s">
        <v>464</v>
      </c>
      <c r="J200" s="164" t="s">
        <v>1114</v>
      </c>
      <c r="K200" s="165">
        <v>2.8935185185185184E-4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327</v>
      </c>
      <c r="B201" s="151" t="s">
        <v>328</v>
      </c>
      <c r="C201" s="164" t="s">
        <v>1115</v>
      </c>
      <c r="D201" s="164" t="s">
        <v>1116</v>
      </c>
      <c r="E201" s="165">
        <v>3.425925925925926E-3</v>
      </c>
      <c r="F201" s="151" t="s">
        <v>303</v>
      </c>
      <c r="H201" s="151" t="s">
        <v>31</v>
      </c>
      <c r="I201" s="164" t="s">
        <v>1117</v>
      </c>
      <c r="J201" s="164" t="s">
        <v>1118</v>
      </c>
      <c r="K201" s="165">
        <v>3.0092592592592595E-4</v>
      </c>
      <c r="L201" s="151" t="s">
        <v>309</v>
      </c>
      <c r="N201" s="151" t="s">
        <v>310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327</v>
      </c>
      <c r="B202" s="151" t="s">
        <v>328</v>
      </c>
      <c r="C202" s="164" t="s">
        <v>1119</v>
      </c>
      <c r="D202" s="164" t="s">
        <v>1120</v>
      </c>
      <c r="E202" s="165">
        <v>1.8634259259259259E-3</v>
      </c>
      <c r="F202" s="151" t="s">
        <v>303</v>
      </c>
      <c r="H202" s="151" t="s">
        <v>304</v>
      </c>
      <c r="I202" s="164" t="s">
        <v>1121</v>
      </c>
      <c r="J202" s="164" t="s">
        <v>1122</v>
      </c>
      <c r="K202" s="165">
        <v>4.3981481481481481E-4</v>
      </c>
      <c r="L202" s="151" t="s">
        <v>305</v>
      </c>
      <c r="N202" s="151" t="s">
        <v>306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327</v>
      </c>
      <c r="B203" s="151" t="s">
        <v>328</v>
      </c>
      <c r="C203" s="164" t="s">
        <v>1123</v>
      </c>
      <c r="D203" s="164" t="s">
        <v>1124</v>
      </c>
      <c r="E203" s="165">
        <v>1.0995370370370371E-3</v>
      </c>
      <c r="F203" s="151" t="s">
        <v>303</v>
      </c>
      <c r="H203" s="151" t="s">
        <v>304</v>
      </c>
      <c r="I203" s="164" t="s">
        <v>1125</v>
      </c>
      <c r="J203" s="164" t="s">
        <v>1126</v>
      </c>
      <c r="K203" s="165">
        <v>2.5462962962962961E-4</v>
      </c>
      <c r="L203" s="151" t="s">
        <v>305</v>
      </c>
      <c r="N203" s="151" t="s">
        <v>306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327</v>
      </c>
      <c r="B204" s="151" t="s">
        <v>328</v>
      </c>
      <c r="C204" s="164" t="s">
        <v>1127</v>
      </c>
      <c r="D204" s="164" t="s">
        <v>1128</v>
      </c>
      <c r="E204" s="165">
        <v>4.31712962962963E-3</v>
      </c>
      <c r="F204" s="151" t="s">
        <v>303</v>
      </c>
      <c r="H204" s="151" t="s">
        <v>31</v>
      </c>
      <c r="I204" s="164" t="s">
        <v>1129</v>
      </c>
      <c r="J204" s="164" t="s">
        <v>1130</v>
      </c>
      <c r="K204" s="165">
        <v>2.7777777777777778E-4</v>
      </c>
      <c r="L204" s="151" t="s">
        <v>309</v>
      </c>
      <c r="N204" s="151" t="s">
        <v>310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327</v>
      </c>
      <c r="B205" s="151" t="s">
        <v>328</v>
      </c>
      <c r="C205" s="164" t="s">
        <v>1131</v>
      </c>
      <c r="D205" s="164" t="s">
        <v>1132</v>
      </c>
      <c r="E205" s="165">
        <v>1.0416666666666667E-4</v>
      </c>
      <c r="F205" s="151" t="s">
        <v>303</v>
      </c>
      <c r="H205" s="151" t="s">
        <v>31</v>
      </c>
      <c r="I205" s="164" t="s">
        <v>1133</v>
      </c>
      <c r="J205" s="164" t="s">
        <v>1134</v>
      </c>
      <c r="K205" s="165">
        <v>3.1250000000000001E-4</v>
      </c>
      <c r="L205" s="151" t="s">
        <v>309</v>
      </c>
      <c r="N205" s="151" t="s">
        <v>310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327</v>
      </c>
      <c r="B206" s="151" t="s">
        <v>328</v>
      </c>
      <c r="C206" s="164" t="s">
        <v>1135</v>
      </c>
      <c r="D206" s="164" t="s">
        <v>1136</v>
      </c>
      <c r="E206" s="165">
        <v>6.0648148148148145E-3</v>
      </c>
      <c r="F206" s="151" t="s">
        <v>303</v>
      </c>
      <c r="H206" s="151" t="s">
        <v>31</v>
      </c>
      <c r="I206" s="164" t="s">
        <v>1137</v>
      </c>
      <c r="J206" s="164" t="s">
        <v>1138</v>
      </c>
      <c r="K206" s="165">
        <v>3.0092592592592595E-4</v>
      </c>
      <c r="L206" s="151" t="s">
        <v>309</v>
      </c>
      <c r="N206" s="151" t="s">
        <v>310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327</v>
      </c>
      <c r="B207" s="151" t="s">
        <v>328</v>
      </c>
      <c r="C207" s="164" t="s">
        <v>1139</v>
      </c>
      <c r="D207" s="164" t="s">
        <v>1140</v>
      </c>
      <c r="E207" s="165">
        <v>5.4282407407407404E-3</v>
      </c>
      <c r="F207" s="151" t="s">
        <v>303</v>
      </c>
      <c r="H207" s="151" t="s">
        <v>31</v>
      </c>
      <c r="I207" s="164" t="s">
        <v>1141</v>
      </c>
      <c r="J207" s="164" t="s">
        <v>1142</v>
      </c>
      <c r="K207" s="165">
        <v>6.8287037037037036E-4</v>
      </c>
      <c r="L207" s="151" t="s">
        <v>309</v>
      </c>
      <c r="N207" s="151" t="s">
        <v>310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327</v>
      </c>
      <c r="B208" s="151" t="s">
        <v>328</v>
      </c>
      <c r="C208" s="164" t="s">
        <v>1143</v>
      </c>
      <c r="D208" s="164" t="s">
        <v>1144</v>
      </c>
      <c r="E208" s="165">
        <v>3.7731481481481483E-3</v>
      </c>
      <c r="F208" s="151" t="s">
        <v>303</v>
      </c>
      <c r="H208" s="151" t="s">
        <v>31</v>
      </c>
      <c r="I208" s="164" t="s">
        <v>953</v>
      </c>
      <c r="J208" s="164" t="s">
        <v>1145</v>
      </c>
      <c r="K208" s="165">
        <v>3.2407407407407406E-4</v>
      </c>
      <c r="L208" s="151" t="s">
        <v>309</v>
      </c>
      <c r="N208" s="151" t="s">
        <v>310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330</v>
      </c>
      <c r="B209" s="151" t="s">
        <v>321</v>
      </c>
      <c r="C209" s="164" t="s">
        <v>1146</v>
      </c>
      <c r="D209" s="164" t="s">
        <v>1147</v>
      </c>
      <c r="E209" s="165">
        <v>1.2037037037037038E-3</v>
      </c>
      <c r="F209" s="151" t="s">
        <v>303</v>
      </c>
      <c r="H209" s="151" t="s">
        <v>304</v>
      </c>
      <c r="I209" s="164" t="s">
        <v>1148</v>
      </c>
      <c r="J209" s="164" t="s">
        <v>1149</v>
      </c>
      <c r="K209" s="165">
        <v>6.134259259259259E-4</v>
      </c>
      <c r="L209" s="151" t="s">
        <v>305</v>
      </c>
      <c r="N209" s="151" t="s">
        <v>306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330</v>
      </c>
      <c r="B210" s="151" t="s">
        <v>321</v>
      </c>
      <c r="C210" s="164" t="s">
        <v>1150</v>
      </c>
      <c r="D210" s="164" t="s">
        <v>1151</v>
      </c>
      <c r="E210" s="165">
        <v>1.3541666666666667E-3</v>
      </c>
      <c r="F210" s="151" t="s">
        <v>303</v>
      </c>
      <c r="H210" s="151" t="s">
        <v>304</v>
      </c>
      <c r="I210" s="164" t="s">
        <v>1152</v>
      </c>
      <c r="J210" s="164" t="s">
        <v>1153</v>
      </c>
      <c r="K210" s="165">
        <v>6.7129629629629625E-4</v>
      </c>
      <c r="L210" s="151" t="s">
        <v>305</v>
      </c>
      <c r="N210" s="151" t="s">
        <v>306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330</v>
      </c>
      <c r="B211" s="151" t="s">
        <v>321</v>
      </c>
      <c r="C211" s="164" t="s">
        <v>1154</v>
      </c>
      <c r="D211" s="164" t="s">
        <v>1155</v>
      </c>
      <c r="E211" s="165">
        <v>3.1250000000000002E-3</v>
      </c>
      <c r="F211" s="151" t="s">
        <v>303</v>
      </c>
      <c r="H211" s="151" t="s">
        <v>31</v>
      </c>
      <c r="I211" s="164" t="s">
        <v>1156</v>
      </c>
      <c r="J211" s="164" t="s">
        <v>1157</v>
      </c>
      <c r="K211" s="165">
        <v>8.3333333333333339E-4</v>
      </c>
      <c r="L211" s="151" t="s">
        <v>309</v>
      </c>
      <c r="N211" s="151" t="s">
        <v>310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330</v>
      </c>
      <c r="B212" s="151" t="s">
        <v>321</v>
      </c>
      <c r="C212" s="164" t="s">
        <v>1158</v>
      </c>
      <c r="D212" s="164" t="s">
        <v>1159</v>
      </c>
      <c r="E212" s="165">
        <v>9.7222222222222219E-4</v>
      </c>
      <c r="F212" s="151" t="s">
        <v>303</v>
      </c>
      <c r="H212" s="151" t="s">
        <v>304</v>
      </c>
      <c r="I212" s="164" t="s">
        <v>1160</v>
      </c>
      <c r="J212" s="164" t="s">
        <v>1161</v>
      </c>
      <c r="K212" s="165">
        <v>7.1759259259259259E-4</v>
      </c>
      <c r="L212" s="151" t="s">
        <v>305</v>
      </c>
      <c r="N212" s="151" t="s">
        <v>306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330</v>
      </c>
      <c r="B213" s="151" t="s">
        <v>321</v>
      </c>
      <c r="C213" s="164" t="s">
        <v>1162</v>
      </c>
      <c r="D213" s="164" t="s">
        <v>1163</v>
      </c>
      <c r="E213" s="165">
        <v>1.3310185185185185E-3</v>
      </c>
      <c r="F213" s="151" t="s">
        <v>303</v>
      </c>
      <c r="H213" s="151" t="s">
        <v>304</v>
      </c>
      <c r="I213" s="164" t="s">
        <v>1164</v>
      </c>
      <c r="J213" s="164" t="s">
        <v>1165</v>
      </c>
      <c r="K213" s="165">
        <v>7.9861111111111116E-4</v>
      </c>
      <c r="L213" s="151" t="s">
        <v>305</v>
      </c>
      <c r="N213" s="151" t="s">
        <v>306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330</v>
      </c>
      <c r="B214" s="151" t="s">
        <v>321</v>
      </c>
      <c r="C214" s="164" t="s">
        <v>1166</v>
      </c>
      <c r="D214" s="164" t="s">
        <v>1167</v>
      </c>
      <c r="E214" s="165">
        <v>4.3518518518518515E-3</v>
      </c>
      <c r="F214" s="151" t="s">
        <v>303</v>
      </c>
      <c r="H214" s="151" t="s">
        <v>31</v>
      </c>
      <c r="I214" s="164" t="s">
        <v>1168</v>
      </c>
      <c r="J214" s="164" t="s">
        <v>1169</v>
      </c>
      <c r="K214" s="165">
        <v>5.7870370370370367E-4</v>
      </c>
      <c r="L214" s="151" t="s">
        <v>309</v>
      </c>
      <c r="N214" s="151" t="s">
        <v>310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330</v>
      </c>
      <c r="B215" s="151" t="s">
        <v>321</v>
      </c>
      <c r="C215" s="164" t="s">
        <v>1170</v>
      </c>
      <c r="D215" s="164" t="s">
        <v>1171</v>
      </c>
      <c r="E215" s="165">
        <v>7.0601851851851847E-4</v>
      </c>
      <c r="F215" s="151" t="s">
        <v>303</v>
      </c>
      <c r="H215" s="151" t="s">
        <v>304</v>
      </c>
      <c r="I215" s="164" t="s">
        <v>1172</v>
      </c>
      <c r="J215" s="164" t="s">
        <v>1173</v>
      </c>
      <c r="K215" s="165">
        <v>5.6712962962962967E-4</v>
      </c>
      <c r="L215" s="151" t="s">
        <v>305</v>
      </c>
      <c r="N215" s="151" t="s">
        <v>306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330</v>
      </c>
      <c r="B216" s="151" t="s">
        <v>321</v>
      </c>
      <c r="C216" s="164" t="s">
        <v>1174</v>
      </c>
      <c r="D216" s="164" t="s">
        <v>1175</v>
      </c>
      <c r="E216" s="165">
        <v>8.7962962962962962E-4</v>
      </c>
      <c r="F216" s="151" t="s">
        <v>303</v>
      </c>
      <c r="H216" s="151" t="s">
        <v>304</v>
      </c>
      <c r="I216" s="164" t="s">
        <v>1176</v>
      </c>
      <c r="J216" s="164" t="s">
        <v>1177</v>
      </c>
      <c r="K216" s="165">
        <v>6.134259259259259E-4</v>
      </c>
      <c r="L216" s="151" t="s">
        <v>305</v>
      </c>
      <c r="N216" s="151" t="s">
        <v>306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330</v>
      </c>
      <c r="B217" s="151" t="s">
        <v>321</v>
      </c>
      <c r="C217" s="164" t="s">
        <v>1178</v>
      </c>
      <c r="D217" s="164" t="s">
        <v>1179</v>
      </c>
      <c r="E217" s="165">
        <v>1.25E-3</v>
      </c>
      <c r="F217" s="151" t="s">
        <v>303</v>
      </c>
      <c r="H217" s="151" t="s">
        <v>304</v>
      </c>
      <c r="I217" s="164" t="s">
        <v>1180</v>
      </c>
      <c r="J217" s="164" t="s">
        <v>1181</v>
      </c>
      <c r="K217" s="165">
        <v>5.9027777777777778E-4</v>
      </c>
      <c r="L217" s="151" t="s">
        <v>305</v>
      </c>
      <c r="N217" s="151" t="s">
        <v>306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330</v>
      </c>
      <c r="B218" s="151" t="s">
        <v>321</v>
      </c>
      <c r="C218" s="164" t="s">
        <v>1145</v>
      </c>
      <c r="D218" s="164" t="s">
        <v>1182</v>
      </c>
      <c r="E218" s="165">
        <v>1.6087962962962963E-3</v>
      </c>
      <c r="F218" s="151" t="s">
        <v>303</v>
      </c>
      <c r="H218" s="151" t="s">
        <v>304</v>
      </c>
      <c r="I218" s="164" t="s">
        <v>1183</v>
      </c>
      <c r="J218" s="164" t="s">
        <v>1184</v>
      </c>
      <c r="K218" s="165">
        <v>5.5555555555555556E-4</v>
      </c>
      <c r="L218" s="151" t="s">
        <v>305</v>
      </c>
      <c r="N218" s="151" t="s">
        <v>306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330</v>
      </c>
      <c r="B219" s="151" t="s">
        <v>321</v>
      </c>
      <c r="C219" s="164" t="s">
        <v>1185</v>
      </c>
      <c r="D219" s="164" t="s">
        <v>1186</v>
      </c>
      <c r="E219" s="165">
        <v>1.0532407407407407E-3</v>
      </c>
      <c r="F219" s="151" t="s">
        <v>303</v>
      </c>
      <c r="H219" s="151" t="s">
        <v>304</v>
      </c>
      <c r="I219" s="164" t="s">
        <v>1187</v>
      </c>
      <c r="J219" s="164" t="s">
        <v>1188</v>
      </c>
      <c r="K219" s="165">
        <v>6.7129629629629625E-4</v>
      </c>
      <c r="L219" s="151" t="s">
        <v>305</v>
      </c>
      <c r="N219" s="151" t="s">
        <v>306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330</v>
      </c>
      <c r="B220" s="151" t="s">
        <v>321</v>
      </c>
      <c r="C220" s="164" t="s">
        <v>1189</v>
      </c>
      <c r="D220" s="164" t="s">
        <v>1190</v>
      </c>
      <c r="E220" s="165">
        <v>1.4120370370370369E-3</v>
      </c>
      <c r="F220" s="151" t="s">
        <v>303</v>
      </c>
      <c r="H220" s="151" t="s">
        <v>304</v>
      </c>
      <c r="I220" s="164" t="s">
        <v>1191</v>
      </c>
      <c r="J220" s="164" t="s">
        <v>1192</v>
      </c>
      <c r="K220" s="165">
        <v>6.9444444444444447E-4</v>
      </c>
      <c r="L220" s="151" t="s">
        <v>305</v>
      </c>
      <c r="N220" s="151" t="s">
        <v>306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330</v>
      </c>
      <c r="B221" s="151" t="s">
        <v>321</v>
      </c>
      <c r="C221" s="164" t="s">
        <v>1193</v>
      </c>
      <c r="D221" s="164" t="s">
        <v>1194</v>
      </c>
      <c r="E221" s="165">
        <v>3.4953703703703705E-3</v>
      </c>
      <c r="F221" s="151" t="s">
        <v>303</v>
      </c>
      <c r="H221" s="151" t="s">
        <v>31</v>
      </c>
      <c r="I221" s="164" t="s">
        <v>1195</v>
      </c>
      <c r="J221" s="164" t="s">
        <v>1196</v>
      </c>
      <c r="K221" s="165">
        <v>4.6296296296296298E-4</v>
      </c>
      <c r="L221" s="151" t="s">
        <v>309</v>
      </c>
      <c r="N221" s="151" t="s">
        <v>310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330</v>
      </c>
      <c r="B222" s="151" t="s">
        <v>321</v>
      </c>
      <c r="C222" s="164" t="s">
        <v>1197</v>
      </c>
      <c r="D222" s="164" t="s">
        <v>1198</v>
      </c>
      <c r="E222" s="165">
        <v>1.6203703703703703E-3</v>
      </c>
      <c r="F222" s="151" t="s">
        <v>303</v>
      </c>
      <c r="H222" s="151" t="s">
        <v>31</v>
      </c>
      <c r="I222" s="164" t="s">
        <v>1199</v>
      </c>
      <c r="J222" s="164" t="s">
        <v>1200</v>
      </c>
      <c r="K222" s="165">
        <v>6.5972222222222224E-4</v>
      </c>
      <c r="L222" s="151" t="s">
        <v>309</v>
      </c>
      <c r="N222" s="151" t="s">
        <v>310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331</v>
      </c>
      <c r="B223" s="151" t="s">
        <v>332</v>
      </c>
      <c r="C223" s="164" t="s">
        <v>1201</v>
      </c>
      <c r="D223" s="164" t="s">
        <v>1202</v>
      </c>
      <c r="E223" s="165">
        <v>1.8865740740740742E-3</v>
      </c>
      <c r="F223" s="151" t="s">
        <v>303</v>
      </c>
      <c r="H223" s="151" t="s">
        <v>304</v>
      </c>
      <c r="I223" s="164" t="s">
        <v>1203</v>
      </c>
      <c r="J223" s="164" t="s">
        <v>1204</v>
      </c>
      <c r="K223" s="165">
        <v>5.6712962962962967E-4</v>
      </c>
      <c r="L223" s="151" t="s">
        <v>305</v>
      </c>
      <c r="N223" s="151" t="s">
        <v>306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331</v>
      </c>
      <c r="B224" s="151" t="s">
        <v>332</v>
      </c>
      <c r="C224" s="164" t="s">
        <v>1205</v>
      </c>
      <c r="D224" s="164" t="s">
        <v>1206</v>
      </c>
      <c r="E224" s="165">
        <v>1.4236111111111112E-3</v>
      </c>
      <c r="F224" s="151" t="s">
        <v>303</v>
      </c>
      <c r="H224" s="151" t="s">
        <v>304</v>
      </c>
      <c r="I224" s="164" t="s">
        <v>1207</v>
      </c>
      <c r="J224" s="164" t="s">
        <v>1208</v>
      </c>
      <c r="K224" s="165">
        <v>8.564814814814815E-4</v>
      </c>
      <c r="L224" s="151" t="s">
        <v>305</v>
      </c>
      <c r="N224" s="151" t="s">
        <v>306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331</v>
      </c>
      <c r="B225" s="151" t="s">
        <v>332</v>
      </c>
      <c r="C225" s="164" t="s">
        <v>1209</v>
      </c>
      <c r="D225" s="164" t="s">
        <v>1210</v>
      </c>
      <c r="E225" s="165">
        <v>1.8287037037037037E-3</v>
      </c>
      <c r="F225" s="151" t="s">
        <v>303</v>
      </c>
      <c r="H225" s="151" t="s">
        <v>304</v>
      </c>
      <c r="I225" s="164" t="s">
        <v>1211</v>
      </c>
      <c r="J225" s="164" t="s">
        <v>1212</v>
      </c>
      <c r="K225" s="165">
        <v>6.3657407407407413E-4</v>
      </c>
      <c r="L225" s="151" t="s">
        <v>305</v>
      </c>
      <c r="N225" s="151" t="s">
        <v>306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331</v>
      </c>
      <c r="B226" s="151" t="s">
        <v>332</v>
      </c>
      <c r="C226" s="164" t="s">
        <v>1213</v>
      </c>
      <c r="D226" s="164" t="s">
        <v>1214</v>
      </c>
      <c r="E226" s="165">
        <v>1.1805555555555556E-3</v>
      </c>
      <c r="F226" s="151" t="s">
        <v>303</v>
      </c>
      <c r="H226" s="151" t="s">
        <v>304</v>
      </c>
      <c r="I226" s="164" t="s">
        <v>1215</v>
      </c>
      <c r="J226" s="164" t="s">
        <v>1216</v>
      </c>
      <c r="K226" s="165">
        <v>6.7129629629629625E-4</v>
      </c>
      <c r="L226" s="151" t="s">
        <v>305</v>
      </c>
      <c r="N226" s="151" t="s">
        <v>306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331</v>
      </c>
      <c r="B227" s="151" t="s">
        <v>332</v>
      </c>
      <c r="C227" s="164" t="s">
        <v>1217</v>
      </c>
      <c r="D227" s="164" t="s">
        <v>1218</v>
      </c>
      <c r="E227" s="165">
        <v>2.476851851851852E-3</v>
      </c>
      <c r="F227" s="151" t="s">
        <v>303</v>
      </c>
      <c r="H227" s="151" t="s">
        <v>304</v>
      </c>
      <c r="I227" s="164" t="s">
        <v>1219</v>
      </c>
      <c r="J227" s="164" t="s">
        <v>1220</v>
      </c>
      <c r="K227" s="165">
        <v>7.1759259259259259E-4</v>
      </c>
      <c r="L227" s="151" t="s">
        <v>305</v>
      </c>
      <c r="N227" s="151" t="s">
        <v>306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331</v>
      </c>
      <c r="B228" s="151" t="s">
        <v>332</v>
      </c>
      <c r="C228" s="164" t="s">
        <v>1221</v>
      </c>
      <c r="D228" s="164" t="s">
        <v>1222</v>
      </c>
      <c r="E228" s="165">
        <v>1.3425925925925925E-3</v>
      </c>
      <c r="F228" s="151" t="s">
        <v>303</v>
      </c>
      <c r="H228" s="151" t="s">
        <v>304</v>
      </c>
      <c r="I228" s="164" t="s">
        <v>1223</v>
      </c>
      <c r="J228" s="164" t="s">
        <v>1224</v>
      </c>
      <c r="K228" s="165">
        <v>7.291666666666667E-4</v>
      </c>
      <c r="L228" s="151" t="s">
        <v>305</v>
      </c>
      <c r="N228" s="151" t="s">
        <v>306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331</v>
      </c>
      <c r="B229" s="151" t="s">
        <v>332</v>
      </c>
      <c r="C229" s="164" t="s">
        <v>1225</v>
      </c>
      <c r="D229" s="164" t="s">
        <v>1226</v>
      </c>
      <c r="E229" s="165">
        <v>1.5856481481481481E-3</v>
      </c>
      <c r="F229" s="151" t="s">
        <v>303</v>
      </c>
      <c r="H229" s="151" t="s">
        <v>304</v>
      </c>
      <c r="I229" s="164" t="s">
        <v>1227</v>
      </c>
      <c r="J229" s="164" t="s">
        <v>1228</v>
      </c>
      <c r="K229" s="165">
        <v>5.4398148148148144E-4</v>
      </c>
      <c r="L229" s="151" t="s">
        <v>305</v>
      </c>
      <c r="N229" s="151" t="s">
        <v>306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331</v>
      </c>
      <c r="B230" s="151" t="s">
        <v>332</v>
      </c>
      <c r="C230" s="164" t="s">
        <v>1229</v>
      </c>
      <c r="D230" s="164" t="s">
        <v>1230</v>
      </c>
      <c r="E230" s="165">
        <v>2.0833333333333335E-4</v>
      </c>
      <c r="F230" s="151" t="s">
        <v>303</v>
      </c>
      <c r="H230" s="151" t="s">
        <v>304</v>
      </c>
      <c r="I230" s="164" t="s">
        <v>1231</v>
      </c>
      <c r="J230" s="164" t="s">
        <v>1232</v>
      </c>
      <c r="K230" s="165">
        <v>8.9120370370370373E-4</v>
      </c>
      <c r="L230" s="151" t="s">
        <v>305</v>
      </c>
      <c r="N230" s="151" t="s">
        <v>306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331</v>
      </c>
      <c r="B231" s="151" t="s">
        <v>332</v>
      </c>
      <c r="C231" s="164" t="s">
        <v>1233</v>
      </c>
      <c r="D231" s="164" t="s">
        <v>1234</v>
      </c>
      <c r="E231" s="165">
        <v>1.3194444444444445E-3</v>
      </c>
      <c r="F231" s="151" t="s">
        <v>303</v>
      </c>
      <c r="H231" s="151" t="s">
        <v>304</v>
      </c>
      <c r="I231" s="164" t="s">
        <v>1235</v>
      </c>
      <c r="J231" s="164" t="s">
        <v>1236</v>
      </c>
      <c r="K231" s="165">
        <v>6.3657407407407413E-4</v>
      </c>
      <c r="L231" s="151" t="s">
        <v>305</v>
      </c>
      <c r="N231" s="151" t="s">
        <v>306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331</v>
      </c>
      <c r="B232" s="151" t="s">
        <v>332</v>
      </c>
      <c r="C232" s="164" t="s">
        <v>1237</v>
      </c>
      <c r="D232" s="164" t="s">
        <v>1238</v>
      </c>
      <c r="E232" s="165">
        <v>1.7592592592592592E-3</v>
      </c>
      <c r="F232" s="151" t="s">
        <v>303</v>
      </c>
      <c r="H232" s="151" t="s">
        <v>304</v>
      </c>
      <c r="I232" s="164" t="s">
        <v>1239</v>
      </c>
      <c r="J232" s="164" t="s">
        <v>1240</v>
      </c>
      <c r="K232" s="165">
        <v>6.5972222222222224E-4</v>
      </c>
      <c r="L232" s="151" t="s">
        <v>305</v>
      </c>
      <c r="N232" s="151" t="s">
        <v>306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331</v>
      </c>
      <c r="B233" s="151" t="s">
        <v>332</v>
      </c>
      <c r="C233" s="164" t="s">
        <v>1241</v>
      </c>
      <c r="D233" s="164" t="s">
        <v>1242</v>
      </c>
      <c r="E233" s="165">
        <v>1.5046296296296296E-3</v>
      </c>
      <c r="F233" s="151" t="s">
        <v>303</v>
      </c>
      <c r="H233" s="151" t="s">
        <v>304</v>
      </c>
      <c r="I233" s="164" t="s">
        <v>1243</v>
      </c>
      <c r="J233" s="164" t="s">
        <v>1244</v>
      </c>
      <c r="K233" s="165">
        <v>6.8287037037037036E-4</v>
      </c>
      <c r="L233" s="151" t="s">
        <v>305</v>
      </c>
      <c r="N233" s="151" t="s">
        <v>306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331</v>
      </c>
      <c r="B234" s="151" t="s">
        <v>332</v>
      </c>
      <c r="C234" s="164" t="s">
        <v>1245</v>
      </c>
      <c r="D234" s="164" t="s">
        <v>1246</v>
      </c>
      <c r="E234" s="165">
        <v>1.261574074074074E-3</v>
      </c>
      <c r="F234" s="151" t="s">
        <v>303</v>
      </c>
      <c r="H234" s="151" t="s">
        <v>304</v>
      </c>
      <c r="I234" s="164" t="s">
        <v>1247</v>
      </c>
      <c r="J234" s="164" t="s">
        <v>1248</v>
      </c>
      <c r="K234" s="165">
        <v>8.3333333333333339E-4</v>
      </c>
      <c r="L234" s="151" t="s">
        <v>305</v>
      </c>
      <c r="N234" s="151" t="s">
        <v>306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331</v>
      </c>
      <c r="B235" s="151" t="s">
        <v>332</v>
      </c>
      <c r="C235" s="164" t="s">
        <v>1249</v>
      </c>
      <c r="D235" s="164" t="s">
        <v>1250</v>
      </c>
      <c r="E235" s="165">
        <v>9.6064814814814819E-4</v>
      </c>
      <c r="F235" s="151" t="s">
        <v>303</v>
      </c>
      <c r="H235" s="151" t="s">
        <v>304</v>
      </c>
      <c r="I235" s="164" t="s">
        <v>1251</v>
      </c>
      <c r="J235" s="164" t="s">
        <v>1252</v>
      </c>
      <c r="K235" s="165">
        <v>7.6388888888888893E-4</v>
      </c>
      <c r="L235" s="151" t="s">
        <v>305</v>
      </c>
      <c r="N235" s="151" t="s">
        <v>306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331</v>
      </c>
      <c r="B236" s="151" t="s">
        <v>332</v>
      </c>
      <c r="C236" s="164" t="s">
        <v>1253</v>
      </c>
      <c r="D236" s="164" t="s">
        <v>1254</v>
      </c>
      <c r="E236" s="165">
        <v>1.3541666666666667E-3</v>
      </c>
      <c r="F236" s="151" t="s">
        <v>303</v>
      </c>
      <c r="H236" s="151" t="s">
        <v>304</v>
      </c>
      <c r="I236" s="164" t="s">
        <v>1255</v>
      </c>
      <c r="J236" s="164" t="s">
        <v>1256</v>
      </c>
      <c r="K236" s="165">
        <v>7.407407407407407E-4</v>
      </c>
      <c r="L236" s="151" t="s">
        <v>305</v>
      </c>
      <c r="N236" s="151" t="s">
        <v>306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331</v>
      </c>
      <c r="B237" s="151" t="s">
        <v>332</v>
      </c>
      <c r="C237" s="164" t="s">
        <v>1257</v>
      </c>
      <c r="D237" s="164" t="s">
        <v>1258</v>
      </c>
      <c r="E237" s="165">
        <v>1.0416666666666667E-3</v>
      </c>
      <c r="F237" s="151" t="s">
        <v>303</v>
      </c>
      <c r="H237" s="151" t="s">
        <v>304</v>
      </c>
      <c r="I237" s="164" t="s">
        <v>1259</v>
      </c>
      <c r="J237" s="164" t="s">
        <v>1260</v>
      </c>
      <c r="K237" s="165">
        <v>5.9027777777777778E-4</v>
      </c>
      <c r="L237" s="151" t="s">
        <v>305</v>
      </c>
      <c r="N237" s="151" t="s">
        <v>306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331</v>
      </c>
      <c r="B238" s="151" t="s">
        <v>332</v>
      </c>
      <c r="C238" s="164" t="s">
        <v>1261</v>
      </c>
      <c r="D238" s="164" t="s">
        <v>1262</v>
      </c>
      <c r="E238" s="165">
        <v>1.736111111111111E-3</v>
      </c>
      <c r="F238" s="151" t="s">
        <v>303</v>
      </c>
      <c r="H238" s="151" t="s">
        <v>304</v>
      </c>
      <c r="I238" s="164" t="s">
        <v>1263</v>
      </c>
      <c r="J238" s="164" t="s">
        <v>1264</v>
      </c>
      <c r="K238" s="165">
        <v>6.9444444444444447E-4</v>
      </c>
      <c r="L238" s="151" t="s">
        <v>305</v>
      </c>
      <c r="N238" s="151" t="s">
        <v>306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331</v>
      </c>
      <c r="B239" s="151" t="s">
        <v>332</v>
      </c>
      <c r="C239" s="164" t="s">
        <v>1265</v>
      </c>
      <c r="D239" s="164" t="s">
        <v>1266</v>
      </c>
      <c r="E239" s="165">
        <v>1.4583333333333334E-3</v>
      </c>
      <c r="F239" s="151" t="s">
        <v>303</v>
      </c>
      <c r="H239" s="151" t="s">
        <v>304</v>
      </c>
      <c r="I239" s="164" t="s">
        <v>1267</v>
      </c>
      <c r="J239" s="164" t="s">
        <v>1268</v>
      </c>
      <c r="K239" s="165">
        <v>6.3657407407407413E-4</v>
      </c>
      <c r="L239" s="151" t="s">
        <v>305</v>
      </c>
      <c r="N239" s="151" t="s">
        <v>306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331</v>
      </c>
      <c r="B240" s="151" t="s">
        <v>332</v>
      </c>
      <c r="C240" s="164" t="s">
        <v>1269</v>
      </c>
      <c r="D240" s="164" t="s">
        <v>1270</v>
      </c>
      <c r="E240" s="165">
        <v>2.0601851851851853E-3</v>
      </c>
      <c r="F240" s="151" t="s">
        <v>303</v>
      </c>
      <c r="H240" s="151" t="s">
        <v>304</v>
      </c>
      <c r="I240" s="164" t="s">
        <v>1271</v>
      </c>
      <c r="J240" s="164" t="s">
        <v>1272</v>
      </c>
      <c r="K240" s="165">
        <v>7.1759259259259259E-4</v>
      </c>
      <c r="L240" s="151" t="s">
        <v>305</v>
      </c>
      <c r="N240" s="151" t="s">
        <v>306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331</v>
      </c>
      <c r="B241" s="151" t="s">
        <v>332</v>
      </c>
      <c r="C241" s="164" t="s">
        <v>1273</v>
      </c>
      <c r="D241" s="164" t="s">
        <v>1274</v>
      </c>
      <c r="E241" s="165">
        <v>2.3148148148148147E-5</v>
      </c>
      <c r="F241" s="151" t="s">
        <v>303</v>
      </c>
      <c r="H241" s="151" t="s">
        <v>304</v>
      </c>
      <c r="I241" s="164" t="s">
        <v>1275</v>
      </c>
      <c r="J241" s="164" t="s">
        <v>1276</v>
      </c>
      <c r="K241" s="165">
        <v>1.1574074074074073E-5</v>
      </c>
      <c r="L241" s="151" t="s">
        <v>305</v>
      </c>
      <c r="N241" s="151" t="s">
        <v>306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331</v>
      </c>
      <c r="B242" s="151" t="s">
        <v>332</v>
      </c>
      <c r="C242" s="164" t="s">
        <v>1277</v>
      </c>
      <c r="D242" s="164" t="s">
        <v>1278</v>
      </c>
      <c r="E242" s="165">
        <v>8.6805555555555551E-4</v>
      </c>
      <c r="F242" s="151" t="s">
        <v>303</v>
      </c>
      <c r="H242" s="151" t="s">
        <v>304</v>
      </c>
      <c r="I242" s="164" t="s">
        <v>1279</v>
      </c>
      <c r="J242" s="164" t="s">
        <v>1280</v>
      </c>
      <c r="K242" s="165">
        <v>6.018518518518519E-4</v>
      </c>
      <c r="L242" s="151" t="s">
        <v>305</v>
      </c>
      <c r="N242" s="151" t="s">
        <v>306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331</v>
      </c>
      <c r="B243" s="151" t="s">
        <v>332</v>
      </c>
      <c r="C243" s="164" t="s">
        <v>1281</v>
      </c>
      <c r="D243" s="164" t="s">
        <v>1282</v>
      </c>
      <c r="E243" s="165">
        <v>1.3425925925925925E-3</v>
      </c>
      <c r="F243" s="151" t="s">
        <v>303</v>
      </c>
      <c r="H243" s="151" t="s">
        <v>304</v>
      </c>
      <c r="I243" s="164" t="s">
        <v>1283</v>
      </c>
      <c r="J243" s="164" t="s">
        <v>1284</v>
      </c>
      <c r="K243" s="165">
        <v>7.6388888888888893E-4</v>
      </c>
      <c r="L243" s="151" t="s">
        <v>305</v>
      </c>
      <c r="N243" s="151" t="s">
        <v>306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331</v>
      </c>
      <c r="B244" s="151" t="s">
        <v>332</v>
      </c>
      <c r="C244" s="164" t="s">
        <v>1285</v>
      </c>
      <c r="D244" s="164" t="s">
        <v>1286</v>
      </c>
      <c r="E244" s="165">
        <v>2.3148148148148147E-5</v>
      </c>
      <c r="F244" s="151" t="s">
        <v>303</v>
      </c>
      <c r="H244" s="151" t="s">
        <v>304</v>
      </c>
      <c r="I244" s="164" t="s">
        <v>1287</v>
      </c>
      <c r="J244" s="164" t="s">
        <v>1288</v>
      </c>
      <c r="K244" s="165">
        <v>6.8287037037037036E-4</v>
      </c>
      <c r="L244" s="151" t="s">
        <v>305</v>
      </c>
      <c r="N244" s="151" t="s">
        <v>306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331</v>
      </c>
      <c r="B245" s="151" t="s">
        <v>332</v>
      </c>
      <c r="C245" s="164" t="s">
        <v>1289</v>
      </c>
      <c r="D245" s="164" t="s">
        <v>1290</v>
      </c>
      <c r="E245" s="165">
        <v>1.3194444444444445E-3</v>
      </c>
      <c r="F245" s="151" t="s">
        <v>303</v>
      </c>
      <c r="H245" s="151" t="s">
        <v>304</v>
      </c>
      <c r="I245" s="164" t="s">
        <v>1291</v>
      </c>
      <c r="J245" s="164" t="s">
        <v>1292</v>
      </c>
      <c r="K245" s="165">
        <v>3.4722222222222222E-5</v>
      </c>
      <c r="L245" s="151" t="s">
        <v>305</v>
      </c>
      <c r="N245" s="151" t="s">
        <v>306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331</v>
      </c>
      <c r="B246" s="151" t="s">
        <v>332</v>
      </c>
      <c r="C246" s="164" t="s">
        <v>1293</v>
      </c>
      <c r="D246" s="164" t="s">
        <v>1294</v>
      </c>
      <c r="E246" s="165">
        <v>1.5509259259259259E-3</v>
      </c>
      <c r="F246" s="151" t="s">
        <v>303</v>
      </c>
      <c r="H246" s="151" t="s">
        <v>304</v>
      </c>
      <c r="I246" s="164" t="s">
        <v>1295</v>
      </c>
      <c r="J246" s="164" t="s">
        <v>1296</v>
      </c>
      <c r="K246" s="165">
        <v>5.5555555555555556E-4</v>
      </c>
      <c r="L246" s="151" t="s">
        <v>305</v>
      </c>
      <c r="N246" s="151" t="s">
        <v>306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331</v>
      </c>
      <c r="B247" s="151" t="s">
        <v>332</v>
      </c>
      <c r="C247" s="164" t="s">
        <v>1297</v>
      </c>
      <c r="D247" s="164" t="s">
        <v>1298</v>
      </c>
      <c r="E247" s="165">
        <v>1.9791666666666668E-3</v>
      </c>
      <c r="F247" s="151" t="s">
        <v>303</v>
      </c>
      <c r="H247" s="151" t="s">
        <v>304</v>
      </c>
      <c r="I247" s="164" t="s">
        <v>1299</v>
      </c>
      <c r="J247" s="164" t="s">
        <v>1300</v>
      </c>
      <c r="K247" s="165">
        <v>5.3240740740740744E-4</v>
      </c>
      <c r="L247" s="151" t="s">
        <v>305</v>
      </c>
      <c r="N247" s="151" t="s">
        <v>306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 x14ac:dyDescent="0.25">
      <c r="C249" s="164"/>
      <c r="D249" s="164"/>
      <c r="E249" s="165"/>
      <c r="J249" s="164"/>
      <c r="K249" s="165"/>
      <c r="Q249" s="165"/>
      <c r="R249" s="165"/>
      <c r="S249" s="165"/>
    </row>
    <row r="250" spans="1:19" x14ac:dyDescent="0.25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 x14ac:dyDescent="0.25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 x14ac:dyDescent="0.25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 x14ac:dyDescent="0.25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 x14ac:dyDescent="0.25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 x14ac:dyDescent="0.25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 x14ac:dyDescent="0.25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 x14ac:dyDescent="0.25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 x14ac:dyDescent="0.25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 x14ac:dyDescent="0.25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 x14ac:dyDescent="0.25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 x14ac:dyDescent="0.25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 x14ac:dyDescent="0.25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 x14ac:dyDescent="0.25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 x14ac:dyDescent="0.25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 x14ac:dyDescent="0.25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 x14ac:dyDescent="0.25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 x14ac:dyDescent="0.25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 x14ac:dyDescent="0.25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 x14ac:dyDescent="0.25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 x14ac:dyDescent="0.25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 x14ac:dyDescent="0.25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 x14ac:dyDescent="0.25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 x14ac:dyDescent="0.25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 x14ac:dyDescent="0.25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 x14ac:dyDescent="0.25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 x14ac:dyDescent="0.25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 x14ac:dyDescent="0.25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 x14ac:dyDescent="0.25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 x14ac:dyDescent="0.25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 x14ac:dyDescent="0.25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 x14ac:dyDescent="0.25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 x14ac:dyDescent="0.25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 x14ac:dyDescent="0.25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 x14ac:dyDescent="0.25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 x14ac:dyDescent="0.25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 x14ac:dyDescent="0.25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 x14ac:dyDescent="0.25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 x14ac:dyDescent="0.25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 x14ac:dyDescent="0.25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 x14ac:dyDescent="0.25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 x14ac:dyDescent="0.25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 x14ac:dyDescent="0.25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 x14ac:dyDescent="0.25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 x14ac:dyDescent="0.25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 x14ac:dyDescent="0.25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 x14ac:dyDescent="0.25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 x14ac:dyDescent="0.25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 x14ac:dyDescent="0.25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 x14ac:dyDescent="0.25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 x14ac:dyDescent="0.25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 x14ac:dyDescent="0.25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 x14ac:dyDescent="0.25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 x14ac:dyDescent="0.25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 x14ac:dyDescent="0.25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 x14ac:dyDescent="0.25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 x14ac:dyDescent="0.25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 x14ac:dyDescent="0.25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 x14ac:dyDescent="0.25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 x14ac:dyDescent="0.25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 x14ac:dyDescent="0.25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 x14ac:dyDescent="0.25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 x14ac:dyDescent="0.25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 x14ac:dyDescent="0.25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 x14ac:dyDescent="0.25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 x14ac:dyDescent="0.25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 x14ac:dyDescent="0.25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 x14ac:dyDescent="0.25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 x14ac:dyDescent="0.25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 x14ac:dyDescent="0.25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 x14ac:dyDescent="0.25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 x14ac:dyDescent="0.25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 x14ac:dyDescent="0.25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 x14ac:dyDescent="0.25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 x14ac:dyDescent="0.25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 x14ac:dyDescent="0.25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 x14ac:dyDescent="0.25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 x14ac:dyDescent="0.25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 x14ac:dyDescent="0.25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 x14ac:dyDescent="0.25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 x14ac:dyDescent="0.25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 x14ac:dyDescent="0.25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 x14ac:dyDescent="0.25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 x14ac:dyDescent="0.25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 x14ac:dyDescent="0.25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 x14ac:dyDescent="0.25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 x14ac:dyDescent="0.25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 x14ac:dyDescent="0.25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 x14ac:dyDescent="0.25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 x14ac:dyDescent="0.25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 x14ac:dyDescent="0.25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 x14ac:dyDescent="0.25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 x14ac:dyDescent="0.25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 x14ac:dyDescent="0.25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 x14ac:dyDescent="0.25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 x14ac:dyDescent="0.25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 x14ac:dyDescent="0.25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 x14ac:dyDescent="0.25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 x14ac:dyDescent="0.25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 x14ac:dyDescent="0.25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 x14ac:dyDescent="0.25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 x14ac:dyDescent="0.25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 x14ac:dyDescent="0.25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 x14ac:dyDescent="0.25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 x14ac:dyDescent="0.25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 x14ac:dyDescent="0.25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 x14ac:dyDescent="0.25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 x14ac:dyDescent="0.25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 x14ac:dyDescent="0.25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 x14ac:dyDescent="0.25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 x14ac:dyDescent="0.25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 x14ac:dyDescent="0.25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 x14ac:dyDescent="0.25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 x14ac:dyDescent="0.25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 x14ac:dyDescent="0.25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 x14ac:dyDescent="0.25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 x14ac:dyDescent="0.25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 x14ac:dyDescent="0.25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 x14ac:dyDescent="0.25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 x14ac:dyDescent="0.25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 x14ac:dyDescent="0.25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 x14ac:dyDescent="0.25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 x14ac:dyDescent="0.25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 x14ac:dyDescent="0.25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 x14ac:dyDescent="0.25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 x14ac:dyDescent="0.25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 x14ac:dyDescent="0.25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 x14ac:dyDescent="0.25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 x14ac:dyDescent="0.25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 x14ac:dyDescent="0.25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 x14ac:dyDescent="0.25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 x14ac:dyDescent="0.25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 x14ac:dyDescent="0.25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 x14ac:dyDescent="0.25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 x14ac:dyDescent="0.25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 x14ac:dyDescent="0.25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 x14ac:dyDescent="0.25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 x14ac:dyDescent="0.25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 x14ac:dyDescent="0.25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 x14ac:dyDescent="0.25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 x14ac:dyDescent="0.25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 x14ac:dyDescent="0.25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 x14ac:dyDescent="0.25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 x14ac:dyDescent="0.25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 x14ac:dyDescent="0.25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 x14ac:dyDescent="0.25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 x14ac:dyDescent="0.25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 x14ac:dyDescent="0.25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 x14ac:dyDescent="0.25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 x14ac:dyDescent="0.25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 x14ac:dyDescent="0.25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 x14ac:dyDescent="0.25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 x14ac:dyDescent="0.25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 x14ac:dyDescent="0.25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 x14ac:dyDescent="0.25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 x14ac:dyDescent="0.25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 x14ac:dyDescent="0.25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 x14ac:dyDescent="0.25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 x14ac:dyDescent="0.25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 x14ac:dyDescent="0.25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 x14ac:dyDescent="0.25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 x14ac:dyDescent="0.25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 x14ac:dyDescent="0.25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 x14ac:dyDescent="0.25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 x14ac:dyDescent="0.25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 x14ac:dyDescent="0.25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 x14ac:dyDescent="0.25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 x14ac:dyDescent="0.25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 x14ac:dyDescent="0.25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 x14ac:dyDescent="0.25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 x14ac:dyDescent="0.25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 x14ac:dyDescent="0.25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 x14ac:dyDescent="0.25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 x14ac:dyDescent="0.25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 x14ac:dyDescent="0.25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 x14ac:dyDescent="0.25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 x14ac:dyDescent="0.25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 x14ac:dyDescent="0.25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 x14ac:dyDescent="0.25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 x14ac:dyDescent="0.25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 x14ac:dyDescent="0.25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 x14ac:dyDescent="0.25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 x14ac:dyDescent="0.25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 x14ac:dyDescent="0.25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 x14ac:dyDescent="0.25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 x14ac:dyDescent="0.25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 x14ac:dyDescent="0.25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 x14ac:dyDescent="0.25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 x14ac:dyDescent="0.25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 x14ac:dyDescent="0.25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 x14ac:dyDescent="0.25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 x14ac:dyDescent="0.25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 x14ac:dyDescent="0.25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 x14ac:dyDescent="0.25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 x14ac:dyDescent="0.25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 x14ac:dyDescent="0.25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 x14ac:dyDescent="0.25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 x14ac:dyDescent="0.25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 x14ac:dyDescent="0.25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 x14ac:dyDescent="0.25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 x14ac:dyDescent="0.25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 x14ac:dyDescent="0.25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 x14ac:dyDescent="0.25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 x14ac:dyDescent="0.25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 x14ac:dyDescent="0.25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 x14ac:dyDescent="0.25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 x14ac:dyDescent="0.25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 x14ac:dyDescent="0.25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 x14ac:dyDescent="0.25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 x14ac:dyDescent="0.25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 x14ac:dyDescent="0.25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 x14ac:dyDescent="0.25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 x14ac:dyDescent="0.25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 x14ac:dyDescent="0.25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 x14ac:dyDescent="0.25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 x14ac:dyDescent="0.25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 x14ac:dyDescent="0.25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 x14ac:dyDescent="0.25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 x14ac:dyDescent="0.25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 x14ac:dyDescent="0.25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 x14ac:dyDescent="0.25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 x14ac:dyDescent="0.25">
      <c r="C471" s="164"/>
      <c r="D471" s="164"/>
      <c r="E471" s="165"/>
      <c r="J471" s="164"/>
      <c r="K471" s="165"/>
      <c r="Q471" s="165"/>
      <c r="R471" s="165"/>
      <c r="S471" s="165"/>
    </row>
    <row r="472" spans="3:19" x14ac:dyDescent="0.25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 x14ac:dyDescent="0.25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 x14ac:dyDescent="0.25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 x14ac:dyDescent="0.25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 x14ac:dyDescent="0.25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 x14ac:dyDescent="0.25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 x14ac:dyDescent="0.25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 x14ac:dyDescent="0.25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 x14ac:dyDescent="0.25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 x14ac:dyDescent="0.25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 x14ac:dyDescent="0.25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 x14ac:dyDescent="0.25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 x14ac:dyDescent="0.25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 x14ac:dyDescent="0.25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 x14ac:dyDescent="0.25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 x14ac:dyDescent="0.25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 x14ac:dyDescent="0.25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 x14ac:dyDescent="0.25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 x14ac:dyDescent="0.25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 x14ac:dyDescent="0.25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 x14ac:dyDescent="0.25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 x14ac:dyDescent="0.25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 x14ac:dyDescent="0.25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 x14ac:dyDescent="0.25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 x14ac:dyDescent="0.25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 x14ac:dyDescent="0.25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 x14ac:dyDescent="0.25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 x14ac:dyDescent="0.25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 x14ac:dyDescent="0.25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 x14ac:dyDescent="0.25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 x14ac:dyDescent="0.25">
      <c r="E502" s="163"/>
      <c r="K502" s="163"/>
      <c r="Q502" s="163"/>
      <c r="R502" s="163"/>
      <c r="S502" s="163"/>
    </row>
    <row r="503" spans="3:19" x14ac:dyDescent="0.25">
      <c r="E503" s="163"/>
      <c r="K503" s="163"/>
      <c r="Q503" s="163"/>
      <c r="R503" s="163"/>
      <c r="S503" s="163"/>
    </row>
    <row r="504" spans="3:19" x14ac:dyDescent="0.25">
      <c r="E504" s="163"/>
      <c r="K504" s="163"/>
      <c r="Q504" s="163"/>
      <c r="R504" s="163"/>
      <c r="S504" s="163"/>
    </row>
    <row r="505" spans="3:19" x14ac:dyDescent="0.25">
      <c r="E505" s="163"/>
      <c r="K505" s="163"/>
      <c r="Q505" s="163"/>
      <c r="R505" s="163"/>
      <c r="S505" s="163"/>
    </row>
    <row r="506" spans="3:19" x14ac:dyDescent="0.25">
      <c r="E506" s="163"/>
      <c r="K506" s="163"/>
      <c r="Q506" s="163"/>
      <c r="R506" s="163"/>
      <c r="S506" s="163"/>
    </row>
    <row r="507" spans="3:19" x14ac:dyDescent="0.25">
      <c r="E507" s="163"/>
      <c r="K507" s="163"/>
      <c r="Q507" s="163"/>
      <c r="R507" s="163"/>
      <c r="S507" s="163"/>
    </row>
    <row r="508" spans="3:19" x14ac:dyDescent="0.25">
      <c r="E508" s="163"/>
      <c r="K508" s="163"/>
      <c r="Q508" s="163"/>
      <c r="R508" s="163"/>
      <c r="S508" s="163"/>
    </row>
    <row r="509" spans="3:19" x14ac:dyDescent="0.25">
      <c r="E509" s="163"/>
      <c r="K509" s="163"/>
      <c r="Q509" s="163"/>
      <c r="R509" s="163"/>
      <c r="S509" s="163"/>
    </row>
    <row r="510" spans="3:19" x14ac:dyDescent="0.25">
      <c r="E510" s="163"/>
      <c r="K510" s="163"/>
      <c r="Q510" s="163"/>
      <c r="R510" s="163"/>
      <c r="S510" s="163"/>
    </row>
    <row r="511" spans="3:19" x14ac:dyDescent="0.25">
      <c r="E511" s="163"/>
      <c r="K511" s="163"/>
      <c r="Q511" s="163"/>
      <c r="R511" s="163"/>
      <c r="S511" s="163"/>
    </row>
    <row r="512" spans="3:19" x14ac:dyDescent="0.25">
      <c r="E512" s="163"/>
      <c r="K512" s="163"/>
      <c r="Q512" s="163"/>
      <c r="R512" s="163"/>
      <c r="S512" s="163"/>
    </row>
    <row r="513" spans="5:19" x14ac:dyDescent="0.25">
      <c r="E513" s="163"/>
      <c r="K513" s="163"/>
      <c r="Q513" s="163"/>
      <c r="R513" s="163"/>
      <c r="S513" s="163"/>
    </row>
    <row r="514" spans="5:19" x14ac:dyDescent="0.25">
      <c r="E514" s="163"/>
      <c r="K514" s="163"/>
      <c r="Q514" s="163"/>
      <c r="R514" s="163"/>
      <c r="S514" s="163"/>
    </row>
    <row r="515" spans="5:19" x14ac:dyDescent="0.25">
      <c r="E515" s="163"/>
      <c r="K515" s="163"/>
      <c r="Q515" s="163"/>
      <c r="R515" s="163"/>
      <c r="S515" s="163"/>
    </row>
    <row r="516" spans="5:19" x14ac:dyDescent="0.25">
      <c r="E516" s="163"/>
      <c r="K516" s="163"/>
      <c r="Q516" s="163"/>
      <c r="R516" s="163"/>
      <c r="S516" s="163"/>
    </row>
    <row r="517" spans="5:19" x14ac:dyDescent="0.25">
      <c r="E517" s="163"/>
      <c r="K517" s="163"/>
      <c r="Q517" s="163"/>
      <c r="R517" s="163"/>
      <c r="S517" s="163"/>
    </row>
    <row r="518" spans="5:19" x14ac:dyDescent="0.25">
      <c r="E518" s="163"/>
      <c r="K518" s="163"/>
      <c r="Q518" s="163"/>
      <c r="R518" s="163"/>
      <c r="S518" s="163"/>
    </row>
    <row r="519" spans="5:19" x14ac:dyDescent="0.25">
      <c r="E519" s="163"/>
      <c r="K519" s="163"/>
      <c r="Q519" s="163"/>
      <c r="R519" s="163"/>
      <c r="S519" s="163"/>
    </row>
    <row r="520" spans="5:19" x14ac:dyDescent="0.25">
      <c r="E520" s="163"/>
      <c r="K520" s="163"/>
      <c r="Q520" s="163"/>
      <c r="R520" s="163"/>
      <c r="S520" s="163"/>
    </row>
    <row r="521" spans="5:19" x14ac:dyDescent="0.25">
      <c r="E521" s="163"/>
      <c r="K521" s="163"/>
      <c r="Q521" s="163"/>
      <c r="R521" s="163"/>
      <c r="S521" s="163"/>
    </row>
    <row r="522" spans="5:19" x14ac:dyDescent="0.25">
      <c r="E522" s="163"/>
      <c r="K522" s="163"/>
      <c r="Q522" s="163"/>
      <c r="R522" s="163"/>
      <c r="S522" s="163"/>
    </row>
    <row r="523" spans="5:19" x14ac:dyDescent="0.25">
      <c r="E523" s="163"/>
      <c r="K523" s="163"/>
      <c r="Q523" s="163"/>
      <c r="R523" s="163"/>
      <c r="S523" s="163"/>
    </row>
    <row r="524" spans="5:19" x14ac:dyDescent="0.25">
      <c r="E524" s="163"/>
      <c r="K524" s="163"/>
      <c r="Q524" s="163"/>
      <c r="R524" s="163"/>
      <c r="S524" s="163"/>
    </row>
    <row r="525" spans="5:19" x14ac:dyDescent="0.25">
      <c r="E525" s="163"/>
      <c r="K525" s="163"/>
      <c r="Q525" s="163"/>
      <c r="R525" s="163"/>
      <c r="S525" s="163"/>
    </row>
    <row r="526" spans="5:19" x14ac:dyDescent="0.25">
      <c r="E526" s="163"/>
      <c r="K526" s="163"/>
      <c r="Q526" s="163"/>
      <c r="R526" s="163"/>
      <c r="S526" s="163"/>
    </row>
    <row r="527" spans="5:19" x14ac:dyDescent="0.25">
      <c r="E527" s="163"/>
      <c r="K527" s="163"/>
      <c r="Q527" s="163"/>
      <c r="R527" s="163"/>
      <c r="S527" s="163"/>
    </row>
    <row r="528" spans="5:19" x14ac:dyDescent="0.25">
      <c r="E528" s="163"/>
      <c r="K528" s="163"/>
      <c r="Q528" s="163"/>
      <c r="R528" s="163"/>
      <c r="S528" s="163"/>
    </row>
    <row r="529" spans="5:19" x14ac:dyDescent="0.25">
      <c r="E529" s="163"/>
      <c r="K529" s="163"/>
      <c r="Q529" s="163"/>
      <c r="R529" s="163"/>
      <c r="S529" s="163"/>
    </row>
    <row r="530" spans="5:19" x14ac:dyDescent="0.25">
      <c r="E530" s="163"/>
      <c r="K530" s="163"/>
      <c r="Q530" s="163"/>
      <c r="R530" s="163"/>
      <c r="S530" s="163"/>
    </row>
    <row r="531" spans="5:19" x14ac:dyDescent="0.25">
      <c r="E531" s="163"/>
      <c r="K531" s="163"/>
      <c r="Q531" s="163"/>
      <c r="R531" s="163"/>
      <c r="S531" s="163"/>
    </row>
    <row r="532" spans="5:19" x14ac:dyDescent="0.25">
      <c r="E532" s="163"/>
      <c r="K532" s="163"/>
      <c r="Q532" s="163"/>
      <c r="R532" s="163"/>
      <c r="S532" s="163"/>
    </row>
    <row r="533" spans="5:19" x14ac:dyDescent="0.25">
      <c r="E533" s="163"/>
      <c r="K533" s="163"/>
      <c r="Q533" s="163"/>
      <c r="R533" s="163"/>
      <c r="S533" s="163"/>
    </row>
    <row r="534" spans="5:19" x14ac:dyDescent="0.25">
      <c r="E534" s="163"/>
      <c r="K534" s="163"/>
      <c r="Q534" s="163"/>
      <c r="R534" s="163"/>
      <c r="S534" s="163"/>
    </row>
    <row r="535" spans="5:19" x14ac:dyDescent="0.25">
      <c r="E535" s="163"/>
      <c r="K535" s="163"/>
      <c r="Q535" s="163"/>
      <c r="R535" s="163"/>
      <c r="S535" s="163"/>
    </row>
    <row r="536" spans="5:19" x14ac:dyDescent="0.25">
      <c r="E536" s="163"/>
      <c r="K536" s="163"/>
      <c r="Q536" s="163"/>
      <c r="R536" s="163"/>
      <c r="S536" s="163"/>
    </row>
    <row r="537" spans="5:19" x14ac:dyDescent="0.25">
      <c r="E537" s="163"/>
      <c r="K537" s="163"/>
      <c r="Q537" s="163"/>
      <c r="R537" s="163"/>
      <c r="S537" s="163"/>
    </row>
    <row r="538" spans="5:19" x14ac:dyDescent="0.25">
      <c r="E538" s="163"/>
      <c r="K538" s="163"/>
      <c r="Q538" s="163"/>
      <c r="R538" s="163"/>
      <c r="S538" s="163"/>
    </row>
    <row r="539" spans="5:19" x14ac:dyDescent="0.25">
      <c r="E539" s="163"/>
      <c r="K539" s="163"/>
      <c r="Q539" s="163"/>
      <c r="R539" s="163"/>
      <c r="S539" s="163"/>
    </row>
    <row r="540" spans="5:19" x14ac:dyDescent="0.25">
      <c r="E540" s="163"/>
      <c r="K540" s="163"/>
      <c r="Q540" s="163"/>
      <c r="R540" s="163"/>
      <c r="S540" s="163"/>
    </row>
    <row r="541" spans="5:19" x14ac:dyDescent="0.25">
      <c r="E541" s="163"/>
      <c r="K541" s="163"/>
      <c r="Q541" s="163"/>
      <c r="R541" s="163"/>
      <c r="S541" s="163"/>
    </row>
    <row r="542" spans="5:19" x14ac:dyDescent="0.25">
      <c r="E542" s="163"/>
      <c r="K542" s="163"/>
      <c r="Q542" s="163"/>
      <c r="R542" s="163"/>
      <c r="S542" s="163"/>
    </row>
    <row r="543" spans="5:19" x14ac:dyDescent="0.25">
      <c r="E543" s="163"/>
      <c r="K543" s="163"/>
      <c r="Q543" s="163"/>
      <c r="R543" s="163"/>
      <c r="S543" s="163"/>
    </row>
    <row r="544" spans="5:19" x14ac:dyDescent="0.25">
      <c r="E544" s="163"/>
      <c r="K544" s="163"/>
      <c r="Q544" s="163"/>
      <c r="R544" s="163"/>
      <c r="S544" s="163"/>
    </row>
    <row r="545" spans="5:19" x14ac:dyDescent="0.25">
      <c r="E545" s="163"/>
      <c r="K545" s="163"/>
      <c r="Q545" s="163"/>
      <c r="R545" s="163"/>
      <c r="S545" s="163"/>
    </row>
    <row r="546" spans="5:19" x14ac:dyDescent="0.25">
      <c r="E546" s="163"/>
      <c r="K546" s="163"/>
      <c r="Q546" s="163"/>
      <c r="R546" s="163"/>
      <c r="S546" s="163"/>
    </row>
    <row r="547" spans="5:19" x14ac:dyDescent="0.25">
      <c r="E547" s="163"/>
      <c r="K547" s="163"/>
      <c r="Q547" s="163"/>
      <c r="R547" s="163"/>
      <c r="S547" s="163"/>
    </row>
    <row r="548" spans="5:19" x14ac:dyDescent="0.25">
      <c r="E548" s="163"/>
      <c r="K548" s="163"/>
      <c r="Q548" s="163"/>
      <c r="R548" s="163"/>
      <c r="S548" s="163"/>
    </row>
    <row r="549" spans="5:19" x14ac:dyDescent="0.25">
      <c r="E549" s="163"/>
      <c r="K549" s="163"/>
      <c r="Q549" s="163"/>
      <c r="R549" s="163"/>
      <c r="S549" s="163"/>
    </row>
    <row r="550" spans="5:19" x14ac:dyDescent="0.25">
      <c r="E550" s="163"/>
      <c r="K550" s="163"/>
      <c r="Q550" s="163"/>
      <c r="R550" s="163"/>
      <c r="S550" s="163"/>
    </row>
    <row r="551" spans="5:19" x14ac:dyDescent="0.25">
      <c r="E551" s="163"/>
      <c r="K551" s="163"/>
      <c r="Q551" s="163"/>
      <c r="R551" s="163"/>
      <c r="S551" s="163"/>
    </row>
    <row r="552" spans="5:19" x14ac:dyDescent="0.25">
      <c r="E552" s="163"/>
      <c r="K552" s="163"/>
      <c r="Q552" s="163"/>
      <c r="R552" s="163"/>
      <c r="S552" s="163"/>
    </row>
    <row r="553" spans="5:19" x14ac:dyDescent="0.25">
      <c r="E553" s="163"/>
      <c r="K553" s="163"/>
      <c r="Q553" s="163"/>
      <c r="R553" s="163"/>
      <c r="S553" s="163"/>
    </row>
    <row r="554" spans="5:19" x14ac:dyDescent="0.25">
      <c r="E554" s="163"/>
      <c r="K554" s="163"/>
      <c r="Q554" s="163"/>
      <c r="R554" s="163"/>
      <c r="S554" s="163"/>
    </row>
    <row r="555" spans="5:19" x14ac:dyDescent="0.25">
      <c r="E555" s="163"/>
      <c r="K555" s="163"/>
      <c r="Q555" s="163"/>
      <c r="R555" s="163"/>
      <c r="S555" s="163"/>
    </row>
    <row r="556" spans="5:19" x14ac:dyDescent="0.25">
      <c r="E556" s="163"/>
      <c r="K556" s="163"/>
      <c r="Q556" s="163"/>
      <c r="R556" s="163"/>
      <c r="S556" s="163"/>
    </row>
    <row r="557" spans="5:19" x14ac:dyDescent="0.25">
      <c r="E557" s="163"/>
      <c r="K557" s="163"/>
      <c r="Q557" s="163"/>
      <c r="R557" s="163"/>
      <c r="S557" s="163"/>
    </row>
    <row r="558" spans="5:19" x14ac:dyDescent="0.25">
      <c r="E558" s="163"/>
      <c r="K558" s="163"/>
      <c r="Q558" s="163"/>
      <c r="R558" s="163"/>
      <c r="S558" s="163"/>
    </row>
    <row r="559" spans="5:19" x14ac:dyDescent="0.25">
      <c r="E559" s="163"/>
      <c r="K559" s="163"/>
      <c r="Q559" s="163"/>
      <c r="R559" s="163"/>
      <c r="S559" s="163"/>
    </row>
    <row r="560" spans="5:19" x14ac:dyDescent="0.25">
      <c r="E560" s="163"/>
      <c r="K560" s="163"/>
      <c r="Q560" s="163"/>
      <c r="R560" s="163"/>
      <c r="S560" s="163"/>
    </row>
    <row r="561" spans="5:19" x14ac:dyDescent="0.25">
      <c r="E561" s="163"/>
      <c r="K561" s="163"/>
      <c r="Q561" s="163"/>
      <c r="R561" s="163"/>
      <c r="S561" s="163"/>
    </row>
    <row r="562" spans="5:19" x14ac:dyDescent="0.25">
      <c r="E562" s="163"/>
      <c r="K562" s="163"/>
      <c r="Q562" s="163"/>
      <c r="R562" s="163"/>
      <c r="S562" s="163"/>
    </row>
    <row r="563" spans="5:19" x14ac:dyDescent="0.25">
      <c r="E563" s="163"/>
      <c r="K563" s="163"/>
      <c r="Q563" s="163"/>
      <c r="R563" s="163"/>
      <c r="S563" s="163"/>
    </row>
    <row r="564" spans="5:19" x14ac:dyDescent="0.25">
      <c r="E564" s="163"/>
      <c r="K564" s="163"/>
      <c r="Q564" s="163"/>
      <c r="R564" s="163"/>
      <c r="S564" s="163"/>
    </row>
    <row r="565" spans="5:19" x14ac:dyDescent="0.25">
      <c r="E565" s="163"/>
      <c r="K565" s="163"/>
      <c r="Q565" s="163"/>
      <c r="R565" s="163"/>
      <c r="S565" s="163"/>
    </row>
    <row r="566" spans="5:19" x14ac:dyDescent="0.25">
      <c r="E566" s="163"/>
      <c r="K566" s="163"/>
      <c r="Q566" s="163"/>
      <c r="R566" s="163"/>
      <c r="S566" s="163"/>
    </row>
    <row r="567" spans="5:19" x14ac:dyDescent="0.25">
      <c r="E567" s="163"/>
      <c r="K567" s="163"/>
      <c r="Q567" s="163"/>
      <c r="R567" s="163"/>
      <c r="S567" s="163"/>
    </row>
    <row r="568" spans="5:19" x14ac:dyDescent="0.25">
      <c r="E568" s="163"/>
      <c r="K568" s="163"/>
      <c r="Q568" s="163"/>
      <c r="R568" s="163"/>
      <c r="S568" s="163"/>
    </row>
    <row r="569" spans="5:19" x14ac:dyDescent="0.25">
      <c r="E569" s="163"/>
      <c r="K569" s="163"/>
      <c r="Q569" s="163"/>
      <c r="R569" s="163"/>
      <c r="S569" s="163"/>
    </row>
    <row r="570" spans="5:19" x14ac:dyDescent="0.25">
      <c r="E570" s="163"/>
      <c r="K570" s="163"/>
      <c r="Q570" s="163"/>
      <c r="R570" s="163"/>
      <c r="S570" s="163"/>
    </row>
    <row r="571" spans="5:19" x14ac:dyDescent="0.25">
      <c r="E571" s="163"/>
      <c r="K571" s="163"/>
      <c r="Q571" s="163"/>
      <c r="R571" s="163"/>
      <c r="S571" s="163"/>
    </row>
    <row r="572" spans="5:19" x14ac:dyDescent="0.25">
      <c r="E572" s="163"/>
      <c r="K572" s="163"/>
      <c r="Q572" s="163"/>
      <c r="R572" s="163"/>
      <c r="S572" s="163"/>
    </row>
    <row r="573" spans="5:19" x14ac:dyDescent="0.25">
      <c r="E573" s="163"/>
      <c r="K573" s="163"/>
      <c r="Q573" s="163"/>
      <c r="R573" s="163"/>
      <c r="S573" s="163"/>
    </row>
    <row r="574" spans="5:19" x14ac:dyDescent="0.25">
      <c r="E574" s="163"/>
      <c r="K574" s="163"/>
      <c r="Q574" s="163"/>
      <c r="R574" s="163"/>
      <c r="S574" s="163"/>
    </row>
    <row r="575" spans="5:19" x14ac:dyDescent="0.25">
      <c r="E575" s="163"/>
      <c r="K575" s="163"/>
      <c r="Q575" s="163"/>
      <c r="R575" s="163"/>
      <c r="S575" s="163"/>
    </row>
    <row r="576" spans="5:19" x14ac:dyDescent="0.25">
      <c r="E576" s="163"/>
      <c r="K576" s="163"/>
      <c r="Q576" s="163"/>
      <c r="R576" s="163"/>
      <c r="S576" s="163"/>
    </row>
    <row r="577" spans="5:19" x14ac:dyDescent="0.25">
      <c r="E577" s="163"/>
      <c r="K577" s="163"/>
      <c r="Q577" s="163"/>
      <c r="R577" s="163"/>
      <c r="S577" s="163"/>
    </row>
    <row r="578" spans="5:19" x14ac:dyDescent="0.25">
      <c r="E578" s="163"/>
      <c r="K578" s="163"/>
      <c r="Q578" s="163"/>
      <c r="R578" s="163"/>
      <c r="S578" s="163"/>
    </row>
    <row r="579" spans="5:19" x14ac:dyDescent="0.25">
      <c r="E579" s="163"/>
      <c r="K579" s="163"/>
      <c r="Q579" s="163"/>
      <c r="R579" s="163"/>
      <c r="S579" s="163"/>
    </row>
    <row r="580" spans="5:19" x14ac:dyDescent="0.25">
      <c r="E580" s="163"/>
      <c r="K580" s="163"/>
      <c r="Q580" s="163"/>
      <c r="R580" s="163"/>
      <c r="S580" s="163"/>
    </row>
    <row r="581" spans="5:19" x14ac:dyDescent="0.25">
      <c r="E581" s="163"/>
      <c r="K581" s="163"/>
      <c r="Q581" s="163"/>
      <c r="R581" s="163"/>
      <c r="S581" s="163"/>
    </row>
    <row r="582" spans="5:19" x14ac:dyDescent="0.25">
      <c r="E582" s="163"/>
      <c r="K582" s="163"/>
      <c r="Q582" s="163"/>
      <c r="R582" s="163"/>
      <c r="S582" s="163"/>
    </row>
    <row r="583" spans="5:19" x14ac:dyDescent="0.25">
      <c r="E583" s="163"/>
      <c r="K583" s="163"/>
      <c r="Q583" s="163"/>
      <c r="R583" s="163"/>
      <c r="S583" s="163"/>
    </row>
    <row r="584" spans="5:19" x14ac:dyDescent="0.25">
      <c r="E584" s="163"/>
      <c r="K584" s="163"/>
      <c r="Q584" s="163"/>
      <c r="R584" s="163"/>
      <c r="S584" s="163"/>
    </row>
    <row r="585" spans="5:19" x14ac:dyDescent="0.25">
      <c r="E585" s="163"/>
      <c r="K585" s="163"/>
      <c r="Q585" s="163"/>
      <c r="R585" s="163"/>
      <c r="S585" s="163"/>
    </row>
    <row r="586" spans="5:19" x14ac:dyDescent="0.25">
      <c r="E586" s="163"/>
      <c r="K586" s="163"/>
      <c r="Q586" s="163"/>
      <c r="R586" s="163"/>
      <c r="S586" s="163"/>
    </row>
    <row r="587" spans="5:19" x14ac:dyDescent="0.25">
      <c r="E587" s="163"/>
      <c r="K587" s="163"/>
      <c r="Q587" s="163"/>
      <c r="R587" s="163"/>
      <c r="S587" s="163"/>
    </row>
    <row r="588" spans="5:19" x14ac:dyDescent="0.25">
      <c r="E588" s="163"/>
      <c r="K588" s="163"/>
      <c r="Q588" s="163"/>
      <c r="R588" s="163"/>
      <c r="S588" s="163"/>
    </row>
    <row r="589" spans="5:19" x14ac:dyDescent="0.25">
      <c r="E589" s="163"/>
      <c r="K589" s="163"/>
      <c r="Q589" s="163"/>
      <c r="R589" s="163"/>
      <c r="S589" s="163"/>
    </row>
    <row r="590" spans="5:19" x14ac:dyDescent="0.25">
      <c r="E590" s="163"/>
      <c r="K590" s="163"/>
      <c r="Q590" s="163"/>
      <c r="R590" s="163"/>
      <c r="S590" s="163"/>
    </row>
    <row r="591" spans="5:19" x14ac:dyDescent="0.25">
      <c r="E591" s="163"/>
      <c r="K591" s="163"/>
      <c r="Q591" s="163"/>
      <c r="R591" s="163"/>
      <c r="S591" s="163"/>
    </row>
    <row r="592" spans="5:19" x14ac:dyDescent="0.25">
      <c r="E592" s="163"/>
      <c r="K592" s="163"/>
      <c r="Q592" s="163"/>
      <c r="R592" s="163"/>
      <c r="S592" s="163"/>
    </row>
    <row r="593" spans="5:19" x14ac:dyDescent="0.25">
      <c r="E593" s="163"/>
      <c r="K593" s="163"/>
      <c r="Q593" s="163"/>
      <c r="R593" s="163"/>
      <c r="S593" s="163"/>
    </row>
    <row r="594" spans="5:19" x14ac:dyDescent="0.25">
      <c r="E594" s="163"/>
      <c r="K594" s="163"/>
      <c r="Q594" s="163"/>
      <c r="R594" s="163"/>
      <c r="S594" s="163"/>
    </row>
    <row r="595" spans="5:19" x14ac:dyDescent="0.25">
      <c r="E595" s="163"/>
      <c r="K595" s="163"/>
      <c r="Q595" s="163"/>
      <c r="R595" s="163"/>
      <c r="S595" s="163"/>
    </row>
    <row r="596" spans="5:19" x14ac:dyDescent="0.25">
      <c r="E596" s="163"/>
      <c r="K596" s="163"/>
      <c r="Q596" s="163"/>
      <c r="R596" s="163"/>
      <c r="S596" s="163"/>
    </row>
    <row r="597" spans="5:19" x14ac:dyDescent="0.25">
      <c r="E597" s="163"/>
      <c r="K597" s="163"/>
      <c r="Q597" s="163"/>
      <c r="R597" s="163"/>
      <c r="S597" s="163"/>
    </row>
    <row r="598" spans="5:19" x14ac:dyDescent="0.25">
      <c r="E598" s="163"/>
      <c r="K598" s="163"/>
      <c r="Q598" s="163"/>
      <c r="R598" s="163"/>
      <c r="S598" s="163"/>
    </row>
    <row r="599" spans="5:19" x14ac:dyDescent="0.25">
      <c r="E599" s="163"/>
      <c r="K599" s="163"/>
      <c r="Q599" s="163"/>
      <c r="R599" s="163"/>
      <c r="S599" s="163"/>
    </row>
    <row r="600" spans="5:19" x14ac:dyDescent="0.25">
      <c r="E600" s="163"/>
      <c r="K600" s="163"/>
      <c r="Q600" s="163"/>
      <c r="R600" s="163"/>
      <c r="S600" s="163"/>
    </row>
    <row r="601" spans="5:19" x14ac:dyDescent="0.25">
      <c r="E601" s="163"/>
      <c r="K601" s="163"/>
      <c r="Q601" s="163"/>
      <c r="R601" s="163"/>
      <c r="S601" s="163"/>
    </row>
    <row r="602" spans="5:19" x14ac:dyDescent="0.25">
      <c r="E602" s="163"/>
      <c r="K602" s="163"/>
      <c r="Q602" s="163"/>
      <c r="R602" s="163"/>
      <c r="S602" s="163"/>
    </row>
    <row r="603" spans="5:19" x14ac:dyDescent="0.25">
      <c r="E603" s="163"/>
      <c r="K603" s="163"/>
      <c r="Q603" s="163"/>
      <c r="R603" s="163"/>
      <c r="S603" s="163"/>
    </row>
    <row r="604" spans="5:19" x14ac:dyDescent="0.25">
      <c r="E604" s="163"/>
      <c r="K604" s="163"/>
      <c r="Q604" s="163"/>
      <c r="R604" s="163"/>
      <c r="S604" s="163"/>
    </row>
    <row r="605" spans="5:19" x14ac:dyDescent="0.25">
      <c r="E605" s="163"/>
      <c r="K605" s="163"/>
      <c r="Q605" s="163"/>
      <c r="R605" s="163"/>
      <c r="S605" s="163"/>
    </row>
    <row r="606" spans="5:19" x14ac:dyDescent="0.25">
      <c r="E606" s="163"/>
      <c r="K606" s="163"/>
      <c r="Q606" s="163"/>
      <c r="R606" s="163"/>
      <c r="S606" s="163"/>
    </row>
    <row r="607" spans="5:19" x14ac:dyDescent="0.25">
      <c r="E607" s="163"/>
      <c r="K607" s="163"/>
      <c r="Q607" s="163"/>
      <c r="R607" s="163"/>
      <c r="S607" s="163"/>
    </row>
    <row r="608" spans="5:19" x14ac:dyDescent="0.25">
      <c r="E608" s="163"/>
      <c r="K608" s="163"/>
      <c r="Q608" s="163"/>
      <c r="R608" s="163"/>
      <c r="S608" s="163"/>
    </row>
    <row r="609" spans="5:19" x14ac:dyDescent="0.25">
      <c r="E609" s="163"/>
      <c r="K609" s="163"/>
      <c r="Q609" s="163"/>
      <c r="R609" s="163"/>
      <c r="S609" s="163"/>
    </row>
    <row r="610" spans="5:19" x14ac:dyDescent="0.25">
      <c r="E610" s="163"/>
      <c r="K610" s="163"/>
      <c r="Q610" s="163"/>
      <c r="R610" s="163"/>
      <c r="S610" s="163"/>
    </row>
    <row r="611" spans="5:19" x14ac:dyDescent="0.25">
      <c r="E611" s="163"/>
      <c r="K611" s="163"/>
      <c r="Q611" s="163"/>
      <c r="R611" s="163"/>
      <c r="S611" s="163"/>
    </row>
    <row r="612" spans="5:19" x14ac:dyDescent="0.25">
      <c r="E612" s="163"/>
      <c r="K612" s="163"/>
      <c r="Q612" s="163"/>
      <c r="R612" s="163"/>
      <c r="S612" s="163"/>
    </row>
    <row r="613" spans="5:19" x14ac:dyDescent="0.25">
      <c r="E613" s="163"/>
      <c r="K613" s="163"/>
      <c r="Q613" s="163"/>
      <c r="R613" s="163"/>
      <c r="S613" s="163"/>
    </row>
    <row r="614" spans="5:19" x14ac:dyDescent="0.25">
      <c r="E614" s="163"/>
      <c r="K614" s="163"/>
      <c r="Q614" s="163"/>
      <c r="R614" s="163"/>
      <c r="S614" s="163"/>
    </row>
    <row r="615" spans="5:19" x14ac:dyDescent="0.25">
      <c r="E615" s="163"/>
      <c r="K615" s="163"/>
      <c r="Q615" s="163"/>
      <c r="R615" s="163"/>
      <c r="S615" s="163"/>
    </row>
    <row r="616" spans="5:19" x14ac:dyDescent="0.25">
      <c r="E616" s="163"/>
      <c r="K616" s="163"/>
      <c r="Q616" s="163"/>
      <c r="R616" s="163"/>
      <c r="S616" s="163"/>
    </row>
    <row r="617" spans="5:19" x14ac:dyDescent="0.25">
      <c r="E617" s="163"/>
      <c r="K617" s="163"/>
      <c r="Q617" s="163"/>
      <c r="R617" s="163"/>
      <c r="S617" s="163"/>
    </row>
    <row r="618" spans="5:19" x14ac:dyDescent="0.25">
      <c r="E618" s="163"/>
      <c r="K618" s="163"/>
      <c r="Q618" s="163"/>
      <c r="R618" s="163"/>
      <c r="S618" s="163"/>
    </row>
    <row r="619" spans="5:19" x14ac:dyDescent="0.25">
      <c r="E619" s="163"/>
      <c r="K619" s="163"/>
      <c r="Q619" s="163"/>
      <c r="R619" s="163"/>
      <c r="S619" s="163"/>
    </row>
    <row r="620" spans="5:19" x14ac:dyDescent="0.25">
      <c r="E620" s="163"/>
      <c r="K620" s="163"/>
      <c r="Q620" s="163"/>
      <c r="R620" s="163"/>
      <c r="S620" s="163"/>
    </row>
    <row r="621" spans="5:19" x14ac:dyDescent="0.25">
      <c r="E621" s="163"/>
      <c r="K621" s="163"/>
      <c r="Q621" s="163"/>
      <c r="R621" s="163"/>
      <c r="S621" s="163"/>
    </row>
    <row r="622" spans="5:19" x14ac:dyDescent="0.25">
      <c r="E622" s="163"/>
      <c r="K622" s="163"/>
      <c r="Q622" s="163"/>
      <c r="R622" s="163"/>
      <c r="S622" s="163"/>
    </row>
    <row r="623" spans="5:19" x14ac:dyDescent="0.25">
      <c r="E623" s="163"/>
      <c r="K623" s="163"/>
      <c r="Q623" s="163"/>
      <c r="R623" s="163"/>
      <c r="S623" s="163"/>
    </row>
    <row r="624" spans="5:19" x14ac:dyDescent="0.25">
      <c r="E624" s="163"/>
      <c r="K624" s="163"/>
      <c r="Q624" s="163"/>
      <c r="R624" s="163"/>
      <c r="S624" s="163"/>
    </row>
    <row r="625" spans="5:19" x14ac:dyDescent="0.25">
      <c r="E625" s="163"/>
      <c r="K625" s="163"/>
      <c r="Q625" s="163"/>
      <c r="R625" s="163"/>
      <c r="S625" s="163"/>
    </row>
    <row r="626" spans="5:19" x14ac:dyDescent="0.25">
      <c r="E626" s="163"/>
      <c r="K626" s="163"/>
      <c r="Q626" s="163"/>
      <c r="R626" s="163"/>
      <c r="S626" s="163"/>
    </row>
    <row r="627" spans="5:19" x14ac:dyDescent="0.25">
      <c r="E627" s="163"/>
      <c r="K627" s="163"/>
      <c r="Q627" s="163"/>
      <c r="R627" s="163"/>
      <c r="S627" s="163"/>
    </row>
    <row r="628" spans="5:19" x14ac:dyDescent="0.25">
      <c r="E628" s="163"/>
      <c r="K628" s="163"/>
      <c r="Q628" s="163"/>
      <c r="R628" s="163"/>
      <c r="S628" s="163"/>
    </row>
    <row r="629" spans="5:19" x14ac:dyDescent="0.25">
      <c r="E629" s="163"/>
      <c r="K629" s="163"/>
      <c r="Q629" s="163"/>
      <c r="R629" s="163"/>
      <c r="S629" s="163"/>
    </row>
    <row r="630" spans="5:19" x14ac:dyDescent="0.25">
      <c r="E630" s="163"/>
      <c r="K630" s="163"/>
      <c r="Q630" s="163"/>
      <c r="R630" s="163"/>
      <c r="S630" s="163"/>
    </row>
    <row r="631" spans="5:19" x14ac:dyDescent="0.25">
      <c r="E631" s="163"/>
      <c r="K631" s="163"/>
      <c r="Q631" s="163"/>
      <c r="R631" s="163"/>
      <c r="S631" s="163"/>
    </row>
    <row r="632" spans="5:19" x14ac:dyDescent="0.25">
      <c r="E632" s="163"/>
      <c r="K632" s="163"/>
      <c r="Q632" s="163"/>
      <c r="R632" s="163"/>
      <c r="S632" s="163"/>
    </row>
    <row r="633" spans="5:19" x14ac:dyDescent="0.25">
      <c r="E633" s="163"/>
      <c r="K633" s="163"/>
      <c r="Q633" s="163"/>
      <c r="R633" s="163"/>
      <c r="S633" s="163"/>
    </row>
    <row r="634" spans="5:19" x14ac:dyDescent="0.25">
      <c r="E634" s="163"/>
      <c r="K634" s="163"/>
      <c r="Q634" s="163"/>
      <c r="R634" s="163"/>
      <c r="S634" s="163"/>
    </row>
    <row r="635" spans="5:19" x14ac:dyDescent="0.25">
      <c r="E635" s="163"/>
      <c r="K635" s="163"/>
      <c r="Q635" s="163"/>
      <c r="R635" s="163"/>
      <c r="S635" s="163"/>
    </row>
    <row r="636" spans="5:19" x14ac:dyDescent="0.25">
      <c r="E636" s="163"/>
      <c r="K636" s="163"/>
      <c r="Q636" s="163"/>
      <c r="R636" s="163"/>
      <c r="S636" s="163"/>
    </row>
    <row r="637" spans="5:19" x14ac:dyDescent="0.25">
      <c r="E637" s="163"/>
      <c r="K637" s="163"/>
      <c r="Q637" s="163"/>
      <c r="R637" s="163"/>
      <c r="S637" s="163"/>
    </row>
    <row r="638" spans="5:19" x14ac:dyDescent="0.25">
      <c r="E638" s="163"/>
      <c r="K638" s="163"/>
      <c r="Q638" s="163"/>
      <c r="R638" s="163"/>
      <c r="S638" s="163"/>
    </row>
    <row r="639" spans="5:19" x14ac:dyDescent="0.25">
      <c r="E639" s="163"/>
      <c r="K639" s="163"/>
      <c r="Q639" s="163"/>
      <c r="R639" s="163"/>
      <c r="S639" s="163"/>
    </row>
    <row r="640" spans="5:19" x14ac:dyDescent="0.25">
      <c r="E640" s="163"/>
      <c r="K640" s="163"/>
      <c r="Q640" s="163"/>
      <c r="R640" s="163"/>
      <c r="S640" s="163"/>
    </row>
    <row r="641" spans="5:19" x14ac:dyDescent="0.25">
      <c r="E641" s="163"/>
      <c r="K641" s="163"/>
      <c r="Q641" s="163"/>
      <c r="R641" s="163"/>
      <c r="S641" s="163"/>
    </row>
    <row r="642" spans="5:19" x14ac:dyDescent="0.25">
      <c r="E642" s="163"/>
      <c r="K642" s="163"/>
      <c r="Q642" s="163"/>
      <c r="R642" s="163"/>
      <c r="S642" s="163"/>
    </row>
    <row r="643" spans="5:19" x14ac:dyDescent="0.25">
      <c r="E643" s="163"/>
      <c r="K643" s="163"/>
      <c r="Q643" s="163"/>
      <c r="R643" s="163"/>
      <c r="S643" s="163"/>
    </row>
    <row r="644" spans="5:19" x14ac:dyDescent="0.25">
      <c r="E644" s="163"/>
      <c r="K644" s="163"/>
      <c r="Q644" s="163"/>
      <c r="R644" s="163"/>
      <c r="S644" s="163"/>
    </row>
    <row r="645" spans="5:19" x14ac:dyDescent="0.25">
      <c r="E645" s="163"/>
      <c r="K645" s="163"/>
      <c r="Q645" s="163"/>
      <c r="R645" s="163"/>
      <c r="S645" s="163"/>
    </row>
    <row r="646" spans="5:19" x14ac:dyDescent="0.25">
      <c r="E646" s="163"/>
      <c r="K646" s="163"/>
      <c r="Q646" s="163"/>
      <c r="R646" s="163"/>
      <c r="S646" s="163"/>
    </row>
    <row r="647" spans="5:19" x14ac:dyDescent="0.25">
      <c r="E647" s="163"/>
      <c r="K647" s="163"/>
      <c r="Q647" s="163"/>
      <c r="R647" s="163"/>
      <c r="S647" s="163"/>
    </row>
    <row r="648" spans="5:19" x14ac:dyDescent="0.25">
      <c r="E648" s="163"/>
      <c r="K648" s="163"/>
      <c r="Q648" s="163"/>
      <c r="R648" s="163"/>
      <c r="S648" s="163"/>
    </row>
    <row r="649" spans="5:19" x14ac:dyDescent="0.25">
      <c r="E649" s="163"/>
      <c r="K649" s="163"/>
      <c r="Q649" s="163"/>
      <c r="R649" s="163"/>
      <c r="S649" s="163"/>
    </row>
    <row r="650" spans="5:19" x14ac:dyDescent="0.25">
      <c r="E650" s="163"/>
      <c r="K650" s="163"/>
      <c r="Q650" s="163"/>
      <c r="R650" s="163"/>
      <c r="S650" s="163"/>
    </row>
    <row r="651" spans="5:19" x14ac:dyDescent="0.25">
      <c r="E651" s="163"/>
      <c r="K651" s="163"/>
      <c r="Q651" s="163"/>
      <c r="R651" s="163"/>
      <c r="S651" s="163"/>
    </row>
    <row r="652" spans="5:19" x14ac:dyDescent="0.25">
      <c r="E652" s="163"/>
      <c r="K652" s="163"/>
      <c r="Q652" s="163"/>
      <c r="R652" s="163"/>
      <c r="S652" s="163"/>
    </row>
    <row r="653" spans="5:19" x14ac:dyDescent="0.25">
      <c r="E653" s="163"/>
      <c r="K653" s="163"/>
      <c r="Q653" s="163"/>
      <c r="R653" s="163"/>
      <c r="S653" s="163"/>
    </row>
    <row r="654" spans="5:19" x14ac:dyDescent="0.25">
      <c r="E654" s="163"/>
      <c r="K654" s="163"/>
      <c r="Q654" s="163"/>
      <c r="R654" s="163"/>
      <c r="S654" s="163"/>
    </row>
    <row r="655" spans="5:19" x14ac:dyDescent="0.25">
      <c r="E655" s="163"/>
      <c r="K655" s="163"/>
      <c r="Q655" s="163"/>
      <c r="R655" s="163"/>
      <c r="S655" s="163"/>
    </row>
    <row r="656" spans="5:19" x14ac:dyDescent="0.25">
      <c r="E656" s="163"/>
      <c r="K656" s="163"/>
      <c r="Q656" s="163"/>
      <c r="R656" s="163"/>
      <c r="S656" s="163"/>
    </row>
    <row r="657" spans="5:19" x14ac:dyDescent="0.25">
      <c r="E657" s="163"/>
      <c r="K657" s="163"/>
      <c r="Q657" s="163"/>
      <c r="R657" s="163"/>
      <c r="S657" s="163"/>
    </row>
    <row r="658" spans="5:19" x14ac:dyDescent="0.25">
      <c r="E658" s="163"/>
      <c r="K658" s="163"/>
      <c r="Q658" s="163"/>
      <c r="R658" s="163"/>
      <c r="S658" s="163"/>
    </row>
    <row r="659" spans="5:19" x14ac:dyDescent="0.25">
      <c r="E659" s="163"/>
      <c r="K659" s="163"/>
      <c r="Q659" s="163"/>
      <c r="R659" s="163"/>
      <c r="S659" s="163"/>
    </row>
    <row r="660" spans="5:19" x14ac:dyDescent="0.25">
      <c r="E660" s="163"/>
      <c r="K660" s="163"/>
      <c r="Q660" s="163"/>
      <c r="R660" s="163"/>
      <c r="S660" s="163"/>
    </row>
    <row r="661" spans="5:19" x14ac:dyDescent="0.25">
      <c r="E661" s="163"/>
      <c r="K661" s="163"/>
      <c r="Q661" s="163"/>
      <c r="R661" s="163"/>
      <c r="S661" s="163"/>
    </row>
    <row r="662" spans="5:19" x14ac:dyDescent="0.25">
      <c r="E662" s="163"/>
      <c r="K662" s="163"/>
      <c r="Q662" s="163"/>
      <c r="R662" s="163"/>
      <c r="S662" s="163"/>
    </row>
    <row r="663" spans="5:19" x14ac:dyDescent="0.25">
      <c r="E663" s="163"/>
      <c r="K663" s="163"/>
      <c r="Q663" s="163"/>
      <c r="R663" s="163"/>
      <c r="S663" s="163"/>
    </row>
    <row r="664" spans="5:19" x14ac:dyDescent="0.25">
      <c r="E664" s="163"/>
      <c r="K664" s="163"/>
      <c r="Q664" s="163"/>
      <c r="R664" s="163"/>
      <c r="S664" s="163"/>
    </row>
    <row r="665" spans="5:19" x14ac:dyDescent="0.25">
      <c r="E665" s="163"/>
      <c r="K665" s="163"/>
      <c r="Q665" s="163"/>
      <c r="R665" s="163"/>
      <c r="S665" s="163"/>
    </row>
    <row r="666" spans="5:19" x14ac:dyDescent="0.25">
      <c r="E666" s="163"/>
      <c r="K666" s="163"/>
      <c r="Q666" s="163"/>
      <c r="R666" s="163"/>
      <c r="S666" s="163"/>
    </row>
    <row r="667" spans="5:19" x14ac:dyDescent="0.25">
      <c r="E667" s="163"/>
      <c r="K667" s="163"/>
      <c r="Q667" s="163"/>
      <c r="R667" s="163"/>
      <c r="S667" s="163"/>
    </row>
    <row r="668" spans="5:19" x14ac:dyDescent="0.25">
      <c r="E668" s="163"/>
      <c r="K668" s="163"/>
      <c r="Q668" s="163"/>
      <c r="R668" s="163"/>
      <c r="S668" s="163"/>
    </row>
    <row r="669" spans="5:19" x14ac:dyDescent="0.25">
      <c r="E669" s="163"/>
      <c r="K669" s="163"/>
      <c r="Q669" s="163"/>
      <c r="R669" s="163"/>
      <c r="S669" s="163"/>
    </row>
    <row r="670" spans="5:19" x14ac:dyDescent="0.25">
      <c r="E670" s="163"/>
      <c r="K670" s="163"/>
      <c r="Q670" s="163"/>
      <c r="R670" s="163"/>
      <c r="S670" s="163"/>
    </row>
    <row r="671" spans="5:19" x14ac:dyDescent="0.25">
      <c r="E671" s="163"/>
      <c r="K671" s="163"/>
      <c r="Q671" s="163"/>
      <c r="R671" s="163"/>
      <c r="S671" s="163"/>
    </row>
    <row r="672" spans="5:19" x14ac:dyDescent="0.25">
      <c r="E672" s="163"/>
      <c r="K672" s="163"/>
      <c r="Q672" s="163"/>
      <c r="R672" s="163"/>
      <c r="S672" s="163"/>
    </row>
    <row r="673" spans="5:19" x14ac:dyDescent="0.25">
      <c r="E673" s="163"/>
      <c r="K673" s="163"/>
      <c r="Q673" s="163"/>
      <c r="R673" s="163"/>
      <c r="S673" s="163"/>
    </row>
    <row r="674" spans="5:19" x14ac:dyDescent="0.25">
      <c r="E674" s="163"/>
      <c r="K674" s="163"/>
      <c r="Q674" s="163"/>
      <c r="R674" s="163"/>
      <c r="S674" s="163"/>
    </row>
    <row r="675" spans="5:19" x14ac:dyDescent="0.25">
      <c r="E675" s="163"/>
      <c r="K675" s="163"/>
      <c r="Q675" s="163"/>
      <c r="R675" s="163"/>
      <c r="S675" s="163"/>
    </row>
    <row r="676" spans="5:19" x14ac:dyDescent="0.25">
      <c r="E676" s="163"/>
      <c r="K676" s="163"/>
      <c r="Q676" s="163"/>
      <c r="R676" s="163"/>
      <c r="S676" s="163"/>
    </row>
    <row r="677" spans="5:19" x14ac:dyDescent="0.25">
      <c r="E677" s="163"/>
      <c r="K677" s="163"/>
      <c r="Q677" s="163"/>
      <c r="R677" s="163"/>
      <c r="S677" s="163"/>
    </row>
    <row r="678" spans="5:19" x14ac:dyDescent="0.25">
      <c r="E678" s="163"/>
      <c r="K678" s="163"/>
      <c r="Q678" s="163"/>
      <c r="R678" s="163"/>
      <c r="S678" s="163"/>
    </row>
    <row r="679" spans="5:19" x14ac:dyDescent="0.25">
      <c r="E679" s="163"/>
      <c r="K679" s="163"/>
      <c r="Q679" s="163"/>
      <c r="R679" s="163"/>
      <c r="S679" s="163"/>
    </row>
    <row r="680" spans="5:19" x14ac:dyDescent="0.25">
      <c r="E680" s="163"/>
      <c r="K680" s="163"/>
      <c r="Q680" s="163"/>
      <c r="R680" s="163"/>
      <c r="S680" s="163"/>
    </row>
    <row r="681" spans="5:19" x14ac:dyDescent="0.25">
      <c r="E681" s="163"/>
      <c r="K681" s="163"/>
      <c r="Q681" s="163"/>
      <c r="R681" s="163"/>
      <c r="S681" s="163"/>
    </row>
    <row r="682" spans="5:19" x14ac:dyDescent="0.25">
      <c r="E682" s="163"/>
      <c r="K682" s="163"/>
      <c r="Q682" s="163"/>
      <c r="R682" s="163"/>
      <c r="S682" s="163"/>
    </row>
    <row r="683" spans="5:19" x14ac:dyDescent="0.25">
      <c r="E683" s="163"/>
      <c r="K683" s="163"/>
      <c r="Q683" s="163"/>
      <c r="R683" s="163"/>
      <c r="S683" s="163"/>
    </row>
    <row r="684" spans="5:19" x14ac:dyDescent="0.25">
      <c r="E684" s="163"/>
      <c r="K684" s="163"/>
      <c r="Q684" s="163"/>
      <c r="R684" s="163"/>
      <c r="S684" s="163"/>
    </row>
    <row r="685" spans="5:19" x14ac:dyDescent="0.25">
      <c r="E685" s="163"/>
      <c r="K685" s="163"/>
      <c r="Q685" s="163"/>
      <c r="R685" s="163"/>
      <c r="S685" s="163"/>
    </row>
    <row r="686" spans="5:19" x14ac:dyDescent="0.25">
      <c r="E686" s="163"/>
      <c r="K686" s="163"/>
      <c r="Q686" s="163"/>
      <c r="R686" s="163"/>
      <c r="S686" s="163"/>
    </row>
    <row r="687" spans="5:19" x14ac:dyDescent="0.25">
      <c r="E687" s="163"/>
      <c r="K687" s="163"/>
      <c r="Q687" s="163"/>
      <c r="R687" s="163"/>
      <c r="S687" s="163"/>
    </row>
    <row r="688" spans="5:19" x14ac:dyDescent="0.25">
      <c r="E688" s="163"/>
      <c r="K688" s="163"/>
      <c r="Q688" s="163"/>
      <c r="R688" s="163"/>
      <c r="S688" s="163"/>
    </row>
    <row r="689" spans="5:19" x14ac:dyDescent="0.25">
      <c r="E689" s="163"/>
      <c r="K689" s="163"/>
      <c r="Q689" s="163"/>
      <c r="R689" s="163"/>
      <c r="S689" s="163"/>
    </row>
    <row r="690" spans="5:19" x14ac:dyDescent="0.25">
      <c r="E690" s="163"/>
      <c r="K690" s="163"/>
      <c r="Q690" s="163"/>
      <c r="R690" s="163"/>
      <c r="S690" s="163"/>
    </row>
    <row r="691" spans="5:19" x14ac:dyDescent="0.25">
      <c r="E691" s="163"/>
      <c r="K691" s="163"/>
      <c r="Q691" s="163"/>
      <c r="R691" s="163"/>
      <c r="S691" s="163"/>
    </row>
    <row r="692" spans="5:19" x14ac:dyDescent="0.25">
      <c r="E692" s="163"/>
      <c r="K692" s="163"/>
      <c r="Q692" s="163"/>
      <c r="R692" s="163"/>
      <c r="S692" s="163"/>
    </row>
    <row r="693" spans="5:19" x14ac:dyDescent="0.25">
      <c r="E693" s="163"/>
      <c r="K693" s="163"/>
      <c r="Q693" s="163"/>
      <c r="R693" s="163"/>
      <c r="S693" s="163"/>
    </row>
    <row r="694" spans="5:19" x14ac:dyDescent="0.25">
      <c r="E694" s="163"/>
      <c r="K694" s="163"/>
      <c r="Q694" s="163"/>
      <c r="R694" s="163"/>
      <c r="S694" s="163"/>
    </row>
    <row r="695" spans="5:19" x14ac:dyDescent="0.25">
      <c r="E695" s="163"/>
      <c r="K695" s="163"/>
      <c r="Q695" s="163"/>
      <c r="R695" s="163"/>
      <c r="S695" s="163"/>
    </row>
    <row r="696" spans="5:19" x14ac:dyDescent="0.25">
      <c r="E696" s="163"/>
      <c r="K696" s="163"/>
      <c r="Q696" s="163"/>
      <c r="R696" s="163"/>
      <c r="S696" s="163"/>
    </row>
    <row r="697" spans="5:19" x14ac:dyDescent="0.25">
      <c r="E697" s="163"/>
      <c r="K697" s="163"/>
      <c r="Q697" s="163"/>
      <c r="R697" s="163"/>
      <c r="S697" s="163"/>
    </row>
    <row r="698" spans="5:19" x14ac:dyDescent="0.25">
      <c r="E698" s="163"/>
      <c r="K698" s="163"/>
      <c r="Q698" s="163"/>
      <c r="R698" s="163"/>
      <c r="S698" s="163"/>
    </row>
    <row r="699" spans="5:19" x14ac:dyDescent="0.25">
      <c r="E699" s="163"/>
      <c r="K699" s="163"/>
      <c r="Q699" s="163"/>
      <c r="R699" s="163"/>
      <c r="S699" s="163"/>
    </row>
    <row r="700" spans="5:19" x14ac:dyDescent="0.25">
      <c r="E700" s="163"/>
      <c r="K700" s="163"/>
      <c r="Q700" s="163"/>
      <c r="R700" s="163"/>
      <c r="S700" s="163"/>
    </row>
    <row r="701" spans="5:19" x14ac:dyDescent="0.25">
      <c r="E701" s="163"/>
      <c r="K701" s="163"/>
      <c r="Q701" s="163"/>
      <c r="R701" s="163"/>
      <c r="S701" s="163"/>
    </row>
    <row r="702" spans="5:19" x14ac:dyDescent="0.25">
      <c r="E702" s="163"/>
      <c r="K702" s="163"/>
      <c r="Q702" s="163"/>
      <c r="R702" s="163"/>
      <c r="S702" s="163"/>
    </row>
    <row r="703" spans="5:19" x14ac:dyDescent="0.25">
      <c r="E703" s="163"/>
      <c r="K703" s="163"/>
      <c r="Q703" s="163"/>
      <c r="R703" s="163"/>
      <c r="S703" s="163"/>
    </row>
    <row r="704" spans="5:19" x14ac:dyDescent="0.25">
      <c r="E704" s="163"/>
      <c r="K704" s="163"/>
      <c r="Q704" s="163"/>
      <c r="R704" s="163"/>
      <c r="S704" s="163"/>
    </row>
    <row r="705" spans="5:19" x14ac:dyDescent="0.25">
      <c r="E705" s="163"/>
      <c r="K705" s="163"/>
      <c r="Q705" s="163"/>
      <c r="R705" s="163"/>
      <c r="S705" s="163"/>
    </row>
    <row r="706" spans="5:19" x14ac:dyDescent="0.25">
      <c r="E706" s="163"/>
      <c r="K706" s="163"/>
      <c r="Q706" s="163"/>
      <c r="R706" s="163"/>
      <c r="S706" s="163"/>
    </row>
    <row r="707" spans="5:19" x14ac:dyDescent="0.25">
      <c r="E707" s="163"/>
      <c r="K707" s="163"/>
      <c r="Q707" s="163"/>
      <c r="R707" s="163"/>
      <c r="S707" s="163"/>
    </row>
    <row r="708" spans="5:19" x14ac:dyDescent="0.25">
      <c r="E708" s="163"/>
      <c r="K708" s="163"/>
      <c r="Q708" s="163"/>
      <c r="R708" s="163"/>
      <c r="S708" s="163"/>
    </row>
    <row r="709" spans="5:19" x14ac:dyDescent="0.25">
      <c r="E709" s="163"/>
      <c r="K709" s="163"/>
      <c r="Q709" s="163"/>
      <c r="R709" s="163"/>
      <c r="S709" s="163"/>
    </row>
    <row r="710" spans="5:19" x14ac:dyDescent="0.25">
      <c r="E710" s="163"/>
      <c r="K710" s="163"/>
      <c r="Q710" s="163"/>
      <c r="R710" s="163"/>
      <c r="S710" s="163"/>
    </row>
    <row r="711" spans="5:19" x14ac:dyDescent="0.25">
      <c r="E711" s="163"/>
      <c r="K711" s="163"/>
      <c r="Q711" s="163"/>
      <c r="R711" s="163"/>
      <c r="S711" s="163"/>
    </row>
    <row r="712" spans="5:19" x14ac:dyDescent="0.25">
      <c r="E712" s="163"/>
      <c r="K712" s="163"/>
      <c r="Q712" s="163"/>
      <c r="R712" s="163"/>
      <c r="S712" s="163"/>
    </row>
    <row r="713" spans="5:19" x14ac:dyDescent="0.25">
      <c r="E713" s="163"/>
      <c r="K713" s="163"/>
      <c r="Q713" s="163"/>
      <c r="R713" s="163"/>
      <c r="S713" s="163"/>
    </row>
    <row r="714" spans="5:19" x14ac:dyDescent="0.25">
      <c r="E714" s="163"/>
      <c r="K714" s="163"/>
      <c r="Q714" s="163"/>
      <c r="R714" s="163"/>
      <c r="S714" s="163"/>
    </row>
    <row r="715" spans="5:19" x14ac:dyDescent="0.25">
      <c r="E715" s="163"/>
      <c r="K715" s="163"/>
      <c r="Q715" s="163"/>
      <c r="R715" s="163"/>
      <c r="S715" s="163"/>
    </row>
    <row r="716" spans="5:19" x14ac:dyDescent="0.25">
      <c r="E716" s="163"/>
      <c r="K716" s="163"/>
      <c r="Q716" s="163"/>
      <c r="R716" s="163"/>
      <c r="S716" s="163"/>
    </row>
    <row r="717" spans="5:19" x14ac:dyDescent="0.25">
      <c r="E717" s="163"/>
      <c r="K717" s="163"/>
      <c r="Q717" s="163"/>
      <c r="R717" s="163"/>
      <c r="S717" s="163"/>
    </row>
    <row r="718" spans="5:19" x14ac:dyDescent="0.25">
      <c r="E718" s="163"/>
      <c r="K718" s="163"/>
      <c r="Q718" s="163"/>
      <c r="R718" s="163"/>
      <c r="S718" s="163"/>
    </row>
    <row r="719" spans="5:19" x14ac:dyDescent="0.25">
      <c r="E719" s="163"/>
      <c r="K719" s="163"/>
      <c r="Q719" s="163"/>
      <c r="R719" s="163"/>
      <c r="S719" s="163"/>
    </row>
    <row r="720" spans="5:19" x14ac:dyDescent="0.25">
      <c r="E720" s="163"/>
      <c r="K720" s="163"/>
      <c r="Q720" s="163"/>
      <c r="R720" s="163"/>
      <c r="S720" s="163"/>
    </row>
    <row r="721" spans="5:19" x14ac:dyDescent="0.25">
      <c r="E721" s="163"/>
      <c r="K721" s="163"/>
      <c r="Q721" s="163"/>
      <c r="R721" s="163"/>
      <c r="S721" s="163"/>
    </row>
    <row r="722" spans="5:19" x14ac:dyDescent="0.25">
      <c r="E722" s="163"/>
      <c r="K722" s="163"/>
      <c r="Q722" s="163"/>
      <c r="R722" s="163"/>
      <c r="S722" s="163"/>
    </row>
    <row r="723" spans="5:19" x14ac:dyDescent="0.25">
      <c r="E723" s="163"/>
      <c r="K723" s="163"/>
      <c r="Q723" s="163"/>
      <c r="R723" s="163"/>
      <c r="S723" s="163"/>
    </row>
    <row r="724" spans="5:19" x14ac:dyDescent="0.25">
      <c r="E724" s="163"/>
      <c r="K724" s="163"/>
      <c r="Q724" s="163"/>
      <c r="R724" s="163"/>
      <c r="S724" s="163"/>
    </row>
    <row r="725" spans="5:19" x14ac:dyDescent="0.25">
      <c r="E725" s="163"/>
      <c r="K725" s="163"/>
      <c r="Q725" s="163"/>
      <c r="R725" s="163"/>
      <c r="S725" s="163"/>
    </row>
    <row r="726" spans="5:19" x14ac:dyDescent="0.25">
      <c r="E726" s="163"/>
      <c r="K726" s="163"/>
      <c r="Q726" s="163"/>
      <c r="R726" s="163"/>
      <c r="S726" s="163"/>
    </row>
    <row r="727" spans="5:19" x14ac:dyDescent="0.25">
      <c r="E727" s="163"/>
      <c r="K727" s="163"/>
      <c r="Q727" s="163"/>
      <c r="R727" s="163"/>
      <c r="S727" s="163"/>
    </row>
    <row r="728" spans="5:19" x14ac:dyDescent="0.25">
      <c r="E728" s="163"/>
      <c r="K728" s="163"/>
      <c r="Q728" s="163"/>
      <c r="R728" s="163"/>
      <c r="S728" s="163"/>
    </row>
    <row r="729" spans="5:19" x14ac:dyDescent="0.25">
      <c r="E729" s="163"/>
      <c r="K729" s="163"/>
      <c r="Q729" s="163"/>
      <c r="R729" s="163"/>
      <c r="S729" s="163"/>
    </row>
    <row r="730" spans="5:19" x14ac:dyDescent="0.25">
      <c r="E730" s="163"/>
      <c r="K730" s="163"/>
      <c r="Q730" s="163"/>
      <c r="R730" s="163"/>
      <c r="S730" s="163"/>
    </row>
    <row r="731" spans="5:19" x14ac:dyDescent="0.25">
      <c r="E731" s="163"/>
      <c r="K731" s="163"/>
      <c r="Q731" s="163"/>
      <c r="R731" s="163"/>
      <c r="S731" s="163"/>
    </row>
    <row r="732" spans="5:19" x14ac:dyDescent="0.25">
      <c r="E732" s="163"/>
      <c r="K732" s="163"/>
      <c r="Q732" s="163"/>
      <c r="R732" s="163"/>
      <c r="S732" s="163"/>
    </row>
    <row r="733" spans="5:19" x14ac:dyDescent="0.25">
      <c r="E733" s="163"/>
      <c r="K733" s="163"/>
      <c r="Q733" s="163"/>
      <c r="R733" s="163"/>
      <c r="S733" s="163"/>
    </row>
    <row r="734" spans="5:19" x14ac:dyDescent="0.25">
      <c r="E734" s="163"/>
      <c r="K734" s="163"/>
      <c r="Q734" s="163"/>
      <c r="R734" s="163"/>
      <c r="S734" s="163"/>
    </row>
    <row r="735" spans="5:19" x14ac:dyDescent="0.25">
      <c r="E735" s="163"/>
      <c r="K735" s="163"/>
      <c r="Q735" s="163"/>
      <c r="R735" s="163"/>
      <c r="S735" s="163"/>
    </row>
    <row r="736" spans="5:19" x14ac:dyDescent="0.25">
      <c r="E736" s="163"/>
      <c r="K736" s="163"/>
      <c r="Q736" s="163"/>
      <c r="R736" s="163"/>
      <c r="S736" s="163"/>
    </row>
    <row r="737" spans="5:19" x14ac:dyDescent="0.25">
      <c r="E737" s="163"/>
      <c r="K737" s="163"/>
      <c r="Q737" s="163"/>
      <c r="R737" s="163"/>
      <c r="S737" s="163"/>
    </row>
    <row r="738" spans="5:19" x14ac:dyDescent="0.25">
      <c r="E738" s="163"/>
      <c r="K738" s="163"/>
      <c r="Q738" s="163"/>
      <c r="R738" s="163"/>
      <c r="S738" s="163"/>
    </row>
    <row r="739" spans="5:19" x14ac:dyDescent="0.25">
      <c r="E739" s="163"/>
      <c r="K739" s="163"/>
      <c r="Q739" s="163"/>
      <c r="R739" s="163"/>
      <c r="S739" s="163"/>
    </row>
    <row r="740" spans="5:19" x14ac:dyDescent="0.25">
      <c r="E740" s="163"/>
      <c r="K740" s="163"/>
      <c r="Q740" s="163"/>
      <c r="R740" s="163"/>
      <c r="S740" s="163"/>
    </row>
    <row r="741" spans="5:19" x14ac:dyDescent="0.25">
      <c r="E741" s="163"/>
      <c r="K741" s="163"/>
      <c r="Q741" s="163"/>
      <c r="R741" s="163"/>
      <c r="S741" s="163"/>
    </row>
    <row r="742" spans="5:19" x14ac:dyDescent="0.25">
      <c r="E742" s="163"/>
      <c r="K742" s="163"/>
      <c r="Q742" s="163"/>
      <c r="R742" s="163"/>
      <c r="S742" s="163"/>
    </row>
    <row r="743" spans="5:19" x14ac:dyDescent="0.25">
      <c r="E743" s="163"/>
      <c r="K743" s="163"/>
      <c r="Q743" s="163"/>
      <c r="R743" s="163"/>
      <c r="S743" s="163"/>
    </row>
    <row r="744" spans="5:19" x14ac:dyDescent="0.25">
      <c r="E744" s="163"/>
      <c r="K744" s="163"/>
      <c r="Q744" s="163"/>
      <c r="R744" s="163"/>
      <c r="S744" s="163"/>
    </row>
    <row r="745" spans="5:19" x14ac:dyDescent="0.25">
      <c r="E745" s="163"/>
      <c r="K745" s="163"/>
      <c r="Q745" s="163"/>
      <c r="R745" s="163"/>
      <c r="S745" s="163"/>
    </row>
    <row r="746" spans="5:19" x14ac:dyDescent="0.25">
      <c r="E746" s="163"/>
      <c r="K746" s="163"/>
      <c r="Q746" s="163"/>
      <c r="R746" s="163"/>
      <c r="S746" s="163"/>
    </row>
    <row r="747" spans="5:19" x14ac:dyDescent="0.25">
      <c r="E747" s="163"/>
      <c r="K747" s="163"/>
      <c r="Q747" s="163"/>
      <c r="R747" s="163"/>
      <c r="S747" s="163"/>
    </row>
    <row r="748" spans="5:19" x14ac:dyDescent="0.25">
      <c r="E748" s="163"/>
      <c r="K748" s="163"/>
      <c r="Q748" s="163"/>
      <c r="R748" s="163"/>
      <c r="S748" s="163"/>
    </row>
    <row r="749" spans="5:19" x14ac:dyDescent="0.25">
      <c r="E749" s="163"/>
      <c r="K749" s="163"/>
      <c r="Q749" s="163"/>
      <c r="R749" s="163"/>
      <c r="S749" s="163"/>
    </row>
    <row r="750" spans="5:19" x14ac:dyDescent="0.25">
      <c r="E750" s="163"/>
      <c r="K750" s="163"/>
      <c r="Q750" s="163"/>
      <c r="R750" s="163"/>
      <c r="S750" s="163"/>
    </row>
    <row r="751" spans="5:19" x14ac:dyDescent="0.25">
      <c r="E751" s="163"/>
      <c r="K751" s="163"/>
      <c r="Q751" s="163"/>
      <c r="R751" s="163"/>
      <c r="S751" s="163"/>
    </row>
    <row r="752" spans="5:19" x14ac:dyDescent="0.25">
      <c r="E752" s="163"/>
      <c r="K752" s="163"/>
      <c r="Q752" s="163"/>
      <c r="R752" s="163"/>
      <c r="S752" s="163"/>
    </row>
    <row r="753" spans="5:19" x14ac:dyDescent="0.25">
      <c r="E753" s="163"/>
      <c r="K753" s="163"/>
      <c r="Q753" s="163"/>
      <c r="R753" s="163"/>
      <c r="S753" s="163"/>
    </row>
    <row r="754" spans="5:19" x14ac:dyDescent="0.25">
      <c r="E754" s="163"/>
      <c r="K754" s="163"/>
      <c r="Q754" s="163"/>
      <c r="R754" s="163"/>
      <c r="S754" s="163"/>
    </row>
    <row r="755" spans="5:19" x14ac:dyDescent="0.25">
      <c r="E755" s="163"/>
      <c r="K755" s="163"/>
      <c r="Q755" s="163"/>
      <c r="R755" s="163"/>
      <c r="S755" s="163"/>
    </row>
    <row r="756" spans="5:19" x14ac:dyDescent="0.25">
      <c r="E756" s="163"/>
      <c r="K756" s="163"/>
      <c r="Q756" s="163"/>
      <c r="R756" s="163"/>
      <c r="S756" s="163"/>
    </row>
    <row r="757" spans="5:19" x14ac:dyDescent="0.25">
      <c r="E757" s="163"/>
      <c r="K757" s="163"/>
      <c r="Q757" s="163"/>
      <c r="R757" s="163"/>
      <c r="S757" s="163"/>
    </row>
    <row r="758" spans="5:19" x14ac:dyDescent="0.25">
      <c r="E758" s="163"/>
      <c r="K758" s="163"/>
      <c r="Q758" s="163"/>
      <c r="R758" s="163"/>
      <c r="S758" s="163"/>
    </row>
    <row r="759" spans="5:19" x14ac:dyDescent="0.25">
      <c r="E759" s="163"/>
      <c r="K759" s="163"/>
      <c r="Q759" s="163"/>
      <c r="R759" s="163"/>
      <c r="S759" s="163"/>
    </row>
    <row r="760" spans="5:19" x14ac:dyDescent="0.25">
      <c r="E760" s="163"/>
      <c r="K760" s="163"/>
      <c r="Q760" s="163"/>
      <c r="R760" s="163"/>
      <c r="S760" s="163"/>
    </row>
    <row r="761" spans="5:19" x14ac:dyDescent="0.25">
      <c r="E761" s="163"/>
      <c r="K761" s="163"/>
      <c r="Q761" s="163"/>
      <c r="R761" s="163"/>
      <c r="S761" s="163"/>
    </row>
    <row r="762" spans="5:19" x14ac:dyDescent="0.25">
      <c r="E762" s="163"/>
      <c r="K762" s="163"/>
      <c r="Q762" s="163"/>
      <c r="R762" s="163"/>
      <c r="S762" s="163"/>
    </row>
    <row r="763" spans="5:19" x14ac:dyDescent="0.25">
      <c r="E763" s="163"/>
      <c r="K763" s="163"/>
      <c r="Q763" s="163"/>
      <c r="R763" s="163"/>
      <c r="S763" s="163"/>
    </row>
    <row r="764" spans="5:19" x14ac:dyDescent="0.25">
      <c r="E764" s="163"/>
      <c r="K764" s="163"/>
      <c r="Q764" s="163"/>
      <c r="R764" s="163"/>
      <c r="S764" s="163"/>
    </row>
    <row r="765" spans="5:19" x14ac:dyDescent="0.25">
      <c r="E765" s="163"/>
      <c r="K765" s="163"/>
      <c r="Q765" s="163"/>
      <c r="R765" s="163"/>
      <c r="S765" s="163"/>
    </row>
    <row r="766" spans="5:19" x14ac:dyDescent="0.25">
      <c r="E766" s="163"/>
      <c r="K766" s="163"/>
      <c r="Q766" s="163"/>
      <c r="R766" s="163"/>
      <c r="S766" s="163"/>
    </row>
    <row r="767" spans="5:19" x14ac:dyDescent="0.25">
      <c r="E767" s="163"/>
      <c r="K767" s="163"/>
      <c r="Q767" s="163"/>
      <c r="R767" s="163"/>
      <c r="S767" s="163"/>
    </row>
    <row r="768" spans="5:19" x14ac:dyDescent="0.25">
      <c r="E768" s="163"/>
      <c r="K768" s="163"/>
      <c r="Q768" s="163"/>
      <c r="R768" s="163"/>
      <c r="S768" s="163"/>
    </row>
    <row r="769" spans="5:19" x14ac:dyDescent="0.25">
      <c r="E769" s="163"/>
      <c r="K769" s="163"/>
      <c r="Q769" s="163"/>
      <c r="R769" s="163"/>
      <c r="S769" s="163"/>
    </row>
    <row r="770" spans="5:19" x14ac:dyDescent="0.25">
      <c r="E770" s="163"/>
      <c r="K770" s="163"/>
      <c r="Q770" s="163"/>
      <c r="R770" s="163"/>
      <c r="S770" s="163"/>
    </row>
    <row r="771" spans="5:19" x14ac:dyDescent="0.25">
      <c r="E771" s="163"/>
      <c r="K771" s="163"/>
      <c r="Q771" s="163"/>
      <c r="R771" s="163"/>
      <c r="S771" s="163"/>
    </row>
    <row r="772" spans="5:19" x14ac:dyDescent="0.25">
      <c r="E772" s="163"/>
      <c r="K772" s="163"/>
      <c r="Q772" s="163"/>
      <c r="R772" s="163"/>
      <c r="S772" s="163"/>
    </row>
    <row r="773" spans="5:19" x14ac:dyDescent="0.25">
      <c r="E773" s="163"/>
      <c r="K773" s="163"/>
      <c r="Q773" s="163"/>
      <c r="R773" s="163"/>
      <c r="S773" s="163"/>
    </row>
    <row r="774" spans="5:19" x14ac:dyDescent="0.25">
      <c r="E774" s="163"/>
      <c r="K774" s="163"/>
      <c r="Q774" s="163"/>
      <c r="R774" s="163"/>
      <c r="S774" s="163"/>
    </row>
    <row r="775" spans="5:19" x14ac:dyDescent="0.25">
      <c r="E775" s="163"/>
      <c r="K775" s="163"/>
      <c r="Q775" s="163"/>
      <c r="R775" s="163"/>
      <c r="S775" s="163"/>
    </row>
    <row r="776" spans="5:19" x14ac:dyDescent="0.25">
      <c r="E776" s="163"/>
      <c r="K776" s="163"/>
      <c r="Q776" s="163"/>
      <c r="R776" s="163"/>
      <c r="S776" s="163"/>
    </row>
    <row r="777" spans="5:19" x14ac:dyDescent="0.25">
      <c r="E777" s="163"/>
      <c r="K777" s="163"/>
      <c r="Q777" s="163"/>
      <c r="R777" s="163"/>
      <c r="S777" s="163"/>
    </row>
    <row r="778" spans="5:19" x14ac:dyDescent="0.25">
      <c r="E778" s="163"/>
      <c r="K778" s="163"/>
      <c r="Q778" s="163"/>
      <c r="R778" s="163"/>
      <c r="S778" s="163"/>
    </row>
    <row r="779" spans="5:19" x14ac:dyDescent="0.25">
      <c r="E779" s="163"/>
      <c r="K779" s="163"/>
      <c r="Q779" s="163"/>
      <c r="R779" s="163"/>
      <c r="S779" s="163"/>
    </row>
    <row r="780" spans="5:19" x14ac:dyDescent="0.25">
      <c r="E780" s="163"/>
      <c r="K780" s="163"/>
      <c r="Q780" s="163"/>
      <c r="R780" s="163"/>
      <c r="S780" s="163"/>
    </row>
    <row r="781" spans="5:19" x14ac:dyDescent="0.25">
      <c r="E781" s="163"/>
      <c r="K781" s="163"/>
      <c r="Q781" s="163"/>
      <c r="R781" s="163"/>
      <c r="S781" s="163"/>
    </row>
    <row r="782" spans="5:19" x14ac:dyDescent="0.25">
      <c r="E782" s="163"/>
      <c r="K782" s="163"/>
      <c r="Q782" s="163"/>
      <c r="R782" s="163"/>
      <c r="S782" s="163"/>
    </row>
    <row r="783" spans="5:19" x14ac:dyDescent="0.25">
      <c r="E783" s="163"/>
      <c r="K783" s="163"/>
      <c r="Q783" s="163"/>
      <c r="R783" s="163"/>
      <c r="S783" s="163"/>
    </row>
    <row r="784" spans="5:19" x14ac:dyDescent="0.25">
      <c r="E784" s="163"/>
      <c r="K784" s="163"/>
      <c r="Q784" s="163"/>
      <c r="R784" s="163"/>
      <c r="S784" s="163"/>
    </row>
    <row r="785" spans="5:19" x14ac:dyDescent="0.25">
      <c r="E785" s="163"/>
      <c r="K785" s="163"/>
      <c r="Q785" s="163"/>
      <c r="R785" s="163"/>
      <c r="S785" s="163"/>
    </row>
    <row r="786" spans="5:19" x14ac:dyDescent="0.25">
      <c r="E786" s="163"/>
      <c r="K786" s="163"/>
      <c r="Q786" s="163"/>
      <c r="R786" s="163"/>
      <c r="S786" s="163"/>
    </row>
    <row r="787" spans="5:19" x14ac:dyDescent="0.25">
      <c r="E787" s="163"/>
      <c r="K787" s="163"/>
      <c r="Q787" s="163"/>
      <c r="R787" s="163"/>
      <c r="S787" s="163"/>
    </row>
    <row r="788" spans="5:19" x14ac:dyDescent="0.25">
      <c r="E788" s="163"/>
      <c r="K788" s="163"/>
      <c r="Q788" s="163"/>
      <c r="R788" s="163"/>
      <c r="S788" s="163"/>
    </row>
    <row r="789" spans="5:19" x14ac:dyDescent="0.25">
      <c r="E789" s="163"/>
      <c r="K789" s="163"/>
      <c r="Q789" s="163"/>
      <c r="R789" s="163"/>
      <c r="S789" s="163"/>
    </row>
    <row r="790" spans="5:19" x14ac:dyDescent="0.25">
      <c r="E790" s="163"/>
      <c r="K790" s="163"/>
      <c r="Q790" s="163"/>
      <c r="R790" s="163"/>
      <c r="S790" s="163"/>
    </row>
    <row r="791" spans="5:19" x14ac:dyDescent="0.25">
      <c r="E791" s="163"/>
      <c r="K791" s="163"/>
      <c r="Q791" s="163"/>
      <c r="R791" s="163"/>
      <c r="S791" s="163"/>
    </row>
    <row r="792" spans="5:19" x14ac:dyDescent="0.25">
      <c r="E792" s="163"/>
      <c r="K792" s="163"/>
      <c r="Q792" s="163"/>
      <c r="R792" s="163"/>
      <c r="S792" s="163"/>
    </row>
    <row r="793" spans="5:19" x14ac:dyDescent="0.25">
      <c r="E793" s="163"/>
      <c r="K793" s="163"/>
      <c r="Q793" s="163"/>
      <c r="R793" s="163"/>
      <c r="S793" s="163"/>
    </row>
    <row r="794" spans="5:19" x14ac:dyDescent="0.25">
      <c r="E794" s="163"/>
      <c r="K794" s="163"/>
      <c r="Q794" s="163"/>
      <c r="R794" s="163"/>
      <c r="S794" s="163"/>
    </row>
    <row r="795" spans="5:19" x14ac:dyDescent="0.25">
      <c r="E795" s="163"/>
      <c r="K795" s="163"/>
      <c r="Q795" s="163"/>
      <c r="R795" s="163"/>
      <c r="S795" s="163"/>
    </row>
    <row r="796" spans="5:19" x14ac:dyDescent="0.25">
      <c r="E796" s="163"/>
      <c r="K796" s="163"/>
      <c r="Q796" s="163"/>
      <c r="R796" s="163"/>
      <c r="S796" s="163"/>
    </row>
    <row r="797" spans="5:19" x14ac:dyDescent="0.25">
      <c r="E797" s="163"/>
      <c r="K797" s="163"/>
      <c r="Q797" s="163"/>
      <c r="R797" s="163"/>
      <c r="S797" s="163"/>
    </row>
    <row r="798" spans="5:19" x14ac:dyDescent="0.25">
      <c r="E798" s="163"/>
      <c r="K798" s="163"/>
      <c r="Q798" s="163"/>
      <c r="R798" s="163"/>
      <c r="S798" s="163"/>
    </row>
    <row r="799" spans="5:19" x14ac:dyDescent="0.25">
      <c r="E799" s="163"/>
      <c r="K799" s="163"/>
      <c r="Q799" s="163"/>
      <c r="R799" s="163"/>
      <c r="S799" s="163"/>
    </row>
    <row r="800" spans="5:19" x14ac:dyDescent="0.25">
      <c r="E800" s="163"/>
      <c r="K800" s="163"/>
      <c r="Q800" s="163"/>
      <c r="R800" s="163"/>
      <c r="S800" s="163"/>
    </row>
    <row r="801" spans="5:19" x14ac:dyDescent="0.25">
      <c r="E801" s="163"/>
      <c r="K801" s="163"/>
      <c r="Q801" s="163"/>
      <c r="R801" s="163"/>
      <c r="S801" s="163"/>
    </row>
    <row r="802" spans="5:19" x14ac:dyDescent="0.25">
      <c r="E802" s="163"/>
      <c r="K802" s="163"/>
      <c r="Q802" s="163"/>
      <c r="R802" s="163"/>
      <c r="S802" s="163"/>
    </row>
    <row r="803" spans="5:19" x14ac:dyDescent="0.25">
      <c r="E803" s="163"/>
      <c r="K803" s="163"/>
      <c r="Q803" s="163"/>
      <c r="R803" s="163"/>
      <c r="S803" s="163"/>
    </row>
    <row r="804" spans="5:19" x14ac:dyDescent="0.25">
      <c r="E804" s="163"/>
      <c r="K804" s="163"/>
      <c r="Q804" s="163"/>
      <c r="R804" s="163"/>
      <c r="S804" s="163"/>
    </row>
    <row r="805" spans="5:19" x14ac:dyDescent="0.25">
      <c r="E805" s="163"/>
      <c r="K805" s="163"/>
      <c r="Q805" s="163"/>
      <c r="R805" s="163"/>
      <c r="S805" s="163"/>
    </row>
    <row r="806" spans="5:19" x14ac:dyDescent="0.25">
      <c r="E806" s="163"/>
      <c r="K806" s="163"/>
      <c r="Q806" s="163"/>
      <c r="R806" s="163"/>
      <c r="S806" s="163"/>
    </row>
    <row r="807" spans="5:19" x14ac:dyDescent="0.25">
      <c r="E807" s="163"/>
      <c r="K807" s="163"/>
      <c r="Q807" s="163"/>
      <c r="R807" s="163"/>
      <c r="S807" s="163"/>
    </row>
    <row r="808" spans="5:19" x14ac:dyDescent="0.25">
      <c r="E808" s="163"/>
      <c r="K808" s="163"/>
      <c r="Q808" s="163"/>
      <c r="R808" s="163"/>
      <c r="S808" s="163"/>
    </row>
    <row r="809" spans="5:19" x14ac:dyDescent="0.25">
      <c r="E809" s="163"/>
      <c r="K809" s="163"/>
      <c r="Q809" s="163"/>
      <c r="R809" s="163"/>
      <c r="S809" s="163"/>
    </row>
    <row r="810" spans="5:19" x14ac:dyDescent="0.25">
      <c r="E810" s="163"/>
      <c r="K810" s="163"/>
      <c r="Q810" s="163"/>
      <c r="R810" s="163"/>
      <c r="S810" s="163"/>
    </row>
    <row r="811" spans="5:19" x14ac:dyDescent="0.25">
      <c r="E811" s="163"/>
      <c r="K811" s="163"/>
      <c r="Q811" s="163"/>
      <c r="R811" s="163"/>
      <c r="S811" s="163"/>
    </row>
    <row r="812" spans="5:19" x14ac:dyDescent="0.25">
      <c r="E812" s="163"/>
      <c r="K812" s="163"/>
      <c r="Q812" s="163"/>
      <c r="R812" s="163"/>
      <c r="S812" s="163"/>
    </row>
    <row r="813" spans="5:19" x14ac:dyDescent="0.25">
      <c r="E813" s="163"/>
      <c r="K813" s="163"/>
      <c r="Q813" s="163"/>
      <c r="R813" s="163"/>
      <c r="S813" s="163"/>
    </row>
    <row r="814" spans="5:19" x14ac:dyDescent="0.25">
      <c r="E814" s="163"/>
      <c r="K814" s="163"/>
      <c r="Q814" s="163"/>
      <c r="R814" s="163"/>
      <c r="S814" s="163"/>
    </row>
    <row r="815" spans="5:19" x14ac:dyDescent="0.25">
      <c r="E815" s="163"/>
      <c r="K815" s="163"/>
      <c r="Q815" s="163"/>
      <c r="R815" s="163"/>
      <c r="S815" s="163"/>
    </row>
    <row r="816" spans="5:19" x14ac:dyDescent="0.25">
      <c r="E816" s="163"/>
      <c r="K816" s="163"/>
      <c r="Q816" s="163"/>
      <c r="R816" s="163"/>
      <c r="S816" s="163"/>
    </row>
    <row r="817" spans="5:19" x14ac:dyDescent="0.25">
      <c r="E817" s="163"/>
      <c r="K817" s="163"/>
      <c r="Q817" s="163"/>
      <c r="R817" s="163"/>
      <c r="S817" s="163"/>
    </row>
    <row r="818" spans="5:19" x14ac:dyDescent="0.25">
      <c r="E818" s="163"/>
      <c r="K818" s="163"/>
      <c r="Q818" s="163"/>
      <c r="R818" s="163"/>
      <c r="S818" s="163"/>
    </row>
    <row r="819" spans="5:19" x14ac:dyDescent="0.25">
      <c r="E819" s="163"/>
      <c r="K819" s="163"/>
      <c r="Q819" s="163"/>
      <c r="R819" s="163"/>
      <c r="S819" s="163"/>
    </row>
    <row r="820" spans="5:19" x14ac:dyDescent="0.25">
      <c r="E820" s="163"/>
      <c r="K820" s="163"/>
      <c r="Q820" s="163"/>
      <c r="R820" s="163"/>
      <c r="S820" s="163"/>
    </row>
    <row r="821" spans="5:19" x14ac:dyDescent="0.25">
      <c r="E821" s="163"/>
      <c r="K821" s="163"/>
      <c r="Q821" s="163"/>
      <c r="R821" s="163"/>
      <c r="S821" s="163"/>
    </row>
    <row r="822" spans="5:19" x14ac:dyDescent="0.25">
      <c r="E822" s="163"/>
      <c r="K822" s="163"/>
      <c r="Q822" s="163"/>
      <c r="R822" s="163"/>
      <c r="S822" s="163"/>
    </row>
    <row r="823" spans="5:19" x14ac:dyDescent="0.25">
      <c r="E823" s="163"/>
      <c r="K823" s="163"/>
      <c r="Q823" s="163"/>
      <c r="R823" s="163"/>
      <c r="S823" s="163"/>
    </row>
    <row r="824" spans="5:19" x14ac:dyDescent="0.25">
      <c r="E824" s="163"/>
      <c r="K824" s="163"/>
      <c r="Q824" s="163"/>
      <c r="R824" s="163"/>
      <c r="S824" s="163"/>
    </row>
    <row r="825" spans="5:19" x14ac:dyDescent="0.25">
      <c r="E825" s="163"/>
      <c r="K825" s="163"/>
      <c r="Q825" s="163"/>
      <c r="R825" s="163"/>
      <c r="S825" s="163"/>
    </row>
    <row r="826" spans="5:19" x14ac:dyDescent="0.25">
      <c r="E826" s="163"/>
      <c r="K826" s="163"/>
      <c r="Q826" s="163"/>
      <c r="R826" s="163"/>
      <c r="S826" s="163"/>
    </row>
    <row r="827" spans="5:19" x14ac:dyDescent="0.25">
      <c r="E827" s="163"/>
      <c r="K827" s="163"/>
      <c r="Q827" s="163"/>
      <c r="R827" s="163"/>
      <c r="S827" s="163"/>
    </row>
    <row r="828" spans="5:19" x14ac:dyDescent="0.25">
      <c r="E828" s="163"/>
      <c r="K828" s="163"/>
      <c r="Q828" s="163"/>
      <c r="R828" s="163"/>
      <c r="S828" s="163"/>
    </row>
    <row r="829" spans="5:19" x14ac:dyDescent="0.25">
      <c r="E829" s="163"/>
      <c r="K829" s="163"/>
      <c r="Q829" s="163"/>
      <c r="R829" s="163"/>
      <c r="S829" s="163"/>
    </row>
    <row r="830" spans="5:19" x14ac:dyDescent="0.25">
      <c r="E830" s="163"/>
      <c r="K830" s="163"/>
      <c r="Q830" s="163"/>
      <c r="R830" s="163"/>
      <c r="S830" s="163"/>
    </row>
    <row r="831" spans="5:19" x14ac:dyDescent="0.25">
      <c r="E831" s="163"/>
      <c r="K831" s="163"/>
      <c r="Q831" s="163"/>
      <c r="R831" s="163"/>
      <c r="S831" s="163"/>
    </row>
    <row r="832" spans="5:19" x14ac:dyDescent="0.25">
      <c r="E832" s="163"/>
      <c r="K832" s="163"/>
      <c r="Q832" s="163"/>
      <c r="R832" s="163"/>
      <c r="S832" s="163"/>
    </row>
    <row r="833" spans="5:19" x14ac:dyDescent="0.25">
      <c r="E833" s="163"/>
      <c r="K833" s="163"/>
      <c r="Q833" s="163"/>
      <c r="R833" s="163"/>
      <c r="S833" s="163"/>
    </row>
    <row r="834" spans="5:19" x14ac:dyDescent="0.25">
      <c r="E834" s="163"/>
      <c r="K834" s="163"/>
      <c r="Q834" s="163"/>
      <c r="R834" s="163"/>
      <c r="S834" s="163"/>
    </row>
    <row r="835" spans="5:19" x14ac:dyDescent="0.25">
      <c r="E835" s="163"/>
      <c r="K835" s="163"/>
      <c r="Q835" s="163"/>
      <c r="R835" s="163"/>
      <c r="S835" s="163"/>
    </row>
    <row r="836" spans="5:19" x14ac:dyDescent="0.25">
      <c r="E836" s="163"/>
      <c r="K836" s="163"/>
      <c r="Q836" s="163"/>
      <c r="R836" s="163"/>
      <c r="S836" s="163"/>
    </row>
    <row r="837" spans="5:19" x14ac:dyDescent="0.25">
      <c r="E837" s="163"/>
      <c r="K837" s="163"/>
      <c r="Q837" s="163"/>
      <c r="R837" s="163"/>
      <c r="S837" s="163"/>
    </row>
    <row r="838" spans="5:19" x14ac:dyDescent="0.25">
      <c r="E838" s="163"/>
      <c r="K838" s="163"/>
      <c r="Q838" s="163"/>
      <c r="R838" s="163"/>
      <c r="S838" s="163"/>
    </row>
    <row r="839" spans="5:19" x14ac:dyDescent="0.25">
      <c r="E839" s="163"/>
      <c r="K839" s="163"/>
      <c r="Q839" s="163"/>
      <c r="R839" s="163"/>
      <c r="S839" s="163"/>
    </row>
    <row r="840" spans="5:19" x14ac:dyDescent="0.25">
      <c r="E840" s="163"/>
      <c r="K840" s="163"/>
      <c r="Q840" s="163"/>
      <c r="R840" s="163"/>
      <c r="S840" s="163"/>
    </row>
    <row r="841" spans="5:19" x14ac:dyDescent="0.25">
      <c r="E841" s="163"/>
      <c r="K841" s="163"/>
      <c r="Q841" s="163"/>
      <c r="R841" s="163"/>
      <c r="S841" s="163"/>
    </row>
    <row r="842" spans="5:19" x14ac:dyDescent="0.25">
      <c r="E842" s="163"/>
      <c r="K842" s="163"/>
      <c r="Q842" s="163"/>
      <c r="R842" s="163"/>
      <c r="S842" s="163"/>
    </row>
    <row r="843" spans="5:19" x14ac:dyDescent="0.25">
      <c r="E843" s="163"/>
      <c r="K843" s="163"/>
      <c r="Q843" s="163"/>
      <c r="R843" s="163"/>
      <c r="S843" s="163"/>
    </row>
    <row r="844" spans="5:19" x14ac:dyDescent="0.25">
      <c r="E844" s="163"/>
      <c r="K844" s="163"/>
      <c r="Q844" s="163"/>
      <c r="R844" s="163"/>
      <c r="S844" s="163"/>
    </row>
    <row r="845" spans="5:19" x14ac:dyDescent="0.25">
      <c r="E845" s="163"/>
      <c r="K845" s="163"/>
      <c r="Q845" s="163"/>
      <c r="R845" s="163"/>
      <c r="S845" s="163"/>
    </row>
    <row r="846" spans="5:19" x14ac:dyDescent="0.25">
      <c r="E846" s="163"/>
      <c r="K846" s="163"/>
      <c r="Q846" s="163"/>
      <c r="R846" s="163"/>
      <c r="S846" s="163"/>
    </row>
    <row r="847" spans="5:19" x14ac:dyDescent="0.25">
      <c r="E847" s="163"/>
      <c r="K847" s="163"/>
      <c r="Q847" s="163"/>
      <c r="R847" s="163"/>
      <c r="S847" s="163"/>
    </row>
    <row r="848" spans="5:19" x14ac:dyDescent="0.25">
      <c r="E848" s="163"/>
      <c r="K848" s="163"/>
      <c r="Q848" s="163"/>
      <c r="R848" s="163"/>
      <c r="S848" s="163"/>
    </row>
    <row r="849" spans="5:19" x14ac:dyDescent="0.25">
      <c r="E849" s="163"/>
      <c r="K849" s="163"/>
      <c r="Q849" s="163"/>
      <c r="R849" s="163"/>
      <c r="S849" s="163"/>
    </row>
    <row r="850" spans="5:19" x14ac:dyDescent="0.25">
      <c r="E850" s="163"/>
      <c r="K850" s="163"/>
      <c r="Q850" s="163"/>
      <c r="R850" s="163"/>
      <c r="S850" s="163"/>
    </row>
    <row r="851" spans="5:19" x14ac:dyDescent="0.25">
      <c r="E851" s="163"/>
      <c r="K851" s="163"/>
      <c r="Q851" s="163"/>
      <c r="R851" s="163"/>
      <c r="S851" s="163"/>
    </row>
    <row r="852" spans="5:19" x14ac:dyDescent="0.25">
      <c r="E852" s="163"/>
      <c r="K852" s="163"/>
      <c r="Q852" s="163"/>
      <c r="R852" s="163"/>
      <c r="S852" s="163"/>
    </row>
    <row r="853" spans="5:19" x14ac:dyDescent="0.25">
      <c r="E853" s="163"/>
      <c r="K853" s="163"/>
      <c r="Q853" s="163"/>
      <c r="R853" s="163"/>
      <c r="S853" s="163"/>
    </row>
    <row r="854" spans="5:19" x14ac:dyDescent="0.25">
      <c r="E854" s="163"/>
      <c r="K854" s="163"/>
      <c r="Q854" s="163"/>
      <c r="R854" s="163"/>
      <c r="S854" s="163"/>
    </row>
    <row r="855" spans="5:19" x14ac:dyDescent="0.25">
      <c r="E855" s="163"/>
      <c r="K855" s="163"/>
      <c r="Q855" s="163"/>
      <c r="R855" s="163"/>
      <c r="S855" s="163"/>
    </row>
    <row r="856" spans="5:19" x14ac:dyDescent="0.25">
      <c r="E856" s="163"/>
      <c r="K856" s="163"/>
      <c r="Q856" s="163"/>
      <c r="R856" s="163"/>
      <c r="S856" s="163"/>
    </row>
    <row r="857" spans="5:19" x14ac:dyDescent="0.25">
      <c r="E857" s="163"/>
      <c r="K857" s="163"/>
      <c r="Q857" s="163"/>
      <c r="R857" s="163"/>
      <c r="S857" s="163"/>
    </row>
    <row r="858" spans="5:19" x14ac:dyDescent="0.25">
      <c r="E858" s="163"/>
      <c r="K858" s="163"/>
      <c r="Q858" s="163"/>
      <c r="R858" s="163"/>
      <c r="S858" s="163"/>
    </row>
    <row r="859" spans="5:19" x14ac:dyDescent="0.25">
      <c r="E859" s="163"/>
      <c r="K859" s="163"/>
      <c r="Q859" s="163"/>
      <c r="R859" s="163"/>
      <c r="S859" s="163"/>
    </row>
    <row r="860" spans="5:19" x14ac:dyDescent="0.25">
      <c r="E860" s="163"/>
      <c r="K860" s="163"/>
      <c r="Q860" s="163"/>
      <c r="R860" s="163"/>
      <c r="S860" s="163"/>
    </row>
    <row r="861" spans="5:19" x14ac:dyDescent="0.25">
      <c r="E861" s="163"/>
      <c r="K861" s="163"/>
      <c r="Q861" s="163"/>
      <c r="R861" s="163"/>
      <c r="S861" s="163"/>
    </row>
    <row r="862" spans="5:19" x14ac:dyDescent="0.25">
      <c r="E862" s="163"/>
      <c r="K862" s="163"/>
      <c r="Q862" s="163"/>
      <c r="R862" s="163"/>
      <c r="S862" s="163"/>
    </row>
    <row r="863" spans="5:19" x14ac:dyDescent="0.25">
      <c r="E863" s="163"/>
      <c r="K863" s="163"/>
      <c r="Q863" s="163"/>
      <c r="R863" s="163"/>
      <c r="S863" s="163"/>
    </row>
    <row r="864" spans="5:19" x14ac:dyDescent="0.25">
      <c r="E864" s="163"/>
      <c r="K864" s="163"/>
      <c r="Q864" s="163"/>
      <c r="R864" s="163"/>
      <c r="S864" s="163"/>
    </row>
    <row r="865" spans="5:19" x14ac:dyDescent="0.25">
      <c r="E865" s="163"/>
      <c r="K865" s="163"/>
      <c r="Q865" s="163"/>
      <c r="R865" s="163"/>
      <c r="S865" s="163"/>
    </row>
    <row r="866" spans="5:19" x14ac:dyDescent="0.25">
      <c r="E866" s="163"/>
      <c r="K866" s="163"/>
      <c r="Q866" s="163"/>
      <c r="R866" s="163"/>
      <c r="S866" s="163"/>
    </row>
    <row r="867" spans="5:19" x14ac:dyDescent="0.25">
      <c r="E867" s="163"/>
      <c r="K867" s="163"/>
      <c r="Q867" s="163"/>
      <c r="R867" s="163"/>
      <c r="S867" s="163"/>
    </row>
    <row r="868" spans="5:19" x14ac:dyDescent="0.25">
      <c r="E868" s="163"/>
      <c r="K868" s="163"/>
      <c r="Q868" s="163"/>
      <c r="R868" s="163"/>
      <c r="S868" s="163"/>
    </row>
    <row r="869" spans="5:19" x14ac:dyDescent="0.25">
      <c r="E869" s="163"/>
      <c r="K869" s="163"/>
      <c r="Q869" s="163"/>
      <c r="R869" s="163"/>
      <c r="S869" s="163"/>
    </row>
    <row r="870" spans="5:19" x14ac:dyDescent="0.25">
      <c r="E870" s="163"/>
      <c r="K870" s="163"/>
      <c r="Q870" s="163"/>
      <c r="R870" s="163"/>
      <c r="S870" s="163"/>
    </row>
    <row r="871" spans="5:19" x14ac:dyDescent="0.25">
      <c r="E871" s="163"/>
      <c r="K871" s="163"/>
      <c r="Q871" s="163"/>
      <c r="R871" s="163"/>
      <c r="S871" s="163"/>
    </row>
    <row r="872" spans="5:19" x14ac:dyDescent="0.25">
      <c r="E872" s="163"/>
      <c r="K872" s="163"/>
      <c r="Q872" s="163"/>
      <c r="R872" s="163"/>
      <c r="S872" s="163"/>
    </row>
    <row r="873" spans="5:19" x14ac:dyDescent="0.25">
      <c r="E873" s="163"/>
      <c r="K873" s="163"/>
      <c r="Q873" s="163"/>
      <c r="R873" s="163"/>
      <c r="S873" s="163"/>
    </row>
    <row r="874" spans="5:19" x14ac:dyDescent="0.25">
      <c r="E874" s="163"/>
      <c r="K874" s="163"/>
      <c r="Q874" s="163"/>
      <c r="R874" s="163"/>
      <c r="S874" s="163"/>
    </row>
    <row r="875" spans="5:19" x14ac:dyDescent="0.25">
      <c r="E875" s="163"/>
      <c r="K875" s="163"/>
      <c r="Q875" s="163"/>
      <c r="R875" s="163"/>
      <c r="S875" s="163"/>
    </row>
    <row r="876" spans="5:19" x14ac:dyDescent="0.25">
      <c r="E876" s="163"/>
      <c r="K876" s="163"/>
      <c r="Q876" s="163"/>
      <c r="R876" s="163"/>
      <c r="S876" s="163"/>
    </row>
    <row r="877" spans="5:19" x14ac:dyDescent="0.25">
      <c r="E877" s="163"/>
      <c r="K877" s="163"/>
      <c r="Q877" s="163"/>
      <c r="R877" s="163"/>
      <c r="S877" s="163"/>
    </row>
    <row r="878" spans="5:19" x14ac:dyDescent="0.25">
      <c r="E878" s="163"/>
      <c r="K878" s="163"/>
      <c r="Q878" s="163"/>
      <c r="R878" s="163"/>
      <c r="S878" s="163"/>
    </row>
    <row r="879" spans="5:19" x14ac:dyDescent="0.25">
      <c r="E879" s="163"/>
      <c r="K879" s="163"/>
      <c r="Q879" s="163"/>
      <c r="R879" s="163"/>
      <c r="S879" s="163"/>
    </row>
    <row r="880" spans="5:19" x14ac:dyDescent="0.25">
      <c r="E880" s="163"/>
      <c r="K880" s="163"/>
      <c r="Q880" s="163"/>
      <c r="R880" s="163"/>
      <c r="S880" s="163"/>
    </row>
    <row r="881" spans="5:19" x14ac:dyDescent="0.25">
      <c r="E881" s="163"/>
      <c r="K881" s="163"/>
      <c r="Q881" s="163"/>
      <c r="R881" s="163"/>
      <c r="S881" s="163"/>
    </row>
    <row r="882" spans="5:19" x14ac:dyDescent="0.25">
      <c r="E882" s="163"/>
      <c r="K882" s="163"/>
      <c r="Q882" s="163"/>
      <c r="R882" s="163"/>
      <c r="S882" s="163"/>
    </row>
    <row r="883" spans="5:19" x14ac:dyDescent="0.25">
      <c r="E883" s="163"/>
      <c r="K883" s="163"/>
      <c r="Q883" s="163"/>
      <c r="R883" s="163"/>
      <c r="S883" s="163"/>
    </row>
    <row r="884" spans="5:19" x14ac:dyDescent="0.25">
      <c r="E884" s="163"/>
      <c r="K884" s="163"/>
      <c r="Q884" s="163"/>
      <c r="R884" s="163"/>
      <c r="S884" s="163"/>
    </row>
    <row r="885" spans="5:19" x14ac:dyDescent="0.25">
      <c r="E885" s="163"/>
      <c r="K885" s="163"/>
      <c r="Q885" s="163"/>
      <c r="R885" s="163"/>
      <c r="S885" s="163"/>
    </row>
    <row r="886" spans="5:19" x14ac:dyDescent="0.25">
      <c r="E886" s="163"/>
      <c r="K886" s="163"/>
      <c r="Q886" s="163"/>
      <c r="R886" s="163"/>
      <c r="S886" s="163"/>
    </row>
    <row r="887" spans="5:19" x14ac:dyDescent="0.25">
      <c r="E887" s="163"/>
      <c r="K887" s="163"/>
      <c r="Q887" s="163"/>
      <c r="R887" s="163"/>
      <c r="S887" s="163"/>
    </row>
    <row r="888" spans="5:19" x14ac:dyDescent="0.25">
      <c r="E888" s="163"/>
      <c r="K888" s="163"/>
      <c r="Q888" s="163"/>
      <c r="R888" s="163"/>
      <c r="S888" s="163"/>
    </row>
    <row r="889" spans="5:19" x14ac:dyDescent="0.25">
      <c r="E889" s="163"/>
      <c r="K889" s="163"/>
      <c r="Q889" s="163"/>
      <c r="R889" s="163"/>
      <c r="S889" s="163"/>
    </row>
    <row r="890" spans="5:19" x14ac:dyDescent="0.25">
      <c r="E890" s="163"/>
      <c r="K890" s="163"/>
      <c r="Q890" s="163"/>
      <c r="R890" s="163"/>
      <c r="S890" s="163"/>
    </row>
    <row r="891" spans="5:19" x14ac:dyDescent="0.25">
      <c r="E891" s="163"/>
      <c r="K891" s="163"/>
      <c r="Q891" s="163"/>
      <c r="R891" s="163"/>
      <c r="S891" s="163"/>
    </row>
    <row r="892" spans="5:19" x14ac:dyDescent="0.25">
      <c r="E892" s="163"/>
      <c r="K892" s="163"/>
      <c r="Q892" s="163"/>
      <c r="R892" s="163"/>
      <c r="S892" s="163"/>
    </row>
    <row r="893" spans="5:19" x14ac:dyDescent="0.25">
      <c r="E893" s="163"/>
      <c r="K893" s="163"/>
      <c r="Q893" s="163"/>
      <c r="R893" s="163"/>
      <c r="S893" s="163"/>
    </row>
    <row r="894" spans="5:19" x14ac:dyDescent="0.25">
      <c r="E894" s="163"/>
      <c r="K894" s="163"/>
      <c r="Q894" s="163"/>
      <c r="R894" s="163"/>
      <c r="S894" s="163"/>
    </row>
    <row r="895" spans="5:19" x14ac:dyDescent="0.25">
      <c r="E895" s="163"/>
      <c r="K895" s="163"/>
      <c r="Q895" s="163"/>
      <c r="R895" s="163"/>
      <c r="S895" s="163"/>
    </row>
    <row r="896" spans="5:19" x14ac:dyDescent="0.25">
      <c r="E896" s="163"/>
      <c r="K896" s="163"/>
      <c r="Q896" s="163"/>
      <c r="R896" s="163"/>
      <c r="S896" s="163"/>
    </row>
    <row r="897" spans="5:19" x14ac:dyDescent="0.25">
      <c r="E897" s="163"/>
      <c r="K897" s="163"/>
      <c r="Q897" s="163"/>
      <c r="R897" s="163"/>
      <c r="S897" s="163"/>
    </row>
    <row r="898" spans="5:19" x14ac:dyDescent="0.25">
      <c r="E898" s="163"/>
      <c r="K898" s="163"/>
      <c r="Q898" s="163"/>
      <c r="R898" s="163"/>
      <c r="S898" s="163"/>
    </row>
    <row r="899" spans="5:19" x14ac:dyDescent="0.25">
      <c r="E899" s="163"/>
      <c r="K899" s="163"/>
      <c r="Q899" s="163"/>
      <c r="R899" s="163"/>
      <c r="S899" s="163"/>
    </row>
    <row r="900" spans="5:19" x14ac:dyDescent="0.25">
      <c r="E900" s="163"/>
      <c r="K900" s="163"/>
      <c r="Q900" s="163"/>
      <c r="R900" s="163"/>
      <c r="S900" s="163"/>
    </row>
    <row r="901" spans="5:19" x14ac:dyDescent="0.25">
      <c r="E901" s="163"/>
      <c r="K901" s="163"/>
      <c r="Q901" s="163"/>
      <c r="R901" s="163"/>
      <c r="S901" s="163"/>
    </row>
    <row r="902" spans="5:19" x14ac:dyDescent="0.25">
      <c r="E902" s="163"/>
      <c r="K902" s="163"/>
      <c r="Q902" s="163"/>
      <c r="R902" s="163"/>
      <c r="S902" s="163"/>
    </row>
    <row r="903" spans="5:19" x14ac:dyDescent="0.25">
      <c r="E903" s="163"/>
      <c r="K903" s="163"/>
      <c r="Q903" s="163"/>
      <c r="R903" s="163"/>
      <c r="S903" s="163"/>
    </row>
    <row r="904" spans="5:19" x14ac:dyDescent="0.25">
      <c r="E904" s="163"/>
      <c r="K904" s="163"/>
      <c r="Q904" s="163"/>
      <c r="R904" s="163"/>
      <c r="S904" s="163"/>
    </row>
    <row r="905" spans="5:19" x14ac:dyDescent="0.25">
      <c r="E905" s="163"/>
      <c r="K905" s="163"/>
      <c r="Q905" s="163"/>
      <c r="R905" s="163"/>
      <c r="S905" s="163"/>
    </row>
    <row r="906" spans="5:19" x14ac:dyDescent="0.25">
      <c r="E906" s="163"/>
      <c r="K906" s="163"/>
      <c r="Q906" s="163"/>
      <c r="R906" s="163"/>
      <c r="S906" s="163"/>
    </row>
    <row r="907" spans="5:19" x14ac:dyDescent="0.25">
      <c r="E907" s="163"/>
      <c r="K907" s="163"/>
      <c r="Q907" s="163"/>
      <c r="R907" s="163"/>
      <c r="S907" s="163"/>
    </row>
    <row r="908" spans="5:19" x14ac:dyDescent="0.25">
      <c r="E908" s="163"/>
      <c r="K908" s="163"/>
      <c r="Q908" s="163"/>
      <c r="R908" s="163"/>
      <c r="S908" s="163"/>
    </row>
    <row r="909" spans="5:19" x14ac:dyDescent="0.25">
      <c r="E909" s="163"/>
      <c r="K909" s="163"/>
      <c r="Q909" s="163"/>
      <c r="R909" s="163"/>
      <c r="S909" s="163"/>
    </row>
    <row r="910" spans="5:19" x14ac:dyDescent="0.25">
      <c r="E910" s="163"/>
      <c r="K910" s="163"/>
      <c r="Q910" s="163"/>
      <c r="R910" s="163"/>
      <c r="S910" s="163"/>
    </row>
    <row r="911" spans="5:19" x14ac:dyDescent="0.25">
      <c r="E911" s="163"/>
      <c r="K911" s="163"/>
      <c r="Q911" s="163"/>
      <c r="R911" s="163"/>
      <c r="S911" s="163"/>
    </row>
    <row r="912" spans="5:19" x14ac:dyDescent="0.25">
      <c r="E912" s="163"/>
      <c r="K912" s="163"/>
      <c r="Q912" s="163"/>
      <c r="R912" s="163"/>
      <c r="S912" s="163"/>
    </row>
    <row r="913" spans="5:19" x14ac:dyDescent="0.25">
      <c r="E913" s="163"/>
      <c r="K913" s="163"/>
      <c r="Q913" s="163"/>
      <c r="R913" s="163"/>
      <c r="S913" s="163"/>
    </row>
    <row r="914" spans="5:19" x14ac:dyDescent="0.25">
      <c r="E914" s="163"/>
      <c r="K914" s="163"/>
      <c r="Q914" s="163"/>
      <c r="R914" s="163"/>
      <c r="S914" s="163"/>
    </row>
    <row r="915" spans="5:19" x14ac:dyDescent="0.25">
      <c r="E915" s="163"/>
      <c r="K915" s="163"/>
      <c r="Q915" s="163"/>
      <c r="R915" s="163"/>
      <c r="S915" s="163"/>
    </row>
    <row r="916" spans="5:19" x14ac:dyDescent="0.25">
      <c r="E916" s="163"/>
      <c r="K916" s="163"/>
      <c r="Q916" s="163"/>
      <c r="R916" s="163"/>
      <c r="S916" s="163"/>
    </row>
    <row r="917" spans="5:19" x14ac:dyDescent="0.25">
      <c r="E917" s="163"/>
      <c r="K917" s="163"/>
      <c r="Q917" s="163"/>
      <c r="R917" s="163"/>
      <c r="S917" s="163"/>
    </row>
    <row r="918" spans="5:19" x14ac:dyDescent="0.25">
      <c r="E918" s="163"/>
      <c r="K918" s="163"/>
      <c r="Q918" s="163"/>
      <c r="R918" s="163"/>
      <c r="S918" s="163"/>
    </row>
    <row r="919" spans="5:19" x14ac:dyDescent="0.25">
      <c r="E919" s="163"/>
      <c r="K919" s="163"/>
      <c r="Q919" s="163"/>
      <c r="R919" s="163"/>
      <c r="S919" s="163"/>
    </row>
    <row r="920" spans="5:19" x14ac:dyDescent="0.25">
      <c r="E920" s="163"/>
      <c r="K920" s="163"/>
      <c r="Q920" s="163"/>
      <c r="R920" s="163"/>
      <c r="S920" s="163"/>
    </row>
    <row r="921" spans="5:19" x14ac:dyDescent="0.25">
      <c r="E921" s="163"/>
      <c r="K921" s="163"/>
      <c r="Q921" s="163"/>
      <c r="R921" s="163"/>
      <c r="S921" s="163"/>
    </row>
    <row r="922" spans="5:19" x14ac:dyDescent="0.25">
      <c r="E922" s="163"/>
      <c r="K922" s="163"/>
      <c r="Q922" s="163"/>
      <c r="R922" s="163"/>
      <c r="S922" s="163"/>
    </row>
    <row r="923" spans="5:19" x14ac:dyDescent="0.25">
      <c r="E923" s="163"/>
      <c r="K923" s="163"/>
      <c r="Q923" s="163"/>
      <c r="R923" s="163"/>
      <c r="S923" s="163"/>
    </row>
    <row r="924" spans="5:19" x14ac:dyDescent="0.25">
      <c r="E924" s="163"/>
      <c r="K924" s="163"/>
      <c r="Q924" s="163"/>
      <c r="R924" s="163"/>
      <c r="S924" s="163"/>
    </row>
    <row r="925" spans="5:19" x14ac:dyDescent="0.25">
      <c r="E925" s="163"/>
      <c r="K925" s="163"/>
      <c r="Q925" s="163"/>
      <c r="R925" s="163"/>
      <c r="S925" s="163"/>
    </row>
    <row r="926" spans="5:19" x14ac:dyDescent="0.25">
      <c r="E926" s="163"/>
      <c r="K926" s="163"/>
      <c r="Q926" s="163"/>
      <c r="R926" s="163"/>
      <c r="S926" s="163"/>
    </row>
    <row r="927" spans="5:19" x14ac:dyDescent="0.25">
      <c r="E927" s="163"/>
      <c r="K927" s="163"/>
      <c r="Q927" s="163"/>
      <c r="R927" s="163"/>
      <c r="S927" s="163"/>
    </row>
    <row r="928" spans="5:19" x14ac:dyDescent="0.25">
      <c r="E928" s="163"/>
      <c r="K928" s="163"/>
      <c r="Q928" s="163"/>
      <c r="R928" s="163"/>
      <c r="S928" s="163"/>
    </row>
    <row r="929" spans="5:19" x14ac:dyDescent="0.25">
      <c r="E929" s="163"/>
      <c r="K929" s="163"/>
      <c r="Q929" s="163"/>
      <c r="R929" s="163"/>
      <c r="S929" s="163"/>
    </row>
    <row r="930" spans="5:19" x14ac:dyDescent="0.25">
      <c r="E930" s="163"/>
      <c r="K930" s="163"/>
      <c r="Q930" s="163"/>
      <c r="R930" s="163"/>
      <c r="S930" s="163"/>
    </row>
    <row r="931" spans="5:19" x14ac:dyDescent="0.25">
      <c r="E931" s="163"/>
      <c r="K931" s="163"/>
      <c r="Q931" s="163"/>
      <c r="R931" s="163"/>
      <c r="S931" s="163"/>
    </row>
    <row r="932" spans="5:19" x14ac:dyDescent="0.25">
      <c r="E932" s="163"/>
      <c r="K932" s="163"/>
      <c r="Q932" s="163"/>
      <c r="R932" s="163"/>
      <c r="S932" s="163"/>
    </row>
    <row r="933" spans="5:19" x14ac:dyDescent="0.25">
      <c r="E933" s="163"/>
      <c r="K933" s="163"/>
      <c r="Q933" s="163"/>
      <c r="R933" s="163"/>
      <c r="S933" s="163"/>
    </row>
    <row r="934" spans="5:19" x14ac:dyDescent="0.25">
      <c r="E934" s="163"/>
      <c r="K934" s="163"/>
      <c r="Q934" s="163"/>
      <c r="R934" s="163"/>
      <c r="S934" s="163"/>
    </row>
    <row r="935" spans="5:19" x14ac:dyDescent="0.25">
      <c r="E935" s="163"/>
      <c r="K935" s="163"/>
      <c r="Q935" s="163"/>
      <c r="R935" s="163"/>
      <c r="S935" s="163"/>
    </row>
    <row r="936" spans="5:19" x14ac:dyDescent="0.25">
      <c r="E936" s="163"/>
      <c r="K936" s="163"/>
      <c r="Q936" s="163"/>
      <c r="R936" s="163"/>
      <c r="S936" s="163"/>
    </row>
    <row r="937" spans="5:19" x14ac:dyDescent="0.25">
      <c r="E937" s="163"/>
      <c r="K937" s="163"/>
      <c r="Q937" s="163"/>
      <c r="R937" s="163"/>
      <c r="S937" s="163"/>
    </row>
    <row r="938" spans="5:19" x14ac:dyDescent="0.25">
      <c r="E938" s="163"/>
      <c r="K938" s="163"/>
      <c r="Q938" s="163"/>
      <c r="R938" s="163"/>
      <c r="S938" s="163"/>
    </row>
    <row r="939" spans="5:19" x14ac:dyDescent="0.25">
      <c r="E939" s="163"/>
      <c r="K939" s="163"/>
      <c r="Q939" s="163"/>
      <c r="R939" s="163"/>
      <c r="S939" s="163"/>
    </row>
    <row r="940" spans="5:19" x14ac:dyDescent="0.25">
      <c r="E940" s="163"/>
      <c r="K940" s="163"/>
      <c r="Q940" s="163"/>
      <c r="R940" s="163"/>
      <c r="S940" s="163"/>
    </row>
    <row r="941" spans="5:19" x14ac:dyDescent="0.25">
      <c r="E941" s="163"/>
      <c r="K941" s="163"/>
      <c r="Q941" s="163"/>
      <c r="R941" s="163"/>
      <c r="S941" s="163"/>
    </row>
    <row r="942" spans="5:19" x14ac:dyDescent="0.25">
      <c r="E942" s="163"/>
      <c r="K942" s="163"/>
      <c r="Q942" s="163"/>
      <c r="R942" s="163"/>
      <c r="S942" s="163"/>
    </row>
    <row r="943" spans="5:19" x14ac:dyDescent="0.25">
      <c r="E943" s="163"/>
      <c r="K943" s="163"/>
      <c r="Q943" s="163"/>
      <c r="R943" s="163"/>
      <c r="S943" s="163"/>
    </row>
    <row r="944" spans="5:19" x14ac:dyDescent="0.25">
      <c r="E944" s="163"/>
      <c r="K944" s="163"/>
      <c r="Q944" s="163"/>
      <c r="R944" s="163"/>
      <c r="S944" s="163"/>
    </row>
    <row r="945" spans="5:19" x14ac:dyDescent="0.25">
      <c r="E945" s="163"/>
      <c r="K945" s="163"/>
      <c r="Q945" s="163"/>
      <c r="R945" s="163"/>
      <c r="S945" s="163"/>
    </row>
    <row r="946" spans="5:19" x14ac:dyDescent="0.25">
      <c r="E946" s="163"/>
      <c r="K946" s="163"/>
      <c r="Q946" s="163"/>
      <c r="R946" s="163"/>
      <c r="S946" s="163"/>
    </row>
    <row r="947" spans="5:19" x14ac:dyDescent="0.25">
      <c r="E947" s="163"/>
      <c r="K947" s="163"/>
      <c r="Q947" s="163"/>
      <c r="R947" s="163"/>
      <c r="S947" s="163"/>
    </row>
    <row r="948" spans="5:19" x14ac:dyDescent="0.25">
      <c r="E948" s="163"/>
      <c r="K948" s="163"/>
      <c r="Q948" s="163"/>
      <c r="R948" s="163"/>
      <c r="S948" s="163"/>
    </row>
    <row r="949" spans="5:19" x14ac:dyDescent="0.25">
      <c r="E949" s="163"/>
      <c r="K949" s="163"/>
      <c r="Q949" s="163"/>
      <c r="R949" s="163"/>
      <c r="S949" s="163"/>
    </row>
    <row r="950" spans="5:19" x14ac:dyDescent="0.25">
      <c r="E950" s="163"/>
      <c r="K950" s="163"/>
      <c r="Q950" s="163"/>
      <c r="R950" s="163"/>
      <c r="S950" s="163"/>
    </row>
    <row r="951" spans="5:19" x14ac:dyDescent="0.25">
      <c r="E951" s="163"/>
      <c r="K951" s="163"/>
      <c r="Q951" s="163"/>
      <c r="R951" s="163"/>
      <c r="S951" s="163"/>
    </row>
    <row r="952" spans="5:19" x14ac:dyDescent="0.25">
      <c r="E952" s="163"/>
      <c r="K952" s="163"/>
      <c r="Q952" s="163"/>
      <c r="R952" s="163"/>
      <c r="S952" s="163"/>
    </row>
    <row r="953" spans="5:19" x14ac:dyDescent="0.25">
      <c r="E953" s="163"/>
      <c r="K953" s="163"/>
      <c r="Q953" s="163"/>
      <c r="R953" s="163"/>
      <c r="S953" s="163"/>
    </row>
    <row r="954" spans="5:19" x14ac:dyDescent="0.25">
      <c r="E954" s="163"/>
      <c r="K954" s="163"/>
      <c r="Q954" s="163"/>
      <c r="R954" s="163"/>
      <c r="S954" s="163"/>
    </row>
    <row r="955" spans="5:19" x14ac:dyDescent="0.25">
      <c r="E955" s="163"/>
      <c r="K955" s="163"/>
      <c r="Q955" s="163"/>
      <c r="R955" s="163"/>
      <c r="S955" s="163"/>
    </row>
    <row r="956" spans="5:19" x14ac:dyDescent="0.25">
      <c r="E956" s="163"/>
      <c r="K956" s="163"/>
      <c r="Q956" s="163"/>
      <c r="R956" s="163"/>
      <c r="S956" s="163"/>
    </row>
    <row r="957" spans="5:19" x14ac:dyDescent="0.25">
      <c r="E957" s="163"/>
      <c r="K957" s="163"/>
      <c r="Q957" s="163"/>
      <c r="R957" s="163"/>
      <c r="S957" s="163"/>
    </row>
    <row r="958" spans="5:19" x14ac:dyDescent="0.25">
      <c r="E958" s="163"/>
      <c r="K958" s="163"/>
      <c r="Q958" s="163"/>
      <c r="R958" s="163"/>
      <c r="S958" s="163"/>
    </row>
    <row r="959" spans="5:19" x14ac:dyDescent="0.25">
      <c r="E959" s="163"/>
      <c r="K959" s="163"/>
      <c r="Q959" s="163"/>
      <c r="R959" s="163"/>
      <c r="S959" s="163"/>
    </row>
    <row r="960" spans="5:19" x14ac:dyDescent="0.25">
      <c r="E960" s="163"/>
      <c r="K960" s="163"/>
      <c r="Q960" s="163"/>
      <c r="R960" s="163"/>
      <c r="S960" s="163"/>
    </row>
    <row r="961" spans="5:19" x14ac:dyDescent="0.25">
      <c r="E961" s="163"/>
      <c r="K961" s="163"/>
      <c r="Q961" s="163"/>
      <c r="R961" s="163"/>
      <c r="S961" s="163"/>
    </row>
    <row r="962" spans="5:19" x14ac:dyDescent="0.25">
      <c r="E962" s="163"/>
      <c r="K962" s="163"/>
      <c r="Q962" s="163"/>
      <c r="R962" s="163"/>
      <c r="S962" s="163"/>
    </row>
    <row r="963" spans="5:19" x14ac:dyDescent="0.25">
      <c r="E963" s="163"/>
      <c r="K963" s="163"/>
      <c r="Q963" s="163"/>
      <c r="R963" s="163"/>
      <c r="S963" s="163"/>
    </row>
    <row r="964" spans="5:19" x14ac:dyDescent="0.25">
      <c r="E964" s="163"/>
      <c r="K964" s="163"/>
      <c r="Q964" s="163"/>
      <c r="R964" s="163"/>
      <c r="S964" s="163"/>
    </row>
    <row r="965" spans="5:19" x14ac:dyDescent="0.25">
      <c r="E965" s="163"/>
      <c r="K965" s="163"/>
      <c r="Q965" s="163"/>
      <c r="R965" s="163"/>
      <c r="S965" s="163"/>
    </row>
    <row r="966" spans="5:19" x14ac:dyDescent="0.25">
      <c r="E966" s="163"/>
      <c r="K966" s="163"/>
      <c r="Q966" s="163"/>
      <c r="R966" s="163"/>
      <c r="S966" s="163"/>
    </row>
    <row r="967" spans="5:19" x14ac:dyDescent="0.25">
      <c r="E967" s="163"/>
      <c r="K967" s="163"/>
      <c r="Q967" s="163"/>
      <c r="R967" s="163"/>
      <c r="S967" s="163"/>
    </row>
    <row r="968" spans="5:19" x14ac:dyDescent="0.25">
      <c r="E968" s="163"/>
      <c r="K968" s="163"/>
      <c r="Q968" s="163"/>
      <c r="R968" s="163"/>
      <c r="S968" s="163"/>
    </row>
    <row r="969" spans="5:19" x14ac:dyDescent="0.25">
      <c r="E969" s="163"/>
      <c r="K969" s="163"/>
      <c r="Q969" s="163"/>
      <c r="R969" s="163"/>
      <c r="S969" s="163"/>
    </row>
    <row r="970" spans="5:19" x14ac:dyDescent="0.25">
      <c r="E970" s="163"/>
      <c r="K970" s="163"/>
      <c r="Q970" s="163"/>
      <c r="R970" s="163"/>
      <c r="S970" s="163"/>
    </row>
    <row r="971" spans="5:19" x14ac:dyDescent="0.25">
      <c r="E971" s="163"/>
      <c r="K971" s="163"/>
      <c r="Q971" s="163"/>
      <c r="R971" s="163"/>
      <c r="S971" s="163"/>
    </row>
    <row r="972" spans="5:19" x14ac:dyDescent="0.25">
      <c r="E972" s="163"/>
      <c r="K972" s="163"/>
      <c r="Q972" s="163"/>
      <c r="R972" s="163"/>
      <c r="S972" s="163"/>
    </row>
    <row r="973" spans="5:19" x14ac:dyDescent="0.25">
      <c r="E973" s="163"/>
      <c r="K973" s="163"/>
      <c r="Q973" s="163"/>
      <c r="R973" s="163"/>
      <c r="S973" s="163"/>
    </row>
    <row r="974" spans="5:19" x14ac:dyDescent="0.25">
      <c r="E974" s="163"/>
      <c r="K974" s="163"/>
      <c r="Q974" s="163"/>
      <c r="R974" s="163"/>
      <c r="S974" s="163"/>
    </row>
    <row r="975" spans="5:19" x14ac:dyDescent="0.25">
      <c r="E975" s="163"/>
      <c r="K975" s="163"/>
      <c r="Q975" s="163"/>
      <c r="R975" s="163"/>
      <c r="S975" s="163"/>
    </row>
    <row r="976" spans="5:19" x14ac:dyDescent="0.25">
      <c r="E976" s="163"/>
      <c r="K976" s="163"/>
      <c r="Q976" s="163"/>
      <c r="R976" s="163"/>
      <c r="S976" s="163"/>
    </row>
    <row r="977" spans="5:19" x14ac:dyDescent="0.25">
      <c r="E977" s="163"/>
      <c r="K977" s="163"/>
      <c r="Q977" s="163"/>
      <c r="R977" s="163"/>
      <c r="S977" s="163"/>
    </row>
    <row r="978" spans="5:19" x14ac:dyDescent="0.25">
      <c r="E978" s="163"/>
      <c r="K978" s="163"/>
      <c r="Q978" s="163"/>
      <c r="R978" s="163"/>
      <c r="S978" s="163"/>
    </row>
    <row r="979" spans="5:19" x14ac:dyDescent="0.25">
      <c r="E979" s="163"/>
      <c r="K979" s="163"/>
      <c r="Q979" s="163"/>
      <c r="R979" s="163"/>
      <c r="S979" s="163"/>
    </row>
    <row r="980" spans="5:19" x14ac:dyDescent="0.25">
      <c r="E980" s="163"/>
      <c r="K980" s="163"/>
      <c r="Q980" s="163"/>
      <c r="R980" s="163"/>
      <c r="S980" s="163"/>
    </row>
    <row r="981" spans="5:19" x14ac:dyDescent="0.25">
      <c r="E981" s="163"/>
      <c r="K981" s="163"/>
      <c r="Q981" s="163"/>
      <c r="R981" s="163"/>
      <c r="S981" s="163"/>
    </row>
    <row r="982" spans="5:19" x14ac:dyDescent="0.25">
      <c r="E982" s="163"/>
      <c r="K982" s="163"/>
      <c r="Q982" s="163"/>
      <c r="R982" s="163"/>
      <c r="S982" s="163"/>
    </row>
    <row r="983" spans="5:19" x14ac:dyDescent="0.25">
      <c r="E983" s="163"/>
      <c r="K983" s="163"/>
      <c r="Q983" s="163"/>
      <c r="R983" s="163"/>
      <c r="S983" s="163"/>
    </row>
    <row r="984" spans="5:19" x14ac:dyDescent="0.25">
      <c r="E984" s="163"/>
      <c r="K984" s="163"/>
      <c r="Q984" s="163"/>
      <c r="R984" s="163"/>
      <c r="S984" s="163"/>
    </row>
    <row r="985" spans="5:19" x14ac:dyDescent="0.25">
      <c r="E985" s="163"/>
      <c r="K985" s="163"/>
      <c r="Q985" s="163"/>
      <c r="R985" s="163"/>
      <c r="S985" s="163"/>
    </row>
    <row r="986" spans="5:19" x14ac:dyDescent="0.25">
      <c r="E986" s="163"/>
      <c r="K986" s="163"/>
      <c r="Q986" s="163"/>
      <c r="R986" s="163"/>
      <c r="S986" s="163"/>
    </row>
    <row r="987" spans="5:19" x14ac:dyDescent="0.25">
      <c r="E987" s="163"/>
      <c r="K987" s="163"/>
      <c r="Q987" s="163"/>
      <c r="R987" s="163"/>
      <c r="S987" s="163"/>
    </row>
    <row r="988" spans="5:19" x14ac:dyDescent="0.25">
      <c r="E988" s="163"/>
      <c r="K988" s="163"/>
      <c r="Q988" s="163"/>
      <c r="R988" s="163"/>
      <c r="S988" s="163"/>
    </row>
    <row r="989" spans="5:19" x14ac:dyDescent="0.25">
      <c r="E989" s="163"/>
      <c r="K989" s="163"/>
      <c r="Q989" s="163"/>
      <c r="R989" s="163"/>
      <c r="S989" s="163"/>
    </row>
    <row r="990" spans="5:19" x14ac:dyDescent="0.25">
      <c r="E990" s="163"/>
      <c r="K990" s="163"/>
      <c r="Q990" s="163"/>
      <c r="R990" s="163"/>
      <c r="S990" s="163"/>
    </row>
    <row r="991" spans="5:19" x14ac:dyDescent="0.25">
      <c r="E991" s="163"/>
      <c r="K991" s="163"/>
      <c r="Q991" s="163"/>
      <c r="R991" s="163"/>
      <c r="S991" s="163"/>
    </row>
    <row r="992" spans="5:19" x14ac:dyDescent="0.25">
      <c r="E992" s="163"/>
      <c r="K992" s="163"/>
      <c r="Q992" s="163"/>
      <c r="R992" s="163"/>
      <c r="S992" s="163"/>
    </row>
    <row r="993" spans="5:19" x14ac:dyDescent="0.25">
      <c r="E993" s="163"/>
      <c r="K993" s="163"/>
      <c r="Q993" s="163"/>
      <c r="R993" s="163"/>
      <c r="S993" s="163"/>
    </row>
    <row r="994" spans="5:19" x14ac:dyDescent="0.25">
      <c r="E994" s="163"/>
      <c r="K994" s="163"/>
      <c r="Q994" s="163"/>
      <c r="R994" s="163"/>
      <c r="S994" s="163"/>
    </row>
    <row r="995" spans="5:19" x14ac:dyDescent="0.25">
      <c r="E995" s="163"/>
      <c r="K995" s="163"/>
      <c r="Q995" s="163"/>
      <c r="R995" s="163"/>
      <c r="S995" s="163"/>
    </row>
    <row r="996" spans="5:19" x14ac:dyDescent="0.25">
      <c r="E996" s="163"/>
      <c r="K996" s="163"/>
      <c r="Q996" s="163"/>
      <c r="R996" s="163"/>
      <c r="S996" s="163"/>
    </row>
    <row r="997" spans="5:19" x14ac:dyDescent="0.25">
      <c r="E997" s="163"/>
      <c r="K997" s="163"/>
      <c r="Q997" s="163"/>
      <c r="R997" s="163"/>
      <c r="S997" s="163"/>
    </row>
    <row r="998" spans="5:19" x14ac:dyDescent="0.25">
      <c r="E998" s="163"/>
      <c r="K998" s="163"/>
      <c r="Q998" s="163"/>
      <c r="R998" s="163"/>
      <c r="S998" s="163"/>
    </row>
    <row r="999" spans="5:19" x14ac:dyDescent="0.25">
      <c r="E999" s="163"/>
      <c r="K999" s="163"/>
      <c r="Q999" s="163"/>
      <c r="R999" s="163"/>
      <c r="S999" s="163"/>
    </row>
    <row r="1000" spans="5:19" x14ac:dyDescent="0.25">
      <c r="E1000" s="163"/>
      <c r="K1000" s="163"/>
      <c r="Q1000" s="163"/>
      <c r="R1000" s="163"/>
      <c r="S1000" s="163"/>
    </row>
    <row r="1001" spans="5:19" x14ac:dyDescent="0.25">
      <c r="E1001" s="163"/>
      <c r="K1001" s="163"/>
      <c r="Q1001" s="163"/>
      <c r="R1001" s="163"/>
      <c r="S1001" s="163"/>
    </row>
    <row r="1002" spans="5:19" x14ac:dyDescent="0.25">
      <c r="E1002" s="163"/>
      <c r="K1002" s="163"/>
      <c r="Q1002" s="163"/>
      <c r="R1002" s="163"/>
      <c r="S1002" s="163"/>
    </row>
    <row r="1003" spans="5:19" x14ac:dyDescent="0.25">
      <c r="E1003" s="163"/>
      <c r="K1003" s="163"/>
      <c r="Q1003" s="163"/>
      <c r="R1003" s="163"/>
      <c r="S1003" s="163"/>
    </row>
    <row r="1004" spans="5:19" x14ac:dyDescent="0.25">
      <c r="E1004" s="163"/>
      <c r="K1004" s="163"/>
      <c r="Q1004" s="163"/>
      <c r="R1004" s="163"/>
      <c r="S1004" s="163"/>
    </row>
    <row r="1005" spans="5:19" x14ac:dyDescent="0.25">
      <c r="E1005" s="163"/>
      <c r="K1005" s="163"/>
      <c r="Q1005" s="163"/>
      <c r="R1005" s="163"/>
      <c r="S1005" s="163"/>
    </row>
    <row r="1006" spans="5:19" x14ac:dyDescent="0.25">
      <c r="E1006" s="163"/>
      <c r="K1006" s="163"/>
      <c r="Q1006" s="163"/>
      <c r="R1006" s="163"/>
      <c r="S1006" s="163"/>
    </row>
    <row r="1007" spans="5:19" x14ac:dyDescent="0.25">
      <c r="E1007" s="163"/>
      <c r="K1007" s="163"/>
      <c r="Q1007" s="163"/>
      <c r="R1007" s="163"/>
      <c r="S1007" s="163"/>
    </row>
    <row r="1008" spans="5:19" x14ac:dyDescent="0.25">
      <c r="E1008" s="163"/>
      <c r="K1008" s="163"/>
      <c r="Q1008" s="163"/>
      <c r="R1008" s="163"/>
      <c r="S1008" s="163"/>
    </row>
    <row r="1009" spans="5:19" x14ac:dyDescent="0.25">
      <c r="E1009" s="163"/>
      <c r="K1009" s="163"/>
      <c r="Q1009" s="163"/>
      <c r="R1009" s="163"/>
      <c r="S1009" s="163"/>
    </row>
    <row r="1010" spans="5:19" x14ac:dyDescent="0.25">
      <c r="E1010" s="163"/>
      <c r="K1010" s="163"/>
      <c r="Q1010" s="163"/>
      <c r="R1010" s="163"/>
      <c r="S1010" s="163"/>
    </row>
    <row r="1011" spans="5:19" x14ac:dyDescent="0.25">
      <c r="E1011" s="163"/>
      <c r="K1011" s="163"/>
      <c r="Q1011" s="163"/>
      <c r="R1011" s="163"/>
      <c r="S1011" s="163"/>
    </row>
    <row r="1012" spans="5:19" x14ac:dyDescent="0.25">
      <c r="E1012" s="163"/>
      <c r="K1012" s="163"/>
      <c r="Q1012" s="163"/>
      <c r="R1012" s="163"/>
      <c r="S1012" s="163"/>
    </row>
    <row r="1013" spans="5:19" x14ac:dyDescent="0.25">
      <c r="E1013" s="163"/>
      <c r="K1013" s="163"/>
      <c r="Q1013" s="163"/>
      <c r="R1013" s="163"/>
      <c r="S1013" s="163"/>
    </row>
    <row r="1014" spans="5:19" x14ac:dyDescent="0.25">
      <c r="E1014" s="163"/>
      <c r="K1014" s="163"/>
      <c r="Q1014" s="163"/>
      <c r="R1014" s="163"/>
      <c r="S1014" s="163"/>
    </row>
    <row r="1015" spans="5:19" x14ac:dyDescent="0.25">
      <c r="E1015" s="163"/>
      <c r="K1015" s="163"/>
      <c r="Q1015" s="163"/>
      <c r="R1015" s="163"/>
      <c r="S1015" s="163"/>
    </row>
    <row r="1016" spans="5:19" x14ac:dyDescent="0.25">
      <c r="E1016" s="163"/>
      <c r="K1016" s="163"/>
      <c r="Q1016" s="163"/>
      <c r="R1016" s="163"/>
      <c r="S1016" s="163"/>
    </row>
    <row r="1017" spans="5:19" x14ac:dyDescent="0.25">
      <c r="E1017" s="163"/>
      <c r="K1017" s="163"/>
      <c r="Q1017" s="163"/>
      <c r="R1017" s="163"/>
      <c r="S1017" s="163"/>
    </row>
    <row r="1018" spans="5:19" x14ac:dyDescent="0.25">
      <c r="E1018" s="163"/>
      <c r="K1018" s="163"/>
      <c r="Q1018" s="163"/>
      <c r="R1018" s="163"/>
      <c r="S1018" s="163"/>
    </row>
    <row r="1019" spans="5:19" x14ac:dyDescent="0.25">
      <c r="E1019" s="163"/>
      <c r="K1019" s="163"/>
      <c r="Q1019" s="163"/>
      <c r="R1019" s="163"/>
      <c r="S1019" s="163"/>
    </row>
    <row r="1020" spans="5:19" x14ac:dyDescent="0.25">
      <c r="E1020" s="163"/>
      <c r="K1020" s="163"/>
      <c r="Q1020" s="163"/>
      <c r="R1020" s="163"/>
      <c r="S1020" s="163"/>
    </row>
    <row r="1021" spans="5:19" x14ac:dyDescent="0.25">
      <c r="E1021" s="163"/>
      <c r="K1021" s="163"/>
      <c r="Q1021" s="163"/>
      <c r="R1021" s="163"/>
      <c r="S1021" s="163"/>
    </row>
    <row r="1022" spans="5:19" x14ac:dyDescent="0.25">
      <c r="E1022" s="163"/>
      <c r="K1022" s="163"/>
      <c r="Q1022" s="163"/>
      <c r="R1022" s="163"/>
      <c r="S1022" s="163"/>
    </row>
    <row r="1023" spans="5:19" x14ac:dyDescent="0.25">
      <c r="E1023" s="163"/>
      <c r="K1023" s="163"/>
      <c r="Q1023" s="163"/>
      <c r="R1023" s="163"/>
      <c r="S1023" s="163"/>
    </row>
    <row r="1024" spans="5:19" x14ac:dyDescent="0.25">
      <c r="E1024" s="163"/>
      <c r="K1024" s="163"/>
      <c r="Q1024" s="163"/>
      <c r="R1024" s="163"/>
      <c r="S1024" s="163"/>
    </row>
    <row r="1025" spans="5:19" x14ac:dyDescent="0.25">
      <c r="E1025" s="163"/>
      <c r="K1025" s="163"/>
      <c r="Q1025" s="163"/>
      <c r="R1025" s="163"/>
      <c r="S1025" s="163"/>
    </row>
    <row r="1026" spans="5:19" x14ac:dyDescent="0.25">
      <c r="E1026" s="163"/>
      <c r="K1026" s="163"/>
      <c r="Q1026" s="163"/>
      <c r="R1026" s="163"/>
      <c r="S1026" s="163"/>
    </row>
    <row r="1027" spans="5:19" x14ac:dyDescent="0.25">
      <c r="E1027" s="163"/>
      <c r="K1027" s="163"/>
      <c r="Q1027" s="163"/>
      <c r="R1027" s="163"/>
      <c r="S1027" s="163"/>
    </row>
    <row r="1028" spans="5:19" x14ac:dyDescent="0.25">
      <c r="E1028" s="163"/>
      <c r="K1028" s="163"/>
      <c r="Q1028" s="163"/>
      <c r="R1028" s="163"/>
      <c r="S1028" s="163"/>
    </row>
    <row r="1029" spans="5:19" x14ac:dyDescent="0.25">
      <c r="E1029" s="163"/>
      <c r="K1029" s="163"/>
      <c r="Q1029" s="163"/>
      <c r="R1029" s="163"/>
      <c r="S1029" s="163"/>
    </row>
    <row r="1030" spans="5:19" x14ac:dyDescent="0.25">
      <c r="E1030" s="163"/>
      <c r="K1030" s="163"/>
      <c r="Q1030" s="163"/>
      <c r="R1030" s="163"/>
      <c r="S1030" s="163"/>
    </row>
    <row r="1031" spans="5:19" x14ac:dyDescent="0.25">
      <c r="E1031" s="163"/>
      <c r="K1031" s="163"/>
      <c r="Q1031" s="163"/>
      <c r="R1031" s="163"/>
      <c r="S1031" s="163"/>
    </row>
    <row r="1032" spans="5:19" x14ac:dyDescent="0.25">
      <c r="E1032" s="163"/>
      <c r="K1032" s="163"/>
      <c r="Q1032" s="163"/>
      <c r="R1032" s="163"/>
      <c r="S1032" s="163"/>
    </row>
    <row r="1033" spans="5:19" x14ac:dyDescent="0.25">
      <c r="E1033" s="163"/>
      <c r="K1033" s="163"/>
      <c r="Q1033" s="163"/>
      <c r="R1033" s="163"/>
      <c r="S1033" s="163"/>
    </row>
    <row r="1034" spans="5:19" x14ac:dyDescent="0.25">
      <c r="E1034" s="163"/>
      <c r="K1034" s="163"/>
      <c r="Q1034" s="163"/>
      <c r="R1034" s="163"/>
      <c r="S1034" s="163"/>
    </row>
    <row r="1035" spans="5:19" x14ac:dyDescent="0.25">
      <c r="E1035" s="163"/>
      <c r="K1035" s="163"/>
      <c r="Q1035" s="163"/>
      <c r="R1035" s="163"/>
      <c r="S1035" s="163"/>
    </row>
    <row r="1036" spans="5:19" x14ac:dyDescent="0.25">
      <c r="E1036" s="163"/>
      <c r="K1036" s="163"/>
      <c r="Q1036" s="163"/>
      <c r="R1036" s="163"/>
      <c r="S1036" s="163"/>
    </row>
    <row r="1037" spans="5:19" x14ac:dyDescent="0.25">
      <c r="E1037" s="163"/>
      <c r="K1037" s="163"/>
      <c r="Q1037" s="163"/>
      <c r="R1037" s="163"/>
      <c r="S1037" s="163"/>
    </row>
    <row r="1038" spans="5:19" x14ac:dyDescent="0.25">
      <c r="E1038" s="163"/>
      <c r="K1038" s="163"/>
      <c r="Q1038" s="163"/>
      <c r="R1038" s="163"/>
      <c r="S1038" s="163"/>
    </row>
    <row r="1039" spans="5:19" x14ac:dyDescent="0.25">
      <c r="E1039" s="163"/>
      <c r="K1039" s="163"/>
      <c r="Q1039" s="163"/>
      <c r="R1039" s="163"/>
      <c r="S1039" s="163"/>
    </row>
    <row r="1040" spans="5:19" x14ac:dyDescent="0.25">
      <c r="E1040" s="163"/>
      <c r="K1040" s="163"/>
      <c r="Q1040" s="163"/>
      <c r="R1040" s="163"/>
      <c r="S1040" s="163"/>
    </row>
    <row r="1041" spans="5:19" x14ac:dyDescent="0.25">
      <c r="E1041" s="163"/>
      <c r="K1041" s="163"/>
      <c r="Q1041" s="163"/>
      <c r="R1041" s="163"/>
      <c r="S1041" s="163"/>
    </row>
    <row r="1042" spans="5:19" x14ac:dyDescent="0.25">
      <c r="E1042" s="163"/>
      <c r="K1042" s="163"/>
      <c r="Q1042" s="163"/>
      <c r="R1042" s="163"/>
      <c r="S1042" s="163"/>
    </row>
    <row r="1043" spans="5:19" x14ac:dyDescent="0.25">
      <c r="E1043" s="163"/>
      <c r="K1043" s="163"/>
      <c r="Q1043" s="163"/>
      <c r="R1043" s="163"/>
      <c r="S1043" s="163"/>
    </row>
    <row r="1044" spans="5:19" x14ac:dyDescent="0.25">
      <c r="E1044" s="163"/>
      <c r="K1044" s="163"/>
      <c r="Q1044" s="163"/>
      <c r="R1044" s="163"/>
      <c r="S1044" s="163"/>
    </row>
    <row r="1045" spans="5:19" x14ac:dyDescent="0.25">
      <c r="E1045" s="163"/>
      <c r="K1045" s="163"/>
      <c r="Q1045" s="163"/>
      <c r="R1045" s="163"/>
      <c r="S1045" s="163"/>
    </row>
    <row r="1046" spans="5:19" x14ac:dyDescent="0.25">
      <c r="E1046" s="163"/>
      <c r="K1046" s="163"/>
      <c r="Q1046" s="163"/>
      <c r="R1046" s="163"/>
      <c r="S1046" s="163"/>
    </row>
    <row r="1047" spans="5:19" x14ac:dyDescent="0.25">
      <c r="E1047" s="163"/>
      <c r="K1047" s="163"/>
      <c r="Q1047" s="163"/>
      <c r="R1047" s="163"/>
      <c r="S1047" s="163"/>
    </row>
    <row r="1048" spans="5:19" x14ac:dyDescent="0.25">
      <c r="E1048" s="163"/>
      <c r="K1048" s="163"/>
      <c r="Q1048" s="163"/>
      <c r="R1048" s="163"/>
      <c r="S1048" s="163"/>
    </row>
    <row r="1049" spans="5:19" x14ac:dyDescent="0.25">
      <c r="E1049" s="163"/>
      <c r="K1049" s="163"/>
      <c r="Q1049" s="163"/>
      <c r="R1049" s="163"/>
      <c r="S1049" s="163"/>
    </row>
    <row r="1050" spans="5:19" x14ac:dyDescent="0.25">
      <c r="E1050" s="163"/>
      <c r="K1050" s="163"/>
      <c r="Q1050" s="163"/>
      <c r="R1050" s="163"/>
      <c r="S1050" s="163"/>
    </row>
    <row r="1051" spans="5:19" x14ac:dyDescent="0.25">
      <c r="E1051" s="163"/>
      <c r="K1051" s="163"/>
      <c r="Q1051" s="163"/>
      <c r="R1051" s="163"/>
      <c r="S1051" s="163"/>
    </row>
    <row r="1052" spans="5:19" x14ac:dyDescent="0.25">
      <c r="E1052" s="163"/>
      <c r="K1052" s="163"/>
      <c r="Q1052" s="163"/>
      <c r="R1052" s="163"/>
      <c r="S1052" s="163"/>
    </row>
    <row r="1053" spans="5:19" x14ac:dyDescent="0.25">
      <c r="E1053" s="163"/>
      <c r="K1053" s="163"/>
      <c r="Q1053" s="163"/>
      <c r="R1053" s="163"/>
      <c r="S1053" s="163"/>
    </row>
    <row r="1054" spans="5:19" x14ac:dyDescent="0.25">
      <c r="E1054" s="163"/>
      <c r="K1054" s="163"/>
      <c r="Q1054" s="163"/>
      <c r="R1054" s="163"/>
      <c r="S1054" s="163"/>
    </row>
    <row r="1055" spans="5:19" x14ac:dyDescent="0.25">
      <c r="E1055" s="163"/>
      <c r="K1055" s="163"/>
      <c r="Q1055" s="163"/>
      <c r="R1055" s="163"/>
      <c r="S1055" s="163"/>
    </row>
    <row r="1056" spans="5:19" x14ac:dyDescent="0.25">
      <c r="E1056" s="163"/>
      <c r="K1056" s="163"/>
      <c r="Q1056" s="163"/>
      <c r="R1056" s="163"/>
      <c r="S1056" s="163"/>
    </row>
    <row r="1057" spans="5:19" x14ac:dyDescent="0.25">
      <c r="E1057" s="163"/>
      <c r="K1057" s="163"/>
      <c r="Q1057" s="163"/>
      <c r="R1057" s="163"/>
      <c r="S1057" s="163"/>
    </row>
    <row r="1058" spans="5:19" x14ac:dyDescent="0.25">
      <c r="E1058" s="163"/>
      <c r="K1058" s="163"/>
      <c r="Q1058" s="163"/>
      <c r="R1058" s="163"/>
      <c r="S1058" s="163"/>
    </row>
    <row r="1059" spans="5:19" x14ac:dyDescent="0.25">
      <c r="E1059" s="163"/>
      <c r="K1059" s="163"/>
      <c r="Q1059" s="163"/>
      <c r="R1059" s="163"/>
      <c r="S1059" s="163"/>
    </row>
    <row r="1060" spans="5:19" x14ac:dyDescent="0.25">
      <c r="E1060" s="163"/>
      <c r="K1060" s="163"/>
      <c r="Q1060" s="163"/>
      <c r="R1060" s="163"/>
      <c r="S1060" s="163"/>
    </row>
    <row r="1061" spans="5:19" x14ac:dyDescent="0.25">
      <c r="E1061" s="163"/>
      <c r="K1061" s="163"/>
      <c r="Q1061" s="163"/>
      <c r="R1061" s="163"/>
      <c r="S1061" s="163"/>
    </row>
    <row r="1062" spans="5:19" x14ac:dyDescent="0.25">
      <c r="E1062" s="163"/>
      <c r="K1062" s="163"/>
      <c r="Q1062" s="163"/>
      <c r="R1062" s="163"/>
      <c r="S1062" s="163"/>
    </row>
    <row r="1063" spans="5:19" x14ac:dyDescent="0.25">
      <c r="E1063" s="163"/>
      <c r="K1063" s="163"/>
      <c r="Q1063" s="163"/>
      <c r="R1063" s="163"/>
      <c r="S1063" s="163"/>
    </row>
    <row r="1064" spans="5:19" x14ac:dyDescent="0.25">
      <c r="E1064" s="163"/>
      <c r="K1064" s="163"/>
      <c r="Q1064" s="163"/>
      <c r="R1064" s="163"/>
      <c r="S1064" s="163"/>
    </row>
    <row r="1065" spans="5:19" x14ac:dyDescent="0.25">
      <c r="E1065" s="163"/>
      <c r="K1065" s="163"/>
      <c r="Q1065" s="163"/>
      <c r="R1065" s="163"/>
      <c r="S1065" s="163"/>
    </row>
    <row r="1066" spans="5:19" x14ac:dyDescent="0.25">
      <c r="E1066" s="163"/>
      <c r="K1066" s="163"/>
      <c r="Q1066" s="163"/>
      <c r="R1066" s="163"/>
      <c r="S1066" s="163"/>
    </row>
    <row r="1067" spans="5:19" x14ac:dyDescent="0.25">
      <c r="E1067" s="163"/>
      <c r="K1067" s="163"/>
      <c r="Q1067" s="163"/>
      <c r="R1067" s="163"/>
      <c r="S1067" s="163"/>
    </row>
    <row r="1068" spans="5:19" x14ac:dyDescent="0.25">
      <c r="E1068" s="163"/>
      <c r="K1068" s="163"/>
      <c r="Q1068" s="163"/>
      <c r="R1068" s="163"/>
      <c r="S1068" s="163"/>
    </row>
    <row r="1069" spans="5:19" x14ac:dyDescent="0.25">
      <c r="E1069" s="163"/>
      <c r="K1069" s="163"/>
      <c r="Q1069" s="163"/>
      <c r="R1069" s="163"/>
      <c r="S1069" s="163"/>
    </row>
    <row r="1070" spans="5:19" x14ac:dyDescent="0.25">
      <c r="E1070" s="163"/>
      <c r="K1070" s="163"/>
      <c r="Q1070" s="163"/>
      <c r="R1070" s="163"/>
      <c r="S1070" s="163"/>
    </row>
    <row r="1071" spans="5:19" x14ac:dyDescent="0.25">
      <c r="E1071" s="163"/>
      <c r="K1071" s="163"/>
      <c r="Q1071" s="163"/>
      <c r="R1071" s="163"/>
      <c r="S1071" s="163"/>
    </row>
    <row r="1072" spans="5:19" x14ac:dyDescent="0.25">
      <c r="E1072" s="163"/>
      <c r="K1072" s="163"/>
      <c r="Q1072" s="163"/>
      <c r="R1072" s="163"/>
      <c r="S1072" s="163"/>
    </row>
    <row r="1073" spans="5:19" x14ac:dyDescent="0.25">
      <c r="E1073" s="163"/>
      <c r="K1073" s="163"/>
      <c r="Q1073" s="163"/>
      <c r="R1073" s="163"/>
      <c r="S1073" s="163"/>
    </row>
    <row r="1074" spans="5:19" x14ac:dyDescent="0.25">
      <c r="E1074" s="163"/>
      <c r="K1074" s="163"/>
      <c r="Q1074" s="163"/>
      <c r="R1074" s="163"/>
      <c r="S1074" s="163"/>
    </row>
    <row r="1075" spans="5:19" x14ac:dyDescent="0.25">
      <c r="E1075" s="163"/>
      <c r="K1075" s="163"/>
      <c r="Q1075" s="163"/>
      <c r="R1075" s="163"/>
      <c r="S1075" s="163"/>
    </row>
    <row r="1076" spans="5:19" x14ac:dyDescent="0.25">
      <c r="E1076" s="163"/>
      <c r="K1076" s="163"/>
      <c r="Q1076" s="163"/>
      <c r="R1076" s="163"/>
      <c r="S1076" s="163"/>
    </row>
    <row r="1077" spans="5:19" x14ac:dyDescent="0.25">
      <c r="E1077" s="163"/>
      <c r="K1077" s="163"/>
      <c r="Q1077" s="163"/>
      <c r="R1077" s="163"/>
      <c r="S1077" s="163"/>
    </row>
    <row r="1078" spans="5:19" x14ac:dyDescent="0.25">
      <c r="E1078" s="163"/>
      <c r="K1078" s="163"/>
      <c r="Q1078" s="163"/>
      <c r="R1078" s="163"/>
      <c r="S1078" s="163"/>
    </row>
    <row r="1079" spans="5:19" x14ac:dyDescent="0.25">
      <c r="E1079" s="163"/>
      <c r="K1079" s="163"/>
      <c r="Q1079" s="163"/>
      <c r="R1079" s="163"/>
      <c r="S1079" s="163"/>
    </row>
    <row r="1080" spans="5:19" x14ac:dyDescent="0.25">
      <c r="E1080" s="163"/>
      <c r="K1080" s="163"/>
      <c r="Q1080" s="163"/>
      <c r="R1080" s="163"/>
      <c r="S1080" s="163"/>
    </row>
    <row r="1081" spans="5:19" x14ac:dyDescent="0.25">
      <c r="E1081" s="163"/>
      <c r="K1081" s="163"/>
      <c r="Q1081" s="163"/>
      <c r="R1081" s="163"/>
      <c r="S1081" s="163"/>
    </row>
    <row r="1082" spans="5:19" x14ac:dyDescent="0.25">
      <c r="E1082" s="163"/>
      <c r="K1082" s="163"/>
      <c r="Q1082" s="163"/>
      <c r="R1082" s="163"/>
      <c r="S1082" s="163"/>
    </row>
    <row r="1083" spans="5:19" x14ac:dyDescent="0.25">
      <c r="E1083" s="163"/>
      <c r="K1083" s="163"/>
      <c r="Q1083" s="163"/>
      <c r="R1083" s="163"/>
      <c r="S1083" s="163"/>
    </row>
    <row r="1084" spans="5:19" x14ac:dyDescent="0.25">
      <c r="E1084" s="163"/>
      <c r="K1084" s="163"/>
      <c r="Q1084" s="163"/>
      <c r="R1084" s="163"/>
      <c r="S1084" s="163"/>
    </row>
    <row r="1085" spans="5:19" x14ac:dyDescent="0.25">
      <c r="E1085" s="163"/>
      <c r="K1085" s="163"/>
      <c r="Q1085" s="163"/>
      <c r="R1085" s="163"/>
      <c r="S1085" s="163"/>
    </row>
    <row r="1086" spans="5:19" x14ac:dyDescent="0.25">
      <c r="E1086" s="163"/>
      <c r="K1086" s="163"/>
      <c r="Q1086" s="163"/>
      <c r="R1086" s="163"/>
      <c r="S1086" s="163"/>
    </row>
    <row r="1087" spans="5:19" x14ac:dyDescent="0.25">
      <c r="E1087" s="163"/>
      <c r="K1087" s="163"/>
      <c r="Q1087" s="163"/>
      <c r="R1087" s="163"/>
      <c r="S1087" s="163"/>
    </row>
    <row r="1088" spans="5:19" x14ac:dyDescent="0.25">
      <c r="E1088" s="163"/>
      <c r="K1088" s="163"/>
      <c r="Q1088" s="163"/>
      <c r="R1088" s="163"/>
      <c r="S1088" s="163"/>
    </row>
    <row r="1089" spans="5:19" x14ac:dyDescent="0.25">
      <c r="E1089" s="163"/>
      <c r="K1089" s="163"/>
      <c r="Q1089" s="163"/>
      <c r="R1089" s="163"/>
      <c r="S1089" s="163"/>
    </row>
    <row r="1090" spans="5:19" x14ac:dyDescent="0.25">
      <c r="E1090" s="163"/>
      <c r="K1090" s="163"/>
      <c r="Q1090" s="163"/>
      <c r="R1090" s="163"/>
      <c r="S1090" s="163"/>
    </row>
    <row r="1091" spans="5:19" x14ac:dyDescent="0.25">
      <c r="E1091" s="163"/>
      <c r="K1091" s="163"/>
      <c r="Q1091" s="163"/>
      <c r="R1091" s="163"/>
      <c r="S1091" s="163"/>
    </row>
    <row r="1092" spans="5:19" x14ac:dyDescent="0.25">
      <c r="E1092" s="163"/>
      <c r="K1092" s="163"/>
      <c r="Q1092" s="163"/>
      <c r="R1092" s="163"/>
      <c r="S1092" s="163"/>
    </row>
    <row r="1093" spans="5:19" x14ac:dyDescent="0.25">
      <c r="E1093" s="163"/>
      <c r="K1093" s="163"/>
      <c r="Q1093" s="163"/>
      <c r="R1093" s="163"/>
      <c r="S1093" s="163"/>
    </row>
    <row r="1094" spans="5:19" x14ac:dyDescent="0.25">
      <c r="E1094" s="163"/>
      <c r="K1094" s="163"/>
      <c r="Q1094" s="163"/>
      <c r="R1094" s="163"/>
      <c r="S1094" s="163"/>
    </row>
    <row r="1095" spans="5:19" x14ac:dyDescent="0.25">
      <c r="E1095" s="163"/>
      <c r="K1095" s="163"/>
      <c r="Q1095" s="163"/>
      <c r="R1095" s="163"/>
      <c r="S1095" s="163"/>
    </row>
    <row r="1096" spans="5:19" x14ac:dyDescent="0.25">
      <c r="E1096" s="163"/>
      <c r="K1096" s="163"/>
      <c r="Q1096" s="163"/>
      <c r="R1096" s="163"/>
      <c r="S1096" s="163"/>
    </row>
    <row r="1097" spans="5:19" x14ac:dyDescent="0.25">
      <c r="E1097" s="163"/>
      <c r="K1097" s="163"/>
      <c r="Q1097" s="163"/>
      <c r="R1097" s="163"/>
      <c r="S1097" s="163"/>
    </row>
    <row r="1098" spans="5:19" x14ac:dyDescent="0.25">
      <c r="E1098" s="163"/>
      <c r="K1098" s="163"/>
      <c r="Q1098" s="163"/>
      <c r="R1098" s="163"/>
      <c r="S1098" s="163"/>
    </row>
    <row r="1099" spans="5:19" x14ac:dyDescent="0.25">
      <c r="E1099" s="163"/>
      <c r="K1099" s="163"/>
      <c r="Q1099" s="163"/>
      <c r="R1099" s="163"/>
      <c r="S1099" s="163"/>
    </row>
    <row r="1100" spans="5:19" x14ac:dyDescent="0.25">
      <c r="E1100" s="163"/>
      <c r="K1100" s="163"/>
      <c r="Q1100" s="163"/>
      <c r="R1100" s="163"/>
      <c r="S1100" s="163"/>
    </row>
    <row r="1101" spans="5:19" x14ac:dyDescent="0.25">
      <c r="E1101" s="163"/>
      <c r="K1101" s="163"/>
      <c r="Q1101" s="163"/>
      <c r="R1101" s="163"/>
      <c r="S1101" s="163"/>
    </row>
    <row r="1102" spans="5:19" x14ac:dyDescent="0.25">
      <c r="E1102" s="163"/>
      <c r="K1102" s="163"/>
      <c r="Q1102" s="163"/>
      <c r="R1102" s="163"/>
      <c r="S1102" s="163"/>
    </row>
    <row r="1103" spans="5:19" x14ac:dyDescent="0.25">
      <c r="E1103" s="163"/>
      <c r="K1103" s="163"/>
      <c r="Q1103" s="163"/>
      <c r="R1103" s="163"/>
      <c r="S1103" s="163"/>
    </row>
    <row r="1104" spans="5:19" x14ac:dyDescent="0.25">
      <c r="E1104" s="163"/>
      <c r="K1104" s="163"/>
      <c r="Q1104" s="163"/>
      <c r="R1104" s="163"/>
      <c r="S1104" s="163"/>
    </row>
    <row r="1105" spans="5:19" x14ac:dyDescent="0.25">
      <c r="E1105" s="163"/>
      <c r="K1105" s="163"/>
      <c r="Q1105" s="163"/>
      <c r="R1105" s="163"/>
      <c r="S1105" s="163"/>
    </row>
    <row r="1106" spans="5:19" x14ac:dyDescent="0.25">
      <c r="E1106" s="163"/>
      <c r="K1106" s="163"/>
      <c r="Q1106" s="163"/>
      <c r="R1106" s="163"/>
      <c r="S1106" s="163"/>
    </row>
    <row r="1107" spans="5:19" x14ac:dyDescent="0.25">
      <c r="E1107" s="163"/>
      <c r="K1107" s="163"/>
      <c r="Q1107" s="163"/>
      <c r="R1107" s="163"/>
      <c r="S1107" s="163"/>
    </row>
    <row r="1108" spans="5:19" x14ac:dyDescent="0.25">
      <c r="E1108" s="163"/>
      <c r="K1108" s="163"/>
      <c r="Q1108" s="163"/>
      <c r="R1108" s="163"/>
      <c r="S1108" s="163"/>
    </row>
    <row r="1109" spans="5:19" x14ac:dyDescent="0.25">
      <c r="E1109" s="163"/>
      <c r="K1109" s="163"/>
      <c r="Q1109" s="163"/>
      <c r="R1109" s="163"/>
      <c r="S1109" s="163"/>
    </row>
    <row r="1110" spans="5:19" x14ac:dyDescent="0.25">
      <c r="E1110" s="163"/>
      <c r="K1110" s="163"/>
      <c r="Q1110" s="163"/>
      <c r="R1110" s="163"/>
      <c r="S1110" s="163"/>
    </row>
    <row r="1111" spans="5:19" x14ac:dyDescent="0.25">
      <c r="E1111" s="163"/>
      <c r="K1111" s="163"/>
      <c r="Q1111" s="163"/>
      <c r="R1111" s="163"/>
      <c r="S1111" s="163"/>
    </row>
    <row r="1112" spans="5:19" x14ac:dyDescent="0.25">
      <c r="E1112" s="163"/>
      <c r="K1112" s="163"/>
      <c r="Q1112" s="163"/>
      <c r="R1112" s="163"/>
      <c r="S1112" s="163"/>
    </row>
    <row r="1113" spans="5:19" x14ac:dyDescent="0.25">
      <c r="E1113" s="163"/>
      <c r="K1113" s="163"/>
      <c r="Q1113" s="163"/>
      <c r="R1113" s="163"/>
      <c r="S1113" s="163"/>
    </row>
    <row r="1114" spans="5:19" x14ac:dyDescent="0.25">
      <c r="E1114" s="163"/>
      <c r="K1114" s="163"/>
      <c r="Q1114" s="163"/>
      <c r="R1114" s="163"/>
      <c r="S1114" s="163"/>
    </row>
    <row r="1115" spans="5:19" x14ac:dyDescent="0.25">
      <c r="E1115" s="163"/>
      <c r="K1115" s="163"/>
      <c r="Q1115" s="163"/>
      <c r="R1115" s="163"/>
      <c r="S1115" s="163"/>
    </row>
    <row r="1116" spans="5:19" x14ac:dyDescent="0.25">
      <c r="E1116" s="163"/>
      <c r="K1116" s="163"/>
      <c r="Q1116" s="163"/>
      <c r="R1116" s="163"/>
      <c r="S1116" s="163"/>
    </row>
    <row r="1117" spans="5:19" x14ac:dyDescent="0.25">
      <c r="E1117" s="163"/>
      <c r="K1117" s="163"/>
      <c r="Q1117" s="163"/>
      <c r="R1117" s="163"/>
      <c r="S1117" s="163"/>
    </row>
    <row r="1118" spans="5:19" x14ac:dyDescent="0.25">
      <c r="E1118" s="163"/>
      <c r="K1118" s="163"/>
      <c r="Q1118" s="163"/>
      <c r="R1118" s="163"/>
      <c r="S1118" s="163"/>
    </row>
    <row r="1119" spans="5:19" x14ac:dyDescent="0.25">
      <c r="E1119" s="163"/>
      <c r="K1119" s="163"/>
      <c r="Q1119" s="163"/>
      <c r="R1119" s="163"/>
      <c r="S1119" s="163"/>
    </row>
    <row r="1120" spans="5:19" x14ac:dyDescent="0.25">
      <c r="E1120" s="163"/>
      <c r="K1120" s="163"/>
      <c r="Q1120" s="163"/>
      <c r="R1120" s="163"/>
      <c r="S1120" s="163"/>
    </row>
    <row r="1121" spans="5:19" x14ac:dyDescent="0.25">
      <c r="E1121" s="163"/>
      <c r="K1121" s="163"/>
      <c r="Q1121" s="163"/>
      <c r="R1121" s="163"/>
      <c r="S1121" s="163"/>
    </row>
    <row r="1122" spans="5:19" x14ac:dyDescent="0.25">
      <c r="E1122" s="163"/>
      <c r="K1122" s="163"/>
      <c r="Q1122" s="163"/>
      <c r="R1122" s="163"/>
      <c r="S1122" s="163"/>
    </row>
    <row r="1123" spans="5:19" x14ac:dyDescent="0.25">
      <c r="E1123" s="163"/>
      <c r="K1123" s="163"/>
      <c r="Q1123" s="163"/>
      <c r="R1123" s="163"/>
      <c r="S1123" s="163"/>
    </row>
    <row r="1124" spans="5:19" x14ac:dyDescent="0.25">
      <c r="E1124" s="163"/>
      <c r="K1124" s="163"/>
      <c r="Q1124" s="163"/>
      <c r="R1124" s="163"/>
      <c r="S1124" s="163"/>
    </row>
    <row r="1125" spans="5:19" x14ac:dyDescent="0.25">
      <c r="E1125" s="163"/>
      <c r="K1125" s="163"/>
      <c r="Q1125" s="163"/>
      <c r="R1125" s="163"/>
      <c r="S1125" s="163"/>
    </row>
    <row r="1126" spans="5:19" x14ac:dyDescent="0.25">
      <c r="E1126" s="163"/>
      <c r="K1126" s="163"/>
      <c r="Q1126" s="163"/>
      <c r="R1126" s="163"/>
      <c r="S1126" s="163"/>
    </row>
    <row r="1127" spans="5:19" x14ac:dyDescent="0.25">
      <c r="E1127" s="163"/>
      <c r="K1127" s="163"/>
      <c r="Q1127" s="163"/>
      <c r="R1127" s="163"/>
      <c r="S1127" s="163"/>
    </row>
    <row r="1128" spans="5:19" x14ac:dyDescent="0.25">
      <c r="E1128" s="163"/>
      <c r="K1128" s="163"/>
      <c r="Q1128" s="163"/>
      <c r="R1128" s="163"/>
      <c r="S1128" s="163"/>
    </row>
    <row r="1129" spans="5:19" x14ac:dyDescent="0.25">
      <c r="E1129" s="163"/>
      <c r="K1129" s="163"/>
      <c r="Q1129" s="163"/>
      <c r="R1129" s="163"/>
      <c r="S1129" s="163"/>
    </row>
    <row r="1130" spans="5:19" x14ac:dyDescent="0.25">
      <c r="E1130" s="163"/>
      <c r="K1130" s="163"/>
      <c r="Q1130" s="163"/>
      <c r="R1130" s="163"/>
      <c r="S1130" s="163"/>
    </row>
    <row r="1131" spans="5:19" x14ac:dyDescent="0.25">
      <c r="E1131" s="163"/>
      <c r="K1131" s="163"/>
      <c r="Q1131" s="163"/>
      <c r="R1131" s="163"/>
      <c r="S1131" s="163"/>
    </row>
    <row r="1132" spans="5:19" x14ac:dyDescent="0.25">
      <c r="E1132" s="163"/>
      <c r="K1132" s="163"/>
      <c r="Q1132" s="163"/>
      <c r="R1132" s="163"/>
      <c r="S1132" s="163"/>
    </row>
    <row r="1133" spans="5:19" x14ac:dyDescent="0.25">
      <c r="E1133" s="163"/>
      <c r="K1133" s="163"/>
      <c r="Q1133" s="163"/>
      <c r="R1133" s="163"/>
      <c r="S1133" s="163"/>
    </row>
    <row r="1134" spans="5:19" x14ac:dyDescent="0.25">
      <c r="E1134" s="163"/>
      <c r="K1134" s="163"/>
      <c r="Q1134" s="163"/>
      <c r="R1134" s="163"/>
      <c r="S1134" s="163"/>
    </row>
    <row r="1135" spans="5:19" x14ac:dyDescent="0.25">
      <c r="E1135" s="163"/>
      <c r="K1135" s="163"/>
      <c r="Q1135" s="163"/>
      <c r="R1135" s="163"/>
      <c r="S1135" s="163"/>
    </row>
    <row r="1136" spans="5:19" x14ac:dyDescent="0.25">
      <c r="E1136" s="163"/>
      <c r="K1136" s="163"/>
      <c r="Q1136" s="163"/>
      <c r="R1136" s="163"/>
      <c r="S1136" s="163"/>
    </row>
    <row r="1137" spans="5:19" x14ac:dyDescent="0.25">
      <c r="E1137" s="163"/>
      <c r="K1137" s="163"/>
      <c r="Q1137" s="163"/>
      <c r="R1137" s="163"/>
      <c r="S1137" s="163"/>
    </row>
    <row r="1138" spans="5:19" x14ac:dyDescent="0.25">
      <c r="E1138" s="163"/>
      <c r="K1138" s="163"/>
      <c r="Q1138" s="163"/>
      <c r="R1138" s="163"/>
      <c r="S1138" s="163"/>
    </row>
    <row r="1139" spans="5:19" x14ac:dyDescent="0.25">
      <c r="E1139" s="163"/>
      <c r="K1139" s="163"/>
      <c r="Q1139" s="163"/>
      <c r="R1139" s="163"/>
      <c r="S1139" s="163"/>
    </row>
    <row r="1140" spans="5:19" x14ac:dyDescent="0.25">
      <c r="E1140" s="163"/>
      <c r="K1140" s="163"/>
      <c r="Q1140" s="163"/>
      <c r="R1140" s="163"/>
      <c r="S1140" s="163"/>
    </row>
    <row r="1141" spans="5:19" x14ac:dyDescent="0.25">
      <c r="E1141" s="163"/>
      <c r="K1141" s="163"/>
      <c r="Q1141" s="163"/>
      <c r="R1141" s="163"/>
      <c r="S1141" s="163"/>
    </row>
    <row r="1142" spans="5:19" x14ac:dyDescent="0.25">
      <c r="E1142" s="163"/>
      <c r="K1142" s="163"/>
      <c r="Q1142" s="163"/>
      <c r="R1142" s="163"/>
      <c r="S1142" s="163"/>
    </row>
    <row r="1143" spans="5:19" x14ac:dyDescent="0.25">
      <c r="E1143" s="163"/>
      <c r="K1143" s="163"/>
      <c r="Q1143" s="163"/>
      <c r="R1143" s="163"/>
      <c r="S1143" s="163"/>
    </row>
    <row r="1144" spans="5:19" x14ac:dyDescent="0.25">
      <c r="E1144" s="163"/>
      <c r="K1144" s="163"/>
      <c r="Q1144" s="163"/>
      <c r="R1144" s="163"/>
      <c r="S1144" s="163"/>
    </row>
    <row r="1145" spans="5:19" x14ac:dyDescent="0.25">
      <c r="E1145" s="163"/>
      <c r="K1145" s="163"/>
      <c r="Q1145" s="163"/>
      <c r="R1145" s="163"/>
      <c r="S1145" s="163"/>
    </row>
    <row r="1146" spans="5:19" x14ac:dyDescent="0.25">
      <c r="E1146" s="163"/>
      <c r="K1146" s="163"/>
      <c r="Q1146" s="163"/>
      <c r="R1146" s="163"/>
      <c r="S1146" s="163"/>
    </row>
    <row r="1147" spans="5:19" x14ac:dyDescent="0.25">
      <c r="E1147" s="163"/>
      <c r="K1147" s="163"/>
      <c r="Q1147" s="163"/>
      <c r="R1147" s="163"/>
      <c r="S1147" s="163"/>
    </row>
    <row r="1148" spans="5:19" x14ac:dyDescent="0.25">
      <c r="E1148" s="163"/>
      <c r="K1148" s="163"/>
      <c r="Q1148" s="163"/>
      <c r="R1148" s="163"/>
      <c r="S1148" s="163"/>
    </row>
    <row r="1149" spans="5:19" x14ac:dyDescent="0.25">
      <c r="E1149" s="163"/>
      <c r="K1149" s="163"/>
      <c r="Q1149" s="163"/>
      <c r="R1149" s="163"/>
      <c r="S1149" s="163"/>
    </row>
    <row r="1150" spans="5:19" x14ac:dyDescent="0.25">
      <c r="E1150" s="163"/>
      <c r="K1150" s="163"/>
      <c r="Q1150" s="163"/>
      <c r="R1150" s="163"/>
      <c r="S1150" s="163"/>
    </row>
    <row r="1151" spans="5:19" x14ac:dyDescent="0.25">
      <c r="E1151" s="163"/>
      <c r="K1151" s="163"/>
      <c r="Q1151" s="163"/>
      <c r="R1151" s="163"/>
      <c r="S1151" s="163"/>
    </row>
    <row r="1152" spans="5:19" x14ac:dyDescent="0.25">
      <c r="E1152" s="163"/>
      <c r="K1152" s="163"/>
      <c r="Q1152" s="163"/>
      <c r="R1152" s="163"/>
      <c r="S1152" s="163"/>
    </row>
    <row r="1153" spans="5:19" x14ac:dyDescent="0.25">
      <c r="E1153" s="163"/>
      <c r="K1153" s="163"/>
      <c r="Q1153" s="163"/>
      <c r="R1153" s="163"/>
      <c r="S1153" s="163"/>
    </row>
    <row r="1154" spans="5:19" x14ac:dyDescent="0.25">
      <c r="E1154" s="163"/>
      <c r="K1154" s="163"/>
      <c r="Q1154" s="163"/>
      <c r="R1154" s="163"/>
      <c r="S1154" s="163"/>
    </row>
    <row r="1155" spans="5:19" x14ac:dyDescent="0.25">
      <c r="E1155" s="163"/>
      <c r="K1155" s="163"/>
      <c r="Q1155" s="163"/>
      <c r="R1155" s="163"/>
      <c r="S1155" s="163"/>
    </row>
    <row r="1156" spans="5:19" x14ac:dyDescent="0.25">
      <c r="E1156" s="163"/>
      <c r="K1156" s="163"/>
      <c r="Q1156" s="163"/>
      <c r="R1156" s="163"/>
      <c r="S1156" s="163"/>
    </row>
    <row r="1157" spans="5:19" x14ac:dyDescent="0.25">
      <c r="E1157" s="163"/>
      <c r="K1157" s="163"/>
      <c r="Q1157" s="163"/>
      <c r="R1157" s="163"/>
      <c r="S1157" s="163"/>
    </row>
    <row r="1158" spans="5:19" x14ac:dyDescent="0.25">
      <c r="E1158" s="163"/>
      <c r="K1158" s="163"/>
      <c r="Q1158" s="163"/>
      <c r="R1158" s="163"/>
      <c r="S1158" s="163"/>
    </row>
    <row r="1159" spans="5:19" x14ac:dyDescent="0.25">
      <c r="E1159" s="163"/>
      <c r="K1159" s="163"/>
      <c r="Q1159" s="163"/>
      <c r="R1159" s="163"/>
      <c r="S1159" s="163"/>
    </row>
    <row r="1160" spans="5:19" x14ac:dyDescent="0.25">
      <c r="E1160" s="163"/>
      <c r="K1160" s="163"/>
      <c r="Q1160" s="163"/>
      <c r="R1160" s="163"/>
      <c r="S1160" s="163"/>
    </row>
    <row r="1161" spans="5:19" x14ac:dyDescent="0.25">
      <c r="E1161" s="163"/>
      <c r="K1161" s="163"/>
      <c r="Q1161" s="163"/>
      <c r="R1161" s="163"/>
      <c r="S1161" s="163"/>
    </row>
    <row r="1162" spans="5:19" x14ac:dyDescent="0.25">
      <c r="E1162" s="163"/>
      <c r="K1162" s="163"/>
      <c r="Q1162" s="163"/>
      <c r="R1162" s="163"/>
      <c r="S1162" s="163"/>
    </row>
    <row r="1163" spans="5:19" x14ac:dyDescent="0.25">
      <c r="E1163" s="163"/>
      <c r="K1163" s="163"/>
      <c r="Q1163" s="163"/>
      <c r="R1163" s="163"/>
      <c r="S1163" s="163"/>
    </row>
    <row r="1164" spans="5:19" x14ac:dyDescent="0.25">
      <c r="E1164" s="163"/>
      <c r="K1164" s="163"/>
      <c r="Q1164" s="163"/>
      <c r="R1164" s="163"/>
      <c r="S1164" s="163"/>
    </row>
    <row r="1165" spans="5:19" x14ac:dyDescent="0.25">
      <c r="E1165" s="163"/>
      <c r="K1165" s="163"/>
      <c r="Q1165" s="163"/>
      <c r="R1165" s="163"/>
      <c r="S1165" s="163"/>
    </row>
    <row r="1166" spans="5:19" x14ac:dyDescent="0.25">
      <c r="E1166" s="163"/>
      <c r="K1166" s="163"/>
      <c r="Q1166" s="163"/>
      <c r="R1166" s="163"/>
      <c r="S1166" s="163"/>
    </row>
    <row r="1167" spans="5:19" x14ac:dyDescent="0.25">
      <c r="E1167" s="163"/>
      <c r="K1167" s="163"/>
      <c r="Q1167" s="163"/>
      <c r="R1167" s="163"/>
      <c r="S1167" s="163"/>
    </row>
    <row r="1168" spans="5:19" x14ac:dyDescent="0.25">
      <c r="E1168" s="163"/>
      <c r="K1168" s="163"/>
      <c r="Q1168" s="163"/>
      <c r="R1168" s="163"/>
      <c r="S1168" s="163"/>
    </row>
    <row r="1169" spans="5:19" x14ac:dyDescent="0.25">
      <c r="E1169" s="163"/>
      <c r="K1169" s="163"/>
      <c r="Q1169" s="163"/>
      <c r="R1169" s="163"/>
      <c r="S1169" s="163"/>
    </row>
    <row r="1170" spans="5:19" x14ac:dyDescent="0.25">
      <c r="E1170" s="163"/>
      <c r="K1170" s="163"/>
      <c r="Q1170" s="163"/>
      <c r="R1170" s="163"/>
      <c r="S1170" s="163"/>
    </row>
    <row r="1171" spans="5:19" x14ac:dyDescent="0.25">
      <c r="E1171" s="163"/>
      <c r="K1171" s="163"/>
      <c r="Q1171" s="163"/>
      <c r="R1171" s="163"/>
      <c r="S1171" s="163"/>
    </row>
    <row r="1172" spans="5:19" x14ac:dyDescent="0.25">
      <c r="E1172" s="163"/>
      <c r="K1172" s="163"/>
      <c r="Q1172" s="163"/>
      <c r="R1172" s="163"/>
      <c r="S1172" s="163"/>
    </row>
    <row r="1173" spans="5:19" x14ac:dyDescent="0.25">
      <c r="E1173" s="163"/>
      <c r="K1173" s="163"/>
      <c r="Q1173" s="163"/>
      <c r="R1173" s="163"/>
      <c r="S1173" s="163"/>
    </row>
    <row r="1174" spans="5:19" x14ac:dyDescent="0.25">
      <c r="E1174" s="163"/>
      <c r="K1174" s="163"/>
      <c r="Q1174" s="163"/>
      <c r="R1174" s="163"/>
      <c r="S1174" s="163"/>
    </row>
    <row r="1175" spans="5:19" x14ac:dyDescent="0.25">
      <c r="E1175" s="163"/>
      <c r="K1175" s="163"/>
      <c r="Q1175" s="163"/>
      <c r="R1175" s="163"/>
      <c r="S1175" s="163"/>
    </row>
    <row r="1176" spans="5:19" x14ac:dyDescent="0.25">
      <c r="E1176" s="163"/>
      <c r="K1176" s="163"/>
      <c r="Q1176" s="163"/>
      <c r="R1176" s="163"/>
      <c r="S1176" s="163"/>
    </row>
    <row r="1177" spans="5:19" x14ac:dyDescent="0.25">
      <c r="E1177" s="163"/>
      <c r="K1177" s="163"/>
      <c r="Q1177" s="163"/>
      <c r="R1177" s="163"/>
      <c r="S1177" s="163"/>
    </row>
    <row r="1178" spans="5:19" x14ac:dyDescent="0.25">
      <c r="E1178" s="163"/>
      <c r="K1178" s="163"/>
      <c r="Q1178" s="163"/>
      <c r="R1178" s="163"/>
      <c r="S1178" s="163"/>
    </row>
    <row r="1179" spans="5:19" x14ac:dyDescent="0.25">
      <c r="E1179" s="163"/>
      <c r="K1179" s="163"/>
      <c r="Q1179" s="163"/>
      <c r="R1179" s="163"/>
      <c r="S1179" s="163"/>
    </row>
    <row r="1180" spans="5:19" x14ac:dyDescent="0.25">
      <c r="E1180" s="163"/>
      <c r="K1180" s="163"/>
      <c r="Q1180" s="163"/>
      <c r="R1180" s="163"/>
      <c r="S1180" s="163"/>
    </row>
    <row r="1181" spans="5:19" x14ac:dyDescent="0.25">
      <c r="E1181" s="163"/>
      <c r="K1181" s="163"/>
      <c r="Q1181" s="163"/>
      <c r="R1181" s="163"/>
      <c r="S1181" s="163"/>
    </row>
    <row r="1182" spans="5:19" x14ac:dyDescent="0.25">
      <c r="E1182" s="163"/>
      <c r="K1182" s="163"/>
      <c r="Q1182" s="163"/>
      <c r="R1182" s="163"/>
      <c r="S1182" s="163"/>
    </row>
    <row r="1183" spans="5:19" x14ac:dyDescent="0.25">
      <c r="E1183" s="163"/>
      <c r="K1183" s="163"/>
      <c r="Q1183" s="163"/>
      <c r="R1183" s="163"/>
      <c r="S1183" s="163"/>
    </row>
    <row r="1184" spans="5:19" x14ac:dyDescent="0.25">
      <c r="E1184" s="163"/>
      <c r="K1184" s="163"/>
      <c r="Q1184" s="163"/>
      <c r="R1184" s="163"/>
      <c r="S1184" s="163"/>
    </row>
    <row r="1185" spans="5:19" x14ac:dyDescent="0.25">
      <c r="E1185" s="163"/>
      <c r="K1185" s="163"/>
      <c r="Q1185" s="163"/>
      <c r="R1185" s="163"/>
      <c r="S1185" s="163"/>
    </row>
    <row r="1186" spans="5:19" x14ac:dyDescent="0.25">
      <c r="E1186" s="163"/>
      <c r="K1186" s="163"/>
      <c r="Q1186" s="163"/>
      <c r="R1186" s="163"/>
      <c r="S1186" s="163"/>
    </row>
    <row r="1187" spans="5:19" x14ac:dyDescent="0.25">
      <c r="E1187" s="163"/>
      <c r="K1187" s="163"/>
      <c r="Q1187" s="163"/>
      <c r="R1187" s="163"/>
      <c r="S1187" s="163"/>
    </row>
    <row r="1188" spans="5:19" x14ac:dyDescent="0.25">
      <c r="E1188" s="163"/>
      <c r="K1188" s="163"/>
      <c r="Q1188" s="163"/>
      <c r="R1188" s="163"/>
      <c r="S1188" s="163"/>
    </row>
    <row r="1189" spans="5:19" x14ac:dyDescent="0.25">
      <c r="E1189" s="163"/>
      <c r="K1189" s="163"/>
      <c r="Q1189" s="163"/>
      <c r="R1189" s="163"/>
      <c r="S1189" s="163"/>
    </row>
    <row r="1190" spans="5:19" x14ac:dyDescent="0.25">
      <c r="E1190" s="163"/>
      <c r="K1190" s="163"/>
      <c r="Q1190" s="163"/>
      <c r="R1190" s="163"/>
      <c r="S1190" s="163"/>
    </row>
    <row r="1191" spans="5:19" x14ac:dyDescent="0.25">
      <c r="E1191" s="163"/>
      <c r="K1191" s="163"/>
      <c r="Q1191" s="163"/>
      <c r="R1191" s="163"/>
      <c r="S1191" s="163"/>
    </row>
    <row r="1192" spans="5:19" x14ac:dyDescent="0.25">
      <c r="E1192" s="163"/>
      <c r="K1192" s="163"/>
      <c r="Q1192" s="163"/>
      <c r="R1192" s="163"/>
      <c r="S1192" s="163"/>
    </row>
    <row r="1193" spans="5:19" x14ac:dyDescent="0.25">
      <c r="E1193" s="163"/>
      <c r="K1193" s="163"/>
      <c r="Q1193" s="163"/>
      <c r="R1193" s="163"/>
      <c r="S1193" s="163"/>
    </row>
    <row r="1194" spans="5:19" x14ac:dyDescent="0.25">
      <c r="E1194" s="163"/>
      <c r="K1194" s="163"/>
      <c r="Q1194" s="163"/>
      <c r="R1194" s="163"/>
      <c r="S1194" s="163"/>
    </row>
    <row r="1195" spans="5:19" x14ac:dyDescent="0.25">
      <c r="E1195" s="163"/>
      <c r="K1195" s="163"/>
      <c r="Q1195" s="163"/>
      <c r="R1195" s="163"/>
      <c r="S1195" s="163"/>
    </row>
    <row r="1196" spans="5:19" x14ac:dyDescent="0.25">
      <c r="E1196" s="163"/>
      <c r="K1196" s="163"/>
      <c r="Q1196" s="163"/>
      <c r="R1196" s="163"/>
      <c r="S1196" s="163"/>
    </row>
    <row r="1197" spans="5:19" x14ac:dyDescent="0.25">
      <c r="E1197" s="163"/>
      <c r="K1197" s="163"/>
      <c r="Q1197" s="163"/>
      <c r="R1197" s="163"/>
      <c r="S1197" s="163"/>
    </row>
    <row r="1198" spans="5:19" x14ac:dyDescent="0.25">
      <c r="E1198" s="163"/>
      <c r="K1198" s="163"/>
      <c r="Q1198" s="163"/>
      <c r="R1198" s="163"/>
      <c r="S1198" s="163"/>
    </row>
    <row r="1199" spans="5:19" x14ac:dyDescent="0.25">
      <c r="E1199" s="163"/>
      <c r="K1199" s="163"/>
      <c r="Q1199" s="163"/>
      <c r="R1199" s="163"/>
      <c r="S1199" s="163"/>
    </row>
    <row r="1200" spans="5:19" x14ac:dyDescent="0.25">
      <c r="E1200" s="163"/>
      <c r="K1200" s="163"/>
      <c r="Q1200" s="163"/>
      <c r="R1200" s="163"/>
      <c r="S1200" s="163"/>
    </row>
    <row r="1201" spans="5:19" x14ac:dyDescent="0.25">
      <c r="E1201" s="163"/>
      <c r="K1201" s="163"/>
      <c r="Q1201" s="163"/>
      <c r="R1201" s="163"/>
      <c r="S1201" s="163"/>
    </row>
    <row r="1202" spans="5:19" x14ac:dyDescent="0.25">
      <c r="E1202" s="163"/>
      <c r="K1202" s="163"/>
      <c r="Q1202" s="163"/>
      <c r="R1202" s="163"/>
      <c r="S1202" s="163"/>
    </row>
    <row r="1203" spans="5:19" x14ac:dyDescent="0.25">
      <c r="E1203" s="163"/>
      <c r="K1203" s="163"/>
      <c r="Q1203" s="163"/>
      <c r="R1203" s="163"/>
      <c r="S1203" s="163"/>
    </row>
    <row r="1204" spans="5:19" x14ac:dyDescent="0.25">
      <c r="E1204" s="163"/>
      <c r="K1204" s="163"/>
      <c r="Q1204" s="163"/>
      <c r="R1204" s="163"/>
      <c r="S1204" s="163"/>
    </row>
    <row r="1205" spans="5:19" x14ac:dyDescent="0.25">
      <c r="E1205" s="163"/>
      <c r="K1205" s="163"/>
      <c r="Q1205" s="163"/>
      <c r="R1205" s="163"/>
      <c r="S1205" s="163"/>
    </row>
    <row r="1206" spans="5:19" x14ac:dyDescent="0.25">
      <c r="E1206" s="163"/>
      <c r="K1206" s="163"/>
      <c r="Q1206" s="163"/>
      <c r="R1206" s="163"/>
      <c r="S1206" s="163"/>
    </row>
    <row r="1207" spans="5:19" x14ac:dyDescent="0.25">
      <c r="E1207" s="163"/>
      <c r="K1207" s="163"/>
      <c r="Q1207" s="163"/>
      <c r="R1207" s="163"/>
      <c r="S1207" s="163"/>
    </row>
    <row r="1208" spans="5:19" x14ac:dyDescent="0.25">
      <c r="E1208" s="163"/>
      <c r="K1208" s="163"/>
      <c r="Q1208" s="163"/>
      <c r="R1208" s="163"/>
      <c r="S1208" s="163"/>
    </row>
    <row r="1209" spans="5:19" x14ac:dyDescent="0.25">
      <c r="E1209" s="163"/>
      <c r="K1209" s="163"/>
      <c r="Q1209" s="163"/>
      <c r="R1209" s="163"/>
      <c r="S1209" s="163"/>
    </row>
    <row r="1210" spans="5:19" x14ac:dyDescent="0.25">
      <c r="E1210" s="163"/>
      <c r="K1210" s="163"/>
      <c r="Q1210" s="163"/>
      <c r="R1210" s="163"/>
      <c r="S1210" s="163"/>
    </row>
    <row r="1211" spans="5:19" x14ac:dyDescent="0.25">
      <c r="E1211" s="163"/>
      <c r="K1211" s="163"/>
      <c r="Q1211" s="163"/>
      <c r="R1211" s="163"/>
      <c r="S1211" s="163"/>
    </row>
    <row r="1212" spans="5:19" x14ac:dyDescent="0.25">
      <c r="E1212" s="163"/>
      <c r="K1212" s="163"/>
      <c r="Q1212" s="163"/>
      <c r="R1212" s="163"/>
      <c r="S1212" s="163"/>
    </row>
    <row r="1213" spans="5:19" x14ac:dyDescent="0.25">
      <c r="E1213" s="163"/>
      <c r="K1213" s="163"/>
      <c r="Q1213" s="163"/>
      <c r="R1213" s="163"/>
      <c r="S1213" s="163"/>
    </row>
    <row r="1214" spans="5:19" x14ac:dyDescent="0.25">
      <c r="E1214" s="163"/>
      <c r="K1214" s="163"/>
      <c r="Q1214" s="163"/>
      <c r="R1214" s="163"/>
      <c r="S1214" s="163"/>
    </row>
    <row r="1215" spans="5:19" x14ac:dyDescent="0.25">
      <c r="E1215" s="163"/>
      <c r="K1215" s="163"/>
      <c r="Q1215" s="163"/>
      <c r="R1215" s="163"/>
      <c r="S1215" s="163"/>
    </row>
    <row r="1216" spans="5:19" x14ac:dyDescent="0.25">
      <c r="E1216" s="163"/>
      <c r="K1216" s="163"/>
      <c r="Q1216" s="163"/>
      <c r="R1216" s="163"/>
      <c r="S1216" s="163"/>
    </row>
    <row r="1217" spans="5:19" x14ac:dyDescent="0.25">
      <c r="E1217" s="163"/>
      <c r="K1217" s="163"/>
      <c r="Q1217" s="163"/>
      <c r="R1217" s="163"/>
      <c r="S1217" s="163"/>
    </row>
    <row r="1218" spans="5:19" x14ac:dyDescent="0.25">
      <c r="E1218" s="163"/>
      <c r="K1218" s="163"/>
      <c r="Q1218" s="163"/>
      <c r="R1218" s="163"/>
      <c r="S1218" s="163"/>
    </row>
    <row r="1219" spans="5:19" x14ac:dyDescent="0.25">
      <c r="E1219" s="163"/>
      <c r="K1219" s="163"/>
      <c r="Q1219" s="163"/>
      <c r="R1219" s="163"/>
      <c r="S1219" s="163"/>
    </row>
    <row r="1220" spans="5:19" x14ac:dyDescent="0.25">
      <c r="E1220" s="163"/>
      <c r="K1220" s="163"/>
      <c r="Q1220" s="163"/>
      <c r="R1220" s="163"/>
      <c r="S1220" s="163"/>
    </row>
    <row r="1221" spans="5:19" x14ac:dyDescent="0.25">
      <c r="E1221" s="163"/>
      <c r="K1221" s="163"/>
      <c r="Q1221" s="163"/>
      <c r="R1221" s="163"/>
      <c r="S1221" s="163"/>
    </row>
    <row r="1222" spans="5:19" x14ac:dyDescent="0.25">
      <c r="E1222" s="163"/>
      <c r="K1222" s="163"/>
      <c r="Q1222" s="163"/>
      <c r="R1222" s="163"/>
      <c r="S1222" s="163"/>
    </row>
    <row r="1223" spans="5:19" x14ac:dyDescent="0.25">
      <c r="E1223" s="163"/>
      <c r="K1223" s="163"/>
      <c r="Q1223" s="163"/>
      <c r="R1223" s="163"/>
      <c r="S1223" s="163"/>
    </row>
    <row r="1224" spans="5:19" x14ac:dyDescent="0.25">
      <c r="E1224" s="163"/>
      <c r="K1224" s="163"/>
      <c r="Q1224" s="163"/>
      <c r="R1224" s="163"/>
      <c r="S1224" s="163"/>
    </row>
    <row r="1225" spans="5:19" x14ac:dyDescent="0.25">
      <c r="E1225" s="163"/>
      <c r="K1225" s="163"/>
      <c r="Q1225" s="163"/>
      <c r="R1225" s="163"/>
      <c r="S1225" s="163"/>
    </row>
    <row r="1226" spans="5:19" x14ac:dyDescent="0.25">
      <c r="E1226" s="163"/>
      <c r="K1226" s="163"/>
      <c r="Q1226" s="163"/>
      <c r="R1226" s="163"/>
      <c r="S1226" s="163"/>
    </row>
    <row r="1227" spans="5:19" x14ac:dyDescent="0.25">
      <c r="E1227" s="163"/>
      <c r="K1227" s="163"/>
      <c r="Q1227" s="163"/>
      <c r="R1227" s="163"/>
      <c r="S1227" s="163"/>
    </row>
    <row r="1228" spans="5:19" x14ac:dyDescent="0.25">
      <c r="E1228" s="163"/>
      <c r="K1228" s="163"/>
      <c r="Q1228" s="163"/>
      <c r="R1228" s="163"/>
      <c r="S1228" s="163"/>
    </row>
    <row r="1229" spans="5:19" x14ac:dyDescent="0.25">
      <c r="E1229" s="163"/>
      <c r="K1229" s="163"/>
      <c r="Q1229" s="163"/>
      <c r="R1229" s="163"/>
      <c r="S1229" s="163"/>
    </row>
    <row r="1230" spans="5:19" x14ac:dyDescent="0.25">
      <c r="E1230" s="163"/>
      <c r="K1230" s="163"/>
      <c r="Q1230" s="163"/>
      <c r="R1230" s="163"/>
      <c r="S1230" s="163"/>
    </row>
    <row r="1231" spans="5:19" x14ac:dyDescent="0.25">
      <c r="E1231" s="163"/>
      <c r="K1231" s="163"/>
      <c r="Q1231" s="163"/>
      <c r="R1231" s="163"/>
      <c r="S1231" s="163"/>
    </row>
    <row r="1232" spans="5:19" x14ac:dyDescent="0.25">
      <c r="E1232" s="163"/>
      <c r="K1232" s="163"/>
      <c r="Q1232" s="163"/>
      <c r="R1232" s="163"/>
      <c r="S1232" s="163"/>
    </row>
    <row r="1233" spans="5:19" x14ac:dyDescent="0.25">
      <c r="E1233" s="163"/>
      <c r="K1233" s="163"/>
      <c r="Q1233" s="163"/>
      <c r="R1233" s="163"/>
      <c r="S1233" s="163"/>
    </row>
    <row r="1234" spans="5:19" x14ac:dyDescent="0.25">
      <c r="E1234" s="163"/>
      <c r="K1234" s="163"/>
      <c r="Q1234" s="163"/>
      <c r="R1234" s="163"/>
      <c r="S1234" s="163"/>
    </row>
    <row r="1235" spans="5:19" x14ac:dyDescent="0.25">
      <c r="E1235" s="163"/>
      <c r="K1235" s="163"/>
      <c r="Q1235" s="163"/>
      <c r="R1235" s="163"/>
      <c r="S1235" s="163"/>
    </row>
    <row r="1236" spans="5:19" x14ac:dyDescent="0.25">
      <c r="E1236" s="163"/>
      <c r="K1236" s="163"/>
      <c r="Q1236" s="163"/>
      <c r="R1236" s="163"/>
      <c r="S1236" s="163"/>
    </row>
    <row r="1237" spans="5:19" x14ac:dyDescent="0.25">
      <c r="E1237" s="163"/>
      <c r="K1237" s="163"/>
      <c r="Q1237" s="163"/>
      <c r="R1237" s="163"/>
      <c r="S1237" s="163"/>
    </row>
    <row r="1238" spans="5:19" x14ac:dyDescent="0.25">
      <c r="E1238" s="163"/>
      <c r="K1238" s="163"/>
      <c r="Q1238" s="163"/>
      <c r="R1238" s="163"/>
      <c r="S1238" s="163"/>
    </row>
    <row r="1239" spans="5:19" x14ac:dyDescent="0.25">
      <c r="E1239" s="163"/>
      <c r="K1239" s="163"/>
      <c r="Q1239" s="163"/>
      <c r="R1239" s="163"/>
      <c r="S1239" s="163"/>
    </row>
    <row r="1240" spans="5:19" x14ac:dyDescent="0.25">
      <c r="E1240" s="163"/>
      <c r="K1240" s="163"/>
      <c r="Q1240" s="163"/>
      <c r="R1240" s="163"/>
      <c r="S1240" s="163"/>
    </row>
    <row r="1241" spans="5:19" x14ac:dyDescent="0.25">
      <c r="E1241" s="163"/>
      <c r="K1241" s="163"/>
      <c r="Q1241" s="163"/>
      <c r="R1241" s="163"/>
      <c r="S1241" s="163"/>
    </row>
    <row r="1242" spans="5:19" x14ac:dyDescent="0.25">
      <c r="E1242" s="163"/>
      <c r="K1242" s="163"/>
      <c r="Q1242" s="163"/>
      <c r="R1242" s="163"/>
      <c r="S1242" s="163"/>
    </row>
    <row r="1243" spans="5:19" x14ac:dyDescent="0.25">
      <c r="E1243" s="163"/>
      <c r="K1243" s="163"/>
      <c r="Q1243" s="163"/>
      <c r="R1243" s="163"/>
      <c r="S1243" s="163"/>
    </row>
    <row r="1244" spans="5:19" x14ac:dyDescent="0.25">
      <c r="E1244" s="163"/>
      <c r="K1244" s="163"/>
      <c r="Q1244" s="163"/>
      <c r="R1244" s="163"/>
      <c r="S1244" s="163"/>
    </row>
    <row r="1245" spans="5:19" x14ac:dyDescent="0.25">
      <c r="E1245" s="163"/>
      <c r="K1245" s="163"/>
      <c r="Q1245" s="163"/>
      <c r="R1245" s="163"/>
      <c r="S1245" s="163"/>
    </row>
    <row r="1246" spans="5:19" x14ac:dyDescent="0.25">
      <c r="E1246" s="163"/>
      <c r="K1246" s="163"/>
      <c r="Q1246" s="163"/>
      <c r="R1246" s="163"/>
      <c r="S1246" s="163"/>
    </row>
    <row r="1247" spans="5:19" x14ac:dyDescent="0.25">
      <c r="E1247" s="163"/>
      <c r="K1247" s="163"/>
      <c r="Q1247" s="163"/>
      <c r="R1247" s="163"/>
      <c r="S1247" s="163"/>
    </row>
    <row r="1248" spans="5:19" x14ac:dyDescent="0.25">
      <c r="E1248" s="163"/>
      <c r="K1248" s="163"/>
      <c r="Q1248" s="163"/>
      <c r="R1248" s="163"/>
      <c r="S1248" s="163"/>
    </row>
    <row r="1249" spans="5:19" x14ac:dyDescent="0.25">
      <c r="E1249" s="163"/>
      <c r="K1249" s="163"/>
      <c r="Q1249" s="163"/>
      <c r="R1249" s="163"/>
      <c r="S1249" s="163"/>
    </row>
    <row r="1250" spans="5:19" x14ac:dyDescent="0.25">
      <c r="E1250" s="163"/>
      <c r="K1250" s="163"/>
      <c r="Q1250" s="163"/>
      <c r="R1250" s="163"/>
      <c r="S1250" s="163"/>
    </row>
    <row r="1251" spans="5:19" x14ac:dyDescent="0.25">
      <c r="E1251" s="163"/>
      <c r="K1251" s="163"/>
      <c r="Q1251" s="163"/>
      <c r="R1251" s="163"/>
      <c r="S1251" s="163"/>
    </row>
    <row r="1252" spans="5:19" x14ac:dyDescent="0.25">
      <c r="E1252" s="163"/>
      <c r="K1252" s="163"/>
      <c r="Q1252" s="163"/>
      <c r="R1252" s="163"/>
      <c r="S1252" s="163"/>
    </row>
    <row r="1253" spans="5:19" x14ac:dyDescent="0.25">
      <c r="E1253" s="163"/>
      <c r="K1253" s="163"/>
      <c r="Q1253" s="163"/>
      <c r="R1253" s="163"/>
      <c r="S1253" s="163"/>
    </row>
    <row r="1254" spans="5:19" x14ac:dyDescent="0.25">
      <c r="E1254" s="163"/>
      <c r="K1254" s="163"/>
      <c r="Q1254" s="163"/>
      <c r="R1254" s="163"/>
      <c r="S1254" s="163"/>
    </row>
    <row r="1255" spans="5:19" x14ac:dyDescent="0.25">
      <c r="E1255" s="163"/>
      <c r="K1255" s="163"/>
      <c r="Q1255" s="163"/>
      <c r="R1255" s="163"/>
      <c r="S1255" s="163"/>
    </row>
    <row r="1256" spans="5:19" x14ac:dyDescent="0.25">
      <c r="E1256" s="163"/>
      <c r="K1256" s="163"/>
      <c r="Q1256" s="163"/>
      <c r="R1256" s="163"/>
      <c r="S1256" s="163"/>
    </row>
    <row r="1257" spans="5:19" x14ac:dyDescent="0.25">
      <c r="E1257" s="163"/>
      <c r="K1257" s="163"/>
      <c r="Q1257" s="163"/>
      <c r="R1257" s="163"/>
      <c r="S1257" s="163"/>
    </row>
    <row r="1258" spans="5:19" x14ac:dyDescent="0.25">
      <c r="E1258" s="163"/>
      <c r="K1258" s="163"/>
      <c r="Q1258" s="163"/>
      <c r="R1258" s="163"/>
      <c r="S1258" s="163"/>
    </row>
    <row r="1259" spans="5:19" x14ac:dyDescent="0.25">
      <c r="E1259" s="163"/>
      <c r="K1259" s="163"/>
      <c r="Q1259" s="163"/>
      <c r="R1259" s="163"/>
      <c r="S1259" s="163"/>
    </row>
    <row r="1260" spans="5:19" x14ac:dyDescent="0.25">
      <c r="E1260" s="163"/>
      <c r="K1260" s="163"/>
      <c r="Q1260" s="163"/>
      <c r="R1260" s="163"/>
      <c r="S1260" s="163"/>
    </row>
    <row r="1261" spans="5:19" x14ac:dyDescent="0.25">
      <c r="E1261" s="163"/>
      <c r="K1261" s="163"/>
      <c r="Q1261" s="163"/>
      <c r="R1261" s="163"/>
      <c r="S1261" s="163"/>
    </row>
    <row r="1262" spans="5:19" x14ac:dyDescent="0.25">
      <c r="E1262" s="163"/>
      <c r="K1262" s="163"/>
      <c r="Q1262" s="163"/>
      <c r="R1262" s="163"/>
      <c r="S1262" s="163"/>
    </row>
    <row r="1263" spans="5:19" x14ac:dyDescent="0.25">
      <c r="E1263" s="163"/>
      <c r="K1263" s="163"/>
      <c r="Q1263" s="163"/>
      <c r="R1263" s="163"/>
      <c r="S1263" s="163"/>
    </row>
    <row r="1264" spans="5:19" x14ac:dyDescent="0.25">
      <c r="E1264" s="163"/>
      <c r="K1264" s="163"/>
      <c r="Q1264" s="163"/>
      <c r="R1264" s="163"/>
      <c r="S1264" s="163"/>
    </row>
    <row r="1265" spans="5:19" x14ac:dyDescent="0.25">
      <c r="E1265" s="163"/>
      <c r="K1265" s="163"/>
      <c r="Q1265" s="163"/>
      <c r="R1265" s="163"/>
      <c r="S1265" s="163"/>
    </row>
    <row r="1266" spans="5:19" x14ac:dyDescent="0.25">
      <c r="E1266" s="163"/>
      <c r="K1266" s="163"/>
      <c r="Q1266" s="163"/>
      <c r="R1266" s="163"/>
      <c r="S1266" s="163"/>
    </row>
    <row r="1267" spans="5:19" x14ac:dyDescent="0.25">
      <c r="E1267" s="163"/>
      <c r="K1267" s="163"/>
      <c r="Q1267" s="163"/>
      <c r="R1267" s="163"/>
      <c r="S1267" s="163"/>
    </row>
    <row r="1268" spans="5:19" x14ac:dyDescent="0.25">
      <c r="E1268" s="163"/>
      <c r="K1268" s="163"/>
      <c r="Q1268" s="163"/>
      <c r="R1268" s="163"/>
      <c r="S1268" s="163"/>
    </row>
    <row r="1269" spans="5:19" x14ac:dyDescent="0.25">
      <c r="E1269" s="163"/>
      <c r="K1269" s="163"/>
      <c r="Q1269" s="163"/>
      <c r="R1269" s="163"/>
      <c r="S1269" s="163"/>
    </row>
    <row r="1270" spans="5:19" x14ac:dyDescent="0.25">
      <c r="E1270" s="163"/>
      <c r="K1270" s="163"/>
      <c r="Q1270" s="163"/>
      <c r="R1270" s="163"/>
      <c r="S1270" s="163"/>
    </row>
    <row r="1271" spans="5:19" x14ac:dyDescent="0.25">
      <c r="E1271" s="163"/>
      <c r="K1271" s="163"/>
      <c r="Q1271" s="163"/>
      <c r="R1271" s="163"/>
      <c r="S1271" s="163"/>
    </row>
    <row r="1272" spans="5:19" x14ac:dyDescent="0.25">
      <c r="E1272" s="163"/>
      <c r="K1272" s="163"/>
      <c r="Q1272" s="163"/>
      <c r="R1272" s="163"/>
      <c r="S1272" s="163"/>
    </row>
    <row r="1273" spans="5:19" x14ac:dyDescent="0.25">
      <c r="E1273" s="163"/>
      <c r="K1273" s="163"/>
      <c r="Q1273" s="163"/>
      <c r="R1273" s="163"/>
      <c r="S1273" s="163"/>
    </row>
    <row r="1274" spans="5:19" x14ac:dyDescent="0.25">
      <c r="E1274" s="163"/>
      <c r="K1274" s="163"/>
      <c r="Q1274" s="163"/>
      <c r="R1274" s="163"/>
      <c r="S1274" s="163"/>
    </row>
    <row r="1275" spans="5:19" x14ac:dyDescent="0.25">
      <c r="E1275" s="163"/>
      <c r="K1275" s="163"/>
      <c r="Q1275" s="163"/>
      <c r="R1275" s="163"/>
      <c r="S1275" s="163"/>
    </row>
    <row r="1276" spans="5:19" x14ac:dyDescent="0.25">
      <c r="E1276" s="163"/>
      <c r="K1276" s="163"/>
      <c r="Q1276" s="163"/>
      <c r="R1276" s="163"/>
      <c r="S1276" s="163"/>
    </row>
    <row r="1277" spans="5:19" x14ac:dyDescent="0.25">
      <c r="E1277" s="163"/>
      <c r="K1277" s="163"/>
      <c r="Q1277" s="163"/>
      <c r="R1277" s="163"/>
      <c r="S1277" s="163"/>
    </row>
    <row r="1278" spans="5:19" x14ac:dyDescent="0.25">
      <c r="E1278" s="163"/>
      <c r="K1278" s="163"/>
      <c r="Q1278" s="163"/>
      <c r="R1278" s="163"/>
      <c r="S1278" s="163"/>
    </row>
    <row r="1279" spans="5:19" x14ac:dyDescent="0.25">
      <c r="E1279" s="163"/>
      <c r="K1279" s="163"/>
      <c r="Q1279" s="163"/>
      <c r="R1279" s="163"/>
      <c r="S1279" s="163"/>
    </row>
    <row r="1280" spans="5:19" x14ac:dyDescent="0.25">
      <c r="E1280" s="163"/>
      <c r="K1280" s="163"/>
      <c r="Q1280" s="163"/>
      <c r="R1280" s="163"/>
      <c r="S1280" s="163"/>
    </row>
    <row r="1281" spans="5:19" x14ac:dyDescent="0.25">
      <c r="E1281" s="163"/>
      <c r="K1281" s="163"/>
      <c r="Q1281" s="163"/>
      <c r="R1281" s="163"/>
      <c r="S1281" s="163"/>
    </row>
    <row r="1282" spans="5:19" x14ac:dyDescent="0.25">
      <c r="E1282" s="163"/>
      <c r="K1282" s="163"/>
      <c r="Q1282" s="163"/>
      <c r="R1282" s="163"/>
      <c r="S1282" s="163"/>
    </row>
    <row r="1283" spans="5:19" x14ac:dyDescent="0.25">
      <c r="E1283" s="163"/>
      <c r="K1283" s="163"/>
      <c r="Q1283" s="163"/>
      <c r="R1283" s="163"/>
      <c r="S1283" s="163"/>
    </row>
    <row r="1284" spans="5:19" x14ac:dyDescent="0.25">
      <c r="E1284" s="163"/>
      <c r="K1284" s="163"/>
      <c r="Q1284" s="163"/>
      <c r="R1284" s="163"/>
      <c r="S1284" s="163"/>
    </row>
    <row r="1285" spans="5:19" x14ac:dyDescent="0.25">
      <c r="E1285" s="163"/>
      <c r="K1285" s="163"/>
      <c r="Q1285" s="163"/>
      <c r="R1285" s="163"/>
      <c r="S1285" s="163"/>
    </row>
    <row r="1286" spans="5:19" x14ac:dyDescent="0.25">
      <c r="E1286" s="163"/>
      <c r="K1286" s="163"/>
      <c r="Q1286" s="163"/>
      <c r="R1286" s="163"/>
      <c r="S1286" s="163"/>
    </row>
    <row r="1287" spans="5:19" x14ac:dyDescent="0.25">
      <c r="E1287" s="163"/>
      <c r="K1287" s="163"/>
      <c r="Q1287" s="163"/>
      <c r="R1287" s="163"/>
      <c r="S1287" s="163"/>
    </row>
    <row r="1288" spans="5:19" x14ac:dyDescent="0.25">
      <c r="E1288" s="163"/>
      <c r="K1288" s="163"/>
      <c r="Q1288" s="163"/>
      <c r="R1288" s="163"/>
      <c r="S1288" s="163"/>
    </row>
    <row r="1289" spans="5:19" x14ac:dyDescent="0.25">
      <c r="E1289" s="163"/>
      <c r="K1289" s="163"/>
      <c r="Q1289" s="163"/>
      <c r="R1289" s="163"/>
      <c r="S1289" s="163"/>
    </row>
    <row r="1290" spans="5:19" x14ac:dyDescent="0.25">
      <c r="E1290" s="163"/>
      <c r="K1290" s="163"/>
      <c r="Q1290" s="163"/>
      <c r="R1290" s="163"/>
      <c r="S1290" s="163"/>
    </row>
    <row r="1291" spans="5:19" x14ac:dyDescent="0.25">
      <c r="E1291" s="163"/>
      <c r="K1291" s="163"/>
      <c r="Q1291" s="163"/>
      <c r="R1291" s="163"/>
      <c r="S1291" s="163"/>
    </row>
    <row r="1292" spans="5:19" x14ac:dyDescent="0.25">
      <c r="E1292" s="163"/>
      <c r="K1292" s="163"/>
      <c r="Q1292" s="163"/>
      <c r="R1292" s="163"/>
      <c r="S1292" s="163"/>
    </row>
    <row r="1293" spans="5:19" x14ac:dyDescent="0.25">
      <c r="E1293" s="163"/>
      <c r="K1293" s="163"/>
      <c r="Q1293" s="163"/>
      <c r="R1293" s="163"/>
      <c r="S1293" s="163"/>
    </row>
    <row r="1294" spans="5:19" x14ac:dyDescent="0.25">
      <c r="E1294" s="163"/>
      <c r="K1294" s="163"/>
      <c r="Q1294" s="163"/>
      <c r="R1294" s="163"/>
      <c r="S1294" s="163"/>
    </row>
    <row r="1295" spans="5:19" x14ac:dyDescent="0.25">
      <c r="E1295" s="163"/>
      <c r="K1295" s="163"/>
      <c r="Q1295" s="163"/>
      <c r="R1295" s="163"/>
      <c r="S1295" s="163"/>
    </row>
    <row r="1296" spans="5:19" x14ac:dyDescent="0.25">
      <c r="E1296" s="163"/>
      <c r="K1296" s="163"/>
      <c r="Q1296" s="163"/>
      <c r="R1296" s="163"/>
      <c r="S1296" s="163"/>
    </row>
    <row r="1297" spans="5:19" x14ac:dyDescent="0.25">
      <c r="E1297" s="163"/>
      <c r="K1297" s="163"/>
      <c r="Q1297" s="163"/>
      <c r="R1297" s="163"/>
      <c r="S1297" s="163"/>
    </row>
    <row r="1298" spans="5:19" x14ac:dyDescent="0.25">
      <c r="E1298" s="163"/>
      <c r="K1298" s="163"/>
      <c r="Q1298" s="163"/>
      <c r="R1298" s="163"/>
      <c r="S1298" s="163"/>
    </row>
    <row r="1299" spans="5:19" x14ac:dyDescent="0.25">
      <c r="E1299" s="163"/>
      <c r="K1299" s="163"/>
      <c r="Q1299" s="163"/>
      <c r="R1299" s="163"/>
      <c r="S1299" s="163"/>
    </row>
    <row r="1300" spans="5:19" x14ac:dyDescent="0.25">
      <c r="E1300" s="163"/>
      <c r="K1300" s="163"/>
      <c r="Q1300" s="163"/>
      <c r="R1300" s="163"/>
      <c r="S1300" s="163"/>
    </row>
    <row r="1301" spans="5:19" x14ac:dyDescent="0.25">
      <c r="E1301" s="163"/>
      <c r="K1301" s="163"/>
      <c r="Q1301" s="163"/>
      <c r="R1301" s="163"/>
      <c r="S1301" s="163"/>
    </row>
    <row r="1302" spans="5:19" x14ac:dyDescent="0.25">
      <c r="E1302" s="163"/>
      <c r="K1302" s="163"/>
      <c r="Q1302" s="163"/>
      <c r="R1302" s="163"/>
      <c r="S1302" s="163"/>
    </row>
    <row r="1303" spans="5:19" x14ac:dyDescent="0.25">
      <c r="E1303" s="163"/>
      <c r="K1303" s="163"/>
      <c r="Q1303" s="163"/>
      <c r="R1303" s="163"/>
      <c r="S1303" s="163"/>
    </row>
    <row r="1304" spans="5:19" x14ac:dyDescent="0.25">
      <c r="E1304" s="163"/>
      <c r="K1304" s="163"/>
      <c r="Q1304" s="163"/>
      <c r="R1304" s="163"/>
      <c r="S1304" s="163"/>
    </row>
    <row r="1305" spans="5:19" x14ac:dyDescent="0.25">
      <c r="E1305" s="163"/>
      <c r="K1305" s="163"/>
      <c r="Q1305" s="163"/>
      <c r="R1305" s="163"/>
      <c r="S1305" s="163"/>
    </row>
    <row r="1306" spans="5:19" x14ac:dyDescent="0.25">
      <c r="E1306" s="163"/>
      <c r="K1306" s="163"/>
      <c r="Q1306" s="163"/>
      <c r="R1306" s="163"/>
      <c r="S1306" s="163"/>
    </row>
    <row r="1307" spans="5:19" x14ac:dyDescent="0.25">
      <c r="E1307" s="163"/>
      <c r="K1307" s="163"/>
      <c r="Q1307" s="163"/>
      <c r="R1307" s="163"/>
      <c r="S1307" s="163"/>
    </row>
    <row r="1308" spans="5:19" x14ac:dyDescent="0.25">
      <c r="E1308" s="163"/>
      <c r="K1308" s="163"/>
      <c r="Q1308" s="163"/>
      <c r="R1308" s="163"/>
      <c r="S1308" s="163"/>
    </row>
    <row r="1309" spans="5:19" x14ac:dyDescent="0.25">
      <c r="E1309" s="163"/>
      <c r="K1309" s="163"/>
      <c r="Q1309" s="163"/>
      <c r="R1309" s="163"/>
      <c r="S1309" s="163"/>
    </row>
    <row r="1310" spans="5:19" x14ac:dyDescent="0.25">
      <c r="E1310" s="163"/>
      <c r="K1310" s="163"/>
      <c r="Q1310" s="163"/>
      <c r="R1310" s="163"/>
      <c r="S1310" s="163"/>
    </row>
    <row r="1311" spans="5:19" x14ac:dyDescent="0.25">
      <c r="E1311" s="163"/>
      <c r="K1311" s="163"/>
      <c r="Q1311" s="163"/>
      <c r="R1311" s="163"/>
      <c r="S1311" s="163"/>
    </row>
    <row r="1312" spans="5:19" x14ac:dyDescent="0.25">
      <c r="E1312" s="163"/>
      <c r="K1312" s="163"/>
      <c r="Q1312" s="163"/>
      <c r="R1312" s="163"/>
      <c r="S1312" s="163"/>
    </row>
    <row r="1313" spans="5:19" x14ac:dyDescent="0.25">
      <c r="E1313" s="163"/>
      <c r="K1313" s="163"/>
      <c r="Q1313" s="163"/>
      <c r="R1313" s="163"/>
      <c r="S1313" s="163"/>
    </row>
    <row r="1314" spans="5:19" x14ac:dyDescent="0.25">
      <c r="E1314" s="163"/>
      <c r="K1314" s="163"/>
      <c r="Q1314" s="163"/>
      <c r="R1314" s="163"/>
      <c r="S1314" s="163"/>
    </row>
    <row r="1315" spans="5:19" x14ac:dyDescent="0.25">
      <c r="E1315" s="163"/>
      <c r="K1315" s="163"/>
      <c r="Q1315" s="163"/>
      <c r="R1315" s="163"/>
      <c r="S1315" s="163"/>
    </row>
    <row r="1316" spans="5:19" x14ac:dyDescent="0.25">
      <c r="E1316" s="163"/>
      <c r="K1316" s="163"/>
      <c r="Q1316" s="163"/>
      <c r="R1316" s="163"/>
      <c r="S1316" s="163"/>
    </row>
    <row r="1317" spans="5:19" x14ac:dyDescent="0.25">
      <c r="E1317" s="163"/>
      <c r="K1317" s="163"/>
      <c r="Q1317" s="163"/>
      <c r="R1317" s="163"/>
      <c r="S1317" s="163"/>
    </row>
    <row r="1318" spans="5:19" x14ac:dyDescent="0.25">
      <c r="E1318" s="163"/>
      <c r="K1318" s="163"/>
      <c r="Q1318" s="163"/>
      <c r="R1318" s="163"/>
      <c r="S1318" s="163"/>
    </row>
    <row r="1319" spans="5:19" x14ac:dyDescent="0.25">
      <c r="E1319" s="163"/>
      <c r="K1319" s="163"/>
      <c r="Q1319" s="163"/>
      <c r="R1319" s="163"/>
      <c r="S1319" s="163"/>
    </row>
    <row r="1320" spans="5:19" x14ac:dyDescent="0.25">
      <c r="E1320" s="163"/>
      <c r="K1320" s="163"/>
      <c r="Q1320" s="163"/>
      <c r="R1320" s="163"/>
      <c r="S1320" s="163"/>
    </row>
    <row r="1321" spans="5:19" x14ac:dyDescent="0.25">
      <c r="E1321" s="163"/>
      <c r="K1321" s="163"/>
      <c r="Q1321" s="163"/>
      <c r="R1321" s="163"/>
      <c r="S1321" s="163"/>
    </row>
    <row r="1322" spans="5:19" x14ac:dyDescent="0.25">
      <c r="E1322" s="163"/>
      <c r="K1322" s="163"/>
      <c r="Q1322" s="163"/>
      <c r="R1322" s="163"/>
      <c r="S1322" s="163"/>
    </row>
    <row r="1323" spans="5:19" x14ac:dyDescent="0.25">
      <c r="E1323" s="163"/>
      <c r="K1323" s="163"/>
      <c r="Q1323" s="163"/>
      <c r="R1323" s="163"/>
      <c r="S1323" s="163"/>
    </row>
    <row r="1324" spans="5:19" x14ac:dyDescent="0.25">
      <c r="E1324" s="163"/>
      <c r="K1324" s="163"/>
      <c r="Q1324" s="163"/>
      <c r="R1324" s="163"/>
      <c r="S1324" s="163"/>
    </row>
    <row r="1325" spans="5:19" x14ac:dyDescent="0.25">
      <c r="E1325" s="163"/>
      <c r="K1325" s="163"/>
      <c r="Q1325" s="163"/>
      <c r="R1325" s="163"/>
      <c r="S1325" s="163"/>
    </row>
    <row r="1326" spans="5:19" x14ac:dyDescent="0.25">
      <c r="E1326" s="163"/>
      <c r="K1326" s="163"/>
      <c r="Q1326" s="163"/>
      <c r="R1326" s="163"/>
      <c r="S1326" s="163"/>
    </row>
    <row r="1327" spans="5:19" x14ac:dyDescent="0.25">
      <c r="E1327" s="163"/>
      <c r="K1327" s="163"/>
      <c r="Q1327" s="163"/>
      <c r="R1327" s="163"/>
      <c r="S1327" s="163"/>
    </row>
    <row r="1328" spans="5:19" x14ac:dyDescent="0.25">
      <c r="E1328" s="163"/>
      <c r="K1328" s="163"/>
      <c r="Q1328" s="163"/>
      <c r="R1328" s="163"/>
      <c r="S1328" s="163"/>
    </row>
    <row r="1329" spans="5:19" x14ac:dyDescent="0.25">
      <c r="E1329" s="163"/>
      <c r="K1329" s="163"/>
      <c r="Q1329" s="163"/>
      <c r="R1329" s="163"/>
      <c r="S1329" s="163"/>
    </row>
    <row r="1330" spans="5:19" x14ac:dyDescent="0.25">
      <c r="E1330" s="163"/>
      <c r="K1330" s="163"/>
      <c r="Q1330" s="163"/>
      <c r="R1330" s="163"/>
      <c r="S1330" s="163"/>
    </row>
    <row r="1331" spans="5:19" x14ac:dyDescent="0.25">
      <c r="E1331" s="163"/>
      <c r="K1331" s="163"/>
      <c r="Q1331" s="163"/>
      <c r="R1331" s="163"/>
      <c r="S1331" s="163"/>
    </row>
    <row r="1332" spans="5:19" x14ac:dyDescent="0.25">
      <c r="E1332" s="163"/>
      <c r="K1332" s="163"/>
      <c r="Q1332" s="163"/>
      <c r="R1332" s="163"/>
      <c r="S1332" s="163"/>
    </row>
    <row r="1333" spans="5:19" x14ac:dyDescent="0.25">
      <c r="E1333" s="163"/>
      <c r="K1333" s="163"/>
      <c r="Q1333" s="163"/>
      <c r="R1333" s="163"/>
      <c r="S1333" s="163"/>
    </row>
    <row r="1334" spans="5:19" x14ac:dyDescent="0.25">
      <c r="E1334" s="163"/>
      <c r="K1334" s="163"/>
      <c r="Q1334" s="163"/>
      <c r="R1334" s="163"/>
      <c r="S1334" s="163"/>
    </row>
    <row r="1335" spans="5:19" x14ac:dyDescent="0.25">
      <c r="E1335" s="163"/>
      <c r="K1335" s="163"/>
      <c r="Q1335" s="163"/>
      <c r="R1335" s="163"/>
      <c r="S1335" s="163"/>
    </row>
    <row r="1336" spans="5:19" x14ac:dyDescent="0.25">
      <c r="E1336" s="163"/>
      <c r="K1336" s="163"/>
      <c r="Q1336" s="163"/>
      <c r="R1336" s="163"/>
      <c r="S1336" s="163"/>
    </row>
    <row r="1337" spans="5:19" x14ac:dyDescent="0.25">
      <c r="E1337" s="163"/>
      <c r="K1337" s="163"/>
      <c r="Q1337" s="163"/>
      <c r="R1337" s="163"/>
      <c r="S1337" s="163"/>
    </row>
    <row r="1338" spans="5:19" x14ac:dyDescent="0.25">
      <c r="E1338" s="163"/>
      <c r="K1338" s="163"/>
      <c r="Q1338" s="163"/>
      <c r="R1338" s="163"/>
      <c r="S1338" s="163"/>
    </row>
    <row r="1339" spans="5:19" x14ac:dyDescent="0.25">
      <c r="E1339" s="163"/>
      <c r="K1339" s="163"/>
      <c r="Q1339" s="163"/>
      <c r="R1339" s="163"/>
      <c r="S1339" s="163"/>
    </row>
    <row r="1340" spans="5:19" x14ac:dyDescent="0.25">
      <c r="E1340" s="163"/>
      <c r="K1340" s="163"/>
      <c r="Q1340" s="163"/>
      <c r="R1340" s="163"/>
      <c r="S1340" s="163"/>
    </row>
    <row r="1341" spans="5:19" x14ac:dyDescent="0.25">
      <c r="E1341" s="163"/>
      <c r="K1341" s="163"/>
      <c r="Q1341" s="163"/>
      <c r="R1341" s="163"/>
      <c r="S1341" s="163"/>
    </row>
    <row r="1342" spans="5:19" x14ac:dyDescent="0.25">
      <c r="E1342" s="163"/>
      <c r="K1342" s="163"/>
      <c r="Q1342" s="163"/>
      <c r="R1342" s="163"/>
      <c r="S1342" s="163"/>
    </row>
    <row r="1343" spans="5:19" x14ac:dyDescent="0.25">
      <c r="E1343" s="163"/>
      <c r="K1343" s="163"/>
      <c r="Q1343" s="163"/>
      <c r="R1343" s="163"/>
      <c r="S1343" s="163"/>
    </row>
    <row r="1344" spans="5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2026-09-02T14:39:50Z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