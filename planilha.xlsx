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78" documentId="8_{AF585B22-221D-4780-BB9C-493D365A6A02}" xr6:coauthVersionLast="47" xr6:coauthVersionMax="47" xr10:uidLastSave="{19D2227D-BAD2-4982-86ED-C8CD959DDDA0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<sst xmlns="http://schemas.openxmlformats.org/spreadsheetml/2006/main" count="12540" uniqueCount="445">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</sst>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E836" sqref="E8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103</v>
      </c>
      <c r="G837" s="109">
        <f>SUM(G825:G836)</f>
        <v>515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236</v>
      </c>
      <c r="G838" s="111">
        <f>G824+G837</f>
        <v>515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E832" sqref="E8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0.73534120370459277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0.89298009259348166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1.0027023148157039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0.713813425929402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0.88464675926273539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1.0297856481516243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82</v>
      </c>
      <c r="G837" s="109">
        <f>SUM(G825:G836)</f>
        <v>357.20000000000005</v>
      </c>
      <c r="H837" s="37"/>
      <c r="I837" s="37"/>
      <c r="J837" s="37"/>
      <c r="K837" s="37"/>
      <c r="L837" s="37"/>
      <c r="M837" s="110">
        <f ca="1">IFERROR(SUM(M825:M836),"")</f>
        <v>2.0833333333333259E-2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251</v>
      </c>
      <c r="G838" s="111">
        <f>G824+G837</f>
        <v>1067</v>
      </c>
      <c r="H838" s="41"/>
      <c r="I838" s="41"/>
      <c r="J838" s="41"/>
      <c r="K838" s="41"/>
      <c r="L838" s="41"/>
      <c r="M838" s="112">
        <f ca="1">IFERROR(M824+M837,"")</f>
        <v>0.12569444444444439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E830" sqref="E8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53</v>
      </c>
      <c r="G837" s="109">
        <f>SUM(G825:G836)</f>
        <v>231.4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148</v>
      </c>
      <c r="G838" s="111">
        <f>G824+G837</f>
        <v>630.4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J829" sqref="J8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0.7256189814870595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0.92492453704261512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1.2922856481537262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/>
      <c r="M829" s="79">
        <f ca="1">IFERROR(IF(K829="","",IF(L829="",MOD(NOW()-K829,1),IF(L829&gt;=K829,L829-K829,L829+1-K829))),"")</f>
        <v>6.1898148123873398E-4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39</v>
      </c>
      <c r="G837" s="109">
        <f>SUM(G825:G836)</f>
        <v>163.80000000000001</v>
      </c>
      <c r="H837" s="37"/>
      <c r="I837" s="37"/>
      <c r="J837" s="37"/>
      <c r="K837" s="37"/>
      <c r="L837" s="37"/>
      <c r="M837" s="110">
        <f ca="1">IFERROR(SUM(M825:M836),"")</f>
        <v>3.048009259234985E-2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158</v>
      </c>
      <c r="G838" s="111">
        <f>G824+G837</f>
        <v>663.60000000000014</v>
      </c>
      <c r="H838" s="41"/>
      <c r="I838" s="41"/>
      <c r="J838" s="41"/>
      <c r="K838" s="41"/>
      <c r="L838" s="41"/>
      <c r="M838" s="112">
        <f ca="1">IFERROR(M824+M837,"")</f>
        <v>0.14645231481457199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2026-08-01T03:24:07Z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