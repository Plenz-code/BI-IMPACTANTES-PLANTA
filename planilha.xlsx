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33" documentId="8_{AF585B22-221D-4780-BB9C-493D365A6A02}" xr6:coauthVersionLast="47" xr6:coauthVersionMax="47" xr10:uidLastSave="{FA07178C-E9B9-4D5D-9168-DF1FA506ACB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<sst xmlns="http://schemas.openxmlformats.org/spreadsheetml/2006/main" count="3291" uniqueCount="259">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</sst>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0" sqref="F1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172</v>
      </c>
      <c r="G176" s="36">
        <f>SUM(G164:G175)</f>
        <v>860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172</v>
      </c>
      <c r="G190" s="40">
        <f>G176+G189</f>
        <v>860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0.27723402778065065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0.27723402778065065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0.27723402778065065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4" activePane="bottomLeft" state="frozen"/>
      <selection pane="bottomLeft" activeCell="J168" sqref="J1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/>
      <c r="M168" s="30">
        <f t="shared" ca="1" si="37"/>
        <v>8.4513888577930629E-4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5</v>
      </c>
      <c r="G169" s="34">
        <f t="shared" si="36"/>
        <v>21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42</v>
      </c>
      <c r="G176" s="36">
        <f>SUM(G164:G175)</f>
        <v>178.8</v>
      </c>
      <c r="H176" s="37"/>
      <c r="I176" s="37"/>
      <c r="J176" s="37"/>
      <c r="K176" s="37"/>
      <c r="L176" s="37"/>
      <c r="M176" s="38">
        <f ca="1">IFERROR(SUM(M164:M175),"")</f>
        <v>1.1261805552445991E-2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42</v>
      </c>
      <c r="G190" s="40">
        <f>G176+G189</f>
        <v>178.8</v>
      </c>
      <c r="H190" s="41"/>
      <c r="I190" s="41"/>
      <c r="J190" s="41"/>
      <c r="K190" s="41"/>
      <c r="L190" s="41"/>
      <c r="M190" s="42">
        <f ca="1">IFERROR(M176+M189,"")</f>
        <v>1.1261805552445991E-2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70" sqref="F1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0.31959513889160007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0.5189006944471557</v>
      </c>
      <c r="N135" s="36" t="s">
        <v>208</v>
      </c>
      <c r="O135" s="39">
        <v>729290</v>
      </c>
    </row>
    <row r="136" spans="1:18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0.88626180555826672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99</v>
      </c>
      <c r="G176" s="36">
        <f>SUM(G164:G175)</f>
        <v>426.2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99</v>
      </c>
      <c r="G190" s="40">
        <f>G176+G189</f>
        <v>426.2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2026-07-07T17:39:29Z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