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8" documentId="8_{C51EB6CB-002B-4D6B-B68F-DDEBDB4460C0}" xr6:coauthVersionLast="47" xr6:coauthVersionMax="47" xr10:uidLastSave="{3399C083-A223-49E0-B276-C2DBEC3A982D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<sst xmlns="http://schemas.openxmlformats.org/spreadsheetml/2006/main" count="1425" uniqueCount="243">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</sst>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L15" sqref="L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/>
      <c r="M15" s="35">
        <f t="shared" ref="M15:M26" ca="1" si="4">IFERROR(IF(K15="","",IF(L15="",MOD(NOW()-K15,1),IF(L15&gt;=K15,L15-K15,L15+1-K15))),"")</f>
        <v>6.740856481337687E-2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6.740856481337687E-2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0.13338078703559908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>
        <v>88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188</v>
      </c>
      <c r="G28" s="40">
        <f>G14+G27</f>
        <v>789.6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2" sqref="F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239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54</v>
      </c>
      <c r="G27" s="36">
        <f>SUM(G15:G26)</f>
        <v>226.79999999999998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135</v>
      </c>
      <c r="G28" s="40">
        <f>G14+G27</f>
        <v>567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J21" sqref="J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/>
      <c r="M21" s="35">
        <f t="shared" ca="1" si="4"/>
        <v>2.4353009255719371E-2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93</v>
      </c>
      <c r="G27" s="36">
        <f>SUM(G15:G26)</f>
        <v>390.6</v>
      </c>
      <c r="H27" s="37"/>
      <c r="I27" s="37"/>
      <c r="J27" s="37"/>
      <c r="K27" s="61"/>
      <c r="L27" s="61"/>
      <c r="M27" s="38">
        <f ca="1">IFERROR(SUM(M15:M26),"")</f>
        <v>9.7269675922386112E-2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223</v>
      </c>
      <c r="G28" s="40">
        <f>G14+G27</f>
        <v>936.60000000000014</v>
      </c>
      <c r="H28" s="41"/>
      <c r="I28" s="41"/>
      <c r="J28" s="41"/>
      <c r="K28" s="63"/>
      <c r="L28" s="63"/>
      <c r="M28" s="42">
        <f ca="1">IFERROR(M14+M27,"")</f>
        <v>0.13615856481127503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2026-08-02T07:19:24Z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