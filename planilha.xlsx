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50" documentId="8_{C51EB6CB-002B-4D6B-B68F-DDEBDB4460C0}" xr6:coauthVersionLast="47" xr6:coauthVersionMax="47" xr10:uidLastSave="{23DB5688-1E2B-46D9-AB81-6D8E0C41F333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<sst xmlns="http://schemas.openxmlformats.org/spreadsheetml/2006/main" count="2089" uniqueCount="262">
  <si>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</si>
  <si>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</si>
  <si>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</si>
  <si>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</si>
  <si>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</si>
  <si>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</si>
  <si>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</si>
  <si>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</si>
  <si>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</si>
  <si>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</si>
  <si>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</si>
  <si>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</si>
  <si>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</si>
  <si>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</si>
  <si>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</si>
  <si>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</si>
  <si>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</si>
  <si>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</si>
  <si>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</si>
  <si>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</si>
  <si>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</si>
  <si>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</si>
  <si>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</si>
  <si>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</si>
  <si>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</si>
  <si>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</si>
  <si>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</si>
  <si>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</si>
  <si>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</si>
  <si>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</si>
  <si>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</si>
  <si>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</si>
  <si>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</si>
  <si>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</si>
  <si>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</si>
  <si>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</si>
  <si>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</si>
  <si>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</si>
  <si>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</si>
  <si>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</si>
  <si>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</si>
  <si>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</si>
  <si>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</si>
  <si>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</si>
  <si>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</si>
  <si>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</si>
  <si>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</si>
  <si>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</si>
  <si>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</si>
  <si>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</si>
  <si>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</si>
  <si>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</si>
  <si>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</si>
  <si>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</si>
  <si>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</si>
  <si>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</si>
  <si>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</si>
  <si>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</si>
  <si>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</si>
  <si>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</si>
  <si>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</si>
  <si>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</si>
  <si>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</si>
  <si>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</si>
  <si>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</si>
  <si>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</si>
  <si>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</si>
  <si>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</si>
  <si>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</si>
  <si>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</si>
  <si>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</si>
  <si>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</si>
  <si>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</si>
  <si>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</si>
  <si>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</si>
  <si>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</si>
  <si>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</si>
  <si>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</si>
  <si>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</si>
  <si>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</si>
  <si>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</si>
  <si>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</si>
  <si>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</si>
  <si>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</si>
  <si>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</si>
  <si>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</si>
  <si>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</si>
  <si>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</si>
  <si>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</si>
  <si>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</si>
  <si>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</si>
  <si>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</si>
  <si>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</si>
  <si>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</si>
  <si>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</si>
  <si>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</si>
  <si>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</si>
  <si>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</si>
  <si>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</si>
  <si>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</si>
  <si>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</si>
  <si>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</si>
  <si>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</si>
  <si>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</si>
  <si>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</si>
  <si>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</si>
  <si>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</si>
  <si>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</si>
  <si>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</si>
  <si>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</si>
  <si>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</si>
  <si>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</si>
  <si>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</si>
  <si>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</si>
  <si>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</si>
  <si>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</si>
  <si>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</si>
  <si>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</si>
  <si>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</si>
  <si>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</si>
  <si>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</si>
  <si>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</si>
  <si>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</si>
  <si>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</si>
  <si>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</si>
  <si>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</si>
  <si>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</si>
  <si>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</si>
  <si>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</si>
  <si>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</si>
  <si>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</si>
  <si>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</si>
  <si>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</si>
  <si>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</si>
  <si>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</si>
  <si>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</si>
  <si>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</si>
  <si>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</si>
  <si>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</si>
  <si>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</si>
  <si>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</si>
  <si>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</si>
  <si>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</si>
  <si>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</si>
  <si>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</si>
  <si>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</si>
  <si>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</si>
  <si>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</si>
  <si>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</si>
  <si>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</si>
  <si>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</si>
  <si>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</si>
  <si>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</si>
  <si>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</si>
  <si>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</si>
  <si>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</si>
  <si>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</si>
  <si>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</si>
  <si>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</si>
  <si>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</si>
  <si>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</si>
  <si>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</si>
  <si>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</si>
  <si>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</si>
  <si>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</si>
  <si>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</si>
  <si>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</si>
  <si>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</si>
  <si>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</si>
  <si>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</si>
  <si>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</si>
  <si>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</si>
  <si>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</si>
  <si>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</si>
  <si>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</si>
  <si>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</si>
  <si>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</si>
  <si>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</si>
  <si>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</si>
  <si>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</si>
  <si>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</si>
  <si>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</si>
  <si>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</si>
  <si>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</si>
  <si>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</si>
  <si>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</si>
  <si>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</si>
  <si>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</si>
  <si>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</si>
  <si>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</si>
  <si>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</si>
  <si>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</si>
  <si>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</si>
  <si>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</si>
  <si>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</si>
  <si>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</si>
  <si>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</si>
  <si>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</si>
  <si>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</si>
  <si>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</si>
  <si>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</si>
  <si>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</si>
  <si>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</si>
  <si>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</si>
  <si>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</si>
  <si>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</si>
  <si>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</si>
  <si>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</si>
  <si>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</si>
  <si>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</si>
  <si>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</si>
  <si>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</si>
  <si>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</si>
  <si>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</si>
  <si>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</si>
  <si>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</si>
  <si>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</si>
  <si>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</si>
  <si>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</si>
  <si>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</si>
  <si>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</si>
  <si>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</si>
  <si>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</si>
  <si>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</si>
  <si>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</si>
  <si>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</si>
  <si>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</si>
  <si>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</si>
  <si>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</si>
  <si>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</si>
  <si>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</si>
  <si>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</si>
  <si>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</si>
  <si>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</si>
  <si>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</si>
  <si>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</si>
  <si>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</si>
  <si>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</si>
  <si>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</si>
  <si>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</si>
  <si>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</si>
  <si>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</si>
  <si>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</si>
  <si>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</si>
  <si>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</si>
  <si>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</si>
  <si>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</si>
  <si>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</si>
  <si>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</si>
  <si>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</si>
  <si>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</si>
  <si>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</si>
  <si>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</si>
  <si>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</si>
  <si>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</si>
  <si>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</si>
  <si>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</si>
  <si>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colocar chapa na bica</t>
  </si>
  <si>
    <t>solda no queixo ,revestimento gasto</t>
  </si>
  <si>
    <t>troca de martelo mm 4\5</t>
  </si>
  <si>
    <t>processando blend</t>
  </si>
  <si>
    <t>vai roda com o moinho 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</si>
</sst>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34" activePane="bottomLeft" state="frozen"/>
      <selection pane="bottomLeft" activeCell="F66" sqref="F6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321</v>
      </c>
      <c r="G68" s="36">
        <f>SUM(G56:G67)</f>
        <v>1605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321</v>
      </c>
      <c r="G82" s="40">
        <f>G68+G81</f>
        <v>1605</v>
      </c>
      <c r="H82" s="41"/>
      <c r="I82" s="41"/>
      <c r="J82" s="41"/>
      <c r="K82" s="41"/>
      <c r="L82" s="41"/>
      <c r="M82" s="42">
        <f ca="1">IFERROR(M68+M81,"")</f>
        <v>3.2638888888888995E-2</v>
      </c>
      <c r="N82" s="40" t="s">
        <v>234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33" activePane="bottomLeft" state="frozen"/>
      <selection pane="bottomLeft" activeCell="F66" sqref="F6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0.58331574073963566</v>
      </c>
      <c r="N53" s="46" t="s">
        <v>252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0.7222046296285245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0.80692685185074686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/>
      <c r="M63" s="30">
        <f t="shared" ca="1" si="13"/>
        <v>1.9426851853495464E-2</v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120</v>
      </c>
      <c r="G68" s="36">
        <f>SUM(G56:G67)</f>
        <v>504</v>
      </c>
      <c r="H68" s="37"/>
      <c r="I68" s="37"/>
      <c r="J68" s="37"/>
      <c r="K68" s="37"/>
      <c r="L68" s="37"/>
      <c r="M68" s="38">
        <f ca="1">IFERROR(SUM(M56:M67),"")</f>
        <v>9.6510185186828801E-2</v>
      </c>
      <c r="N68" s="36" t="s">
        <v>230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26"/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120</v>
      </c>
      <c r="G82" s="40">
        <f>G68+G81</f>
        <v>504</v>
      </c>
      <c r="H82" s="41"/>
      <c r="I82" s="41"/>
      <c r="J82" s="41"/>
      <c r="K82" s="41"/>
      <c r="L82" s="41"/>
      <c r="M82" s="42">
        <f ca="1">IFERROR(M68+M81,"")</f>
        <v>9.6510185186828801E-2</v>
      </c>
      <c r="N82" s="40" t="s">
        <v>234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2" zoomScale="50" zoomScaleNormal="50" workbookViewId="0">
      <selection activeCell="F66" sqref="F6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44</v>
      </c>
      <c r="G68" s="36">
        <f>SUM(G56:G67)</f>
        <v>184.8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44</v>
      </c>
      <c r="G82" s="40">
        <f>G68+G81</f>
        <v>184.8</v>
      </c>
      <c r="H82" s="41"/>
      <c r="I82" s="41"/>
      <c r="J82" s="41"/>
      <c r="K82" s="41"/>
      <c r="L82" s="41"/>
      <c r="M82" s="42">
        <f ca="1">IFERROR(M68+M81,"")</f>
        <v>8.3333333333333426E-2</v>
      </c>
      <c r="N82" s="40" t="s">
        <v>234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32" activePane="bottomLeft" state="frozen"/>
      <selection pane="bottomLeft" activeCell="F66" sqref="F6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/>
      <c r="I60" s="26"/>
      <c r="J60" s="26"/>
      <c r="K60" s="29">
        <v>0.69513888888888886</v>
      </c>
      <c r="L60" s="29"/>
      <c r="M60" s="30">
        <f t="shared" ca="1" si="13"/>
        <v>9.7046296286862344E-3</v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109</v>
      </c>
      <c r="G68" s="36">
        <f>SUM(G56:G67)</f>
        <v>457.79999999999995</v>
      </c>
      <c r="H68" s="37"/>
      <c r="I68" s="37"/>
      <c r="J68" s="37"/>
      <c r="K68" s="61"/>
      <c r="L68" s="61"/>
      <c r="M68" s="38">
        <f ca="1">IFERROR(SUM(M56:M67),"")</f>
        <v>0.10137129629535296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109</v>
      </c>
      <c r="G82" s="40">
        <f>G68+G81</f>
        <v>457.79999999999995</v>
      </c>
      <c r="H82" s="41"/>
      <c r="I82" s="41"/>
      <c r="J82" s="41"/>
      <c r="K82" s="63"/>
      <c r="L82" s="63"/>
      <c r="M82" s="42">
        <f ca="1">IFERROR(M68+M81,"")</f>
        <v>0.10137129629535296</v>
      </c>
      <c r="N82" s="40" t="s">
        <v>234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2026-08-03T20:55:11Z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