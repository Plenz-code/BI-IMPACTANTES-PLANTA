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27" documentId="13_ncr:1_{A6DBCFB4-28D9-4249-9038-216934055CA6}" xr6:coauthVersionLast="47" xr6:coauthVersionMax="47" xr10:uidLastSave="{E114EE31-3DB2-466A-9EB7-19B3DEF98052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<sst xmlns="http://schemas.openxmlformats.org/spreadsheetml/2006/main" count="9491" uniqueCount="418">
  <si>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</si>
  <si>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</si>
  <si>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</si>
  <si>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</si>
  <si>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</si>
  <si>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</si>
  <si>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</si>
  <si>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</si>
  <si>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</si>
  <si>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</si>
  <si>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</si>
  <si>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</si>
  <si>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</si>
  <si>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</si>
  <si>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</si>
  <si>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</si>
  <si>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</si>
  <si>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</si>
  <si>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</si>
  <si>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</si>
  <si>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</si>
  <si>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</si>
  <si>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</si>
  <si>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</si>
  <si>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</si>
  <si>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</si>
  <si>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</si>
  <si>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</si>
  <si>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</si>
  <si>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</si>
  <si>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</si>
  <si>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</si>
  <si>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</si>
  <si>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</si>
  <si>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</si>
  <si>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</si>
  <si>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</si>
  <si>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</si>
  <si>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</si>
  <si>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</si>
  <si>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</si>
  <si>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</si>
  <si>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</si>
  <si>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</si>
  <si>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</si>
  <si>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</si>
  <si>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</si>
  <si>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</si>
  <si>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</si>
  <si>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</si>
  <si>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</si>
  <si>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</si>
  <si>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</si>
  <si>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</si>
  <si>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</si>
  <si>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</si>
  <si>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</si>
  <si>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</si>
  <si>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</si>
  <si>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</si>
  <si>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</si>
  <si>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</si>
  <si>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</si>
  <si>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</si>
  <si>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</si>
  <si>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</si>
  <si>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</si>
  <si>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</si>
  <si>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</si>
  <si>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</si>
  <si>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</si>
  <si>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</si>
  <si>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</si>
  <si>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</si>
  <si>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</si>
  <si>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</si>
  <si>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</si>
  <si>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</si>
  <si>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</si>
  <si>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</si>
  <si>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</si>
  <si>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</si>
  <si>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</si>
  <si>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</si>
  <si>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</si>
  <si>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</si>
  <si>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</si>
  <si>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</si>
  <si>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</si>
  <si>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</si>
  <si>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</si>
  <si>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</si>
  <si>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</si>
  <si>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</si>
  <si>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</si>
  <si>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</si>
  <si>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</si>
  <si>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</si>
  <si>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</si>
  <si>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</si>
  <si>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</si>
  <si>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</si>
  <si>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</si>
  <si>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</si>
  <si>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</si>
  <si>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</si>
  <si>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</si>
  <si>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</si>
  <si>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</si>
  <si>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</si>
  <si>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</si>
  <si>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</si>
  <si>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</si>
  <si>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</si>
  <si>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</si>
  <si>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</si>
  <si>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</si>
  <si>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</si>
  <si>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</si>
  <si>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</si>
  <si>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</si>
  <si>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</si>
  <si>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</si>
  <si>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</si>
  <si>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</si>
  <si>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</si>
  <si>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</si>
  <si>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</si>
  <si>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</si>
  <si>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</si>
  <si>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</si>
  <si>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</si>
  <si>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</si>
  <si>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</si>
  <si>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</si>
  <si>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</si>
  <si>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</si>
  <si>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</si>
  <si>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</si>
  <si>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</si>
  <si>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</si>
  <si>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</si>
  <si>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</si>
  <si>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</si>
  <si>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</si>
  <si>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</si>
  <si>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</si>
  <si>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</si>
  <si>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</si>
  <si>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</si>
  <si>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</si>
  <si>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</si>
  <si>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</si>
  <si>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</si>
  <si>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</si>
  <si>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</si>
  <si>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</si>
  <si>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</si>
  <si>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</si>
  <si>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</si>
  <si>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</si>
  <si>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</si>
  <si>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</si>
  <si>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</si>
  <si>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</si>
  <si>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</si>
  <si>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</si>
  <si>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</si>
  <si>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</si>
  <si>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</si>
  <si>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</si>
  <si>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</si>
  <si>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</si>
  <si>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</si>
  <si>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</si>
  <si>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</si>
  <si>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</si>
  <si>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</si>
  <si>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</si>
  <si>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</si>
  <si>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</si>
  <si>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</si>
  <si>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</si>
  <si>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</si>
  <si>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</si>
  <si>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</si>
  <si>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</si>
  <si>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</si>
  <si>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</si>
  <si>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</si>
  <si>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</si>
  <si>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</si>
  <si>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</si>
  <si>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</si>
  <si>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</si>
  <si>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</si>
  <si>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</si>
  <si>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</si>
  <si>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</si>
  <si>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</si>
  <si>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</si>
  <si>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</si>
  <si>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</si>
  <si>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</si>
  <si>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</si>
  <si>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</si>
  <si>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</si>
  <si>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</si>
  <si>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</si>
  <si>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</si>
  <si>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</si>
  <si>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</si>
  <si>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</si>
  <si>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</si>
  <si>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</si>
  <si>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</si>
  <si>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</si>
  <si>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</si>
  <si>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</si>
  <si>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</si>
  <si>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</si>
  <si>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</si>
  <si>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</si>
  <si>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</si>
  <si>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</si>
  <si>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</si>
  <si>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</si>
  <si>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</si>
  <si>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</si>
  <si>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</si>
  <si>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</si>
  <si>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</si>
  <si>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</si>
  <si>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</si>
  <si>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</si>
  <si>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</si>
  <si>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</si>
  <si>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</si>
  <si>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</si>
  <si>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</si>
  <si>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</si>
  <si>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</si>
  <si>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</si>
  <si>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</si>
  <si>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</si>
  <si>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</si>
  <si>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</si>
  <si>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</si>
  <si>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</si>
  <si>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</si>
  <si>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</si>
  <si>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</si>
  <si>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</si>
  <si>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</si>
  <si>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</si>
  <si>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</si>
  <si>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</si>
  <si>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</si>
  <si>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</si>
  <si>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</si>
  <si>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</si>
  <si>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</si>
  <si>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</si>
  <si>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</si>
  <si>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</si>
  <si>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</si>
  <si>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</si>
  <si>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</si>
  <si>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</si>
  <si>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</si>
  <si>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</si>
  <si>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</si>
  <si>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</si>
  <si>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</si>
  <si>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</si>
  <si>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</si>
  <si>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</si>
  <si>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</si>
  <si>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</si>
  <si>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</si>
  <si>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</si>
  <si>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</si>
  <si>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</si>
  <si>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</si>
  <si>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</si>
  <si>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</si>
  <si>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</si>
  <si>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</si>
  <si>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</si>
  <si>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</si>
  <si>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</si>
  <si>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</si>
  <si>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</si>
  <si>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</si>
  <si>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</si>
  <si>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</si>
  <si>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</si>
  <si>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</si>
  <si>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</si>
  <si>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</si>
  <si>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</si>
  <si>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</si>
  <si>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</si>
  <si>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</si>
  <si>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</si>
  <si>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</si>
  <si>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</si>
  <si>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</si>
  <si>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</si>
  <si>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</si>
  <si>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</si>
  <si>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</si>
  <si>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</si>
  <si>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</si>
  <si>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</si>
  <si>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</si>
  <si>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</si>
  <si>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</si>
  <si>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</si>
  <si>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</si>
  <si>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</si>
  <si>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</si>
  <si>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</si>
  <si>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</si>
  <si>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</si>
  <si>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</si>
  <si>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</si>
  <si>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</si>
  <si>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</si>
  <si>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</si>
  <si>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</si>
  <si>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</si>
  <si>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</si>
  <si>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</si>
  <si>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</si>
  <si>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</si>
  <si>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</si>
  <si>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</si>
  <si>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</si>
  <si>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</si>
  <si>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</si>
  <si>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</si>
  <si>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</si>
  <si>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</si>
  <si>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</si>
  <si>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</si>
  <si>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</si>
  <si>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</si>
  <si>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</si>
  <si>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</si>
  <si>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</si>
  <si>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</si>
  <si>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</si>
  <si>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</si>
  <si>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</si>
  <si>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</si>
  <si>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</si>
  <si>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</si>
  <si>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</si>
  <si>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</si>
  <si>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</si>
  <si>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</si>
  <si>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</si>
  <si>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</si>
  <si>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</si>
  <si>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</si>
  <si>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</si>
  <si>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</si>
  <si>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</si>
  <si>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</si>
  <si>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</si>
  <si>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</si>
  <si>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</si>
  <si>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</si>
  <si>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</si>
  <si>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</si>
  <si>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</si>
  <si>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</si>
  <si>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</si>
  <si>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</si>
  <si>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</si>
  <si>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</si>
  <si>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</si>
  <si>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</si>
  <si>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</si>
  <si>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</si>
  <si>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</si>
  <si>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</si>
  <si>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</si>
  <si>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</si>
  <si>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</si>
  <si>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</si>
  <si>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</si>
  <si>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</si>
  <si>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</si>
  <si>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</si>
  <si>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</si>
  <si>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</si>
  <si>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</si>
  <si>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</si>
  <si>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</si>
  <si>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</si>
  <si>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</si>
  <si>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</si>
  <si>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</si>
  <si>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</si>
  <si>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</si>
  <si>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</si>
  <si>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</si>
  <si>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</si>
  <si>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</si>
  <si>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</si>
  <si>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</si>
  <si>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</si>
  <si>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</si>
  <si>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</si>
  <si>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</si>
  <si>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4;31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</si>
</sst>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40" activePane="bottomLeft" state="frozen"/>
      <selection pane="bottomLeft" activeCell="J560" sqref="J56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29</v>
      </c>
      <c r="I559" s="70" t="s">
        <v>32</v>
      </c>
      <c r="J559" s="70" t="s">
        <v>175</v>
      </c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/>
      <c r="M560" s="66">
        <f t="shared" ca="1" si="120"/>
        <v>3.7465277273440734E-4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103</v>
      </c>
      <c r="G567" s="2">
        <f>SUM(G555:G566)</f>
        <v>515</v>
      </c>
      <c r="H567" s="72"/>
      <c r="I567" s="72"/>
      <c r="J567" s="72"/>
      <c r="K567" s="72"/>
      <c r="L567" s="72"/>
      <c r="M567" s="73">
        <f ca="1">IFERROR(SUM(M555:M566),"")</f>
        <v>0.22398576388384561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103</v>
      </c>
      <c r="G568" s="1">
        <f>G554+G567</f>
        <v>515</v>
      </c>
      <c r="H568" s="76"/>
      <c r="I568" s="76"/>
      <c r="J568" s="76"/>
      <c r="K568" s="76"/>
      <c r="L568" s="76"/>
      <c r="M568" s="77">
        <f ca="1">IFERROR(M554+M567,"")</f>
        <v>0.72398576388384561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64" sqref="L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8.0235763882228639E-2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0.21912465277111637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0.30384687499333918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0.41009687499899883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0.41009687499899883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0.73162465277677646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R566" sqref="R56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39"/>
        <v>0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39"/>
        <v>0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/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39"/>
        <v/>
      </c>
      <c r="K564" s="64" t="str">
        <f t="shared" si="140"/>
        <v/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/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39"/>
        <v/>
      </c>
      <c r="K565" s="69" t="str">
        <f t="shared" si="140"/>
        <v/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344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91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397.4</v>
      </c>
      <c r="L567" s="72"/>
      <c r="M567" s="72"/>
      <c r="N567" s="72"/>
      <c r="O567" s="72"/>
      <c r="P567" s="72"/>
      <c r="Q567" s="73">
        <f ca="1">IFERROR(SUM(Q555:Q566),"")</f>
        <v>7.9166666666666829E-2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100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435.2</v>
      </c>
      <c r="L568" s="76"/>
      <c r="M568" s="76"/>
      <c r="N568" s="76"/>
      <c r="O568" s="76"/>
      <c r="P568" s="76"/>
      <c r="Q568" s="77">
        <f ca="1">IFERROR(Q554+Q567,"")</f>
        <v>0.48958333333333354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3" activePane="bottomLeft" state="frozen"/>
      <selection pane="bottomLeft" activeCell="O565" sqref="O56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409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410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411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412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413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414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42"/>
        <v>0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415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42"/>
        <v>0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/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 t="str">
        <f t="shared" si="143"/>
        <v/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416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/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 t="s">
        <v>417</v>
      </c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86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363.6</v>
      </c>
      <c r="L567" s="72"/>
      <c r="M567" s="72"/>
      <c r="N567" s="72"/>
      <c r="O567" s="134"/>
      <c r="P567" s="134"/>
      <c r="Q567" s="73">
        <f ca="1">IFERROR(SUM(Q555:Q566),"")</f>
        <v>0.13124999999999987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217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913.80000000000007</v>
      </c>
      <c r="L568" s="76"/>
      <c r="M568" s="76"/>
      <c r="N568" s="76"/>
      <c r="O568" s="135"/>
      <c r="P568" s="135"/>
      <c r="Q568" s="77">
        <f ca="1">IFERROR(Q554+Q567,"")</f>
        <v>0.28749999999999992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2026-08-22T08:50:52Z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