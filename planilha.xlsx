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42" documentId="8_{C51EB6CB-002B-4D6B-B68F-DDEBDB4460C0}" xr6:coauthVersionLast="47" xr6:coauthVersionMax="47" xr10:uidLastSave="{AAA97611-E832-414E-8569-D922E1BCB98A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<sst xmlns="http://schemas.openxmlformats.org/spreadsheetml/2006/main" count="3477" uniqueCount="287">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</sst>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1650350</v>
      </c>
      <c r="D9" s="11">
        <f>IFERROR('Linha 1'!O163,"")</f>
        <v>533860</v>
      </c>
      <c r="E9" s="11">
        <f>IFERROR('Linha 2'!O163,"")</f>
        <v>138890</v>
      </c>
      <c r="F9" s="11">
        <f>IFERROR('Linha 3'!O163,"")</f>
        <v>797860</v>
      </c>
      <c r="G9" s="12">
        <f t="shared" si="0"/>
        <v>1470610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18357835</v>
      </c>
      <c r="D35" s="13">
        <f>IFERROR(SUM(D4:D34),"")</f>
        <v>5882160</v>
      </c>
      <c r="E35" s="13">
        <f>IFERROR(SUM(E4:E34),"")</f>
        <v>3123020</v>
      </c>
      <c r="F35" s="13">
        <f>IFERROR(SUM(F4:F34),"")</f>
        <v>7526120</v>
      </c>
      <c r="G35" s="13">
        <f>IFERROR(SUM(G4:G34),"")</f>
        <v>16531300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/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26" activePane="bottomLeft" state="frozen"/>
      <selection pane="bottomLeft" activeCell="F160" sqref="F16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>
        <v>10</v>
      </c>
      <c r="G154" s="28">
        <f t="shared" si="33"/>
        <v>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0.13680555555555562</v>
      </c>
      <c r="N162" s="36" t="s">
        <v>233</v>
      </c>
      <c r="O162" s="44"/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0.23541666666666677</v>
      </c>
      <c r="N163" s="40" t="s">
        <v>237</v>
      </c>
      <c r="O163" s="43">
        <f>IFERROR(O149+O162,"")</f>
        <v>1650350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13" t="s">
        <v>236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20" activePane="bottomLeft" state="frozen"/>
      <selection pane="bottomLeft" activeCell="F160" sqref="F16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245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245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245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245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245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245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245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245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245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245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245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8.8264120364328846E-2</v>
      </c>
      <c r="N53" s="46" t="s">
        <v>254</v>
      </c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0.22715300925321774</v>
      </c>
      <c r="N54" s="36" t="s">
        <v>233</v>
      </c>
      <c r="O54" s="84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0.31187523147544005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245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245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245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245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245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245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245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245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256</v>
      </c>
      <c r="E83" s="59" t="s">
        <v>245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257</v>
      </c>
      <c r="M96" s="30" t="str">
        <f t="shared" ref="M96:M107" ca="1" si="22">IFERROR(IF(K96="","",IF(L96="",MOD(NOW()-K96,1),IF(L96&gt;=K96,L96-K96,L96+1-K96))),"")</f>
        <v/>
      </c>
      <c r="N96" s="46" t="s">
        <v>258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245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245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245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245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245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245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245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245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245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121</v>
      </c>
      <c r="G162" s="36">
        <f>SUM(G150:G161)</f>
        <v>508.20000000000005</v>
      </c>
      <c r="H162" s="37"/>
      <c r="I162" s="37"/>
      <c r="J162" s="37"/>
      <c r="K162" s="37"/>
      <c r="L162" s="37"/>
      <c r="M162" s="38">
        <f ca="1">IFERROR(SUM(M150:M161),"")</f>
        <v>4.5833333333333504E-2</v>
      </c>
      <c r="N162" s="36" t="s">
        <v>233</v>
      </c>
      <c r="O162" s="54"/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261</v>
      </c>
      <c r="G163" s="40">
        <f>G149+G162</f>
        <v>1096.2</v>
      </c>
      <c r="H163" s="41"/>
      <c r="I163" s="41"/>
      <c r="J163" s="41"/>
      <c r="K163" s="41"/>
      <c r="L163" s="41"/>
      <c r="M163" s="42">
        <f ca="1">IFERROR(M149+M162,"")</f>
        <v>0.22152777777777793</v>
      </c>
      <c r="N163" s="40" t="s">
        <v>237</v>
      </c>
      <c r="O163" s="82">
        <f>IFERROR(O149+O162,"")</f>
        <v>533860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232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23" zoomScale="50" zoomScaleNormal="50" workbookViewId="0">
      <selection activeCell="F160" sqref="F16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245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245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245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245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245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245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245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245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245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245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255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37</v>
      </c>
      <c r="G162" s="36">
        <f>SUM(G150:G161)</f>
        <v>155.40000000000003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233</v>
      </c>
      <c r="O162" s="39"/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70</v>
      </c>
      <c r="G163" s="40">
        <f>G149+G162</f>
        <v>294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237</v>
      </c>
      <c r="O163" s="43">
        <f>IFERROR(O149+O162,"")</f>
        <v>138890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28" activePane="bottomLeft" state="frozen"/>
      <selection pane="bottomLeft" activeCell="F160" sqref="F16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245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245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245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245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245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245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245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245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245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232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245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11</v>
      </c>
      <c r="G151" s="34">
        <f t="shared" si="33"/>
        <v>46.2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6.8055555555555647E-2</v>
      </c>
      <c r="N162" s="36" t="s">
        <v>233</v>
      </c>
      <c r="O162" s="39"/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0.16250000000000003</v>
      </c>
      <c r="N163" s="40" t="s">
        <v>237</v>
      </c>
      <c r="O163" s="43">
        <f>IFERROR(O149+O162,"")</f>
        <v>797860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232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2026-08-07T09:02:08Z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