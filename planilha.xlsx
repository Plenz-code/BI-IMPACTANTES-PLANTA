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494" documentId="8_{AF585B22-221D-4780-BB9C-493D365A6A02}" xr6:coauthVersionLast="47" xr6:coauthVersionMax="47" xr10:uidLastSave="{F2FF5898-7F77-453A-A476-5C97F4EBFBFE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<sst xmlns="http://schemas.openxmlformats.org/spreadsheetml/2006/main" count="2699" uniqueCount="237">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</sst>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E134" sqref="E13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197</v>
      </c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197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197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197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197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197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197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267</v>
      </c>
      <c r="G136" s="40">
        <f>G122+G135</f>
        <v>1335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01" activePane="bottomLeft" state="frozen"/>
      <selection pane="bottomLeft" activeCell="N124" sqref="N12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/>
      <c r="G123" s="34" t="str">
        <f t="shared" ref="G123:G134" si="27">IF(F123="","",IF(E123="PC 17",F123*4.2,IF(E123="PC 19",F123*5,"")))</f>
        <v/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/>
      <c r="M123" s="30">
        <f t="shared" ref="M123:M134" ca="1" si="28">IFERROR(IF(K123="","",IF(L123="",MOD(NOW()-K123,1),IF(L123&gt;=K123,L123-K123,L123+1-K123))),"")</f>
        <v>3.6546296250890009E-3</v>
      </c>
      <c r="N123" s="46" t="s">
        <v>218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3.6546296250890009E-3</v>
      </c>
      <c r="N135" s="36" t="s">
        <v>200</v>
      </c>
      <c r="O135" s="54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135</v>
      </c>
      <c r="G136" s="40">
        <f>G122+G135</f>
        <v>567</v>
      </c>
      <c r="H136" s="41"/>
      <c r="I136" s="41"/>
      <c r="J136" s="41"/>
      <c r="K136" s="41"/>
      <c r="L136" s="41"/>
      <c r="M136" s="42">
        <f ca="1">IFERROR(M122+M135,"")</f>
        <v>0.14532129629175566</v>
      </c>
      <c r="N136" s="40" t="s">
        <v>203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0" activePane="bottomLeft" state="frozen"/>
      <selection pane="bottomLeft" activeCell="F131" sqref="F1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7</v>
      </c>
      <c r="G136" s="40">
        <f>G122+G135</f>
        <v>29.4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203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7" activePane="bottomLeft" state="frozen"/>
      <selection pane="bottomLeft" activeCell="N123" sqref="N12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229</v>
      </c>
      <c r="L58" s="29">
        <v>0.54097222222222219</v>
      </c>
      <c r="M58" s="30" t="str">
        <f t="shared" ca="1" si="13"/>
        <v/>
      </c>
      <c r="N58" s="27" t="s">
        <v>230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/>
      <c r="G123" s="34" t="str">
        <f t="shared" ref="G123:G134" si="27">IF(F123="","",IF(E123="PC 17",F123*4.2,IF(E123="PC 19",F123*5,"")))</f>
        <v/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/>
      <c r="M123" s="35">
        <f t="shared" ref="M123:M134" ca="1" si="28">IFERROR(IF(K123="","",IF(L123="",MOD(NOW()-K123,1),IF(L123&gt;=K123,L123-K123,L123+1-K123))),"")</f>
        <v>7.1268518513534218E-3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7.1268518513534218E-3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54</v>
      </c>
      <c r="G136" s="40">
        <f>G122+G135</f>
        <v>226.8</v>
      </c>
      <c r="H136" s="41"/>
      <c r="I136" s="41"/>
      <c r="J136" s="41"/>
      <c r="K136" s="63"/>
      <c r="L136" s="63"/>
      <c r="M136" s="42">
        <f ca="1">IFERROR(M122+M135,"")</f>
        <v>0.3744879629624645</v>
      </c>
      <c r="N136" s="40" t="s">
        <v>203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2026-07-05T23:10:47Z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