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1227" documentId="8_{AF585B22-221D-4780-BB9C-493D365A6A02}" xr6:coauthVersionLast="47" xr6:coauthVersionMax="47" xr10:uidLastSave="{D20CC3F1-949F-4744-91C1-F0639F29AF59}"/>
  <bookViews>
    <workbookView xWindow="-110" yWindow="-110" windowWidth="25820" windowHeight="15500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623" i="4" l="1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<sst xmlns="http://schemas.openxmlformats.org/spreadsheetml/2006/main" count="9674" uniqueCount="384">
  <si>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</si>
  <si>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</si>
  <si>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</si>
  <si>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</si>
  <si>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</si>
  <si>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</si>
  <si>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</si>
  <si>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</si>
  <si>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</si>
  <si>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</si>
  <si>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</si>
  <si>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</si>
  <si>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</si>
  <si>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</si>
  <si>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</si>
  <si>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</si>
  <si>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</si>
  <si>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</si>
  <si>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</si>
  <si>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</si>
  <si>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</si>
  <si>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</si>
  <si>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</si>
  <si>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</si>
  <si>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</si>
  <si>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</si>
  <si>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</si>
  <si>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</si>
  <si>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</si>
  <si>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</si>
  <si>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</si>
  <si>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</si>
  <si>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</si>
  <si>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</si>
  <si>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</si>
  <si>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</si>
  <si>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</si>
  <si>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</si>
  <si>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</si>
  <si>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</si>
  <si>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</si>
  <si>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</si>
  <si>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</si>
  <si>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</si>
  <si>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</si>
  <si>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</si>
  <si>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</si>
  <si>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</si>
  <si>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</si>
  <si>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</si>
  <si>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</si>
  <si>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</si>
  <si>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</si>
  <si>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</si>
  <si>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</si>
  <si>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</si>
  <si>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</si>
  <si>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</si>
  <si>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</si>
  <si>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</si>
  <si>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</si>
  <si>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</si>
  <si>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</si>
  <si>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</si>
  <si>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</si>
  <si>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</si>
  <si>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</si>
  <si>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</si>
  <si>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</si>
  <si>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</si>
  <si>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</si>
  <si>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</si>
  <si>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</si>
  <si>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</si>
  <si>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</si>
  <si>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</si>
  <si>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</si>
  <si>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</si>
  <si>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</si>
  <si>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</si>
  <si>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</si>
  <si>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</si>
  <si>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</si>
  <si>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</si>
  <si>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</si>
  <si>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</si>
  <si>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</si>
  <si>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</si>
  <si>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</si>
  <si>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</si>
  <si>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</si>
  <si>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</si>
  <si>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</si>
  <si>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</si>
  <si>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</si>
  <si>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</si>
  <si>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</si>
  <si>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</si>
  <si>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</si>
  <si>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</si>
  <si>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</si>
  <si>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</si>
  <si>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</si>
  <si>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</si>
  <si>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</si>
  <si>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</si>
  <si>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</si>
  <si>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</si>
  <si>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</si>
  <si>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</si>
  <si>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</si>
  <si>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</si>
  <si>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</si>
  <si>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</si>
  <si>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</si>
  <si>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</si>
  <si>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</si>
  <si>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</si>
  <si>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</si>
  <si>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</si>
  <si>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</si>
  <si>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</si>
  <si>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</si>
  <si>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</si>
  <si>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</si>
  <si>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</si>
  <si>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</si>
  <si>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</si>
  <si>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</si>
  <si>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</si>
  <si>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</si>
  <si>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</si>
  <si>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</si>
  <si>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</si>
  <si>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</si>
  <si>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</si>
  <si>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</si>
  <si>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</si>
  <si>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</si>
  <si>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</si>
  <si>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</si>
  <si>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</si>
  <si>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</si>
  <si>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</si>
  <si>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</si>
  <si>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</si>
  <si>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</si>
  <si>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</si>
  <si>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</si>
  <si>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</si>
  <si>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</si>
  <si>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</si>
  <si>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</si>
  <si>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</si>
  <si>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</si>
  <si>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</si>
  <si>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</si>
  <si>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</si>
  <si>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</si>
  <si>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</si>
  <si>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</si>
  <si>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</si>
  <si>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</si>
  <si>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</si>
  <si>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</si>
  <si>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</si>
  <si>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</si>
  <si>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</si>
  <si>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</si>
  <si>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</si>
  <si>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</si>
  <si>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</si>
  <si>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</si>
  <si>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</si>
  <si>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</si>
  <si>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</si>
  <si>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</si>
  <si>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</si>
  <si>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</si>
  <si>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</si>
  <si>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</si>
  <si>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</si>
  <si>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</si>
  <si>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</si>
  <si>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</si>
  <si>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</si>
  <si>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</si>
  <si>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</si>
  <si>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</si>
  <si>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</si>
  <si>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</si>
  <si>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</si>
  <si>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</si>
  <si>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</si>
  <si>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</si>
  <si>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</si>
  <si>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</si>
  <si>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</si>
  <si>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</si>
  <si>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</si>
  <si>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</si>
  <si>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</si>
  <si>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</si>
  <si>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</si>
  <si>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</si>
  <si>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</si>
  <si>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</si>
  <si>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</si>
  <si>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</si>
  <si>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</si>
  <si>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</si>
  <si>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</si>
  <si>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</si>
  <si>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</si>
  <si>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</si>
  <si>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</si>
  <si>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</si>
  <si>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</si>
  <si>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</si>
  <si>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</si>
  <si>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</si>
  <si>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</si>
  <si>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</si>
  <si>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</si>
  <si>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</si>
  <si>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</si>
  <si>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</si>
  <si>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</si>
  <si>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</si>
  <si>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</si>
  <si>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</si>
  <si>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</si>
  <si>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</si>
  <si>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</si>
  <si>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</si>
  <si>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</si>
  <si>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</si>
  <si>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</si>
  <si>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</si>
  <si>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</si>
  <si>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</si>
  <si>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</si>
  <si>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</si>
  <si>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</si>
  <si>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</si>
  <si>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</si>
  <si>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</si>
  <si>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</si>
  <si>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</si>
  <si>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</si>
  <si>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</si>
  <si>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</si>
  <si>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</si>
  <si>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</si>
  <si>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</si>
  <si>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</si>
  <si>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</si>
  <si>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</si>
  <si>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</si>
  <si>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</si>
  <si>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</si>
  <si>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</si>
  <si>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</si>
  <si>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</si>
  <si>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</si>
  <si>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</si>
  <si>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</si>
  <si>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</si>
  <si>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</si>
  <si>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</si>
  <si>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</si>
  <si>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</si>
  <si>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</si>
  <si>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</si>
  <si>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</si>
  <si>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</si>
  <si>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</si>
  <si>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</si>
  <si>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</si>
  <si>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</si>
  <si>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</si>
  <si>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</si>
  <si>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</si>
  <si>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</si>
  <si>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</si>
  <si>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</si>
  <si>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</si>
  <si>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</si>
  <si>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</si>
  <si>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</si>
  <si>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</si>
  <si>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</si>
  <si>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</si>
  <si>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</si>
  <si>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</si>
  <si>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</si>
  <si>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</si>
  <si>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</si>
  <si>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</si>
  <si>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</si>
  <si>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</si>
  <si>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</si>
  <si>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</si>
  <si>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</si>
  <si>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</si>
  <si>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</si>
  <si>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</si>
  <si>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</si>
  <si>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</si>
  <si>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</si>
  <si>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</si>
  <si>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</si>
  <si>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</si>
  <si>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</si>
  <si>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</si>
  <si>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</si>
  <si>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</si>
  <si>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</si>
  <si>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</si>
  <si>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</si>
  <si>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</si>
  <si>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</si>
  <si>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</si>
  <si>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</si>
  <si>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</si>
  <si>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</si>
  <si>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</si>
  <si>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</si>
  <si>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</si>
  <si>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</si>
  <si>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</si>
  <si>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</si>
  <si>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</si>
  <si>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</si>
  <si>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</si>
  <si>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</si>
  <si>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</si>
  <si>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</si>
  <si>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serviço de solda na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</si>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</sst>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27" sqref="G27:G34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70988998</v>
      </c>
      <c r="D35" s="13">
        <f>IFERROR(SUM(D4:D34),"")</f>
        <v>28216440</v>
      </c>
      <c r="E35" s="13">
        <f>IFERROR(SUM(E4:E34),"")</f>
        <v>16084900</v>
      </c>
      <c r="F35" s="13">
        <f>IFERROR(SUM(F4:F34),"")</f>
        <v>30397740</v>
      </c>
      <c r="G35" s="13">
        <f>IFERROR(SUM(G4:G34),"")</f>
        <v>74699080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204</v>
      </c>
      <c r="L58" s="16"/>
      <c r="M58" s="16"/>
    </row>
    <row r="59" spans="1:13" ht="15" customHeight="1">
      <c r="H59" s="109"/>
      <c r="I59" s="17"/>
      <c r="J59" s="17"/>
      <c r="K59" s="17" t="s">
        <v>205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206</v>
      </c>
      <c r="L61" s="17"/>
      <c r="M61" s="17"/>
    </row>
    <row r="62" spans="1:13" ht="15" customHeight="1">
      <c r="H62" s="109"/>
      <c r="I62" s="16"/>
      <c r="J62" s="16"/>
      <c r="K62" s="16" t="s">
        <v>207</v>
      </c>
      <c r="L62" s="16"/>
      <c r="M62" s="16"/>
    </row>
    <row r="63" spans="1:13" ht="15" customHeight="1">
      <c r="H63" s="109"/>
      <c r="I63" s="17"/>
      <c r="J63" s="17"/>
      <c r="K63" s="17" t="s">
        <v>208</v>
      </c>
      <c r="L63" s="17"/>
      <c r="M63" s="17"/>
    </row>
    <row r="64" spans="1:13" ht="15" customHeight="1">
      <c r="H64" s="109"/>
      <c r="I64" s="16"/>
      <c r="J64" s="16"/>
      <c r="K64" s="16" t="s">
        <v>209</v>
      </c>
      <c r="L64" s="16"/>
      <c r="M64" s="16"/>
    </row>
    <row r="65" spans="8:13" ht="15" customHeight="1">
      <c r="H65" s="109"/>
      <c r="I65" s="17"/>
      <c r="J65" s="17"/>
      <c r="K65" s="17" t="s">
        <v>210</v>
      </c>
      <c r="L65" s="17"/>
      <c r="M65" s="17"/>
    </row>
    <row r="66" spans="8:13" ht="15" customHeight="1">
      <c r="H66" s="109"/>
      <c r="I66" s="16"/>
      <c r="J66" s="16"/>
      <c r="K66" s="16" t="s">
        <v>211</v>
      </c>
      <c r="L66" s="16"/>
      <c r="M66" s="16"/>
    </row>
    <row r="67" spans="8:13" ht="15" customHeight="1">
      <c r="H67" s="109"/>
      <c r="I67" s="17"/>
      <c r="J67" s="17"/>
      <c r="K67" s="17" t="s">
        <v>212</v>
      </c>
      <c r="L67" s="17"/>
      <c r="M67" s="17"/>
    </row>
    <row r="68" spans="8:13" ht="15" customHeight="1">
      <c r="H68" s="109"/>
      <c r="I68" s="16"/>
      <c r="J68" s="16"/>
      <c r="K68" s="16" t="s">
        <v>213</v>
      </c>
      <c r="L68" s="16"/>
      <c r="M68" s="16"/>
    </row>
    <row r="69" spans="8:13" ht="15" customHeight="1">
      <c r="H69" s="109"/>
      <c r="I69" s="17"/>
      <c r="J69" s="17"/>
      <c r="K69" s="17" t="s">
        <v>214</v>
      </c>
      <c r="L69" s="17"/>
      <c r="M69" s="17"/>
    </row>
    <row r="70" spans="8:13" ht="15" customHeight="1">
      <c r="H70" s="109"/>
      <c r="I70" s="16"/>
      <c r="J70" s="16"/>
      <c r="K70" s="16" t="s">
        <v>215</v>
      </c>
      <c r="L70" s="16"/>
      <c r="M70" s="16"/>
    </row>
    <row r="71" spans="8:13" ht="15" customHeight="1">
      <c r="H71" s="109"/>
      <c r="I71" s="17"/>
      <c r="J71" s="17"/>
      <c r="K71" s="17" t="s">
        <v>216</v>
      </c>
      <c r="L71" s="17"/>
      <c r="M71" s="17"/>
    </row>
    <row r="72" spans="8:13" ht="15" customHeight="1">
      <c r="H72" s="109"/>
      <c r="I72" s="16"/>
      <c r="J72" s="16"/>
      <c r="K72" s="16" t="s">
        <v>217</v>
      </c>
      <c r="L72" s="16"/>
      <c r="M72" s="16"/>
    </row>
    <row r="73" spans="8:13" ht="15" customHeight="1">
      <c r="H73" s="109"/>
      <c r="I73" s="17"/>
      <c r="J73" s="17"/>
      <c r="K73" s="17" t="s">
        <v>218</v>
      </c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619" activePane="bottomLeft" state="frozen"/>
      <selection pane="bottomLeft" activeCell="F635" sqref="F635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5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229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231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233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233</v>
      </c>
      <c r="O27" s="39">
        <v>1183060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236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237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233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233</v>
      </c>
      <c r="O54" s="39">
        <v>959290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236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233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238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233</v>
      </c>
      <c r="O81" s="39">
        <v>878050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236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233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1700000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236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233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233</v>
      </c>
      <c r="O135" s="39">
        <v>862330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236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233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233</v>
      </c>
      <c r="O162" s="44">
        <v>1546080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236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233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>
        <v>2355810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236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233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233</v>
      </c>
      <c r="O216" s="45">
        <v>2013260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236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233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233</v>
      </c>
      <c r="O243" s="39">
        <v>1545480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236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233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>
        <v>1182690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236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233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243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244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244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244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244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244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244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244</v>
      </c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233</v>
      </c>
      <c r="O297" s="39">
        <v>1843460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236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245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246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233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247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247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247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247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>
        <v>1940000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236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233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233</v>
      </c>
      <c r="O351" s="39">
        <v>701874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236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249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233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233</v>
      </c>
      <c r="O378" s="39">
        <v>1088710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236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250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251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233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252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233</v>
      </c>
      <c r="O405" s="39">
        <v>1202270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236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253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254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255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255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233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230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230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230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230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230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230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230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230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230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230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230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>
        <v>1801910</v>
      </c>
    </row>
    <row r="433" spans="1:15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236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230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230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230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230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230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230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230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230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230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233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257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257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257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257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257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257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257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257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257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257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257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257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233</v>
      </c>
      <c r="O459" s="39">
        <v>2675000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236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>
        <v>2310070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236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230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230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230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230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230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233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230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230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230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230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230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230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230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230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230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230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>
        <v>1298429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236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258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230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230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230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230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230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230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230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230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230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230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230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233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230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230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259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230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230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230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230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230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230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230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230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230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233</v>
      </c>
      <c r="O540" s="39">
        <v>1240140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236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230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230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230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230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230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230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230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230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230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233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230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230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230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230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230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230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230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230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230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230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230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230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233</v>
      </c>
      <c r="O567" s="39">
        <v>1482110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236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230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230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230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230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230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230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233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230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203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230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230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230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230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230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230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230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233</v>
      </c>
      <c r="O594" s="39">
        <v>1036800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236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230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186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230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230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230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230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230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230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230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230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230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230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230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233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163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261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230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230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230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230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230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230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230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230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230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233</v>
      </c>
      <c r="O621" s="39">
        <v>1295785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236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230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230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230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230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230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230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230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230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230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230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230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230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333</v>
      </c>
      <c r="G649" s="40">
        <f>G635+G648</f>
        <v>1665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236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59" t="s">
        <v>230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620" activePane="bottomLeft" state="frozen"/>
      <selection pane="bottomLeft" activeCell="J625" sqref="J62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37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233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233</v>
      </c>
      <c r="O27" s="77">
        <v>393200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236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262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233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263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257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84">
        <v>276360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236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264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265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233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233</v>
      </c>
      <c r="O81" s="54">
        <v>787860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236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266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233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267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268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269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233</v>
      </c>
      <c r="O108" s="54">
        <v>1087080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236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270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233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271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248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272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273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233</v>
      </c>
      <c r="O135" s="54">
        <v>794480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236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274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275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233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276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277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233</v>
      </c>
      <c r="O162" s="54">
        <v>882280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236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233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233</v>
      </c>
      <c r="O189" s="77"/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236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233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278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279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233</v>
      </c>
      <c r="O216" s="77">
        <v>648410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236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280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281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232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233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282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276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233</v>
      </c>
      <c r="O243" s="77">
        <v>849060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236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283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233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233</v>
      </c>
      <c r="O270" s="77">
        <v>625070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236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284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285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233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286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233</v>
      </c>
      <c r="O297" s="77">
        <v>761660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236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287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287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233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288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289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233</v>
      </c>
      <c r="O324" s="77">
        <v>524410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236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257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290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257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257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257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257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257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257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257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233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291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292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233</v>
      </c>
      <c r="O351" s="77">
        <v>598420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236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233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0.52204826388333458</v>
      </c>
      <c r="N377" s="46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0.67968715277222347</v>
      </c>
      <c r="N378" s="36" t="s">
        <v>233</v>
      </c>
      <c r="O378" s="77">
        <v>511980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0.78940937499444563</v>
      </c>
      <c r="N379" s="40" t="s">
        <v>236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276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293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233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257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294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248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233</v>
      </c>
      <c r="O405" s="77">
        <v>552440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236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257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233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295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0.50052048610814381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234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0.67135381944147721</v>
      </c>
      <c r="N432" s="36" t="s">
        <v>233</v>
      </c>
      <c r="O432" s="77">
        <v>484540</v>
      </c>
    </row>
    <row r="433" spans="1:15" ht="18" customHeight="1">
      <c r="A433" s="93" t="s">
        <v>235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0.81649270833036613</v>
      </c>
      <c r="N433" s="40" t="s">
        <v>236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297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233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298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233</v>
      </c>
      <c r="O459" s="77">
        <v>631190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236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299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300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301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233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302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233</v>
      </c>
      <c r="O486" s="77">
        <v>969510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236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303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233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234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233</v>
      </c>
      <c r="O513" s="77">
        <v>556040</v>
      </c>
    </row>
    <row r="514" spans="1:15" ht="18" customHeight="1">
      <c r="A514" s="93" t="s">
        <v>235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236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304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233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233</v>
      </c>
      <c r="O540" s="77">
        <v>548610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236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305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233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306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233</v>
      </c>
      <c r="O567" s="77">
        <v>722660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236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307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233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11</v>
      </c>
      <c r="G583" s="34">
        <f t="shared" si="129"/>
        <v>55</v>
      </c>
      <c r="H583" s="33" t="s">
        <v>19</v>
      </c>
      <c r="I583" s="33" t="s">
        <v>156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233</v>
      </c>
      <c r="O594" s="77">
        <v>644900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236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308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233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309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233</v>
      </c>
      <c r="O621" s="77">
        <v>348050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236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35" t="str">
        <f ca="1">IFERROR(IF(K623="","",IF(#REF!="",MOD(NOW()-K623,1),IF(#REF!&gt;=K623,#REF!-K623,#REF!+1-K623))),"")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21">
        <v>0.55138888888888893</v>
      </c>
      <c r="M624" s="30">
        <f ca="1">IFERROR(IF(K624="","",IF(L623="",MOD(NOW()-K624,1),IF(L623&gt;=K624,L623-K624,L623+1-K624))),"")</f>
        <v>0.95833333333333315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257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131</v>
      </c>
      <c r="K625" s="29">
        <v>0.75277777777777777</v>
      </c>
      <c r="L625" s="29"/>
      <c r="M625" s="35">
        <f t="shared" ref="M625:M634" ca="1" si="140">IFERROR(IF(K625="","",IF(L625="",MOD(NOW()-K625,1),IF(L625&gt;=K625,L625-K625,L625+1-K625))),"")</f>
        <v>8.8538194395368919E-3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257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257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257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257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257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257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257</v>
      </c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91</v>
      </c>
      <c r="G635" s="36">
        <f>SUM(G623:G634)</f>
        <v>382.2</v>
      </c>
      <c r="H635" s="37"/>
      <c r="I635" s="37"/>
      <c r="J635" s="37"/>
      <c r="K635" s="37"/>
      <c r="L635" s="37"/>
      <c r="M635" s="38">
        <f ca="1">IFERROR(SUM(M623:M634),"")</f>
        <v>0.96718715277287004</v>
      </c>
      <c r="N635" s="36" t="s">
        <v>233</v>
      </c>
      <c r="O635" s="77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77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91</v>
      </c>
      <c r="G649" s="40">
        <f>G635+G648</f>
        <v>382.2</v>
      </c>
      <c r="H649" s="41"/>
      <c r="I649" s="41"/>
      <c r="J649" s="41"/>
      <c r="K649" s="41"/>
      <c r="L649" s="41"/>
      <c r="M649" s="42">
        <f ca="1">IFERROR(M635+M648,"")</f>
        <v>0.96718715277287004</v>
      </c>
      <c r="N649" s="40" t="s">
        <v>236</v>
      </c>
      <c r="O649" s="83">
        <f>O635+O648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77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77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620" zoomScale="50" zoomScaleNormal="50" workbookViewId="0">
      <selection activeCell="F634" sqref="F63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4.57031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310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311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233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233</v>
      </c>
      <c r="O27" s="39">
        <v>308500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236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312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233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39">
        <v>124290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236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313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233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298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233</v>
      </c>
      <c r="O81" s="39">
        <v>396340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236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314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233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233</v>
      </c>
      <c r="O108" s="39">
        <v>41230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236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233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273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233</v>
      </c>
      <c r="O135" s="39">
        <v>381250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236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315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275</v>
      </c>
      <c r="K141" s="29">
        <v>0.71597222222222223</v>
      </c>
      <c r="L141" s="29" t="s">
        <v>316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233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317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277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233</v>
      </c>
      <c r="O162" s="39">
        <v>337120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236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318</v>
      </c>
      <c r="N166" s="27" t="s">
        <v>319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233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233</v>
      </c>
      <c r="O189" s="39">
        <v>747210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236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320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233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233</v>
      </c>
      <c r="O216" s="39">
        <v>468430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236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233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233</v>
      </c>
      <c r="O243" s="39">
        <v>575930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236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233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321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322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233</v>
      </c>
      <c r="O270" s="39">
        <v>483510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236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233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323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324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233</v>
      </c>
      <c r="O297" s="39">
        <v>487980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236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325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233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326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327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233</v>
      </c>
      <c r="O324" s="39">
        <v>609460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236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257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328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257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298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257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315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257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257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257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257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257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233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233</v>
      </c>
      <c r="O351" s="39">
        <v>437940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236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257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257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233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233</v>
      </c>
      <c r="O378" s="39">
        <v>473310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236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257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257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257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257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257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257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257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257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257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233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233</v>
      </c>
      <c r="O405" s="39">
        <v>507450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236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257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257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257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257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257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257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257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257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257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233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295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233</v>
      </c>
      <c r="O432" s="39">
        <v>229150</v>
      </c>
    </row>
    <row r="433" spans="1:15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236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329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233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233</v>
      </c>
      <c r="O459" s="39">
        <v>409980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236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230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230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230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230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233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233</v>
      </c>
      <c r="O486" s="39">
        <v>341550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236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330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230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233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233</v>
      </c>
      <c r="O513" s="39">
        <v>276610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236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233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331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332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333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233</v>
      </c>
      <c r="O540" s="39">
        <v>194990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236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334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233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335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233</v>
      </c>
      <c r="O567" s="39">
        <v>315860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236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336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233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233</v>
      </c>
      <c r="O594" s="39">
        <v>424930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236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337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0</v>
      </c>
      <c r="G599" s="34">
        <f t="shared" si="132"/>
        <v>0</v>
      </c>
      <c r="H599" s="33" t="s">
        <v>20</v>
      </c>
      <c r="I599" s="33" t="s">
        <v>154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338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233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233</v>
      </c>
      <c r="O621" s="39">
        <v>377360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236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144</v>
      </c>
      <c r="G635" s="36">
        <f>SUM(G623:G634)</f>
        <v>604.79999999999995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233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144</v>
      </c>
      <c r="G649" s="40">
        <f>G635+G648</f>
        <v>604.79999999999995</v>
      </c>
      <c r="H649" s="41"/>
      <c r="I649" s="41"/>
      <c r="J649" s="41"/>
      <c r="K649" s="41"/>
      <c r="L649" s="41"/>
      <c r="M649" s="42">
        <f ca="1">IFERROR(M635+M648,"")</f>
        <v>5.5555555555555358E-3</v>
      </c>
      <c r="N649" s="40" t="s">
        <v>236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620" activePane="bottomLeft" state="frozen"/>
      <selection pane="bottomLeft" activeCell="L629" sqref="L629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63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339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298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233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340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233</v>
      </c>
      <c r="O27" s="39">
        <v>202230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236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341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342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233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233</v>
      </c>
      <c r="O54" s="39">
        <v>473910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236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343</v>
      </c>
      <c r="L58" s="29">
        <v>0.54097222222222219</v>
      </c>
      <c r="M58" s="30" t="str">
        <f t="shared" ca="1" si="13"/>
        <v/>
      </c>
      <c r="N58" s="27" t="s">
        <v>344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233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310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345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346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347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348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233</v>
      </c>
      <c r="O81" s="39">
        <v>565120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236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349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233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233</v>
      </c>
      <c r="O108" s="39">
        <v>558590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236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350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233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351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352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0.51232604166580131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273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0.71163159722135694</v>
      </c>
      <c r="N135" s="36" t="s">
        <v>233</v>
      </c>
      <c r="O135" s="39">
        <v>729290</v>
      </c>
    </row>
    <row r="136" spans="1:18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1.078992708332468</v>
      </c>
      <c r="N136" s="40" t="s">
        <v>236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353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275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233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315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354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233</v>
      </c>
      <c r="O162" s="39">
        <v>697320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236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257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355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233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233</v>
      </c>
      <c r="O189" s="39">
        <v>973580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236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356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357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233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358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233</v>
      </c>
      <c r="O216" s="45">
        <v>1060630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236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359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360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361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233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362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233</v>
      </c>
      <c r="O243" s="39">
        <v>982340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236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363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233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233</v>
      </c>
      <c r="O270" s="39">
        <v>1208450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236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233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233</v>
      </c>
      <c r="O297" s="39">
        <v>1049090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236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364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233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270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233</v>
      </c>
      <c r="O324" s="39">
        <v>1063720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236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257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298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257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257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257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257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257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257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257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257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257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232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233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365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366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233</v>
      </c>
      <c r="O351" s="39">
        <v>696140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236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315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233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257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257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257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367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233</v>
      </c>
      <c r="O378" s="39">
        <v>704750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236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368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355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233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369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370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233</v>
      </c>
      <c r="O405" s="39">
        <v>958130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236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233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371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233</v>
      </c>
      <c r="O432" s="39">
        <v>605220</v>
      </c>
    </row>
    <row r="433" spans="1:17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236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233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309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233</v>
      </c>
      <c r="O459" s="39">
        <v>615330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236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372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373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348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233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233</v>
      </c>
      <c r="O486" s="39">
        <v>1120830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236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348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230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230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230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257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257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257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257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257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233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374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233</v>
      </c>
      <c r="O513" s="39">
        <v>416720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236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375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376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233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233</v>
      </c>
      <c r="O540" s="39">
        <v>404370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236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377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378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379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233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257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380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257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257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257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257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257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233</v>
      </c>
      <c r="O567" s="39">
        <v>499820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236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381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233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257</v>
      </c>
      <c r="F583" s="27">
        <v>5</v>
      </c>
      <c r="G583" s="34">
        <f t="shared" si="129"/>
        <v>21</v>
      </c>
      <c r="H583" s="33" t="s">
        <v>19</v>
      </c>
      <c r="I583" s="33" t="s">
        <v>159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257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257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257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257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257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257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257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233</v>
      </c>
      <c r="O594" s="39">
        <v>572580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236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218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16</v>
      </c>
      <c r="G598" s="28">
        <f t="shared" si="132"/>
        <v>67.2</v>
      </c>
      <c r="H598" s="26" t="s">
        <v>20</v>
      </c>
      <c r="I598" s="26" t="s">
        <v>126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20</v>
      </c>
      <c r="G599" s="34">
        <f t="shared" si="132"/>
        <v>84</v>
      </c>
      <c r="H599" s="33" t="s">
        <v>20</v>
      </c>
      <c r="I599" s="33" t="s">
        <v>154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159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382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233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257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257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233</v>
      </c>
      <c r="O621" s="39">
        <v>414860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236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208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218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10</v>
      </c>
      <c r="G627" s="34">
        <f t="shared" si="138"/>
        <v>42</v>
      </c>
      <c r="H627" s="33" t="s">
        <v>20</v>
      </c>
      <c r="I627" s="33" t="s">
        <v>152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383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218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233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86</v>
      </c>
      <c r="G649" s="40">
        <f>G635+G648</f>
        <v>361.20000000000005</v>
      </c>
      <c r="H649" s="41"/>
      <c r="I649" s="41"/>
      <c r="J649" s="41"/>
      <c r="K649" s="63"/>
      <c r="L649" s="63"/>
      <c r="M649" s="42">
        <f ca="1">IFERROR(M635+M648,"")</f>
        <v>0.17638888888888898</v>
      </c>
      <c r="N649" s="40" t="s">
        <v>236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2026-07-24T22:17:15Z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