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27" documentId="13_ncr:1_{0A10D8D4-8450-4366-8075-B53B08E6B7EA}" xr6:coauthVersionLast="47" xr6:coauthVersionMax="47" xr10:uidLastSave="{4F300DBE-6B39-45C7-A473-E094E5C1B68F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<sst xmlns="http://schemas.openxmlformats.org/spreadsheetml/2006/main" count="7696" uniqueCount="366">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</sst>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K442" sqref="K44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50</v>
      </c>
      <c r="G459" s="36">
        <f>SUM(G447:G458)</f>
        <v>250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218</v>
      </c>
      <c r="G460" s="40">
        <f>G446+G459</f>
        <v>1090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8" sqref="G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0.74728993055032333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0.88617881943921217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0.97090104166143454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/>
      <c r="M447" s="33"/>
      <c r="N447" s="33"/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8" sqref="G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47" sqref="N4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59</v>
      </c>
      <c r="N447" s="33" t="s">
        <v>69</v>
      </c>
      <c r="O447" s="29">
        <v>0.86805555555555558</v>
      </c>
      <c r="P447" s="29"/>
      <c r="Q447" s="35">
        <f t="shared" ref="Q447:Q458" ca="1" si="112">IFERROR(IF(O447="","",IF(P447="",MOD(NOW()-O447,1),IF(P447&gt;=O447,P447-O447,P447+1-O447))),"")</f>
        <v>7.6215277658775449E-4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7.6215277658775449E-4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3.6873263887698848E-2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2026-08-18T00:51:18Z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