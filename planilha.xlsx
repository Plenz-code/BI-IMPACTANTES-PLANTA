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160" documentId="8_{AF585B22-221D-4780-BB9C-493D365A6A02}" xr6:coauthVersionLast="47" xr6:coauthVersionMax="47" xr10:uidLastSave="{28786F94-1B59-463F-87FE-54520526C870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<sst xmlns="http://schemas.openxmlformats.org/spreadsheetml/2006/main" count="6342" uniqueCount="321">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</sst>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J381" sqref="J38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4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4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4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4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4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4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4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4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4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4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4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4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4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4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4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4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4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4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4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4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4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4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4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4"/>
      <c r="I54" s="16"/>
      <c r="J54" s="16"/>
      <c r="K54" s="16" t="s">
        <v>196</v>
      </c>
      <c r="L54" s="16"/>
      <c r="M54" s="16"/>
    </row>
    <row r="55" spans="1:13" ht="15" customHeight="1">
      <c r="H55" s="104"/>
      <c r="I55" s="17"/>
      <c r="J55" s="17"/>
      <c r="K55" s="17" t="s">
        <v>197</v>
      </c>
      <c r="L55" s="17"/>
      <c r="M55" s="17"/>
    </row>
    <row r="56" spans="1:13" ht="15" customHeight="1">
      <c r="H56" s="104"/>
      <c r="I56" s="16"/>
      <c r="J56" s="16"/>
      <c r="K56" s="16" t="s">
        <v>198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199</v>
      </c>
      <c r="L58" s="16"/>
      <c r="M58" s="16"/>
    </row>
    <row r="59" spans="1:13" ht="15" customHeight="1">
      <c r="H59" s="104"/>
      <c r="I59" s="17"/>
      <c r="J59" s="17"/>
      <c r="K59" s="17" t="s">
        <v>200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201</v>
      </c>
      <c r="L61" s="17"/>
      <c r="M61" s="17"/>
    </row>
    <row r="62" spans="1:13" ht="15" customHeight="1">
      <c r="H62" s="104"/>
      <c r="I62" s="16"/>
      <c r="J62" s="16"/>
      <c r="K62" s="16" t="s">
        <v>202</v>
      </c>
      <c r="L62" s="16"/>
      <c r="M62" s="16"/>
    </row>
    <row r="63" spans="1:13" ht="15" customHeight="1">
      <c r="H63" s="104"/>
      <c r="I63" s="17"/>
      <c r="J63" s="17"/>
      <c r="K63" s="17" t="s">
        <v>203</v>
      </c>
      <c r="L63" s="17"/>
      <c r="M63" s="17"/>
    </row>
    <row r="64" spans="1:13" ht="15" customHeight="1">
      <c r="H64" s="104"/>
      <c r="I64" s="16"/>
      <c r="J64" s="16"/>
      <c r="K64" s="16" t="s">
        <v>204</v>
      </c>
      <c r="L64" s="16"/>
      <c r="M64" s="16"/>
    </row>
    <row r="65" spans="8:13" ht="15" customHeight="1">
      <c r="H65" s="104"/>
      <c r="I65" s="17"/>
      <c r="J65" s="17"/>
      <c r="K65" s="17" t="s">
        <v>205</v>
      </c>
      <c r="L65" s="17"/>
      <c r="M65" s="17"/>
    </row>
    <row r="66" spans="8:13" ht="15" customHeight="1">
      <c r="H66" s="104"/>
      <c r="I66" s="16"/>
      <c r="J66" s="16"/>
      <c r="K66" s="16" t="s">
        <v>206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65" activePane="bottomLeft" state="frozen"/>
      <selection pane="bottomLeft" activeCell="F384" sqref="F38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217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221</v>
      </c>
      <c r="O27" s="39">
        <v>1183060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221</v>
      </c>
      <c r="O54" s="39">
        <v>959290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221</v>
      </c>
      <c r="O81" s="39">
        <v>878050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221</v>
      </c>
      <c r="O108" s="39">
        <v>1700000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221</v>
      </c>
      <c r="O135" s="39">
        <v>862330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221</v>
      </c>
      <c r="O162" s="44">
        <v>1546080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221</v>
      </c>
      <c r="O189" s="39">
        <v>2355810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221</v>
      </c>
      <c r="O216" s="45">
        <v>2013260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224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221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221</v>
      </c>
      <c r="O243" s="39">
        <v>1545480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224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221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221</v>
      </c>
      <c r="O270" s="39">
        <v>1182690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224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221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231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232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232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232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232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232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232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232</v>
      </c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221</v>
      </c>
      <c r="O297" s="39">
        <v>1843460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224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233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234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221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235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235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235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235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235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221</v>
      </c>
      <c r="O324" s="39">
        <v>1940000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224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221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221</v>
      </c>
      <c r="O351" s="39">
        <v>701874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224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237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221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221</v>
      </c>
      <c r="O378" s="39">
        <v>1088710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224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205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238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218</v>
      </c>
      <c r="F382" s="27">
        <v>30</v>
      </c>
      <c r="G382" s="28">
        <f t="shared" si="84"/>
        <v>150</v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218</v>
      </c>
      <c r="F383" s="27">
        <v>20</v>
      </c>
      <c r="G383" s="34">
        <f t="shared" si="84"/>
        <v>100</v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218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218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218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218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218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218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218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218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110</v>
      </c>
      <c r="G392" s="36">
        <f>SUM(G380:G391)</f>
        <v>550</v>
      </c>
      <c r="H392" s="37"/>
      <c r="I392" s="37"/>
      <c r="J392" s="37"/>
      <c r="K392" s="37"/>
      <c r="L392" s="37"/>
      <c r="M392" s="38">
        <f ca="1">IFERROR(SUM(M380:M391),"")</f>
        <v>2.0833333333333315E-2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110</v>
      </c>
      <c r="G406" s="40">
        <f>G392+G405</f>
        <v>550</v>
      </c>
      <c r="H406" s="41"/>
      <c r="I406" s="41"/>
      <c r="J406" s="41"/>
      <c r="K406" s="41"/>
      <c r="L406" s="41"/>
      <c r="M406" s="42">
        <f ca="1">IFERROR(M392+M405,"")</f>
        <v>2.0833333333333315E-2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59" t="s">
        <v>218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63" activePane="bottomLeft" state="frozen"/>
      <selection pane="bottomLeft" activeCell="J382" sqref="J38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239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221</v>
      </c>
      <c r="O27" s="78">
        <v>393200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239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85">
        <v>276360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239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221</v>
      </c>
      <c r="O81" s="54">
        <v>787860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221</v>
      </c>
      <c r="O108" s="54">
        <v>1087080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221</v>
      </c>
      <c r="O135" s="54">
        <v>794480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221</v>
      </c>
      <c r="O162" s="54">
        <v>882280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221</v>
      </c>
      <c r="O189" s="78"/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221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256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257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221</v>
      </c>
      <c r="O216" s="78">
        <v>648410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224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259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220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221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239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239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254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221</v>
      </c>
      <c r="O243" s="78">
        <v>849060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224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261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221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221</v>
      </c>
      <c r="O270" s="78">
        <v>625070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224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262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263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221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221</v>
      </c>
      <c r="O297" s="78">
        <v>761660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224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265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239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221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266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221</v>
      </c>
      <c r="O324" s="78">
        <v>524410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224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239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239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221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269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270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221</v>
      </c>
      <c r="O351" s="78">
        <v>598420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224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221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239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0.25779965277615702</v>
      </c>
      <c r="N377" s="46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0.4154385416650459</v>
      </c>
      <c r="N378" s="36" t="s">
        <v>221</v>
      </c>
      <c r="O378" s="78">
        <v>511980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0.52516076388726807</v>
      </c>
      <c r="N379" s="40" t="s">
        <v>224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155</v>
      </c>
      <c r="J380" s="26" t="s">
        <v>117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239</v>
      </c>
      <c r="F381" s="27">
        <v>15</v>
      </c>
      <c r="G381" s="34">
        <f t="shared" si="84"/>
        <v>63</v>
      </c>
      <c r="H381" s="33" t="s">
        <v>18</v>
      </c>
      <c r="I381" s="33" t="s">
        <v>116</v>
      </c>
      <c r="J381" s="33" t="s">
        <v>206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191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/>
      <c r="M383" s="35">
        <f t="shared" ca="1" si="85"/>
        <v>3.9049652776157018E-2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239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239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239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239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239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239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239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239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49</v>
      </c>
      <c r="G392" s="36">
        <f>SUM(G380:G391)</f>
        <v>205.8</v>
      </c>
      <c r="H392" s="37"/>
      <c r="I392" s="37"/>
      <c r="J392" s="37"/>
      <c r="K392" s="37"/>
      <c r="L392" s="37"/>
      <c r="M392" s="38">
        <f ca="1">IFERROR(SUM(M380:M391),"")</f>
        <v>0.11543854166504586</v>
      </c>
      <c r="N392" s="36" t="s">
        <v>221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78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49</v>
      </c>
      <c r="G406" s="40">
        <f>G392+G405</f>
        <v>205.8</v>
      </c>
      <c r="H406" s="41"/>
      <c r="I406" s="41"/>
      <c r="J406" s="41"/>
      <c r="K406" s="41"/>
      <c r="L406" s="41"/>
      <c r="M406" s="42">
        <f ca="1">IFERROR(M392+M405,"")</f>
        <v>0.11543854166504586</v>
      </c>
      <c r="N406" s="40" t="s">
        <v>224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78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78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78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78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78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78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78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78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78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78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78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78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84" sqref="F38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221</v>
      </c>
      <c r="O27" s="39">
        <v>308500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39">
        <v>124290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221</v>
      </c>
      <c r="O81" s="39">
        <v>396340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221</v>
      </c>
      <c r="O108" s="39">
        <v>41230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221</v>
      </c>
      <c r="O135" s="39">
        <v>381250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277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253</v>
      </c>
      <c r="K141" s="29">
        <v>0.71597222222222223</v>
      </c>
      <c r="L141" s="29" t="s">
        <v>278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221</v>
      </c>
      <c r="O162" s="39">
        <v>337120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280</v>
      </c>
      <c r="N166" s="27" t="s">
        <v>281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221</v>
      </c>
      <c r="O189" s="39">
        <v>747210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221</v>
      </c>
      <c r="O216" s="39">
        <v>468430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224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221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221</v>
      </c>
      <c r="O243" s="39">
        <v>575930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224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221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221</v>
      </c>
      <c r="O270" s="39">
        <v>483510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224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221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221</v>
      </c>
      <c r="O297" s="39">
        <v>487980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224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221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221</v>
      </c>
      <c r="O324" s="39">
        <v>609460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224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277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221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239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221</v>
      </c>
      <c r="O351" s="39">
        <v>437940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224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221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221</v>
      </c>
      <c r="O378" s="39">
        <v>473310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224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239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239</v>
      </c>
      <c r="F381" s="27">
        <v>6</v>
      </c>
      <c r="G381" s="34">
        <f>IF(F381="","",IF(E382="PC 17",F381*4.2,IF(E382="PC 19",F381*5,"")))</f>
        <v>25.200000000000003</v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239</v>
      </c>
      <c r="F382" s="27">
        <v>15</v>
      </c>
      <c r="G382" s="28">
        <v>63</v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239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239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239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239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239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239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46</v>
      </c>
      <c r="E389" s="59" t="s">
        <v>239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46</v>
      </c>
      <c r="E390" s="59" t="s">
        <v>239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46</v>
      </c>
      <c r="E391" s="59" t="s">
        <v>239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33</v>
      </c>
      <c r="G392" s="36">
        <f>SUM(G380:G391)</f>
        <v>138.6</v>
      </c>
      <c r="H392" s="37"/>
      <c r="I392" s="37"/>
      <c r="J392" s="37"/>
      <c r="K392" s="37"/>
      <c r="L392" s="37"/>
      <c r="M392" s="38">
        <f ca="1">IFERROR(SUM(M380:M391),"")</f>
        <v>7.6388888888889173E-3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33</v>
      </c>
      <c r="G406" s="40">
        <f>G392+G405</f>
        <v>138.6</v>
      </c>
      <c r="H406" s="41"/>
      <c r="I406" s="41"/>
      <c r="J406" s="41"/>
      <c r="K406" s="41"/>
      <c r="L406" s="41"/>
      <c r="M406" s="42">
        <f ca="1">IFERROR(M392+M405,"")</f>
        <v>7.6388888888889173E-3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64" activePane="bottomLeft" state="frozen"/>
      <selection pane="bottomLeft" activeCell="N383" sqref="N38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239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221</v>
      </c>
      <c r="O27" s="39">
        <v>202230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239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239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221</v>
      </c>
      <c r="O54" s="39">
        <v>473910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295</v>
      </c>
      <c r="L58" s="29">
        <v>0.54097222222222219</v>
      </c>
      <c r="M58" s="30" t="str">
        <f t="shared" ca="1" si="13"/>
        <v/>
      </c>
      <c r="N58" s="27" t="s">
        <v>296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239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239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221</v>
      </c>
      <c r="O81" s="39">
        <v>565120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221</v>
      </c>
      <c r="O108" s="39">
        <v>558590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0.24807743055862375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0.44738298611417937</v>
      </c>
      <c r="N135" s="36" t="s">
        <v>221</v>
      </c>
      <c r="O135" s="39">
        <v>729290</v>
      </c>
    </row>
    <row r="136" spans="1:18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0.8147440972252904</v>
      </c>
      <c r="N136" s="40" t="s">
        <v>224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277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221</v>
      </c>
      <c r="O162" s="39">
        <v>697320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239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239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239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239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221</v>
      </c>
      <c r="O189" s="39">
        <v>973580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239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239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239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221</v>
      </c>
      <c r="O216" s="45">
        <v>1060630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224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239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239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221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239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221</v>
      </c>
      <c r="O243" s="39">
        <v>982340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224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239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239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221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239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221</v>
      </c>
      <c r="O270" s="39">
        <v>1208450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224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239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221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239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221</v>
      </c>
      <c r="O297" s="39">
        <v>1049090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224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239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221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239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248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239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239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221</v>
      </c>
      <c r="O324" s="39">
        <v>1063720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224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239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275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220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221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239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239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318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221</v>
      </c>
      <c r="O351" s="39">
        <v>696140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224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277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239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220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221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221</v>
      </c>
      <c r="O378" s="39">
        <v>704750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224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320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/>
      <c r="M382" s="30">
        <f t="shared" ca="1" si="85"/>
        <v>0.1084940972214099</v>
      </c>
      <c r="N382" s="27" t="s">
        <v>307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239</v>
      </c>
      <c r="F383" s="27">
        <v>0</v>
      </c>
      <c r="G383" s="34">
        <f t="shared" si="84"/>
        <v>0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239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239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239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239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239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239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239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239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30</v>
      </c>
      <c r="G392" s="36">
        <f>SUM(G380:G391)</f>
        <v>126</v>
      </c>
      <c r="H392" s="37"/>
      <c r="I392" s="37"/>
      <c r="J392" s="37"/>
      <c r="K392" s="61"/>
      <c r="L392" s="61"/>
      <c r="M392" s="38">
        <f ca="1">IFERROR(SUM(M380:M391),"")</f>
        <v>0.13904965277696546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30</v>
      </c>
      <c r="G406" s="40">
        <f>G392+G405</f>
        <v>126</v>
      </c>
      <c r="H406" s="41"/>
      <c r="I406" s="41"/>
      <c r="J406" s="41"/>
      <c r="K406" s="63"/>
      <c r="L406" s="63"/>
      <c r="M406" s="42">
        <f ca="1">IFERROR(M392+M405,"")</f>
        <v>0.13904965277696546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221</v>
      </c>
      <c r="O432" s="39"/>
    </row>
    <row r="433" spans="1:17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2026-07-15T15:58:16Z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