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47" documentId="8_{AF585B22-221D-4780-BB9C-493D365A6A02}" xr6:coauthVersionLast="47" xr6:coauthVersionMax="47" xr10:uidLastSave="{4788BF5B-E5DE-4C1C-A2F5-7F7E2FD3E75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<sst xmlns="http://schemas.openxmlformats.org/spreadsheetml/2006/main" count="10017" uniqueCount="391">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</sst>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1447290</v>
      </c>
      <c r="E28" s="8">
        <f>IFERROR('Linha 2'!O676,"")</f>
        <v>580830</v>
      </c>
      <c r="F28" s="8">
        <f>IFERROR('Linha 3'!O676,"")</f>
        <v>0</v>
      </c>
      <c r="G28" s="9">
        <f t="shared" si="0"/>
        <v>2028120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30928980</v>
      </c>
      <c r="E35" s="13">
        <f>IFERROR(SUM(E4:E34),"")</f>
        <v>17644600</v>
      </c>
      <c r="F35" s="13">
        <f>IFERROR(SUM(F4:F34),"")</f>
        <v>31043010</v>
      </c>
      <c r="G35" s="13">
        <f>IFERROR(SUM(G4:G34),"")</f>
        <v>79616590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O663" sqref="O6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0.53228495370422024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0.68992384259310913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0.79964606481533129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0.51075717592902947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0.68159050926236286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0.82672939815125179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4.0618287042889278E-2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0.17325717593177831</v>
      </c>
      <c r="N662" s="36" t="s">
        <v>233</v>
      </c>
      <c r="O662" s="77">
        <v>1447290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0.17325717593177831</v>
      </c>
      <c r="N676" s="40" t="s">
        <v>236</v>
      </c>
      <c r="O676" s="83">
        <f>IFERROR(O662+O675,"")</f>
        <v>1447290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O663" sqref="O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580830</v>
      </c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580830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2" sqref="F6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0.52256273148668697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0.7218682870422426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1.0892293981533536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0.48020162037573755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0.48020162037573755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0.48020162037573755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2026-07-25T22:32:01Z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