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266" documentId="8_{1D11E9C4-FEA4-4128-910F-91CB6BBF9255}" xr6:coauthVersionLast="47" xr6:coauthVersionMax="47" xr10:uidLastSave="{2F394C1E-09B3-4682-9D1A-BB80CFA645CA}"/>
  <bookViews>
    <workbookView xWindow="-110" yWindow="-110" windowWidth="25820" windowHeight="15500" tabRatio="500" firstSheet="3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06" i="3" l="1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F728" i="3"/>
  <c r="L727" i="3"/>
  <c r="F727" i="3"/>
  <c r="L726" i="3"/>
  <c r="F726" i="3"/>
  <c r="L725" i="3"/>
  <c r="F725" i="3"/>
  <c r="L724" i="3"/>
  <c r="F724" i="3"/>
  <c r="L723" i="3"/>
  <c r="F723" i="3"/>
  <c r="L722" i="3"/>
  <c r="F722" i="3"/>
  <c r="L721" i="3"/>
  <c r="F721" i="3"/>
  <c r="L720" i="3"/>
  <c r="F720" i="3"/>
  <c r="L719" i="3"/>
  <c r="F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<sst xmlns="http://schemas.openxmlformats.org/spreadsheetml/2006/main" count="7907" uniqueCount="359">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</sst>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5.35" customHeight="1">
      <c r="A2" s="93"/>
      <c r="B2" s="9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623640</v>
      </c>
      <c r="D30" s="49">
        <f>IFERROR('Linha 1'!N730,"")</f>
        <v>670160</v>
      </c>
      <c r="E30" s="49">
        <f>IFERROR('Linha 2'!N730,"")</f>
        <v>261740</v>
      </c>
      <c r="F30" s="49">
        <f>IFERROR('Linha 3'!N730,"")</f>
        <v>533420</v>
      </c>
      <c r="G30" s="50">
        <f t="shared" si="0"/>
        <v>1465320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94" t="s">
        <v>9</v>
      </c>
      <c r="B34" s="94"/>
      <c r="C34" s="55">
        <f t="shared" ref="C34:G34" si="1">IFERROR(SUM(C4:C33),"")</f>
        <v>45239230</v>
      </c>
      <c r="D34" s="55">
        <f t="shared" si="1"/>
        <v>22912580</v>
      </c>
      <c r="E34" s="55">
        <f t="shared" si="1"/>
        <v>8834340</v>
      </c>
      <c r="F34" s="55">
        <f t="shared" si="1"/>
        <v>25467345</v>
      </c>
      <c r="G34" s="55">
        <f t="shared" si="1"/>
        <v>57214265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9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9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9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9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9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9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9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9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9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9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9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9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9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9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9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9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9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9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9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9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9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9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9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9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9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9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9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9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9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9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9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9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9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9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9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9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9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9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9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9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9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9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9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9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9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96"/>
      <c r="I48" s="3"/>
      <c r="J48" s="3"/>
      <c r="K48" s="3" t="s">
        <v>173</v>
      </c>
      <c r="L48" s="3"/>
      <c r="M48" s="3"/>
    </row>
    <row r="49" spans="1:13" ht="18" customHeight="1">
      <c r="H49" s="9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96"/>
      <c r="I50" s="3"/>
      <c r="J50" s="3"/>
      <c r="K50" s="3"/>
      <c r="L50" s="3"/>
      <c r="M50" s="3"/>
    </row>
    <row r="51" spans="1:13" ht="24" customHeight="1">
      <c r="H51" s="96"/>
      <c r="I51" s="4"/>
      <c r="J51" s="4"/>
      <c r="K51" s="4"/>
      <c r="L51" s="4"/>
      <c r="M51" s="4"/>
    </row>
    <row r="52" spans="1:13" ht="24" customHeight="1">
      <c r="H52" s="96"/>
      <c r="I52" s="3"/>
      <c r="J52" s="3"/>
      <c r="K52" s="3"/>
      <c r="L52" s="3"/>
      <c r="M52" s="3"/>
    </row>
    <row r="53" spans="1:13" ht="36" customHeight="1">
      <c r="H53" s="96"/>
      <c r="I53" s="4"/>
      <c r="J53" s="4"/>
      <c r="K53" s="4"/>
      <c r="L53" s="4"/>
      <c r="M53" s="4"/>
    </row>
    <row r="54" spans="1:13" ht="15" customHeight="1">
      <c r="H54" s="96"/>
      <c r="I54" s="3"/>
      <c r="J54" s="3"/>
      <c r="K54" s="3"/>
      <c r="L54" s="3"/>
      <c r="M54" s="3"/>
    </row>
    <row r="55" spans="1:13" ht="15" customHeight="1">
      <c r="H55" s="96"/>
      <c r="I55" s="4"/>
      <c r="J55" s="4"/>
      <c r="K55" s="4"/>
      <c r="L55" s="4"/>
      <c r="M55" s="4"/>
    </row>
    <row r="56" spans="1:13" ht="15" customHeight="1">
      <c r="H56" s="96"/>
      <c r="I56" s="3"/>
      <c r="J56" s="3"/>
      <c r="K56" s="3"/>
      <c r="L56" s="3"/>
      <c r="M56" s="3"/>
    </row>
    <row r="57" spans="1:13" ht="15" customHeight="1">
      <c r="H57" s="96"/>
      <c r="I57" s="4"/>
      <c r="J57" s="4"/>
      <c r="K57" s="4"/>
      <c r="L57" s="4"/>
      <c r="M57" s="4"/>
    </row>
    <row r="58" spans="1:13" ht="15" customHeight="1">
      <c r="H58" s="96"/>
      <c r="I58" s="3"/>
      <c r="J58" s="3"/>
      <c r="K58" s="3"/>
      <c r="L58" s="3"/>
      <c r="M58" s="3"/>
    </row>
    <row r="59" spans="1:13" ht="15" customHeight="1">
      <c r="H59" s="96"/>
      <c r="I59" s="4"/>
      <c r="J59" s="4"/>
      <c r="K59" s="4"/>
      <c r="L59" s="4"/>
      <c r="M59" s="4"/>
    </row>
    <row r="60" spans="1:13" ht="15" customHeight="1">
      <c r="H60" s="96"/>
      <c r="I60" s="3"/>
      <c r="J60" s="3"/>
      <c r="K60" s="3"/>
      <c r="L60" s="3"/>
      <c r="M60" s="3"/>
    </row>
    <row r="61" spans="1:13" ht="15" customHeight="1">
      <c r="H61" s="96"/>
      <c r="I61" s="4"/>
      <c r="J61" s="4"/>
      <c r="K61" s="4"/>
      <c r="L61" s="4"/>
      <c r="M61" s="4"/>
    </row>
    <row r="62" spans="1:13" ht="15" customHeight="1">
      <c r="H62" s="96"/>
      <c r="I62" s="3"/>
      <c r="J62" s="3"/>
      <c r="K62" s="3"/>
      <c r="L62" s="3"/>
      <c r="M62" s="3"/>
    </row>
    <row r="63" spans="1:13" ht="15" customHeight="1">
      <c r="H63" s="96"/>
      <c r="I63" s="4"/>
      <c r="J63" s="4"/>
      <c r="K63" s="4"/>
      <c r="L63" s="4"/>
      <c r="M63" s="4"/>
    </row>
    <row r="64" spans="1:13" ht="15" customHeight="1">
      <c r="H64" s="96"/>
      <c r="I64" s="3"/>
      <c r="J64" s="3"/>
      <c r="K64" s="3"/>
      <c r="L64" s="3"/>
      <c r="M64" s="3"/>
    </row>
    <row r="65" spans="8:13" ht="15" customHeight="1">
      <c r="H65" s="96"/>
      <c r="I65" s="4"/>
      <c r="J65" s="4"/>
      <c r="K65" s="4"/>
      <c r="L65" s="4"/>
      <c r="M65" s="4"/>
    </row>
    <row r="66" spans="8:13" ht="15" customHeight="1">
      <c r="H66" s="96"/>
      <c r="I66" s="3"/>
      <c r="J66" s="3"/>
      <c r="K66" s="3"/>
      <c r="L66" s="3"/>
      <c r="M66" s="3"/>
    </row>
    <row r="67" spans="8:13" ht="15" customHeight="1">
      <c r="H67" s="96"/>
      <c r="I67" s="4"/>
      <c r="J67" s="4"/>
      <c r="K67" s="4"/>
      <c r="L67" s="4"/>
      <c r="M67" s="4"/>
    </row>
    <row r="68" spans="8:13" ht="15" customHeight="1">
      <c r="H68" s="96"/>
      <c r="I68" s="3"/>
      <c r="J68" s="3"/>
      <c r="K68" s="3"/>
      <c r="L68" s="3"/>
      <c r="M68" s="3"/>
    </row>
    <row r="69" spans="8:13" ht="15" customHeight="1">
      <c r="H69" s="96"/>
      <c r="I69" s="4"/>
      <c r="J69" s="4"/>
      <c r="K69" s="4"/>
      <c r="L69" s="4"/>
      <c r="M69" s="4"/>
    </row>
    <row r="70" spans="8:13" ht="15" customHeight="1">
      <c r="H70" s="96"/>
      <c r="I70" s="3"/>
      <c r="J70" s="3"/>
      <c r="K70" s="3"/>
      <c r="L70" s="3"/>
      <c r="M70" s="3"/>
    </row>
    <row r="71" spans="8:13" ht="15" customHeight="1">
      <c r="H71" s="96"/>
      <c r="I71" s="4"/>
      <c r="J71" s="4"/>
      <c r="K71" s="4"/>
      <c r="L71" s="4"/>
      <c r="M71" s="4"/>
    </row>
    <row r="72" spans="8:13" ht="15" customHeight="1">
      <c r="H72" s="96"/>
      <c r="I72" s="3"/>
      <c r="J72" s="3"/>
      <c r="K72" s="3"/>
      <c r="L72" s="3"/>
      <c r="M72" s="3"/>
    </row>
    <row r="73" spans="8:13" ht="15" customHeight="1">
      <c r="H73" s="96"/>
      <c r="I73" s="4"/>
      <c r="J73" s="4"/>
      <c r="K73" s="4"/>
      <c r="L73" s="4"/>
      <c r="M73" s="4"/>
    </row>
    <row r="74" spans="8:13" ht="15" customHeight="1">
      <c r="H74" s="96"/>
      <c r="I74" s="3"/>
      <c r="J74" s="3"/>
      <c r="K74" s="3"/>
      <c r="L74" s="3"/>
      <c r="M74" s="3"/>
    </row>
    <row r="75" spans="8:13" ht="15" customHeight="1">
      <c r="H75" s="9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10" activePane="bottomLeft" state="frozen"/>
      <selection pane="bottomLeft" activeCell="E718" sqref="E718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8" t="s">
        <v>186</v>
      </c>
      <c r="B14" s="98"/>
      <c r="C14" s="98"/>
      <c r="D14" s="9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8" t="s">
        <v>188</v>
      </c>
      <c r="B27" s="98"/>
      <c r="C27" s="98"/>
      <c r="D27" s="9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8" t="s">
        <v>186</v>
      </c>
      <c r="B41" s="98"/>
      <c r="C41" s="98"/>
      <c r="D41" s="9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8" t="s">
        <v>188</v>
      </c>
      <c r="B54" s="98"/>
      <c r="C54" s="98"/>
      <c r="D54" s="9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8" t="s">
        <v>186</v>
      </c>
      <c r="B68" s="98"/>
      <c r="C68" s="98"/>
      <c r="D68" s="9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8" t="s">
        <v>188</v>
      </c>
      <c r="B81" s="98"/>
      <c r="C81" s="98"/>
      <c r="D81" s="9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8" t="s">
        <v>186</v>
      </c>
      <c r="B95" s="98"/>
      <c r="C95" s="98"/>
      <c r="D95" s="9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8" t="s">
        <v>188</v>
      </c>
      <c r="B108" s="98"/>
      <c r="C108" s="98"/>
      <c r="D108" s="9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8" t="s">
        <v>186</v>
      </c>
      <c r="B122" s="98"/>
      <c r="C122" s="98"/>
      <c r="D122" s="9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8" t="s">
        <v>188</v>
      </c>
      <c r="B135" s="98"/>
      <c r="C135" s="98"/>
      <c r="D135" s="9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8" t="s">
        <v>186</v>
      </c>
      <c r="B149" s="98"/>
      <c r="C149" s="98"/>
      <c r="D149" s="9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8" t="s">
        <v>188</v>
      </c>
      <c r="B162" s="98"/>
      <c r="C162" s="98"/>
      <c r="D162" s="9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8" t="s">
        <v>186</v>
      </c>
      <c r="B176" s="98"/>
      <c r="C176" s="98"/>
      <c r="D176" s="9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8" t="s">
        <v>188</v>
      </c>
      <c r="B189" s="98"/>
      <c r="C189" s="98"/>
      <c r="D189" s="9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8" t="s">
        <v>186</v>
      </c>
      <c r="B203" s="98"/>
      <c r="C203" s="98"/>
      <c r="D203" s="9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8" t="s">
        <v>188</v>
      </c>
      <c r="B216" s="98"/>
      <c r="C216" s="98"/>
      <c r="D216" s="9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8" t="s">
        <v>186</v>
      </c>
      <c r="B230" s="98"/>
      <c r="C230" s="98"/>
      <c r="D230" s="9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8" t="s">
        <v>188</v>
      </c>
      <c r="B243" s="98"/>
      <c r="C243" s="98"/>
      <c r="D243" s="9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8" t="s">
        <v>186</v>
      </c>
      <c r="B257" s="98"/>
      <c r="C257" s="98"/>
      <c r="D257" s="9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8" t="s">
        <v>188</v>
      </c>
      <c r="B270" s="98"/>
      <c r="C270" s="98"/>
      <c r="D270" s="9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8" t="s">
        <v>186</v>
      </c>
      <c r="B284" s="98"/>
      <c r="C284" s="98"/>
      <c r="D284" s="9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8" t="s">
        <v>188</v>
      </c>
      <c r="B297" s="98"/>
      <c r="C297" s="98"/>
      <c r="D297" s="9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8" t="s">
        <v>186</v>
      </c>
      <c r="B311" s="98"/>
      <c r="C311" s="98"/>
      <c r="D311" s="9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8" t="s">
        <v>188</v>
      </c>
      <c r="B324" s="98"/>
      <c r="C324" s="98"/>
      <c r="D324" s="9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8" t="s">
        <v>186</v>
      </c>
      <c r="B338" s="98"/>
      <c r="C338" s="98"/>
      <c r="D338" s="9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8" t="s">
        <v>188</v>
      </c>
      <c r="B351" s="98"/>
      <c r="C351" s="98"/>
      <c r="D351" s="9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1" t="s">
        <v>189</v>
      </c>
      <c r="B352" s="91"/>
      <c r="C352" s="91"/>
      <c r="D352" s="91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8" t="s">
        <v>186</v>
      </c>
      <c r="B365" s="98"/>
      <c r="C365" s="98"/>
      <c r="D365" s="9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8" t="s">
        <v>188</v>
      </c>
      <c r="B378" s="98"/>
      <c r="C378" s="98"/>
      <c r="D378" s="9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8" t="s">
        <v>186</v>
      </c>
      <c r="B392" s="98"/>
      <c r="C392" s="98"/>
      <c r="D392" s="9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8" t="s">
        <v>188</v>
      </c>
      <c r="B405" s="98"/>
      <c r="C405" s="98"/>
      <c r="D405" s="9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8" t="s">
        <v>186</v>
      </c>
      <c r="B419" s="98"/>
      <c r="C419" s="98"/>
      <c r="D419" s="9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8" t="s">
        <v>188</v>
      </c>
      <c r="B432" s="98"/>
      <c r="C432" s="98"/>
      <c r="D432" s="9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8" t="s">
        <v>188</v>
      </c>
      <c r="B459" s="98"/>
      <c r="C459" s="98"/>
      <c r="D459" s="9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8" t="s">
        <v>186</v>
      </c>
      <c r="B473" s="98"/>
      <c r="C473" s="98"/>
      <c r="D473" s="9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8" t="s">
        <v>188</v>
      </c>
      <c r="B486" s="98"/>
      <c r="C486" s="98"/>
      <c r="D486" s="9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8" t="s">
        <v>186</v>
      </c>
      <c r="B500" s="98"/>
      <c r="C500" s="98"/>
      <c r="D500" s="9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8" t="s">
        <v>188</v>
      </c>
      <c r="B513" s="98"/>
      <c r="C513" s="98"/>
      <c r="D513" s="9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8" t="s">
        <v>186</v>
      </c>
      <c r="B527" s="98"/>
      <c r="C527" s="98"/>
      <c r="D527" s="9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8" t="s">
        <v>188</v>
      </c>
      <c r="B540" s="98"/>
      <c r="C540" s="98"/>
      <c r="D540" s="9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8" t="s">
        <v>186</v>
      </c>
      <c r="B554" s="98"/>
      <c r="C554" s="98"/>
      <c r="D554" s="9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8" t="s">
        <v>188</v>
      </c>
      <c r="B567" s="98"/>
      <c r="C567" s="98"/>
      <c r="D567" s="9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8" t="s">
        <v>186</v>
      </c>
      <c r="B581" s="98"/>
      <c r="C581" s="98"/>
      <c r="D581" s="9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8" t="s">
        <v>188</v>
      </c>
      <c r="B594" s="98"/>
      <c r="C594" s="98"/>
      <c r="D594" s="9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8" t="s">
        <v>186</v>
      </c>
      <c r="B608" s="98"/>
      <c r="C608" s="98"/>
      <c r="D608" s="9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8" t="s">
        <v>188</v>
      </c>
      <c r="B621" s="98"/>
      <c r="C621" s="98"/>
      <c r="D621" s="9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8" t="s">
        <v>186</v>
      </c>
      <c r="B635" s="98"/>
      <c r="C635" s="98"/>
      <c r="D635" s="9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8" t="s">
        <v>188</v>
      </c>
      <c r="B648" s="98"/>
      <c r="C648" s="98"/>
      <c r="D648" s="9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8" t="s">
        <v>186</v>
      </c>
      <c r="B662" s="98"/>
      <c r="C662" s="98"/>
      <c r="D662" s="9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8" t="s">
        <v>188</v>
      </c>
      <c r="B675" s="98"/>
      <c r="C675" s="98"/>
      <c r="D675" s="9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8" t="s">
        <v>186</v>
      </c>
      <c r="B689" s="98"/>
      <c r="C689" s="98"/>
      <c r="D689" s="9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8" t="s">
        <v>188</v>
      </c>
      <c r="B702" s="98"/>
      <c r="C702" s="98"/>
      <c r="D702" s="9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8" t="s">
        <v>186</v>
      </c>
      <c r="B716" s="98"/>
      <c r="C716" s="98"/>
      <c r="D716" s="9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/>
      <c r="F718" s="12" t="str">
        <f t="shared" si="162"/>
        <v/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8" t="s">
        <v>188</v>
      </c>
      <c r="B729" s="98"/>
      <c r="C729" s="98"/>
      <c r="D729" s="98"/>
      <c r="E729" s="19">
        <f>SUM(E717:E728)</f>
        <v>20</v>
      </c>
      <c r="F729" s="19">
        <f>SUM(F717:F728)</f>
        <v>100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137</v>
      </c>
      <c r="F730" s="22">
        <f>F716+F729</f>
        <v>685</v>
      </c>
      <c r="G730" s="21"/>
      <c r="H730" s="21"/>
      <c r="I730" s="21"/>
      <c r="J730" s="21"/>
      <c r="K730" s="21"/>
      <c r="L730" s="73">
        <f>IFERROR(L716+L729,"")</f>
        <v>0.25138888888888883</v>
      </c>
      <c r="M730" s="22" t="s">
        <v>190</v>
      </c>
      <c r="N730" s="31">
        <f>IFERROR(N716+N729,"")</f>
        <v>623640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8" t="s">
        <v>186</v>
      </c>
      <c r="B743" s="98"/>
      <c r="C743" s="98"/>
      <c r="D743" s="9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98" t="s">
        <v>188</v>
      </c>
      <c r="B756" s="98"/>
      <c r="C756" s="98"/>
      <c r="D756" s="9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98" t="s">
        <v>186</v>
      </c>
      <c r="B770" s="98"/>
      <c r="C770" s="98"/>
      <c r="D770" s="9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8" t="s">
        <v>188</v>
      </c>
      <c r="B783" s="98"/>
      <c r="C783" s="98"/>
      <c r="D783" s="9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8" t="s">
        <v>186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8" t="s">
        <v>188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695" zoomScale="85" zoomScaleNormal="85" workbookViewId="0">
      <selection activeCell="E718" sqref="E71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8" t="s">
        <v>186</v>
      </c>
      <c r="B716" s="109"/>
      <c r="C716" s="109"/>
      <c r="D716" s="110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22</v>
      </c>
      <c r="E717" s="11">
        <v>3</v>
      </c>
      <c r="F717" s="17"/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0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22</v>
      </c>
      <c r="E718" s="11"/>
      <c r="F718" s="12" t="str">
        <f t="shared" ref="F718:F728" si="162">IF(E718="","",E718*4)</f>
        <v/>
      </c>
      <c r="G718" s="10"/>
      <c r="H718" s="10"/>
      <c r="I718" s="10"/>
      <c r="J718" s="13"/>
      <c r="K718" s="13"/>
      <c r="L718" s="70" t="str">
        <f t="shared" si="160"/>
        <v/>
      </c>
      <c r="M718" s="29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22</v>
      </c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0"/>
        <v/>
      </c>
      <c r="M719" s="29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22</v>
      </c>
      <c r="E720" s="11"/>
      <c r="F720" s="12" t="str">
        <f t="shared" si="162"/>
        <v/>
      </c>
      <c r="G720" s="10"/>
      <c r="H720" s="10"/>
      <c r="I720" s="10"/>
      <c r="J720" s="13"/>
      <c r="K720" s="13"/>
      <c r="L720" s="70" t="str">
        <f t="shared" si="160"/>
        <v/>
      </c>
      <c r="M720" s="29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22</v>
      </c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0"/>
        <v/>
      </c>
      <c r="M721" s="29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22</v>
      </c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0"/>
        <v/>
      </c>
      <c r="M722" s="29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22</v>
      </c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0"/>
        <v/>
      </c>
      <c r="M723" s="29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22</v>
      </c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0"/>
        <v/>
      </c>
      <c r="M724" s="29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22</v>
      </c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0"/>
        <v/>
      </c>
      <c r="M725" s="29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22</v>
      </c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0"/>
        <v/>
      </c>
      <c r="M726" s="29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22</v>
      </c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0"/>
        <v/>
      </c>
      <c r="M727" s="29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22</v>
      </c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0"/>
        <v/>
      </c>
      <c r="M728" s="29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3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1.1805555555555514E-2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E717+E729</f>
        <v>6</v>
      </c>
      <c r="F730" s="22">
        <f>F716+F729</f>
        <v>532</v>
      </c>
      <c r="G730" s="21"/>
      <c r="H730" s="21"/>
      <c r="I730" s="21"/>
      <c r="J730" s="21"/>
      <c r="K730" s="21"/>
      <c r="L730" s="73">
        <f>IFERROR(L716+L729,"")</f>
        <v>0.14374999999999988</v>
      </c>
      <c r="M730" s="22" t="s">
        <v>190</v>
      </c>
      <c r="N730" s="31">
        <f>IFERROR(N716+N729,"")</f>
        <v>670160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102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E718" sqref="E71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1" t="s">
        <v>189</v>
      </c>
      <c r="B28" s="91"/>
      <c r="C28" s="91"/>
      <c r="D28" s="91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1" t="s">
        <v>189</v>
      </c>
      <c r="B55" s="91"/>
      <c r="C55" s="91"/>
      <c r="D55" s="91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1" t="s">
        <v>189</v>
      </c>
      <c r="B109" s="91"/>
      <c r="C109" s="91"/>
      <c r="D109" s="91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1" t="s">
        <v>189</v>
      </c>
      <c r="B136" s="91"/>
      <c r="C136" s="91"/>
      <c r="D136" s="91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1" t="s">
        <v>189</v>
      </c>
      <c r="B217" s="91"/>
      <c r="C217" s="91"/>
      <c r="D217" s="91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22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22</v>
      </c>
      <c r="E718" s="11"/>
      <c r="F718" s="12" t="str">
        <f t="shared" si="159"/>
        <v/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22</v>
      </c>
      <c r="E719" s="11"/>
      <c r="F719" s="17" t="str">
        <f t="shared" si="159"/>
        <v/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22</v>
      </c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22</v>
      </c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22</v>
      </c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22</v>
      </c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22</v>
      </c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22</v>
      </c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22</v>
      </c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22</v>
      </c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22</v>
      </c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2</v>
      </c>
      <c r="F729" s="19">
        <f>SUM(F717:F728)</f>
        <v>8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62</v>
      </c>
      <c r="F730" s="22">
        <f>F716+F729</f>
        <v>248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261740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102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102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102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102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102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09" activePane="bottomLeft" state="frozen"/>
      <selection pane="bottomLeft" activeCell="E718" sqref="E718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1" t="s">
        <v>189</v>
      </c>
      <c r="B433" s="91"/>
      <c r="C433" s="91"/>
      <c r="D433" s="91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0" t="s">
        <v>186</v>
      </c>
      <c r="B446" s="90"/>
      <c r="C446" s="90"/>
      <c r="D446" s="9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22</v>
      </c>
      <c r="E717" s="11">
        <v>14</v>
      </c>
      <c r="F717" s="17">
        <f t="shared" ref="F717:F728" si="160">IF(E717="","",E717*4)</f>
        <v>56</v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22</v>
      </c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22</v>
      </c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22</v>
      </c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22</v>
      </c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22</v>
      </c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22</v>
      </c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22</v>
      </c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22</v>
      </c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22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22</v>
      </c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22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14</v>
      </c>
      <c r="F729" s="19">
        <f>SUM(F717:F728)</f>
        <v>56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128</v>
      </c>
      <c r="F730" s="22">
        <f>F716+F729</f>
        <v>512</v>
      </c>
      <c r="G730" s="39"/>
      <c r="H730" s="39"/>
      <c r="I730" s="39"/>
      <c r="J730" s="39"/>
      <c r="K730" s="39"/>
      <c r="L730" s="73">
        <f>IFERROR(L716+L729,"")</f>
        <v>0.11180555555555566</v>
      </c>
      <c r="M730" s="22" t="s">
        <v>190</v>
      </c>
      <c r="N730" s="31">
        <f>IFERROR(N716+N729,"")</f>
        <v>533420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9">
        <v>46203</v>
      </c>
      <c r="B785" s="100">
        <v>0.33333333333333298</v>
      </c>
      <c r="C785" s="67"/>
      <c r="D785" s="101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103">
        <v>46203</v>
      </c>
      <c r="B786" s="104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9">
        <v>46203</v>
      </c>
      <c r="B787" s="100">
        <f t="shared" si="176"/>
        <v>0.41666666666666635</v>
      </c>
      <c r="C787" s="67"/>
      <c r="D787" s="101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103">
        <v>46203</v>
      </c>
      <c r="B788" s="104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9">
        <v>46203</v>
      </c>
      <c r="B789" s="100">
        <f t="shared" si="176"/>
        <v>0.49999999999999972</v>
      </c>
      <c r="C789" s="67"/>
      <c r="D789" s="101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103">
        <v>46203</v>
      </c>
      <c r="B790" s="104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9">
        <v>46203</v>
      </c>
      <c r="B791" s="100">
        <f t="shared" si="176"/>
        <v>0.58333333333333304</v>
      </c>
      <c r="C791" s="67"/>
      <c r="D791" s="101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103">
        <v>46203</v>
      </c>
      <c r="B792" s="104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9">
        <v>46203</v>
      </c>
      <c r="B793" s="100">
        <f t="shared" si="176"/>
        <v>0.6666666666666663</v>
      </c>
      <c r="C793" s="67"/>
      <c r="D793" s="101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103">
        <v>46203</v>
      </c>
      <c r="B794" s="104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9">
        <v>46203</v>
      </c>
      <c r="B795" s="100">
        <f t="shared" si="176"/>
        <v>0.74999999999999956</v>
      </c>
      <c r="C795" s="67"/>
      <c r="D795" s="101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103">
        <v>46203</v>
      </c>
      <c r="B796" s="104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6" t="s">
        <v>186</v>
      </c>
      <c r="B797" s="106"/>
      <c r="C797" s="106"/>
      <c r="D797" s="106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103">
        <v>46203</v>
      </c>
      <c r="B798" s="104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9">
        <v>46203</v>
      </c>
      <c r="B799" s="100">
        <f t="shared" ref="B799:B809" si="178">B798+TIME(0,60,0)</f>
        <v>0.87499999999999967</v>
      </c>
      <c r="C799" s="67"/>
      <c r="D799" s="101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103">
        <v>46203</v>
      </c>
      <c r="B800" s="104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9">
        <v>46203</v>
      </c>
      <c r="B801" s="100">
        <f t="shared" si="178"/>
        <v>0.95833333333333293</v>
      </c>
      <c r="C801" s="67"/>
      <c r="D801" s="101"/>
      <c r="E801" s="11"/>
      <c r="F801" s="102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103">
        <v>46203</v>
      </c>
      <c r="B802" s="104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9">
        <v>46203</v>
      </c>
      <c r="B803" s="100">
        <f t="shared" si="178"/>
        <v>1.0416666666666663</v>
      </c>
      <c r="C803" s="67"/>
      <c r="D803" s="101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103">
        <v>46203</v>
      </c>
      <c r="B804" s="104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9">
        <v>46203</v>
      </c>
      <c r="B805" s="100">
        <f t="shared" si="178"/>
        <v>1.1249999999999998</v>
      </c>
      <c r="C805" s="67"/>
      <c r="D805" s="101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103">
        <v>46203</v>
      </c>
      <c r="B806" s="104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9">
        <v>46203</v>
      </c>
      <c r="B807" s="100">
        <f t="shared" si="178"/>
        <v>1.2083333333333333</v>
      </c>
      <c r="C807" s="67"/>
      <c r="D807" s="101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103">
        <v>46203</v>
      </c>
      <c r="B808" s="104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9">
        <v>46203</v>
      </c>
      <c r="B809" s="100">
        <f t="shared" si="178"/>
        <v>1.2916666666666667</v>
      </c>
      <c r="C809" s="67"/>
      <c r="D809" s="101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6" t="s">
        <v>188</v>
      </c>
      <c r="B810" s="106"/>
      <c r="C810" s="106"/>
      <c r="D810" s="106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07" t="s">
        <v>189</v>
      </c>
      <c r="B811" s="107"/>
      <c r="C811" s="107"/>
      <c r="D811" s="107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105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2026-06-28T00:13:01Z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