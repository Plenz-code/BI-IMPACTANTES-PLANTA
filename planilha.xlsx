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2068" documentId="8_{AF585B22-221D-4780-BB9C-493D365A6A02}" xr6:coauthVersionLast="47" xr6:coauthVersionMax="47" xr10:uidLastSave="{36BAE2CF-E4DB-4F3D-8512-BC56AA1B6C0C}"/>
  <bookViews>
    <workbookView xWindow="-110" yWindow="-110" windowWidth="25820" windowHeight="15500" tabRatio="500" firstSheet="2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689" i="4" l="1"/>
  <c r="I680" i="4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<sst xmlns="http://schemas.openxmlformats.org/spreadsheetml/2006/main" count="10378" uniqueCount="397">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</sst>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2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30" sqref="G30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6" t="s">
        <v>0</v>
      </c>
      <c r="B1" s="106"/>
      <c r="C1" s="106"/>
      <c r="D1" s="106"/>
      <c r="E1" s="106"/>
      <c r="F1" s="106"/>
      <c r="G1" s="106"/>
    </row>
    <row r="2" spans="1:7" ht="24.75" customHeight="1">
      <c r="A2" s="107"/>
      <c r="B2" s="10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8" t="s">
        <v>9</v>
      </c>
      <c r="B35" s="108"/>
      <c r="C35" s="13">
        <f>IFERROR(SUM(C4:C34),"")</f>
        <v>76555748</v>
      </c>
      <c r="D35" s="13">
        <f>IFERROR(SUM(D4:D34),"")</f>
        <v>30759010</v>
      </c>
      <c r="E35" s="13">
        <f>IFERROR(SUM(E4:E34),"")</f>
        <v>17834230</v>
      </c>
      <c r="F35" s="13">
        <f>IFERROR(SUM(F4:F34),"")</f>
        <v>31529630</v>
      </c>
      <c r="G35" s="13">
        <f>IFERROR(SUM(G4:G34),"")</f>
        <v>80122870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K74" sqref="K7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9" t="s">
        <v>10</v>
      </c>
      <c r="B1" s="109"/>
      <c r="C1" s="109"/>
      <c r="D1" s="109"/>
      <c r="E1" s="109"/>
      <c r="F1" s="109"/>
      <c r="G1" s="109"/>
      <c r="H1" s="110"/>
      <c r="I1" s="111" t="s">
        <v>11</v>
      </c>
      <c r="J1" s="111"/>
      <c r="K1" s="111"/>
      <c r="L1" s="111"/>
      <c r="M1" s="111"/>
    </row>
    <row r="2" spans="1:13" ht="4.5" customHeight="1">
      <c r="H2" s="110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0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0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0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0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0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0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0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0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0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0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0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0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0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0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0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0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0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10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10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10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10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10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10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10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10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10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10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10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10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10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10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10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10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10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10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10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10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10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10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10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10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10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10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10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10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10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10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10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10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10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10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10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10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10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10"/>
      <c r="I57" s="17"/>
      <c r="J57" s="17"/>
      <c r="K57" s="17" t="s">
        <v>50</v>
      </c>
      <c r="L57" s="17"/>
      <c r="M57" s="17"/>
    </row>
    <row r="58" spans="1:13" ht="15" customHeight="1">
      <c r="H58" s="110"/>
      <c r="I58" s="16"/>
      <c r="J58" s="16"/>
      <c r="K58" s="16" t="s">
        <v>204</v>
      </c>
      <c r="L58" s="16"/>
      <c r="M58" s="16"/>
    </row>
    <row r="59" spans="1:13" ht="15" customHeight="1">
      <c r="H59" s="110"/>
      <c r="I59" s="17"/>
      <c r="J59" s="17"/>
      <c r="K59" s="17" t="s">
        <v>205</v>
      </c>
      <c r="L59" s="17"/>
      <c r="M59" s="17"/>
    </row>
    <row r="60" spans="1:13" ht="15" customHeight="1">
      <c r="H60" s="110"/>
      <c r="I60" s="16"/>
      <c r="J60" s="16"/>
      <c r="K60" s="86" t="s">
        <v>105</v>
      </c>
      <c r="L60" s="16"/>
      <c r="M60" s="16"/>
    </row>
    <row r="61" spans="1:13" ht="15" customHeight="1">
      <c r="H61" s="110"/>
      <c r="I61" s="17"/>
      <c r="J61" s="17"/>
      <c r="K61" s="17" t="s">
        <v>206</v>
      </c>
      <c r="L61" s="17"/>
      <c r="M61" s="17"/>
    </row>
    <row r="62" spans="1:13" ht="15" customHeight="1">
      <c r="H62" s="110"/>
      <c r="I62" s="16"/>
      <c r="J62" s="16"/>
      <c r="K62" s="16" t="s">
        <v>207</v>
      </c>
      <c r="L62" s="16"/>
      <c r="M62" s="16"/>
    </row>
    <row r="63" spans="1:13" ht="15" customHeight="1">
      <c r="H63" s="110"/>
      <c r="I63" s="17"/>
      <c r="J63" s="17"/>
      <c r="K63" s="17" t="s">
        <v>208</v>
      </c>
      <c r="L63" s="17"/>
      <c r="M63" s="17"/>
    </row>
    <row r="64" spans="1:13" ht="15" customHeight="1">
      <c r="H64" s="110"/>
      <c r="I64" s="16"/>
      <c r="J64" s="16"/>
      <c r="K64" s="16" t="s">
        <v>209</v>
      </c>
      <c r="L64" s="16"/>
      <c r="M64" s="16"/>
    </row>
    <row r="65" spans="8:13" ht="15" customHeight="1">
      <c r="H65" s="110"/>
      <c r="I65" s="17"/>
      <c r="J65" s="17"/>
      <c r="K65" s="17" t="s">
        <v>210</v>
      </c>
      <c r="L65" s="17"/>
      <c r="M65" s="17"/>
    </row>
    <row r="66" spans="8:13" ht="15" customHeight="1">
      <c r="H66" s="110"/>
      <c r="I66" s="16"/>
      <c r="J66" s="16"/>
      <c r="K66" s="16" t="s">
        <v>211</v>
      </c>
      <c r="L66" s="16"/>
      <c r="M66" s="16"/>
    </row>
    <row r="67" spans="8:13" ht="15" customHeight="1">
      <c r="H67" s="110"/>
      <c r="I67" s="17"/>
      <c r="J67" s="17"/>
      <c r="K67" s="17" t="s">
        <v>212</v>
      </c>
      <c r="L67" s="17"/>
      <c r="M67" s="17"/>
    </row>
    <row r="68" spans="8:13" ht="15" customHeight="1">
      <c r="H68" s="110"/>
      <c r="I68" s="16"/>
      <c r="J68" s="16"/>
      <c r="K68" s="16" t="s">
        <v>213</v>
      </c>
      <c r="L68" s="16"/>
      <c r="M68" s="16"/>
    </row>
    <row r="69" spans="8:13" ht="15" customHeight="1">
      <c r="H69" s="110"/>
      <c r="I69" s="17"/>
      <c r="J69" s="17"/>
      <c r="K69" s="17" t="s">
        <v>214</v>
      </c>
      <c r="L69" s="17"/>
      <c r="M69" s="17"/>
    </row>
    <row r="70" spans="8:13" ht="15" customHeight="1">
      <c r="H70" s="110"/>
      <c r="I70" s="16"/>
      <c r="J70" s="16"/>
      <c r="K70" s="16" t="s">
        <v>215</v>
      </c>
      <c r="L70" s="16"/>
      <c r="M70" s="16"/>
    </row>
    <row r="71" spans="8:13" ht="15" customHeight="1">
      <c r="H71" s="110"/>
      <c r="I71" s="17"/>
      <c r="J71" s="17"/>
      <c r="K71" s="17" t="s">
        <v>216</v>
      </c>
      <c r="L71" s="17"/>
      <c r="M71" s="17"/>
    </row>
    <row r="72" spans="8:13" ht="15" customHeight="1">
      <c r="H72" s="110"/>
      <c r="I72" s="16"/>
      <c r="J72" s="16"/>
      <c r="K72" s="16" t="s">
        <v>217</v>
      </c>
      <c r="L72" s="16"/>
      <c r="M72" s="16"/>
    </row>
    <row r="73" spans="8:13" ht="15" customHeight="1">
      <c r="H73" s="110"/>
      <c r="I73" s="17"/>
      <c r="J73" s="17"/>
      <c r="K73" s="17" t="s">
        <v>218</v>
      </c>
      <c r="L73" s="17"/>
      <c r="M73" s="17"/>
    </row>
    <row r="74" spans="8:13" ht="15" customHeight="1">
      <c r="H74" s="110"/>
      <c r="I74" s="16"/>
      <c r="J74" s="16"/>
      <c r="K74" s="16"/>
      <c r="L74" s="16"/>
      <c r="M74" s="16"/>
    </row>
    <row r="75" spans="8:13" ht="15" customHeight="1">
      <c r="H75" s="110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671" activePane="bottomLeft" state="frozen"/>
      <selection pane="bottomLeft" activeCell="F686" sqref="F686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5.710937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229</v>
      </c>
      <c r="E2" s="59" t="s">
        <v>230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231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232</v>
      </c>
      <c r="B14" s="104"/>
      <c r="C14" s="104"/>
      <c r="D14" s="104"/>
      <c r="E14" s="105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233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234</v>
      </c>
      <c r="B27" s="104"/>
      <c r="C27" s="104"/>
      <c r="D27" s="104"/>
      <c r="E27" s="105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233</v>
      </c>
      <c r="O27" s="39">
        <v>1183060</v>
      </c>
    </row>
    <row r="28" spans="1:15" ht="18" customHeight="1">
      <c r="A28" s="100" t="s">
        <v>235</v>
      </c>
      <c r="B28" s="101"/>
      <c r="C28" s="101"/>
      <c r="D28" s="101"/>
      <c r="E28" s="102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236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237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230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230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230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230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230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230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232</v>
      </c>
      <c r="B41" s="104"/>
      <c r="C41" s="104"/>
      <c r="D41" s="104"/>
      <c r="E41" s="105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233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230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230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230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230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230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230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230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230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230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230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230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234</v>
      </c>
      <c r="B54" s="104"/>
      <c r="C54" s="104"/>
      <c r="D54" s="104"/>
      <c r="E54" s="105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233</v>
      </c>
      <c r="O54" s="39">
        <v>959290</v>
      </c>
    </row>
    <row r="55" spans="1:15" ht="18" customHeight="1">
      <c r="A55" s="100" t="s">
        <v>235</v>
      </c>
      <c r="B55" s="101"/>
      <c r="C55" s="101"/>
      <c r="D55" s="101"/>
      <c r="E55" s="102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236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230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230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230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230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230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230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230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230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230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230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230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230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232</v>
      </c>
      <c r="B68" s="104"/>
      <c r="C68" s="104"/>
      <c r="D68" s="104"/>
      <c r="E68" s="105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233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230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230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238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230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230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230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230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230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230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234</v>
      </c>
      <c r="B81" s="104"/>
      <c r="C81" s="104"/>
      <c r="D81" s="104"/>
      <c r="E81" s="105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233</v>
      </c>
      <c r="O81" s="39">
        <v>878050</v>
      </c>
    </row>
    <row r="82" spans="1:15" ht="18" customHeight="1">
      <c r="A82" s="100" t="s">
        <v>235</v>
      </c>
      <c r="B82" s="101"/>
      <c r="C82" s="101"/>
      <c r="D82" s="101"/>
      <c r="E82" s="102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236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239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230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230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232</v>
      </c>
      <c r="B95" s="104"/>
      <c r="C95" s="104"/>
      <c r="D95" s="104"/>
      <c r="E95" s="105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233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240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234</v>
      </c>
      <c r="B108" s="104"/>
      <c r="C108" s="104"/>
      <c r="D108" s="104"/>
      <c r="E108" s="105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233</v>
      </c>
      <c r="O108" s="39">
        <v>1700000</v>
      </c>
    </row>
    <row r="109" spans="1:15" ht="18" customHeight="1">
      <c r="A109" s="100" t="s">
        <v>235</v>
      </c>
      <c r="B109" s="101"/>
      <c r="C109" s="101"/>
      <c r="D109" s="101"/>
      <c r="E109" s="102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236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230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230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230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230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230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230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230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230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230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230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230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232</v>
      </c>
      <c r="B122" s="104"/>
      <c r="C122" s="104"/>
      <c r="D122" s="104"/>
      <c r="E122" s="105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233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234</v>
      </c>
      <c r="B135" s="104"/>
      <c r="C135" s="104"/>
      <c r="D135" s="104"/>
      <c r="E135" s="105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233</v>
      </c>
      <c r="O135" s="39">
        <v>862330</v>
      </c>
    </row>
    <row r="136" spans="1:15" ht="18" customHeight="1">
      <c r="A136" s="100" t="s">
        <v>235</v>
      </c>
      <c r="B136" s="101"/>
      <c r="C136" s="101"/>
      <c r="D136" s="101"/>
      <c r="E136" s="102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236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232</v>
      </c>
      <c r="B149" s="104"/>
      <c r="C149" s="104"/>
      <c r="D149" s="104"/>
      <c r="E149" s="105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233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230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230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230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230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230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230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230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230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230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230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234</v>
      </c>
      <c r="B162" s="104"/>
      <c r="C162" s="104"/>
      <c r="D162" s="104"/>
      <c r="E162" s="105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233</v>
      </c>
      <c r="O162" s="44">
        <v>1546080</v>
      </c>
    </row>
    <row r="163" spans="1:15" ht="18" customHeight="1">
      <c r="A163" s="100" t="s">
        <v>235</v>
      </c>
      <c r="B163" s="101"/>
      <c r="C163" s="101"/>
      <c r="D163" s="101"/>
      <c r="E163" s="102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236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230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230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230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230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230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230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230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230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230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230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232</v>
      </c>
      <c r="B176" s="104"/>
      <c r="C176" s="104"/>
      <c r="D176" s="104"/>
      <c r="E176" s="105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233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230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230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230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230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230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230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230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230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230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230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230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230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234</v>
      </c>
      <c r="B189" s="104"/>
      <c r="C189" s="104"/>
      <c r="D189" s="104"/>
      <c r="E189" s="105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233</v>
      </c>
      <c r="O189" s="39">
        <v>2355810</v>
      </c>
    </row>
    <row r="190" spans="1:15" ht="18" customHeight="1">
      <c r="A190" s="100" t="s">
        <v>235</v>
      </c>
      <c r="B190" s="101"/>
      <c r="C190" s="101"/>
      <c r="D190" s="101"/>
      <c r="E190" s="102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236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230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230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230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230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230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230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230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230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230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230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230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230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232</v>
      </c>
      <c r="B203" s="104"/>
      <c r="C203" s="104"/>
      <c r="D203" s="104"/>
      <c r="E203" s="105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233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230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230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230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230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230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230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230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230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230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230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230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234</v>
      </c>
      <c r="B216" s="104"/>
      <c r="C216" s="104"/>
      <c r="D216" s="104"/>
      <c r="E216" s="105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233</v>
      </c>
      <c r="O216" s="45">
        <v>2013260</v>
      </c>
    </row>
    <row r="217" spans="1:15" ht="18" customHeight="1">
      <c r="A217" s="100" t="s">
        <v>235</v>
      </c>
      <c r="B217" s="101"/>
      <c r="C217" s="101"/>
      <c r="D217" s="101"/>
      <c r="E217" s="102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236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230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241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230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230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230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230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230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230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230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230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230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230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3" t="s">
        <v>232</v>
      </c>
      <c r="B230" s="104"/>
      <c r="C230" s="104"/>
      <c r="D230" s="104"/>
      <c r="E230" s="105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233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230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230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230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230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230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230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230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230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230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234</v>
      </c>
      <c r="B243" s="104"/>
      <c r="C243" s="104"/>
      <c r="D243" s="104"/>
      <c r="E243" s="105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233</v>
      </c>
      <c r="O243" s="39">
        <v>1545480</v>
      </c>
    </row>
    <row r="244" spans="1:15" ht="18" customHeight="1">
      <c r="A244" s="100" t="s">
        <v>235</v>
      </c>
      <c r="B244" s="101"/>
      <c r="C244" s="101"/>
      <c r="D244" s="101"/>
      <c r="E244" s="102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236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230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242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230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230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230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230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230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230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230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230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230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230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230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232</v>
      </c>
      <c r="B257" s="104"/>
      <c r="C257" s="104"/>
      <c r="D257" s="104"/>
      <c r="E257" s="105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233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230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230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230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230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230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230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230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230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230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230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234</v>
      </c>
      <c r="B270" s="104"/>
      <c r="C270" s="104"/>
      <c r="D270" s="104"/>
      <c r="E270" s="105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233</v>
      </c>
      <c r="O270" s="39">
        <v>1182690</v>
      </c>
    </row>
    <row r="271" spans="1:15" ht="18" customHeight="1">
      <c r="A271" s="100" t="s">
        <v>235</v>
      </c>
      <c r="B271" s="101"/>
      <c r="C271" s="101"/>
      <c r="D271" s="101"/>
      <c r="E271" s="102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236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230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230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230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230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230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230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230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230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230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230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230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230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232</v>
      </c>
      <c r="B284" s="104"/>
      <c r="C284" s="104"/>
      <c r="D284" s="104"/>
      <c r="E284" s="105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233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230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243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230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230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230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230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244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230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244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230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244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230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244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230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244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230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244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230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244</v>
      </c>
      <c r="O296" s="47"/>
    </row>
    <row r="297" spans="1:15" ht="15.75" customHeight="1">
      <c r="A297" s="103" t="s">
        <v>234</v>
      </c>
      <c r="B297" s="104"/>
      <c r="C297" s="104"/>
      <c r="D297" s="104"/>
      <c r="E297" s="105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233</v>
      </c>
      <c r="O297" s="39">
        <v>1843460</v>
      </c>
    </row>
    <row r="298" spans="1:15" ht="18" customHeight="1">
      <c r="A298" s="100" t="s">
        <v>235</v>
      </c>
      <c r="B298" s="101"/>
      <c r="C298" s="101"/>
      <c r="D298" s="101"/>
      <c r="E298" s="102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236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245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230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230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246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230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230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230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230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230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230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230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232</v>
      </c>
      <c r="B311" s="104"/>
      <c r="C311" s="104"/>
      <c r="D311" s="104"/>
      <c r="E311" s="105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233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247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247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230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247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247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247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230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247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234</v>
      </c>
      <c r="B324" s="104"/>
      <c r="C324" s="104"/>
      <c r="D324" s="104"/>
      <c r="E324" s="105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233</v>
      </c>
      <c r="O324" s="39">
        <v>1940000</v>
      </c>
    </row>
    <row r="325" spans="1:15" ht="18" customHeight="1">
      <c r="A325" s="100" t="s">
        <v>235</v>
      </c>
      <c r="B325" s="101"/>
      <c r="C325" s="101"/>
      <c r="D325" s="101"/>
      <c r="E325" s="102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236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230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230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230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230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230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230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230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230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230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230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232</v>
      </c>
      <c r="B338" s="104"/>
      <c r="C338" s="104"/>
      <c r="D338" s="104"/>
      <c r="E338" s="105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233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230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230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230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230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230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230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230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230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230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230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230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230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234</v>
      </c>
      <c r="B351" s="104"/>
      <c r="C351" s="104"/>
      <c r="D351" s="104"/>
      <c r="E351" s="105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233</v>
      </c>
      <c r="O351" s="39">
        <v>701874</v>
      </c>
    </row>
    <row r="352" spans="1:15" ht="18" customHeight="1">
      <c r="A352" s="100" t="s">
        <v>235</v>
      </c>
      <c r="B352" s="101"/>
      <c r="C352" s="101"/>
      <c r="D352" s="101"/>
      <c r="E352" s="102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236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249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230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230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230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230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230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230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230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230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230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230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230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232</v>
      </c>
      <c r="B365" s="104"/>
      <c r="C365" s="104"/>
      <c r="D365" s="104"/>
      <c r="E365" s="105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233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230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230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230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230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230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230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230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230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230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230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230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234</v>
      </c>
      <c r="B378" s="104"/>
      <c r="C378" s="104"/>
      <c r="D378" s="104"/>
      <c r="E378" s="105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233</v>
      </c>
      <c r="O378" s="39">
        <v>1088710</v>
      </c>
    </row>
    <row r="379" spans="1:15" ht="18" customHeight="1">
      <c r="A379" s="100" t="s">
        <v>235</v>
      </c>
      <c r="B379" s="101"/>
      <c r="C379" s="101"/>
      <c r="D379" s="101"/>
      <c r="E379" s="102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236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230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210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230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250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230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251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230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230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230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230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230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230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230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230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232</v>
      </c>
      <c r="B392" s="104"/>
      <c r="C392" s="104"/>
      <c r="D392" s="104"/>
      <c r="E392" s="105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233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230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230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252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230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230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230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230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230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230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230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230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230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234</v>
      </c>
      <c r="B405" s="104"/>
      <c r="C405" s="104"/>
      <c r="D405" s="104"/>
      <c r="E405" s="105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233</v>
      </c>
      <c r="O405" s="39">
        <v>1202270</v>
      </c>
    </row>
    <row r="406" spans="1:15" ht="18" customHeight="1">
      <c r="A406" s="100" t="s">
        <v>235</v>
      </c>
      <c r="B406" s="101"/>
      <c r="C406" s="101"/>
      <c r="D406" s="101"/>
      <c r="E406" s="102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236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230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253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230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230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254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230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230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230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230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230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255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255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230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232</v>
      </c>
      <c r="B419" s="104"/>
      <c r="C419" s="104"/>
      <c r="D419" s="104"/>
      <c r="E419" s="105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233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230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230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230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230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230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230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230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230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230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230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230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234</v>
      </c>
      <c r="B432" s="104"/>
      <c r="C432" s="104"/>
      <c r="D432" s="104"/>
      <c r="E432" s="105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233</v>
      </c>
      <c r="O432" s="39">
        <v>1801910</v>
      </c>
    </row>
    <row r="433" spans="1:15" ht="18" customHeight="1">
      <c r="A433" s="100" t="s">
        <v>235</v>
      </c>
      <c r="B433" s="101"/>
      <c r="C433" s="101"/>
      <c r="D433" s="101"/>
      <c r="E433" s="102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236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230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214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256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230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230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230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230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230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230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230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230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230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230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230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232</v>
      </c>
      <c r="B446" s="104"/>
      <c r="C446" s="104"/>
      <c r="D446" s="104"/>
      <c r="E446" s="105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233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257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215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257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257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257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257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257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257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257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257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257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257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257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234</v>
      </c>
      <c r="B459" s="104"/>
      <c r="C459" s="104"/>
      <c r="D459" s="104"/>
      <c r="E459" s="105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233</v>
      </c>
      <c r="O459" s="39">
        <v>2675000</v>
      </c>
    </row>
    <row r="460" spans="1:15" ht="18" customHeight="1">
      <c r="A460" s="100" t="s">
        <v>235</v>
      </c>
      <c r="B460" s="101"/>
      <c r="C460" s="101"/>
      <c r="D460" s="101"/>
      <c r="E460" s="102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236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232</v>
      </c>
      <c r="B473" s="104"/>
      <c r="C473" s="104"/>
      <c r="D473" s="104"/>
      <c r="E473" s="105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233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234</v>
      </c>
      <c r="B486" s="104"/>
      <c r="C486" s="104"/>
      <c r="D486" s="104"/>
      <c r="E486" s="105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233</v>
      </c>
      <c r="O486" s="39">
        <v>2310070</v>
      </c>
    </row>
    <row r="487" spans="1:15" ht="18" customHeight="1">
      <c r="A487" s="100" t="s">
        <v>235</v>
      </c>
      <c r="B487" s="101"/>
      <c r="C487" s="101"/>
      <c r="D487" s="101"/>
      <c r="E487" s="102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236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230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230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230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230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230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232</v>
      </c>
      <c r="B500" s="104"/>
      <c r="C500" s="104"/>
      <c r="D500" s="104"/>
      <c r="E500" s="105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233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230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230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230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230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230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230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230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230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230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230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234</v>
      </c>
      <c r="B513" s="104"/>
      <c r="C513" s="104"/>
      <c r="D513" s="104"/>
      <c r="E513" s="105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233</v>
      </c>
      <c r="O513" s="39">
        <v>1298429</v>
      </c>
    </row>
    <row r="514" spans="1:15" ht="18" customHeight="1">
      <c r="A514" s="100" t="s">
        <v>235</v>
      </c>
      <c r="B514" s="101"/>
      <c r="C514" s="101"/>
      <c r="D514" s="101"/>
      <c r="E514" s="102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236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230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258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230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230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230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230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230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230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230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230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230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230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230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232</v>
      </c>
      <c r="B527" s="104"/>
      <c r="C527" s="104"/>
      <c r="D527" s="104"/>
      <c r="E527" s="105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233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230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230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259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230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230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230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230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230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230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230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230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230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234</v>
      </c>
      <c r="B540" s="104"/>
      <c r="C540" s="104"/>
      <c r="D540" s="104"/>
      <c r="E540" s="105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233</v>
      </c>
      <c r="O540" s="39">
        <v>1240140</v>
      </c>
    </row>
    <row r="541" spans="1:15" ht="18" customHeight="1">
      <c r="A541" s="100" t="s">
        <v>235</v>
      </c>
      <c r="B541" s="101"/>
      <c r="C541" s="101"/>
      <c r="D541" s="101"/>
      <c r="E541" s="102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236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230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207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260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230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230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230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230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230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230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230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230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230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230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230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232</v>
      </c>
      <c r="B554" s="104"/>
      <c r="C554" s="104"/>
      <c r="D554" s="104"/>
      <c r="E554" s="105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233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230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230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230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230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230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230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230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230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230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230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230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230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234</v>
      </c>
      <c r="B567" s="104"/>
      <c r="C567" s="104"/>
      <c r="D567" s="104"/>
      <c r="E567" s="105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233</v>
      </c>
      <c r="O567" s="39">
        <v>1482110</v>
      </c>
    </row>
    <row r="568" spans="1:15" ht="18" customHeight="1">
      <c r="A568" s="100" t="s">
        <v>235</v>
      </c>
      <c r="B568" s="101"/>
      <c r="C568" s="101"/>
      <c r="D568" s="101"/>
      <c r="E568" s="102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236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163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230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230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230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230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230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230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232</v>
      </c>
      <c r="B581" s="104"/>
      <c r="C581" s="104"/>
      <c r="D581" s="104"/>
      <c r="E581" s="105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233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230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203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203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230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230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230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230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230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230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230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234</v>
      </c>
      <c r="B594" s="104"/>
      <c r="C594" s="104"/>
      <c r="D594" s="104"/>
      <c r="E594" s="105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233</v>
      </c>
      <c r="O594" s="39">
        <v>1036800</v>
      </c>
    </row>
    <row r="595" spans="1:15" ht="18" customHeight="1">
      <c r="A595" s="100" t="s">
        <v>235</v>
      </c>
      <c r="B595" s="101"/>
      <c r="C595" s="101"/>
      <c r="D595" s="101"/>
      <c r="E595" s="102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236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230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186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230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230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230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230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230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230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230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230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230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230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230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232</v>
      </c>
      <c r="B608" s="104"/>
      <c r="C608" s="104"/>
      <c r="D608" s="104"/>
      <c r="E608" s="105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233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163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261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230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230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230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230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230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230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230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230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230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234</v>
      </c>
      <c r="B621" s="104"/>
      <c r="C621" s="104"/>
      <c r="D621" s="104"/>
      <c r="E621" s="105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233</v>
      </c>
      <c r="O621" s="39">
        <v>1295785</v>
      </c>
    </row>
    <row r="622" spans="1:15" ht="18" customHeight="1">
      <c r="A622" s="100" t="s">
        <v>235</v>
      </c>
      <c r="B622" s="101"/>
      <c r="C622" s="101"/>
      <c r="D622" s="101"/>
      <c r="E622" s="102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236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230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230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230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230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230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230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230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230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230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230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230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230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232</v>
      </c>
      <c r="B635" s="104"/>
      <c r="C635" s="104"/>
      <c r="D635" s="104"/>
      <c r="E635" s="105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230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163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262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230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230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230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230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230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230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230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230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230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230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230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234</v>
      </c>
      <c r="B648" s="104"/>
      <c r="C648" s="104"/>
      <c r="D648" s="104"/>
      <c r="E648" s="105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233</v>
      </c>
      <c r="O648" s="39">
        <v>1954490</v>
      </c>
    </row>
    <row r="649" spans="1:15" ht="18" customHeight="1">
      <c r="A649" s="100" t="s">
        <v>235</v>
      </c>
      <c r="B649" s="101"/>
      <c r="C649" s="101"/>
      <c r="D649" s="101"/>
      <c r="E649" s="102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236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230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163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230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230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230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230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230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230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230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230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230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230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230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230</v>
      </c>
      <c r="B662" s="104"/>
      <c r="C662" s="104"/>
      <c r="D662" s="104"/>
      <c r="E662" s="105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233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230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131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263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230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230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230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230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230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230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230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230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230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230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230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234</v>
      </c>
      <c r="B675" s="104"/>
      <c r="C675" s="104"/>
      <c r="D675" s="104"/>
      <c r="E675" s="105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233</v>
      </c>
      <c r="O675" s="39">
        <v>471180</v>
      </c>
    </row>
    <row r="676" spans="1:15" ht="18" customHeight="1">
      <c r="A676" s="100" t="s">
        <v>235</v>
      </c>
      <c r="B676" s="101"/>
      <c r="C676" s="101"/>
      <c r="D676" s="101"/>
      <c r="E676" s="102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236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230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264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230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265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230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230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230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230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230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230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230</v>
      </c>
      <c r="F685" s="27">
        <v>42</v>
      </c>
      <c r="G685" s="34">
        <f t="shared" si="150"/>
        <v>210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230</v>
      </c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230</v>
      </c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230</v>
      </c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232</v>
      </c>
      <c r="B689" s="104"/>
      <c r="C689" s="104"/>
      <c r="D689" s="104"/>
      <c r="E689" s="105">
        <f>SUM(E677:E688)</f>
        <v>0</v>
      </c>
      <c r="F689" s="36">
        <f>SUM(F677:F688)</f>
        <v>222</v>
      </c>
      <c r="G689" s="36">
        <f>SUM(G677:G688)</f>
        <v>1110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234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0" t="s">
        <v>235</v>
      </c>
      <c r="B703" s="101"/>
      <c r="C703" s="101"/>
      <c r="D703" s="101"/>
      <c r="E703" s="102">
        <f>E689+E702</f>
        <v>0</v>
      </c>
      <c r="F703" s="40">
        <f>F689+F702</f>
        <v>222</v>
      </c>
      <c r="G703" s="40">
        <f>G689+G702</f>
        <v>1110</v>
      </c>
      <c r="H703" s="41"/>
      <c r="I703" s="41"/>
      <c r="J703" s="41"/>
      <c r="K703" s="41"/>
      <c r="L703" s="41"/>
      <c r="M703" s="42">
        <f ca="1">IFERROR(M689+M702,"")</f>
        <v>0.19236111111111104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232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234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0" t="s">
        <v>235</v>
      </c>
      <c r="B730" s="101"/>
      <c r="C730" s="101"/>
      <c r="D730" s="101"/>
      <c r="E730" s="10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232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234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0" t="s">
        <v>235</v>
      </c>
      <c r="B757" s="101"/>
      <c r="C757" s="101"/>
      <c r="D757" s="101"/>
      <c r="E757" s="10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232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234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0" t="s">
        <v>235</v>
      </c>
      <c r="B784" s="101"/>
      <c r="C784" s="101"/>
      <c r="D784" s="101"/>
      <c r="E784" s="10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232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234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59" t="s">
        <v>230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673" activePane="bottomLeft" state="frozen"/>
      <selection pane="bottomLeft" activeCell="F686" sqref="F686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232</v>
      </c>
      <c r="B14" s="104"/>
      <c r="C14" s="104"/>
      <c r="D14" s="104"/>
      <c r="E14" s="105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233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234</v>
      </c>
      <c r="B27" s="104"/>
      <c r="C27" s="104"/>
      <c r="D27" s="104"/>
      <c r="E27" s="105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233</v>
      </c>
      <c r="O27" s="77">
        <v>393200</v>
      </c>
    </row>
    <row r="28" spans="1:15" ht="18" customHeight="1">
      <c r="A28" s="100" t="s">
        <v>235</v>
      </c>
      <c r="B28" s="101"/>
      <c r="C28" s="101"/>
      <c r="D28" s="101"/>
      <c r="E28" s="102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236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266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232</v>
      </c>
      <c r="B41" s="104"/>
      <c r="C41" s="104"/>
      <c r="D41" s="104"/>
      <c r="E41" s="105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233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257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267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257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257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257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257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257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257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257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257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257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3" t="s">
        <v>234</v>
      </c>
      <c r="B54" s="104"/>
      <c r="C54" s="104"/>
      <c r="D54" s="104"/>
      <c r="E54" s="105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84">
        <v>276360</v>
      </c>
    </row>
    <row r="55" spans="1:15" ht="18" customHeight="1">
      <c r="A55" s="100" t="s">
        <v>235</v>
      </c>
      <c r="B55" s="101"/>
      <c r="C55" s="101"/>
      <c r="D55" s="101"/>
      <c r="E55" s="102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236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268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269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232</v>
      </c>
      <c r="B68" s="104"/>
      <c r="C68" s="104"/>
      <c r="D68" s="104"/>
      <c r="E68" s="105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233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3" t="s">
        <v>234</v>
      </c>
      <c r="B81" s="104"/>
      <c r="C81" s="104"/>
      <c r="D81" s="104"/>
      <c r="E81" s="105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233</v>
      </c>
      <c r="O81" s="54">
        <v>787860</v>
      </c>
    </row>
    <row r="82" spans="1:15" ht="18" customHeight="1">
      <c r="A82" s="100" t="s">
        <v>235</v>
      </c>
      <c r="B82" s="101"/>
      <c r="C82" s="101"/>
      <c r="D82" s="101"/>
      <c r="E82" s="102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236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257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270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232</v>
      </c>
      <c r="B95" s="104"/>
      <c r="C95" s="104"/>
      <c r="D95" s="104"/>
      <c r="E95" s="105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233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271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272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273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234</v>
      </c>
      <c r="B108" s="104"/>
      <c r="C108" s="104"/>
      <c r="D108" s="104"/>
      <c r="E108" s="105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233</v>
      </c>
      <c r="O108" s="54">
        <v>1087080</v>
      </c>
    </row>
    <row r="109" spans="1:15" ht="18" customHeight="1">
      <c r="A109" s="100" t="s">
        <v>235</v>
      </c>
      <c r="B109" s="101"/>
      <c r="C109" s="101"/>
      <c r="D109" s="101"/>
      <c r="E109" s="102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236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274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232</v>
      </c>
      <c r="B122" s="104"/>
      <c r="C122" s="104"/>
      <c r="D122" s="104"/>
      <c r="E122" s="105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233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275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248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276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277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234</v>
      </c>
      <c r="B135" s="104"/>
      <c r="C135" s="104"/>
      <c r="D135" s="104"/>
      <c r="E135" s="105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233</v>
      </c>
      <c r="O135" s="54">
        <v>794480</v>
      </c>
    </row>
    <row r="136" spans="1:15" ht="18" customHeight="1">
      <c r="A136" s="100" t="s">
        <v>235</v>
      </c>
      <c r="B136" s="101"/>
      <c r="C136" s="101"/>
      <c r="D136" s="101"/>
      <c r="E136" s="102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236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278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279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3" t="s">
        <v>232</v>
      </c>
      <c r="B149" s="104"/>
      <c r="C149" s="104"/>
      <c r="D149" s="104"/>
      <c r="E149" s="105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233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280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205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281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234</v>
      </c>
      <c r="B162" s="104"/>
      <c r="C162" s="104"/>
      <c r="D162" s="104"/>
      <c r="E162" s="105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233</v>
      </c>
      <c r="O162" s="54">
        <v>882280</v>
      </c>
    </row>
    <row r="163" spans="1:15" ht="18" customHeight="1">
      <c r="A163" s="100" t="s">
        <v>235</v>
      </c>
      <c r="B163" s="101"/>
      <c r="C163" s="101"/>
      <c r="D163" s="101"/>
      <c r="E163" s="102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236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257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232</v>
      </c>
      <c r="B176" s="104"/>
      <c r="C176" s="104"/>
      <c r="D176" s="104"/>
      <c r="E176" s="105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233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234</v>
      </c>
      <c r="B189" s="104"/>
      <c r="C189" s="104"/>
      <c r="D189" s="104"/>
      <c r="E189" s="105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233</v>
      </c>
      <c r="O189" s="77"/>
    </row>
    <row r="190" spans="1:15" ht="18" customHeight="1">
      <c r="A190" s="100" t="s">
        <v>235</v>
      </c>
      <c r="B190" s="101"/>
      <c r="C190" s="101"/>
      <c r="D190" s="101"/>
      <c r="E190" s="10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236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232</v>
      </c>
      <c r="B203" s="104"/>
      <c r="C203" s="104"/>
      <c r="D203" s="104"/>
      <c r="E203" s="105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233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282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283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234</v>
      </c>
      <c r="B216" s="104"/>
      <c r="C216" s="104"/>
      <c r="D216" s="104"/>
      <c r="E216" s="105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233</v>
      </c>
      <c r="O216" s="77">
        <v>648410</v>
      </c>
    </row>
    <row r="217" spans="1:15" ht="18" customHeight="1">
      <c r="A217" s="100" t="s">
        <v>235</v>
      </c>
      <c r="B217" s="101"/>
      <c r="C217" s="101"/>
      <c r="D217" s="101"/>
      <c r="E217" s="102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236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284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285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232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233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205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286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280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257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234</v>
      </c>
      <c r="B243" s="104"/>
      <c r="C243" s="104"/>
      <c r="D243" s="104"/>
      <c r="E243" s="105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233</v>
      </c>
      <c r="O243" s="77">
        <v>849060</v>
      </c>
    </row>
    <row r="244" spans="1:15" ht="18" customHeight="1">
      <c r="A244" s="100" t="s">
        <v>235</v>
      </c>
      <c r="B244" s="101"/>
      <c r="C244" s="101"/>
      <c r="D244" s="101"/>
      <c r="E244" s="102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236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287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232</v>
      </c>
      <c r="B257" s="104"/>
      <c r="C257" s="104"/>
      <c r="D257" s="104"/>
      <c r="E257" s="105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233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234</v>
      </c>
      <c r="B270" s="104"/>
      <c r="C270" s="104"/>
      <c r="D270" s="104"/>
      <c r="E270" s="105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233</v>
      </c>
      <c r="O270" s="77">
        <v>625070</v>
      </c>
    </row>
    <row r="271" spans="1:15" ht="18" customHeight="1">
      <c r="A271" s="100" t="s">
        <v>235</v>
      </c>
      <c r="B271" s="101"/>
      <c r="C271" s="101"/>
      <c r="D271" s="101"/>
      <c r="E271" s="102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236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288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289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232</v>
      </c>
      <c r="B284" s="104"/>
      <c r="C284" s="104"/>
      <c r="D284" s="104"/>
      <c r="E284" s="105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233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290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234</v>
      </c>
      <c r="B297" s="104"/>
      <c r="C297" s="104"/>
      <c r="D297" s="104"/>
      <c r="E297" s="105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233</v>
      </c>
      <c r="O297" s="77">
        <v>761660</v>
      </c>
    </row>
    <row r="298" spans="1:15" ht="18" customHeight="1">
      <c r="A298" s="100" t="s">
        <v>235</v>
      </c>
      <c r="B298" s="101"/>
      <c r="C298" s="101"/>
      <c r="D298" s="101"/>
      <c r="E298" s="102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236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291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291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232</v>
      </c>
      <c r="B311" s="104"/>
      <c r="C311" s="104"/>
      <c r="D311" s="104"/>
      <c r="E311" s="105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233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292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293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234</v>
      </c>
      <c r="B324" s="104"/>
      <c r="C324" s="104"/>
      <c r="D324" s="104"/>
      <c r="E324" s="105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233</v>
      </c>
      <c r="O324" s="77">
        <v>524410</v>
      </c>
    </row>
    <row r="325" spans="1:15" ht="18" customHeight="1">
      <c r="A325" s="100" t="s">
        <v>235</v>
      </c>
      <c r="B325" s="101"/>
      <c r="C325" s="101"/>
      <c r="D325" s="101"/>
      <c r="E325" s="102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236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257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294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257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257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257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257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257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257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257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232</v>
      </c>
      <c r="B338" s="104"/>
      <c r="C338" s="104"/>
      <c r="D338" s="104"/>
      <c r="E338" s="105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233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295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296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234</v>
      </c>
      <c r="B351" s="104"/>
      <c r="C351" s="104"/>
      <c r="D351" s="104"/>
      <c r="E351" s="105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233</v>
      </c>
      <c r="O351" s="77">
        <v>598420</v>
      </c>
    </row>
    <row r="352" spans="1:15" ht="18" customHeight="1">
      <c r="A352" s="100" t="s">
        <v>235</v>
      </c>
      <c r="B352" s="101"/>
      <c r="C352" s="101"/>
      <c r="D352" s="101"/>
      <c r="E352" s="102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236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232</v>
      </c>
      <c r="B365" s="104"/>
      <c r="C365" s="104"/>
      <c r="D365" s="104"/>
      <c r="E365" s="105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233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0.47472465277678566</v>
      </c>
      <c r="N377" s="46"/>
      <c r="O377" s="47"/>
    </row>
    <row r="378" spans="1:15" ht="15.75" customHeight="1">
      <c r="A378" s="103" t="s">
        <v>234</v>
      </c>
      <c r="B378" s="104"/>
      <c r="C378" s="104"/>
      <c r="D378" s="104"/>
      <c r="E378" s="105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0.63236354166567454</v>
      </c>
      <c r="N378" s="36" t="s">
        <v>233</v>
      </c>
      <c r="O378" s="77">
        <v>511980</v>
      </c>
    </row>
    <row r="379" spans="1:15" ht="18" customHeight="1">
      <c r="A379" s="100" t="s">
        <v>235</v>
      </c>
      <c r="B379" s="101"/>
      <c r="C379" s="101"/>
      <c r="D379" s="101"/>
      <c r="E379" s="102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0.74208576388789671</v>
      </c>
      <c r="N379" s="40" t="s">
        <v>236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211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280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297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232</v>
      </c>
      <c r="B392" s="104"/>
      <c r="C392" s="104"/>
      <c r="D392" s="104"/>
      <c r="E392" s="105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233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257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298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248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234</v>
      </c>
      <c r="B405" s="104"/>
      <c r="C405" s="104"/>
      <c r="D405" s="104"/>
      <c r="E405" s="105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233</v>
      </c>
      <c r="O405" s="77">
        <v>552440</v>
      </c>
    </row>
    <row r="406" spans="1:15" ht="18" customHeight="1">
      <c r="A406" s="100" t="s">
        <v>235</v>
      </c>
      <c r="B406" s="101"/>
      <c r="C406" s="101"/>
      <c r="D406" s="101"/>
      <c r="E406" s="102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236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257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232</v>
      </c>
      <c r="B419" s="104"/>
      <c r="C419" s="104"/>
      <c r="D419" s="104"/>
      <c r="E419" s="105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233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299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0.45319687500159489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234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0.62403020833492828</v>
      </c>
      <c r="N432" s="36" t="s">
        <v>233</v>
      </c>
      <c r="O432" s="77">
        <v>484540</v>
      </c>
    </row>
    <row r="433" spans="1:15" ht="18" customHeight="1">
      <c r="A433" s="93" t="s">
        <v>235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0.76916909722381721</v>
      </c>
      <c r="N433" s="40" t="s">
        <v>236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300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301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232</v>
      </c>
      <c r="B446" s="104"/>
      <c r="C446" s="104"/>
      <c r="D446" s="104"/>
      <c r="E446" s="105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233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302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234</v>
      </c>
      <c r="B459" s="104"/>
      <c r="C459" s="104"/>
      <c r="D459" s="104"/>
      <c r="E459" s="105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233</v>
      </c>
      <c r="O459" s="77">
        <v>631190</v>
      </c>
    </row>
    <row r="460" spans="1:15" ht="18" customHeight="1">
      <c r="A460" s="100" t="s">
        <v>235</v>
      </c>
      <c r="B460" s="101"/>
      <c r="C460" s="101"/>
      <c r="D460" s="101"/>
      <c r="E460" s="102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236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303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304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305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232</v>
      </c>
      <c r="B473" s="104"/>
      <c r="C473" s="104"/>
      <c r="D473" s="104"/>
      <c r="E473" s="105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233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306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234</v>
      </c>
      <c r="B486" s="104"/>
      <c r="C486" s="104"/>
      <c r="D486" s="104"/>
      <c r="E486" s="105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233</v>
      </c>
      <c r="O486" s="77">
        <v>969510</v>
      </c>
    </row>
    <row r="487" spans="1:15" ht="18" customHeight="1">
      <c r="A487" s="100" t="s">
        <v>235</v>
      </c>
      <c r="B487" s="101"/>
      <c r="C487" s="101"/>
      <c r="D487" s="101"/>
      <c r="E487" s="102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236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307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232</v>
      </c>
      <c r="B500" s="104"/>
      <c r="C500" s="104"/>
      <c r="D500" s="104"/>
      <c r="E500" s="105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233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234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233</v>
      </c>
      <c r="O513" s="77">
        <v>556040</v>
      </c>
    </row>
    <row r="514" spans="1:15" ht="18" customHeight="1">
      <c r="A514" s="93" t="s">
        <v>235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236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308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232</v>
      </c>
      <c r="B527" s="104"/>
      <c r="C527" s="104"/>
      <c r="D527" s="104"/>
      <c r="E527" s="105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233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10</v>
      </c>
      <c r="G529" s="34">
        <f t="shared" si="117"/>
        <v>42</v>
      </c>
      <c r="H529" s="33" t="s">
        <v>19</v>
      </c>
      <c r="I529" s="33" t="s">
        <v>156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128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234</v>
      </c>
      <c r="B540" s="104"/>
      <c r="C540" s="104"/>
      <c r="D540" s="104"/>
      <c r="E540" s="105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233</v>
      </c>
      <c r="O540" s="77">
        <v>548610</v>
      </c>
    </row>
    <row r="541" spans="1:15" ht="18" customHeight="1">
      <c r="A541" s="100" t="s">
        <v>235</v>
      </c>
      <c r="B541" s="101"/>
      <c r="C541" s="101"/>
      <c r="D541" s="101"/>
      <c r="E541" s="102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236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180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309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21</v>
      </c>
      <c r="G544" s="28">
        <f t="shared" si="120"/>
        <v>88.2</v>
      </c>
      <c r="H544" s="26" t="s">
        <v>19</v>
      </c>
      <c r="I544" s="26" t="s">
        <v>156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120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232</v>
      </c>
      <c r="B554" s="104"/>
      <c r="C554" s="104"/>
      <c r="D554" s="104"/>
      <c r="E554" s="105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233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310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234</v>
      </c>
      <c r="B567" s="104"/>
      <c r="C567" s="104"/>
      <c r="D567" s="104"/>
      <c r="E567" s="105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233</v>
      </c>
      <c r="O567" s="77">
        <v>722660</v>
      </c>
    </row>
    <row r="568" spans="1:15" ht="18" customHeight="1">
      <c r="A568" s="100" t="s">
        <v>235</v>
      </c>
      <c r="B568" s="101"/>
      <c r="C568" s="101"/>
      <c r="D568" s="101"/>
      <c r="E568" s="102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236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37</v>
      </c>
      <c r="G570" s="34">
        <f t="shared" si="126"/>
        <v>155.4</v>
      </c>
      <c r="H570" s="26" t="s">
        <v>19</v>
      </c>
      <c r="I570" s="26" t="s">
        <v>156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311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232</v>
      </c>
      <c r="B581" s="104"/>
      <c r="C581" s="104"/>
      <c r="D581" s="104"/>
      <c r="E581" s="105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233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11</v>
      </c>
      <c r="G583" s="34">
        <f t="shared" si="129"/>
        <v>55</v>
      </c>
      <c r="H583" s="33" t="s">
        <v>19</v>
      </c>
      <c r="I583" s="33" t="s">
        <v>156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234</v>
      </c>
      <c r="B594" s="104"/>
      <c r="C594" s="104"/>
      <c r="D594" s="104"/>
      <c r="E594" s="105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233</v>
      </c>
      <c r="O594" s="77">
        <v>644900</v>
      </c>
    </row>
    <row r="595" spans="1:15" ht="18" customHeight="1">
      <c r="A595" s="100" t="s">
        <v>235</v>
      </c>
      <c r="B595" s="101"/>
      <c r="C595" s="101"/>
      <c r="D595" s="101"/>
      <c r="E595" s="102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236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312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232</v>
      </c>
      <c r="B608" s="104"/>
      <c r="C608" s="104"/>
      <c r="D608" s="104"/>
      <c r="E608" s="105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233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313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234</v>
      </c>
      <c r="B621" s="104"/>
      <c r="C621" s="104"/>
      <c r="D621" s="104"/>
      <c r="E621" s="105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233</v>
      </c>
      <c r="O621" s="77">
        <v>348050</v>
      </c>
    </row>
    <row r="622" spans="1:15" ht="18" customHeight="1">
      <c r="A622" s="100" t="s">
        <v>235</v>
      </c>
      <c r="B622" s="101"/>
      <c r="C622" s="101"/>
      <c r="D622" s="101"/>
      <c r="E622" s="102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236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9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257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131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257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257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257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257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257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257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257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257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03" t="s">
        <v>232</v>
      </c>
      <c r="B635" s="104"/>
      <c r="C635" s="104"/>
      <c r="D635" s="104"/>
      <c r="E635" s="105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233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156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10</v>
      </c>
      <c r="G638" s="28">
        <f t="shared" si="141"/>
        <v>42</v>
      </c>
      <c r="H638" s="26" t="s">
        <v>20</v>
      </c>
      <c r="I638" s="26" t="s">
        <v>120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234</v>
      </c>
      <c r="B648" s="104"/>
      <c r="C648" s="104"/>
      <c r="D648" s="104"/>
      <c r="E648" s="105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233</v>
      </c>
      <c r="O648" s="77">
        <v>757160</v>
      </c>
    </row>
    <row r="649" spans="1:15" ht="18" customHeight="1">
      <c r="A649" s="100" t="s">
        <v>235</v>
      </c>
      <c r="B649" s="101"/>
      <c r="C649" s="101"/>
      <c r="D649" s="101"/>
      <c r="E649" s="102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236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257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314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257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257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127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315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257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316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230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317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257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257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257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257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257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257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257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232</v>
      </c>
      <c r="B662" s="104"/>
      <c r="C662" s="104"/>
      <c r="D662" s="104"/>
      <c r="E662" s="105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233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257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156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257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257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121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257</v>
      </c>
      <c r="F666" s="27">
        <v>25</v>
      </c>
      <c r="G666" s="28">
        <f t="shared" si="147"/>
        <v>105</v>
      </c>
      <c r="H666" s="26" t="s">
        <v>20</v>
      </c>
      <c r="I666" s="26" t="s">
        <v>120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257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257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257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257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257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257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257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257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234</v>
      </c>
      <c r="B675" s="104"/>
      <c r="C675" s="104"/>
      <c r="D675" s="104"/>
      <c r="E675" s="105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233</v>
      </c>
      <c r="O675" s="77">
        <v>681950</v>
      </c>
    </row>
    <row r="676" spans="1:15" ht="18" customHeight="1">
      <c r="A676" s="100" t="s">
        <v>235</v>
      </c>
      <c r="B676" s="101"/>
      <c r="C676" s="101"/>
      <c r="D676" s="101"/>
      <c r="E676" s="102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236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257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135</v>
      </c>
      <c r="J677" s="33" t="s">
        <v>206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257</v>
      </c>
      <c r="F678" s="27">
        <v>2</v>
      </c>
      <c r="G678" s="28">
        <f t="shared" si="150"/>
        <v>8.4</v>
      </c>
      <c r="H678" s="26" t="s">
        <v>19</v>
      </c>
      <c r="I678" s="26" t="s">
        <v>156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318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257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135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103"/>
      <c r="F680" s="104"/>
      <c r="G680" s="104"/>
      <c r="H680" s="104"/>
      <c r="I680" s="105">
        <f>SUM(I668:I679)</f>
        <v>0</v>
      </c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257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156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257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319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257</v>
      </c>
      <c r="F683" s="27">
        <v>11</v>
      </c>
      <c r="G683" s="34">
        <f t="shared" si="150"/>
        <v>46.2</v>
      </c>
      <c r="H683" s="33" t="s">
        <v>20</v>
      </c>
      <c r="I683" s="33" t="s">
        <v>156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257</v>
      </c>
      <c r="F684" s="27">
        <v>10</v>
      </c>
      <c r="G684" s="28">
        <f t="shared" si="150"/>
        <v>42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257</v>
      </c>
      <c r="F685" s="27">
        <v>10</v>
      </c>
      <c r="G685" s="34">
        <f t="shared" si="150"/>
        <v>42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257</v>
      </c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257</v>
      </c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257</v>
      </c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/>
      <c r="B689" s="104"/>
      <c r="C689" s="104"/>
      <c r="D689" s="104"/>
      <c r="E689" s="105">
        <f>SUM(E677:E688)</f>
        <v>0</v>
      </c>
      <c r="F689" s="36">
        <f>SUM(F677:F688)</f>
        <v>105</v>
      </c>
      <c r="G689" s="36">
        <f>SUM(G677:G688)</f>
        <v>441.00000000000006</v>
      </c>
      <c r="H689" s="37"/>
      <c r="I689" s="37"/>
      <c r="J689" s="37"/>
      <c r="K689" s="37"/>
      <c r="L689" s="37"/>
      <c r="M689" s="38">
        <f ca="1">IFERROR(SUM(M677:M688),"")</f>
        <v>10.11875</v>
      </c>
      <c r="N689" s="36" t="s">
        <v>233</v>
      </c>
      <c r="O689" s="77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234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77"/>
    </row>
    <row r="703" spans="1:15" ht="18" customHeight="1">
      <c r="A703" s="100" t="s">
        <v>235</v>
      </c>
      <c r="B703" s="101"/>
      <c r="C703" s="101"/>
      <c r="D703" s="101"/>
      <c r="E703" s="102">
        <f>E689+E702</f>
        <v>0</v>
      </c>
      <c r="F703" s="40">
        <f>F689+F702</f>
        <v>105</v>
      </c>
      <c r="G703" s="40">
        <f>G689+G702</f>
        <v>441.00000000000006</v>
      </c>
      <c r="H703" s="41"/>
      <c r="I703" s="41"/>
      <c r="J703" s="41"/>
      <c r="K703" s="41"/>
      <c r="L703" s="41"/>
      <c r="M703" s="42">
        <f ca="1">IFERROR(M689+M702,"")</f>
        <v>10.11875</v>
      </c>
      <c r="N703" s="40" t="s">
        <v>236</v>
      </c>
      <c r="O703" s="83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232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234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77"/>
    </row>
    <row r="730" spans="1:15" ht="18" customHeight="1">
      <c r="A730" s="100" t="s">
        <v>235</v>
      </c>
      <c r="B730" s="101"/>
      <c r="C730" s="101"/>
      <c r="D730" s="101"/>
      <c r="E730" s="10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232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234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0" t="s">
        <v>235</v>
      </c>
      <c r="B757" s="101"/>
      <c r="C757" s="101"/>
      <c r="D757" s="101"/>
      <c r="E757" s="10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232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234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0" t="s">
        <v>235</v>
      </c>
      <c r="B784" s="101"/>
      <c r="C784" s="101"/>
      <c r="D784" s="101"/>
      <c r="E784" s="10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232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234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0" t="s">
        <v>235</v>
      </c>
      <c r="B811" s="101"/>
      <c r="C811" s="101"/>
      <c r="D811" s="101"/>
      <c r="E811" s="10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82">
        <f>IFERROR(O797+O810,"")</f>
        <v>0</v>
      </c>
    </row>
  </sheetData>
  <mergeCells count="86">
    <mergeCell ref="E680:I680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512 E515:E610 E612:E679 I680 E681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G680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H680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I2:I679 I681:I900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H407:H679 H681:H900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668" zoomScale="50" zoomScaleNormal="50" workbookViewId="0">
      <selection activeCell="G686" sqref="G686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8.14062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316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320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232</v>
      </c>
      <c r="B14" s="104"/>
      <c r="C14" s="104"/>
      <c r="D14" s="104"/>
      <c r="E14" s="105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233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257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257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257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257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257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257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257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234</v>
      </c>
      <c r="B27" s="104"/>
      <c r="C27" s="104"/>
      <c r="D27" s="104"/>
      <c r="E27" s="105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233</v>
      </c>
      <c r="O27" s="39">
        <v>308500</v>
      </c>
    </row>
    <row r="28" spans="1:15" ht="18" customHeight="1">
      <c r="A28" s="100" t="s">
        <v>235</v>
      </c>
      <c r="B28" s="101"/>
      <c r="C28" s="101"/>
      <c r="D28" s="101"/>
      <c r="E28" s="102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236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321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257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257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257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232</v>
      </c>
      <c r="B41" s="104"/>
      <c r="C41" s="104"/>
      <c r="D41" s="104"/>
      <c r="E41" s="105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233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257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257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257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257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257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257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257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257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257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257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234</v>
      </c>
      <c r="B54" s="104"/>
      <c r="C54" s="104"/>
      <c r="D54" s="104"/>
      <c r="E54" s="105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39">
        <v>124290</v>
      </c>
    </row>
    <row r="55" spans="1:15" ht="18" customHeight="1">
      <c r="A55" s="100" t="s">
        <v>235</v>
      </c>
      <c r="B55" s="101"/>
      <c r="C55" s="101"/>
      <c r="D55" s="101"/>
      <c r="E55" s="102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236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322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257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257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257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257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257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257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257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257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232</v>
      </c>
      <c r="B68" s="104"/>
      <c r="C68" s="104"/>
      <c r="D68" s="104"/>
      <c r="E68" s="105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233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302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234</v>
      </c>
      <c r="B81" s="104"/>
      <c r="C81" s="104"/>
      <c r="D81" s="104"/>
      <c r="E81" s="105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233</v>
      </c>
      <c r="O81" s="39">
        <v>396340</v>
      </c>
    </row>
    <row r="82" spans="1:15" ht="18" customHeight="1">
      <c r="A82" s="100" t="s">
        <v>235</v>
      </c>
      <c r="B82" s="101"/>
      <c r="C82" s="101"/>
      <c r="D82" s="101"/>
      <c r="E82" s="102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236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323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232</v>
      </c>
      <c r="B95" s="104"/>
      <c r="C95" s="104"/>
      <c r="D95" s="104"/>
      <c r="E95" s="105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233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234</v>
      </c>
      <c r="B108" s="104"/>
      <c r="C108" s="104"/>
      <c r="D108" s="104"/>
      <c r="E108" s="105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233</v>
      </c>
      <c r="O108" s="39">
        <v>41230</v>
      </c>
    </row>
    <row r="109" spans="1:15" ht="18" customHeight="1">
      <c r="A109" s="100" t="s">
        <v>235</v>
      </c>
      <c r="B109" s="101"/>
      <c r="C109" s="101"/>
      <c r="D109" s="101"/>
      <c r="E109" s="102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236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232</v>
      </c>
      <c r="B122" s="104"/>
      <c r="C122" s="104"/>
      <c r="D122" s="104"/>
      <c r="E122" s="105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233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277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234</v>
      </c>
      <c r="B135" s="104"/>
      <c r="C135" s="104"/>
      <c r="D135" s="104"/>
      <c r="E135" s="105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233</v>
      </c>
      <c r="O135" s="39">
        <v>381250</v>
      </c>
    </row>
    <row r="136" spans="1:15" ht="18" customHeight="1">
      <c r="A136" s="100" t="s">
        <v>235</v>
      </c>
      <c r="B136" s="101"/>
      <c r="C136" s="101"/>
      <c r="D136" s="101"/>
      <c r="E136" s="102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236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324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279</v>
      </c>
      <c r="K141" s="29">
        <v>0.71597222222222223</v>
      </c>
      <c r="L141" s="29" t="s">
        <v>325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230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230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232</v>
      </c>
      <c r="B149" s="104"/>
      <c r="C149" s="104"/>
      <c r="D149" s="104"/>
      <c r="E149" s="105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233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326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281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234</v>
      </c>
      <c r="B162" s="104"/>
      <c r="C162" s="104"/>
      <c r="D162" s="104"/>
      <c r="E162" s="105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233</v>
      </c>
      <c r="O162" s="39">
        <v>337120</v>
      </c>
    </row>
    <row r="163" spans="1:15" ht="18" customHeight="1">
      <c r="A163" s="100" t="s">
        <v>235</v>
      </c>
      <c r="B163" s="101"/>
      <c r="C163" s="101"/>
      <c r="D163" s="101"/>
      <c r="E163" s="102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236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257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327</v>
      </c>
      <c r="N166" s="27" t="s">
        <v>328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257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257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257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257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257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257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257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257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232</v>
      </c>
      <c r="B176" s="104"/>
      <c r="C176" s="104"/>
      <c r="D176" s="104"/>
      <c r="E176" s="105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233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234</v>
      </c>
      <c r="B189" s="104"/>
      <c r="C189" s="104"/>
      <c r="D189" s="104"/>
      <c r="E189" s="105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233</v>
      </c>
      <c r="O189" s="39">
        <v>747210</v>
      </c>
    </row>
    <row r="190" spans="1:15" ht="18" customHeight="1">
      <c r="A190" s="100" t="s">
        <v>235</v>
      </c>
      <c r="B190" s="101"/>
      <c r="C190" s="101"/>
      <c r="D190" s="101"/>
      <c r="E190" s="102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236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329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232</v>
      </c>
      <c r="B203" s="104"/>
      <c r="C203" s="104"/>
      <c r="D203" s="104"/>
      <c r="E203" s="105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233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234</v>
      </c>
      <c r="B216" s="104"/>
      <c r="C216" s="104"/>
      <c r="D216" s="104"/>
      <c r="E216" s="105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233</v>
      </c>
      <c r="O216" s="39">
        <v>468430</v>
      </c>
    </row>
    <row r="217" spans="1:15" ht="18" customHeight="1">
      <c r="A217" s="100" t="s">
        <v>235</v>
      </c>
      <c r="B217" s="101"/>
      <c r="C217" s="101"/>
      <c r="D217" s="101"/>
      <c r="E217" s="102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236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257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257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257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257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257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232</v>
      </c>
      <c r="B230" s="104"/>
      <c r="C230" s="104"/>
      <c r="D230" s="104"/>
      <c r="E230" s="105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233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234</v>
      </c>
      <c r="B243" s="104"/>
      <c r="C243" s="104"/>
      <c r="D243" s="104"/>
      <c r="E243" s="105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233</v>
      </c>
      <c r="O243" s="39">
        <v>575930</v>
      </c>
    </row>
    <row r="244" spans="1:15" ht="18" customHeight="1">
      <c r="A244" s="100" t="s">
        <v>235</v>
      </c>
      <c r="B244" s="101"/>
      <c r="C244" s="101"/>
      <c r="D244" s="101"/>
      <c r="E244" s="102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236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207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257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257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257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232</v>
      </c>
      <c r="B257" s="104"/>
      <c r="C257" s="104"/>
      <c r="D257" s="104"/>
      <c r="E257" s="105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233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330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331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234</v>
      </c>
      <c r="B270" s="104"/>
      <c r="C270" s="104"/>
      <c r="D270" s="104"/>
      <c r="E270" s="105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233</v>
      </c>
      <c r="O270" s="39">
        <v>483510</v>
      </c>
    </row>
    <row r="271" spans="1:15" ht="18" customHeight="1">
      <c r="A271" s="100" t="s">
        <v>235</v>
      </c>
      <c r="B271" s="101"/>
      <c r="C271" s="101"/>
      <c r="D271" s="101"/>
      <c r="E271" s="102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236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232</v>
      </c>
      <c r="B284" s="104"/>
      <c r="C284" s="104"/>
      <c r="D284" s="104"/>
      <c r="E284" s="105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233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332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257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333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234</v>
      </c>
      <c r="B297" s="104"/>
      <c r="C297" s="104"/>
      <c r="D297" s="104"/>
      <c r="E297" s="105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233</v>
      </c>
      <c r="O297" s="39">
        <v>487980</v>
      </c>
    </row>
    <row r="298" spans="1:15" ht="18" customHeight="1">
      <c r="A298" s="100" t="s">
        <v>235</v>
      </c>
      <c r="B298" s="101"/>
      <c r="C298" s="101"/>
      <c r="D298" s="101"/>
      <c r="E298" s="102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236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334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232</v>
      </c>
      <c r="B311" s="104"/>
      <c r="C311" s="104"/>
      <c r="D311" s="104"/>
      <c r="E311" s="105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233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335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336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234</v>
      </c>
      <c r="B324" s="104"/>
      <c r="C324" s="104"/>
      <c r="D324" s="104"/>
      <c r="E324" s="105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233</v>
      </c>
      <c r="O324" s="39">
        <v>609460</v>
      </c>
    </row>
    <row r="325" spans="1:15" ht="18" customHeight="1">
      <c r="A325" s="100" t="s">
        <v>235</v>
      </c>
      <c r="B325" s="101"/>
      <c r="C325" s="101"/>
      <c r="D325" s="101"/>
      <c r="E325" s="102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236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257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337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257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302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230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257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324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257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257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257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257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257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257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232</v>
      </c>
      <c r="B338" s="104"/>
      <c r="C338" s="104"/>
      <c r="D338" s="104"/>
      <c r="E338" s="105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233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234</v>
      </c>
      <c r="B351" s="104"/>
      <c r="C351" s="104"/>
      <c r="D351" s="104"/>
      <c r="E351" s="105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233</v>
      </c>
      <c r="O351" s="39">
        <v>437940</v>
      </c>
    </row>
    <row r="352" spans="1:15" ht="18" customHeight="1">
      <c r="A352" s="100" t="s">
        <v>235</v>
      </c>
      <c r="B352" s="101"/>
      <c r="C352" s="101"/>
      <c r="D352" s="101"/>
      <c r="E352" s="102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236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257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257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232</v>
      </c>
      <c r="B365" s="104"/>
      <c r="C365" s="104"/>
      <c r="D365" s="104"/>
      <c r="E365" s="105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233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234</v>
      </c>
      <c r="B378" s="104"/>
      <c r="C378" s="104"/>
      <c r="D378" s="104"/>
      <c r="E378" s="105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233</v>
      </c>
      <c r="O378" s="39">
        <v>473310</v>
      </c>
    </row>
    <row r="379" spans="1:15" ht="18" customHeight="1">
      <c r="A379" s="100" t="s">
        <v>235</v>
      </c>
      <c r="B379" s="101"/>
      <c r="C379" s="101"/>
      <c r="D379" s="101"/>
      <c r="E379" s="102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236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257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257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257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257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257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257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257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257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257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232</v>
      </c>
      <c r="B392" s="104"/>
      <c r="C392" s="104"/>
      <c r="D392" s="104"/>
      <c r="E392" s="105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233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234</v>
      </c>
      <c r="B405" s="104"/>
      <c r="C405" s="104"/>
      <c r="D405" s="104"/>
      <c r="E405" s="105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233</v>
      </c>
      <c r="O405" s="39">
        <v>507450</v>
      </c>
    </row>
    <row r="406" spans="1:15" ht="18" customHeight="1">
      <c r="A406" s="100" t="s">
        <v>235</v>
      </c>
      <c r="B406" s="101"/>
      <c r="C406" s="101"/>
      <c r="D406" s="101"/>
      <c r="E406" s="102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236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257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257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257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257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257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257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257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230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230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257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257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232</v>
      </c>
      <c r="B419" s="104"/>
      <c r="C419" s="104"/>
      <c r="D419" s="104"/>
      <c r="E419" s="105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233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299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234</v>
      </c>
      <c r="B432" s="104"/>
      <c r="C432" s="104"/>
      <c r="D432" s="104"/>
      <c r="E432" s="105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233</v>
      </c>
      <c r="O432" s="39">
        <v>229150</v>
      </c>
    </row>
    <row r="433" spans="1:15" ht="18" customHeight="1">
      <c r="A433" s="100" t="s">
        <v>235</v>
      </c>
      <c r="B433" s="101"/>
      <c r="C433" s="101"/>
      <c r="D433" s="101"/>
      <c r="E433" s="102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236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338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232</v>
      </c>
      <c r="B446" s="104"/>
      <c r="C446" s="104"/>
      <c r="D446" s="104"/>
      <c r="E446" s="105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233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234</v>
      </c>
      <c r="B459" s="104"/>
      <c r="C459" s="104"/>
      <c r="D459" s="104"/>
      <c r="E459" s="105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233</v>
      </c>
      <c r="O459" s="39">
        <v>409980</v>
      </c>
    </row>
    <row r="460" spans="1:15" ht="18" customHeight="1">
      <c r="A460" s="100" t="s">
        <v>235</v>
      </c>
      <c r="B460" s="101"/>
      <c r="C460" s="101"/>
      <c r="D460" s="101"/>
      <c r="E460" s="102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236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230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230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230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230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232</v>
      </c>
      <c r="B473" s="104"/>
      <c r="C473" s="104"/>
      <c r="D473" s="104"/>
      <c r="E473" s="105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233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234</v>
      </c>
      <c r="B486" s="104"/>
      <c r="C486" s="104"/>
      <c r="D486" s="104"/>
      <c r="E486" s="105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233</v>
      </c>
      <c r="O486" s="39">
        <v>341550</v>
      </c>
    </row>
    <row r="487" spans="1:15" ht="18" customHeight="1">
      <c r="A487" s="100" t="s">
        <v>235</v>
      </c>
      <c r="B487" s="101"/>
      <c r="C487" s="101"/>
      <c r="D487" s="101"/>
      <c r="E487" s="102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236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339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230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232</v>
      </c>
      <c r="B500" s="104"/>
      <c r="C500" s="104"/>
      <c r="D500" s="104"/>
      <c r="E500" s="105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233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234</v>
      </c>
      <c r="B513" s="104"/>
      <c r="C513" s="104"/>
      <c r="D513" s="104"/>
      <c r="E513" s="105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233</v>
      </c>
      <c r="O513" s="39">
        <v>276610</v>
      </c>
    </row>
    <row r="514" spans="1:15" ht="18" customHeight="1">
      <c r="A514" s="100" t="s">
        <v>235</v>
      </c>
      <c r="B514" s="101"/>
      <c r="C514" s="101"/>
      <c r="D514" s="101"/>
      <c r="E514" s="102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236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232</v>
      </c>
      <c r="B527" s="104"/>
      <c r="C527" s="104"/>
      <c r="D527" s="104"/>
      <c r="E527" s="105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233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340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341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164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342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234</v>
      </c>
      <c r="B540" s="104"/>
      <c r="C540" s="104"/>
      <c r="D540" s="104"/>
      <c r="E540" s="105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233</v>
      </c>
      <c r="O540" s="39">
        <v>194990</v>
      </c>
    </row>
    <row r="541" spans="1:15" ht="18" customHeight="1">
      <c r="A541" s="100" t="s">
        <v>235</v>
      </c>
      <c r="B541" s="101"/>
      <c r="C541" s="101"/>
      <c r="D541" s="101"/>
      <c r="E541" s="102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236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127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343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5</v>
      </c>
      <c r="G544" s="28">
        <f t="shared" si="120"/>
        <v>21</v>
      </c>
      <c r="H544" s="26" t="s">
        <v>20</v>
      </c>
      <c r="I544" s="26" t="s">
        <v>120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232</v>
      </c>
      <c r="B554" s="104"/>
      <c r="C554" s="104"/>
      <c r="D554" s="104"/>
      <c r="E554" s="105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233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180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344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234</v>
      </c>
      <c r="B567" s="104"/>
      <c r="C567" s="104"/>
      <c r="D567" s="104"/>
      <c r="E567" s="105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233</v>
      </c>
      <c r="O567" s="39">
        <v>315860</v>
      </c>
    </row>
    <row r="568" spans="1:15" ht="18" customHeight="1">
      <c r="A568" s="100" t="s">
        <v>235</v>
      </c>
      <c r="B568" s="101"/>
      <c r="C568" s="101"/>
      <c r="D568" s="101"/>
      <c r="E568" s="102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236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345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232</v>
      </c>
      <c r="B581" s="104"/>
      <c r="C581" s="104"/>
      <c r="D581" s="104"/>
      <c r="E581" s="105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233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234</v>
      </c>
      <c r="B594" s="104"/>
      <c r="C594" s="104"/>
      <c r="D594" s="104"/>
      <c r="E594" s="105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233</v>
      </c>
      <c r="O594" s="39">
        <v>424930</v>
      </c>
    </row>
    <row r="595" spans="1:15" ht="18" customHeight="1">
      <c r="A595" s="100" t="s">
        <v>235</v>
      </c>
      <c r="B595" s="101"/>
      <c r="C595" s="101"/>
      <c r="D595" s="101"/>
      <c r="E595" s="102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236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346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0</v>
      </c>
      <c r="G599" s="34">
        <f t="shared" si="132"/>
        <v>0</v>
      </c>
      <c r="H599" s="33" t="s">
        <v>20</v>
      </c>
      <c r="I599" s="33" t="s">
        <v>154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318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232</v>
      </c>
      <c r="B608" s="104"/>
      <c r="C608" s="104"/>
      <c r="D608" s="104"/>
      <c r="E608" s="105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233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234</v>
      </c>
      <c r="B621" s="104"/>
      <c r="C621" s="104"/>
      <c r="D621" s="104"/>
      <c r="E621" s="105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233</v>
      </c>
      <c r="O621" s="39">
        <v>377360</v>
      </c>
    </row>
    <row r="622" spans="1:15" ht="18" customHeight="1">
      <c r="A622" s="100" t="s">
        <v>235</v>
      </c>
      <c r="B622" s="101"/>
      <c r="C622" s="101"/>
      <c r="D622" s="101"/>
      <c r="E622" s="102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236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257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257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257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257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257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257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257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257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257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232</v>
      </c>
      <c r="B635" s="104"/>
      <c r="C635" s="104"/>
      <c r="D635" s="104"/>
      <c r="E635" s="105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233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120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234</v>
      </c>
      <c r="B648" s="104"/>
      <c r="C648" s="104"/>
      <c r="D648" s="104"/>
      <c r="E648" s="105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233</v>
      </c>
      <c r="O648" s="39">
        <v>319500</v>
      </c>
    </row>
    <row r="649" spans="1:15" ht="18" customHeight="1">
      <c r="A649" s="100" t="s">
        <v>235</v>
      </c>
      <c r="B649" s="101"/>
      <c r="C649" s="101"/>
      <c r="D649" s="101"/>
      <c r="E649" s="102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236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257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127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347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257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257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318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257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230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257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257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257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257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257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257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257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232</v>
      </c>
      <c r="B662" s="104"/>
      <c r="C662" s="104"/>
      <c r="D662" s="104"/>
      <c r="E662" s="105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233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257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120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257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348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257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257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257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257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257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257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257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257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257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257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234</v>
      </c>
      <c r="B675" s="104"/>
      <c r="C675" s="104"/>
      <c r="D675" s="104"/>
      <c r="E675" s="105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233</v>
      </c>
      <c r="O675" s="39">
        <v>323580</v>
      </c>
    </row>
    <row r="676" spans="1:15" ht="18" customHeight="1">
      <c r="A676" s="100" t="s">
        <v>235</v>
      </c>
      <c r="B676" s="101"/>
      <c r="C676" s="101"/>
      <c r="D676" s="101"/>
      <c r="E676" s="102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236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257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257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257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257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257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257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257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257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257</v>
      </c>
      <c r="F685" s="27">
        <v>13</v>
      </c>
      <c r="G685" s="34">
        <f t="shared" si="150"/>
        <v>54.6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257</v>
      </c>
      <c r="F686" s="27"/>
      <c r="G686" s="28"/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257</v>
      </c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257</v>
      </c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232</v>
      </c>
      <c r="B689" s="104"/>
      <c r="C689" s="104"/>
      <c r="D689" s="104"/>
      <c r="E689" s="105">
        <f>SUM(E677:E688)</f>
        <v>0</v>
      </c>
      <c r="F689" s="36">
        <f>SUM(F677:F688)</f>
        <v>100</v>
      </c>
      <c r="G689" s="36">
        <f>SUM(G677:G688)</f>
        <v>420.00000000000006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234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0" t="s">
        <v>235</v>
      </c>
      <c r="B703" s="101"/>
      <c r="C703" s="101"/>
      <c r="D703" s="101"/>
      <c r="E703" s="102">
        <f>E689+E702</f>
        <v>0</v>
      </c>
      <c r="F703" s="40">
        <f>F689+F702</f>
        <v>100</v>
      </c>
      <c r="G703" s="40">
        <f>G689+G702</f>
        <v>420.00000000000006</v>
      </c>
      <c r="H703" s="41"/>
      <c r="I703" s="41"/>
      <c r="J703" s="41"/>
      <c r="K703" s="41"/>
      <c r="L703" s="41"/>
      <c r="M703" s="42">
        <f ca="1">IFERROR(M689+M702,"")</f>
        <v>2.3611111111111083E-2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232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234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0" t="s">
        <v>235</v>
      </c>
      <c r="B730" s="101"/>
      <c r="C730" s="101"/>
      <c r="D730" s="101"/>
      <c r="E730" s="10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232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234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0" t="s">
        <v>235</v>
      </c>
      <c r="B757" s="101"/>
      <c r="C757" s="101"/>
      <c r="D757" s="101"/>
      <c r="E757" s="10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232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234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0" t="s">
        <v>235</v>
      </c>
      <c r="B784" s="101"/>
      <c r="C784" s="101"/>
      <c r="D784" s="101"/>
      <c r="E784" s="10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232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234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0" t="s">
        <v>235</v>
      </c>
      <c r="B811" s="101"/>
      <c r="C811" s="101"/>
      <c r="D811" s="101"/>
      <c r="E811" s="10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672" activePane="bottomLeft" state="frozen"/>
      <selection pane="bottomLeft" activeCell="F686" sqref="F686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349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302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232</v>
      </c>
      <c r="B14" s="104"/>
      <c r="C14" s="104"/>
      <c r="D14" s="104"/>
      <c r="E14" s="105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233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350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234</v>
      </c>
      <c r="B27" s="104"/>
      <c r="C27" s="104"/>
      <c r="D27" s="104"/>
      <c r="E27" s="105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233</v>
      </c>
      <c r="O27" s="39">
        <v>202230</v>
      </c>
    </row>
    <row r="28" spans="1:15" ht="18" customHeight="1">
      <c r="A28" s="100" t="s">
        <v>235</v>
      </c>
      <c r="B28" s="101"/>
      <c r="C28" s="101"/>
      <c r="D28" s="101"/>
      <c r="E28" s="102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236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351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352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232</v>
      </c>
      <c r="B41" s="104"/>
      <c r="C41" s="104"/>
      <c r="D41" s="104"/>
      <c r="E41" s="105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233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257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257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257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257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257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257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257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257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234</v>
      </c>
      <c r="B54" s="104"/>
      <c r="C54" s="104"/>
      <c r="D54" s="104"/>
      <c r="E54" s="105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233</v>
      </c>
      <c r="O54" s="39">
        <v>473910</v>
      </c>
    </row>
    <row r="55" spans="1:15" ht="18" customHeight="1">
      <c r="A55" s="100" t="s">
        <v>235</v>
      </c>
      <c r="B55" s="101"/>
      <c r="C55" s="101"/>
      <c r="D55" s="101"/>
      <c r="E55" s="102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236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353</v>
      </c>
      <c r="L58" s="29">
        <v>0.54097222222222219</v>
      </c>
      <c r="M58" s="30" t="str">
        <f t="shared" ca="1" si="13"/>
        <v/>
      </c>
      <c r="N58" s="27" t="s">
        <v>354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257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257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257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257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257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257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257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257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232</v>
      </c>
      <c r="B68" s="104"/>
      <c r="C68" s="104"/>
      <c r="D68" s="104"/>
      <c r="E68" s="105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233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316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355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356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357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358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234</v>
      </c>
      <c r="B81" s="104"/>
      <c r="C81" s="104"/>
      <c r="D81" s="104"/>
      <c r="E81" s="105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233</v>
      </c>
      <c r="O81" s="39">
        <v>565120</v>
      </c>
    </row>
    <row r="82" spans="1:15" ht="18" customHeight="1">
      <c r="A82" s="100" t="s">
        <v>235</v>
      </c>
      <c r="B82" s="101"/>
      <c r="C82" s="101"/>
      <c r="D82" s="101"/>
      <c r="E82" s="102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236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359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230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232</v>
      </c>
      <c r="B95" s="104"/>
      <c r="C95" s="104"/>
      <c r="D95" s="104"/>
      <c r="E95" s="105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233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234</v>
      </c>
      <c r="B108" s="104"/>
      <c r="C108" s="104"/>
      <c r="D108" s="104"/>
      <c r="E108" s="105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233</v>
      </c>
      <c r="O108" s="39">
        <v>558590</v>
      </c>
    </row>
    <row r="109" spans="1:15" ht="18" customHeight="1">
      <c r="A109" s="100" t="s">
        <v>235</v>
      </c>
      <c r="B109" s="101"/>
      <c r="C109" s="101"/>
      <c r="D109" s="101"/>
      <c r="E109" s="102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236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360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232</v>
      </c>
      <c r="B122" s="104"/>
      <c r="C122" s="104"/>
      <c r="D122" s="104"/>
      <c r="E122" s="105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233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361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362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0.46500243055925239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277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234</v>
      </c>
      <c r="B135" s="104"/>
      <c r="C135" s="104"/>
      <c r="D135" s="104"/>
      <c r="E135" s="105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0.66430798611480801</v>
      </c>
      <c r="N135" s="36" t="s">
        <v>233</v>
      </c>
      <c r="O135" s="39">
        <v>729290</v>
      </c>
    </row>
    <row r="136" spans="1:18" ht="18" customHeight="1">
      <c r="A136" s="100" t="s">
        <v>235</v>
      </c>
      <c r="B136" s="101"/>
      <c r="C136" s="101"/>
      <c r="D136" s="101"/>
      <c r="E136" s="102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1.031669097225919</v>
      </c>
      <c r="N136" s="40" t="s">
        <v>236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363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279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232</v>
      </c>
      <c r="B149" s="104"/>
      <c r="C149" s="104"/>
      <c r="D149" s="104"/>
      <c r="E149" s="105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233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324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364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234</v>
      </c>
      <c r="B162" s="104"/>
      <c r="C162" s="104"/>
      <c r="D162" s="104"/>
      <c r="E162" s="105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233</v>
      </c>
      <c r="O162" s="39">
        <v>697320</v>
      </c>
    </row>
    <row r="163" spans="1:15" ht="18" customHeight="1">
      <c r="A163" s="100" t="s">
        <v>235</v>
      </c>
      <c r="B163" s="101"/>
      <c r="C163" s="101"/>
      <c r="D163" s="101"/>
      <c r="E163" s="102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236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257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365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232</v>
      </c>
      <c r="B176" s="104"/>
      <c r="C176" s="104"/>
      <c r="D176" s="104"/>
      <c r="E176" s="105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233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234</v>
      </c>
      <c r="B189" s="104"/>
      <c r="C189" s="104"/>
      <c r="D189" s="104"/>
      <c r="E189" s="105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233</v>
      </c>
      <c r="O189" s="39">
        <v>973580</v>
      </c>
    </row>
    <row r="190" spans="1:15" ht="18" customHeight="1">
      <c r="A190" s="100" t="s">
        <v>235</v>
      </c>
      <c r="B190" s="101"/>
      <c r="C190" s="101"/>
      <c r="D190" s="101"/>
      <c r="E190" s="102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236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366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367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232</v>
      </c>
      <c r="B203" s="104"/>
      <c r="C203" s="104"/>
      <c r="D203" s="104"/>
      <c r="E203" s="105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233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368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234</v>
      </c>
      <c r="B216" s="104"/>
      <c r="C216" s="104"/>
      <c r="D216" s="104"/>
      <c r="E216" s="105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233</v>
      </c>
      <c r="O216" s="45">
        <v>1060630</v>
      </c>
    </row>
    <row r="217" spans="1:15" ht="18" customHeight="1">
      <c r="A217" s="100" t="s">
        <v>235</v>
      </c>
      <c r="B217" s="101"/>
      <c r="C217" s="101"/>
      <c r="D217" s="101"/>
      <c r="E217" s="102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236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369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370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371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232</v>
      </c>
      <c r="B230" s="104"/>
      <c r="C230" s="104"/>
      <c r="D230" s="104"/>
      <c r="E230" s="105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233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372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234</v>
      </c>
      <c r="B243" s="104"/>
      <c r="C243" s="104"/>
      <c r="D243" s="104"/>
      <c r="E243" s="105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233</v>
      </c>
      <c r="O243" s="39">
        <v>982340</v>
      </c>
    </row>
    <row r="244" spans="1:15" ht="18" customHeight="1">
      <c r="A244" s="100" t="s">
        <v>235</v>
      </c>
      <c r="B244" s="101"/>
      <c r="C244" s="101"/>
      <c r="D244" s="101"/>
      <c r="E244" s="102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236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373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206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232</v>
      </c>
      <c r="B257" s="104"/>
      <c r="C257" s="104"/>
      <c r="D257" s="104"/>
      <c r="E257" s="105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233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234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233</v>
      </c>
      <c r="O270" s="39">
        <v>1208450</v>
      </c>
    </row>
    <row r="271" spans="1:15" ht="18" customHeight="1">
      <c r="A271" s="100" t="s">
        <v>235</v>
      </c>
      <c r="B271" s="101"/>
      <c r="C271" s="101"/>
      <c r="D271" s="101"/>
      <c r="E271" s="102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236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232</v>
      </c>
      <c r="B284" s="104"/>
      <c r="C284" s="104"/>
      <c r="D284" s="104"/>
      <c r="E284" s="105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233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234</v>
      </c>
      <c r="B297" s="104"/>
      <c r="C297" s="104"/>
      <c r="D297" s="104"/>
      <c r="E297" s="105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233</v>
      </c>
      <c r="O297" s="39">
        <v>1049090</v>
      </c>
    </row>
    <row r="298" spans="1:15" ht="18" customHeight="1">
      <c r="A298" s="100" t="s">
        <v>235</v>
      </c>
      <c r="B298" s="101"/>
      <c r="C298" s="101"/>
      <c r="D298" s="101"/>
      <c r="E298" s="102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236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374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208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209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232</v>
      </c>
      <c r="B311" s="104"/>
      <c r="C311" s="104"/>
      <c r="D311" s="104"/>
      <c r="E311" s="105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233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274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234</v>
      </c>
      <c r="B324" s="104"/>
      <c r="C324" s="104"/>
      <c r="D324" s="104"/>
      <c r="E324" s="105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233</v>
      </c>
      <c r="O324" s="39">
        <v>1063720</v>
      </c>
    </row>
    <row r="325" spans="1:15" ht="18" customHeight="1">
      <c r="A325" s="100" t="s">
        <v>235</v>
      </c>
      <c r="B325" s="101"/>
      <c r="C325" s="101"/>
      <c r="D325" s="101"/>
      <c r="E325" s="102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236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257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302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257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257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257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257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257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257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257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257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257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232</v>
      </c>
      <c r="B338" s="104"/>
      <c r="C338" s="104"/>
      <c r="D338" s="104"/>
      <c r="E338" s="105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233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375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376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234</v>
      </c>
      <c r="B351" s="104"/>
      <c r="C351" s="104"/>
      <c r="D351" s="104"/>
      <c r="E351" s="105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233</v>
      </c>
      <c r="O351" s="39">
        <v>696140</v>
      </c>
    </row>
    <row r="352" spans="1:15" ht="18" customHeight="1">
      <c r="A352" s="100" t="s">
        <v>235</v>
      </c>
      <c r="B352" s="101"/>
      <c r="C352" s="101"/>
      <c r="D352" s="101"/>
      <c r="E352" s="102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236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324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232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233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257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257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257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377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3" t="s">
        <v>234</v>
      </c>
      <c r="B378" s="104"/>
      <c r="C378" s="104"/>
      <c r="D378" s="104"/>
      <c r="E378" s="105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233</v>
      </c>
      <c r="O378" s="39">
        <v>704750</v>
      </c>
    </row>
    <row r="379" spans="1:15" ht="18" customHeight="1">
      <c r="A379" s="100" t="s">
        <v>235</v>
      </c>
      <c r="B379" s="101"/>
      <c r="C379" s="101"/>
      <c r="D379" s="101"/>
      <c r="E379" s="102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236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378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365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232</v>
      </c>
      <c r="B392" s="104"/>
      <c r="C392" s="104"/>
      <c r="D392" s="104"/>
      <c r="E392" s="105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233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379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380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234</v>
      </c>
      <c r="B405" s="104"/>
      <c r="C405" s="104"/>
      <c r="D405" s="104"/>
      <c r="E405" s="105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233</v>
      </c>
      <c r="O405" s="39">
        <v>958130</v>
      </c>
    </row>
    <row r="406" spans="1:15" ht="18" customHeight="1">
      <c r="A406" s="100" t="s">
        <v>235</v>
      </c>
      <c r="B406" s="101"/>
      <c r="C406" s="101"/>
      <c r="D406" s="101"/>
      <c r="E406" s="102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236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257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232</v>
      </c>
      <c r="B419" s="104"/>
      <c r="C419" s="104"/>
      <c r="D419" s="104"/>
      <c r="E419" s="105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233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381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234</v>
      </c>
      <c r="B432" s="104"/>
      <c r="C432" s="104"/>
      <c r="D432" s="104"/>
      <c r="E432" s="105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233</v>
      </c>
      <c r="O432" s="39">
        <v>605220</v>
      </c>
    </row>
    <row r="433" spans="1:17" ht="18" customHeight="1">
      <c r="A433" s="100" t="s">
        <v>235</v>
      </c>
      <c r="B433" s="101"/>
      <c r="C433" s="101"/>
      <c r="D433" s="101"/>
      <c r="E433" s="102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236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213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232</v>
      </c>
      <c r="B446" s="104"/>
      <c r="C446" s="104"/>
      <c r="D446" s="104"/>
      <c r="E446" s="105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233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313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216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234</v>
      </c>
      <c r="B459" s="104"/>
      <c r="C459" s="104"/>
      <c r="D459" s="104"/>
      <c r="E459" s="105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233</v>
      </c>
      <c r="O459" s="39">
        <v>615330</v>
      </c>
    </row>
    <row r="460" spans="1:15" ht="18" customHeight="1">
      <c r="A460" s="100" t="s">
        <v>235</v>
      </c>
      <c r="B460" s="101"/>
      <c r="C460" s="101"/>
      <c r="D460" s="101"/>
      <c r="E460" s="102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236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382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383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358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232</v>
      </c>
      <c r="B473" s="104"/>
      <c r="C473" s="104"/>
      <c r="D473" s="104"/>
      <c r="E473" s="105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233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234</v>
      </c>
      <c r="B486" s="104"/>
      <c r="C486" s="104"/>
      <c r="D486" s="104"/>
      <c r="E486" s="105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233</v>
      </c>
      <c r="O486" s="39">
        <v>1120830</v>
      </c>
    </row>
    <row r="487" spans="1:15" ht="18" customHeight="1">
      <c r="A487" s="100" t="s">
        <v>235</v>
      </c>
      <c r="B487" s="101"/>
      <c r="C487" s="101"/>
      <c r="D487" s="101"/>
      <c r="E487" s="102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236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358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230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230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230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257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257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257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257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257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232</v>
      </c>
      <c r="B500" s="104"/>
      <c r="C500" s="104"/>
      <c r="D500" s="104"/>
      <c r="E500" s="105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233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384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234</v>
      </c>
      <c r="B513" s="104"/>
      <c r="C513" s="104"/>
      <c r="D513" s="104"/>
      <c r="E513" s="105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233</v>
      </c>
      <c r="O513" s="39">
        <v>416720</v>
      </c>
    </row>
    <row r="514" spans="1:15" ht="18" customHeight="1">
      <c r="A514" s="100" t="s">
        <v>235</v>
      </c>
      <c r="B514" s="101"/>
      <c r="C514" s="101"/>
      <c r="D514" s="101"/>
      <c r="E514" s="102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236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217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385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386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232</v>
      </c>
      <c r="B527" s="104"/>
      <c r="C527" s="104"/>
      <c r="D527" s="104"/>
      <c r="E527" s="105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233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5</v>
      </c>
      <c r="G530" s="28">
        <f t="shared" si="117"/>
        <v>21</v>
      </c>
      <c r="H530" s="26" t="s">
        <v>19</v>
      </c>
      <c r="I530" s="26" t="s">
        <v>159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193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234</v>
      </c>
      <c r="B540" s="104"/>
      <c r="C540" s="104"/>
      <c r="D540" s="104"/>
      <c r="E540" s="105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233</v>
      </c>
      <c r="O540" s="39">
        <v>404370</v>
      </c>
    </row>
    <row r="541" spans="1:15" ht="18" customHeight="1">
      <c r="A541" s="100" t="s">
        <v>235</v>
      </c>
      <c r="B541" s="101"/>
      <c r="C541" s="101"/>
      <c r="D541" s="101"/>
      <c r="E541" s="102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236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137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387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127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388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144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389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232</v>
      </c>
      <c r="B554" s="104"/>
      <c r="C554" s="104"/>
      <c r="D554" s="104"/>
      <c r="E554" s="105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233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127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138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257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180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390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257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257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257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257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257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234</v>
      </c>
      <c r="B567" s="104"/>
      <c r="C567" s="104"/>
      <c r="D567" s="104"/>
      <c r="E567" s="105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233</v>
      </c>
      <c r="O567" s="39">
        <v>499820</v>
      </c>
    </row>
    <row r="568" spans="1:15" ht="18" customHeight="1">
      <c r="A568" s="100" t="s">
        <v>235</v>
      </c>
      <c r="B568" s="101"/>
      <c r="C568" s="101"/>
      <c r="D568" s="101"/>
      <c r="E568" s="102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236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391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232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233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257</v>
      </c>
      <c r="F583" s="27">
        <v>5</v>
      </c>
      <c r="G583" s="34">
        <f t="shared" si="129"/>
        <v>21</v>
      </c>
      <c r="H583" s="33" t="s">
        <v>19</v>
      </c>
      <c r="I583" s="33" t="s">
        <v>159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257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257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257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257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257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257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257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3" t="s">
        <v>234</v>
      </c>
      <c r="B594" s="104"/>
      <c r="C594" s="104"/>
      <c r="D594" s="104"/>
      <c r="E594" s="105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233</v>
      </c>
      <c r="O594" s="39">
        <v>572580</v>
      </c>
    </row>
    <row r="595" spans="1:15" ht="18" customHeight="1">
      <c r="A595" s="100" t="s">
        <v>235</v>
      </c>
      <c r="B595" s="101"/>
      <c r="C595" s="101"/>
      <c r="D595" s="101"/>
      <c r="E595" s="102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236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218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16</v>
      </c>
      <c r="G598" s="28">
        <f t="shared" si="132"/>
        <v>67.2</v>
      </c>
      <c r="H598" s="26" t="s">
        <v>20</v>
      </c>
      <c r="I598" s="26" t="s">
        <v>126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20</v>
      </c>
      <c r="G599" s="34">
        <f t="shared" si="132"/>
        <v>84</v>
      </c>
      <c r="H599" s="33" t="s">
        <v>20</v>
      </c>
      <c r="I599" s="33" t="s">
        <v>154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159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392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232</v>
      </c>
      <c r="B608" s="104"/>
      <c r="C608" s="104"/>
      <c r="D608" s="104"/>
      <c r="E608" s="105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233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257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257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234</v>
      </c>
      <c r="B621" s="104"/>
      <c r="C621" s="104"/>
      <c r="D621" s="104"/>
      <c r="E621" s="105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233</v>
      </c>
      <c r="O621" s="39">
        <v>414860</v>
      </c>
    </row>
    <row r="622" spans="1:15" ht="18" customHeight="1">
      <c r="A622" s="100" t="s">
        <v>235</v>
      </c>
      <c r="B622" s="101"/>
      <c r="C622" s="101"/>
      <c r="D622" s="101"/>
      <c r="E622" s="102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236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208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257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218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257</v>
      </c>
      <c r="F627" s="27">
        <v>10</v>
      </c>
      <c r="G627" s="34">
        <f t="shared" si="138"/>
        <v>42</v>
      </c>
      <c r="H627" s="33" t="s">
        <v>20</v>
      </c>
      <c r="I627" s="33" t="s">
        <v>152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393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257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218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257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257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257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257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257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257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232</v>
      </c>
      <c r="B635" s="104"/>
      <c r="C635" s="104"/>
      <c r="D635" s="104"/>
      <c r="E635" s="105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233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394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234</v>
      </c>
      <c r="B648" s="104"/>
      <c r="C648" s="104"/>
      <c r="D648" s="104"/>
      <c r="E648" s="105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233</v>
      </c>
      <c r="O648" s="39">
        <v>284850</v>
      </c>
    </row>
    <row r="649" spans="1:15" ht="18" customHeight="1">
      <c r="A649" s="100" t="s">
        <v>235</v>
      </c>
      <c r="B649" s="101"/>
      <c r="C649" s="101"/>
      <c r="D649" s="101"/>
      <c r="E649" s="102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236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218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395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232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218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159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396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257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257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257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257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257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257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257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234</v>
      </c>
      <c r="B675" s="104"/>
      <c r="C675" s="104"/>
      <c r="D675" s="104"/>
      <c r="E675" s="105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233</v>
      </c>
      <c r="O675" s="39">
        <v>486620</v>
      </c>
    </row>
    <row r="676" spans="1:15" ht="18" customHeight="1">
      <c r="A676" s="100" t="s">
        <v>235</v>
      </c>
      <c r="B676" s="101"/>
      <c r="C676" s="101"/>
      <c r="D676" s="101"/>
      <c r="E676" s="102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236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257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257</v>
      </c>
      <c r="F678" s="27">
        <v>20</v>
      </c>
      <c r="G678" s="28">
        <f t="shared" si="150"/>
        <v>84</v>
      </c>
      <c r="H678" s="26" t="s">
        <v>18</v>
      </c>
      <c r="I678" s="26" t="s">
        <v>159</v>
      </c>
      <c r="J678" s="26" t="s">
        <v>121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257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257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257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159</v>
      </c>
      <c r="J681" s="33" t="s">
        <v>27</v>
      </c>
      <c r="K681" s="29">
        <v>0.70833333333333337</v>
      </c>
      <c r="L681" s="29"/>
      <c r="M681" s="35">
        <f t="shared" ca="1" si="151"/>
        <v>5.9746527767856605E-3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257</v>
      </c>
      <c r="F682" s="27">
        <v>17</v>
      </c>
      <c r="G682" s="28"/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257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257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257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257</v>
      </c>
      <c r="F686" s="27"/>
      <c r="G686" s="28"/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257</v>
      </c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257</v>
      </c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232</v>
      </c>
      <c r="B689" s="104"/>
      <c r="C689" s="104"/>
      <c r="D689" s="104"/>
      <c r="E689" s="105">
        <f>SUM(E677:E688)</f>
        <v>0</v>
      </c>
      <c r="F689" s="36">
        <f>SUM(F677:F688)</f>
        <v>167</v>
      </c>
      <c r="G689" s="36">
        <f>SUM(G677:G688)</f>
        <v>630</v>
      </c>
      <c r="H689" s="37"/>
      <c r="I689" s="37"/>
      <c r="J689" s="37"/>
      <c r="K689" s="61"/>
      <c r="L689" s="61"/>
      <c r="M689" s="38">
        <f ca="1">IFERROR(SUM(M677:M688),"")</f>
        <v>7.3335763887896865E-2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234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0" t="s">
        <v>235</v>
      </c>
      <c r="B703" s="101"/>
      <c r="C703" s="101"/>
      <c r="D703" s="101"/>
      <c r="E703" s="102">
        <f>E689+E702</f>
        <v>0</v>
      </c>
      <c r="F703" s="40">
        <f>F689+F702</f>
        <v>167</v>
      </c>
      <c r="G703" s="40">
        <f>G689+G702</f>
        <v>630</v>
      </c>
      <c r="H703" s="41"/>
      <c r="I703" s="41"/>
      <c r="J703" s="41"/>
      <c r="K703" s="63"/>
      <c r="L703" s="63"/>
      <c r="M703" s="42">
        <f ca="1">IFERROR(M689+M702,"")</f>
        <v>7.3335763887896865E-2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232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234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0" t="s">
        <v>235</v>
      </c>
      <c r="B730" s="101"/>
      <c r="C730" s="101"/>
      <c r="D730" s="101"/>
      <c r="E730" s="10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232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234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0" t="s">
        <v>235</v>
      </c>
      <c r="B757" s="101"/>
      <c r="C757" s="101"/>
      <c r="D757" s="101"/>
      <c r="E757" s="10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232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234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0" t="s">
        <v>235</v>
      </c>
      <c r="B784" s="101"/>
      <c r="C784" s="101"/>
      <c r="D784" s="101"/>
      <c r="E784" s="10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232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234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0" t="s">
        <v>235</v>
      </c>
      <c r="B811" s="101"/>
      <c r="C811" s="101"/>
      <c r="D811" s="101"/>
      <c r="E811" s="10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2026-07-26T21:08:55Z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