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095" documentId="8_{AF585B22-221D-4780-BB9C-493D365A6A02}" xr6:coauthVersionLast="47" xr6:coauthVersionMax="47" xr10:uidLastSave="{69B1E12F-E8CB-4EA6-9767-A8814B154A66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<sst xmlns="http://schemas.openxmlformats.org/spreadsheetml/2006/main" count="4715" uniqueCount="289">
  <si>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</si>
  <si>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</si>
  <si>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</si>
  <si>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</si>
  <si>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</si>
  <si>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</si>
  <si>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</si>
  <si>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</si>
  <si>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</si>
  <si>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</si>
  <si>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</si>
  <si>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</si>
  <si>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</si>
  <si>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</si>
  <si>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</si>
  <si>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</si>
  <si>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</si>
  <si>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</si>
  <si>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</si>
  <si>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</si>
  <si>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</si>
  <si>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</si>
  <si>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</si>
  <si>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</si>
  <si>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</si>
  <si>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</si>
  <si>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</si>
  <si>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</si>
  <si>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</si>
  <si>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</si>
  <si>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</si>
  <si>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</si>
  <si>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</si>
  <si>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</si>
  <si>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</si>
  <si>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</si>
  <si>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</si>
  <si>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</si>
  <si>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</si>
  <si>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</si>
  <si>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</si>
  <si>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</si>
  <si>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</si>
  <si>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</si>
  <si>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</si>
  <si>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</si>
  <si>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</si>
  <si>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</si>
  <si>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</si>
  <si>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</si>
  <si>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</si>
  <si>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</si>
  <si>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</si>
  <si>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</si>
  <si>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</si>
  <si>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</si>
  <si>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</si>
  <si>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</si>
  <si>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</si>
  <si>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</si>
  <si>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</si>
  <si>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</si>
  <si>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</si>
  <si>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</si>
  <si>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</si>
  <si>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</si>
  <si>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</si>
  <si>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</si>
  <si>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</si>
  <si>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</si>
  <si>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</si>
  <si>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</si>
  <si>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</si>
  <si>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</si>
  <si>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</si>
  <si>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</si>
  <si>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</si>
  <si>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</si>
  <si>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</si>
  <si>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</si>
  <si>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</si>
  <si>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</si>
  <si>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</si>
  <si>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</si>
  <si>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</si>
  <si>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</si>
  <si>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</si>
  <si>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</si>
  <si>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</si>
  <si>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</si>
  <si>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</si>
  <si>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</si>
  <si>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</si>
  <si>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</si>
  <si>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</si>
  <si>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</si>
  <si>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</si>
  <si>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</si>
  <si>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</si>
  <si>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</si>
  <si>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</si>
  <si>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</si>
  <si>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</si>
  <si>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</si>
  <si>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</si>
  <si>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</si>
  <si>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</si>
  <si>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</si>
  <si>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</si>
  <si>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</si>
  <si>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</si>
  <si>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</si>
  <si>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</si>
  <si>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</si>
  <si>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</si>
  <si>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</si>
  <si>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</si>
  <si>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</si>
  <si>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</si>
  <si>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</si>
  <si>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</si>
  <si>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</si>
  <si>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</si>
  <si>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</si>
  <si>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</si>
  <si>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</si>
  <si>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</si>
  <si>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</si>
  <si>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</si>
  <si>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</si>
  <si>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</si>
  <si>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</si>
  <si>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</si>
  <si>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</si>
  <si>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</si>
  <si>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</si>
  <si>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</si>
  <si>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</si>
  <si>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</si>
  <si>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</si>
  <si>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</si>
  <si>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</si>
  <si>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</si>
  <si>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</si>
  <si>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</si>
  <si>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</si>
  <si>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</si>
  <si>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</si>
  <si>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</si>
  <si>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</si>
  <si>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</si>
  <si>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</si>
  <si>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</si>
  <si>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</si>
  <si>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</si>
  <si>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</si>
  <si>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</si>
  <si>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</si>
  <si>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</si>
  <si>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</si>
  <si>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</si>
  <si>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</si>
  <si>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</si>
  <si>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</si>
  <si>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</si>
  <si>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</si>
  <si>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</si>
  <si>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</si>
  <si>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</si>
  <si>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</si>
  <si>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</si>
  <si>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</si>
  <si>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</si>
  <si>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</si>
  <si>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</si>
  <si>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</si>
  <si>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</si>
  <si>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</si>
  <si>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</si>
  <si>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</si>
  <si>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</si>
  <si>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</si>
  <si>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</si>
  <si>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</si>
  <si>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</si>
  <si>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</si>
  <si>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</si>
  <si>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</si>
  <si>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</si>
  <si>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</si>
  <si>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</si>
  <si>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</si>
  <si>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</si>
  <si>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</si>
  <si>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</si>
  <si>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</si>
  <si>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</si>
  <si>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</si>
  <si>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</si>
  <si>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</si>
  <si>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</si>
  <si>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</si>
  <si>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</si>
  <si>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</si>
  <si>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</si>
  <si>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</si>
  <si>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</si>
  <si>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</si>
  <si>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</si>
  <si>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</si>
  <si>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</si>
  <si>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</si>
  <si>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</si>
  <si>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</si>
  <si>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</si>
  <si>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</si>
  <si>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</si>
  <si>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</si>
  <si>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</si>
  <si>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</si>
  <si>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</si>
  <si>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</si>
  <si>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</si>
  <si>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</si>
  <si>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</si>
  <si>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</si>
  <si>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</si>
  <si>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</si>
  <si>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</si>
  <si>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</si>
  <si>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</si>
  <si>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</si>
  <si>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</si>
  <si>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</si>
  <si>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</si>
  <si>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</si>
  <si>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</si>
  <si>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</si>
  <si>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</si>
  <si>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</si>
  <si>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</si>
  <si>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</si>
  <si>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</si>
  <si>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</si>
  <si>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</si>
  <si>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</si>
  <si>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</si>
  <si>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</si>
  <si>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</si>
  <si>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</si>
  <si>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 xml:space="preserve">e troca de grelhas no moinho 02 e teve que coloca outra balata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</si>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</sst>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44" activePane="bottomLeft" state="frozen"/>
      <selection pane="bottomLeft" activeCell="F278" sqref="F27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101</v>
      </c>
      <c r="G284" s="36">
        <f>SUM(G272:G283)</f>
        <v>505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101</v>
      </c>
      <c r="G298" s="40">
        <f>G284+G297</f>
        <v>505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9" activePane="bottomLeft" state="frozen"/>
      <selection pane="bottomLeft" activeCell="F278" sqref="F2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21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5</v>
      </c>
      <c r="G273" s="34">
        <f t="shared" si="60"/>
        <v>21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17</v>
      </c>
      <c r="G274" s="28">
        <f t="shared" si="60"/>
        <v>71.400000000000006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39</v>
      </c>
      <c r="G284" s="36">
        <f>SUM(G272:G283)</f>
        <v>163.80000000000001</v>
      </c>
      <c r="H284" s="37"/>
      <c r="I284" s="37"/>
      <c r="J284" s="37"/>
      <c r="K284" s="37"/>
      <c r="L284" s="37"/>
      <c r="M284" s="38">
        <f ca="1">IFERROR(SUM(M272:M283),"")</f>
        <v>0.1555555555555555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39</v>
      </c>
      <c r="G298" s="40">
        <f>G284+G297</f>
        <v>163.80000000000001</v>
      </c>
      <c r="H298" s="41"/>
      <c r="I298" s="41"/>
      <c r="J298" s="41"/>
      <c r="K298" s="41"/>
      <c r="L298" s="41"/>
      <c r="M298" s="42">
        <f ca="1">IFERROR(M284+M297,"")</f>
        <v>0.1555555555555555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42" zoomScale="50" zoomScaleNormal="50" workbookViewId="0">
      <selection activeCell="F278" sqref="F2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259</v>
      </c>
      <c r="N166" s="27" t="s">
        <v>260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16</v>
      </c>
      <c r="G274" s="28">
        <f t="shared" si="60"/>
        <v>67.2</v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10</v>
      </c>
      <c r="G275" s="34">
        <f t="shared" si="60"/>
        <v>42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8</v>
      </c>
      <c r="G276" s="28">
        <f t="shared" si="60"/>
        <v>33.6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44</v>
      </c>
      <c r="G284" s="36">
        <f>SUM(G272:G283)</f>
        <v>184.79999999999998</v>
      </c>
      <c r="H284" s="37"/>
      <c r="I284" s="37"/>
      <c r="J284" s="37"/>
      <c r="K284" s="37"/>
      <c r="L284" s="37"/>
      <c r="M284" s="38">
        <f ca="1">IFERROR(SUM(M272:M283),"")</f>
        <v>1.8055555555555547E-2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44</v>
      </c>
      <c r="G298" s="40">
        <f>G284+G297</f>
        <v>184.79999999999998</v>
      </c>
      <c r="H298" s="41"/>
      <c r="I298" s="41"/>
      <c r="J298" s="41"/>
      <c r="K298" s="41"/>
      <c r="L298" s="41"/>
      <c r="M298" s="42">
        <f ca="1">IFERROR(M284+M297,"")</f>
        <v>1.8055555555555547E-2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4" activePane="bottomLeft" state="frozen"/>
      <selection pane="bottomLeft" activeCell="F278" sqref="F27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268</v>
      </c>
      <c r="L58" s="29">
        <v>0.54097222222222219</v>
      </c>
      <c r="M58" s="30" t="str">
        <f t="shared" ca="1" si="13"/>
        <v/>
      </c>
      <c r="N58" s="27" t="s">
        <v>269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0.29680289352108957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0.4961084490766452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0.86346956018775622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12</v>
      </c>
      <c r="G274" s="28">
        <f t="shared" si="60"/>
        <v>50.400000000000006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87</v>
      </c>
      <c r="G284" s="36">
        <f>SUM(G272:G283)</f>
        <v>365.40000000000003</v>
      </c>
      <c r="H284" s="37"/>
      <c r="I284" s="37"/>
      <c r="J284" s="37"/>
      <c r="K284" s="61"/>
      <c r="L284" s="61"/>
      <c r="M284" s="38">
        <f ca="1">IFERROR(SUM(M272:M283),"")</f>
        <v>1.8749999999999989E-2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87</v>
      </c>
      <c r="G298" s="40">
        <f>G284+G297</f>
        <v>365.40000000000003</v>
      </c>
      <c r="H298" s="41"/>
      <c r="I298" s="41"/>
      <c r="J298" s="41"/>
      <c r="K298" s="63"/>
      <c r="L298" s="63"/>
      <c r="M298" s="42">
        <f ca="1">IFERROR(M284+M297,"")</f>
        <v>1.8749999999999989E-2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2026-07-11T17:06:25Z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