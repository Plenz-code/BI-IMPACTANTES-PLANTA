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385" documentId="8_{AF585B22-221D-4780-BB9C-493D365A6A02}" xr6:coauthVersionLast="47" xr6:coauthVersionMax="47" xr10:uidLastSave="{AA7B2273-720B-4DF1-8D94-2D3DBD0D5C27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<sst xmlns="http://schemas.openxmlformats.org/spreadsheetml/2006/main" count="9841" uniqueCount="386">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</sst>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E27" sqref="E2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19" activePane="bottomLeft" state="frozen"/>
      <selection pane="bottomLeft" activeCell="N637" sqref="N63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/>
      <c r="M636" s="30">
        <f t="shared" ref="M636:M647" ca="1" si="142">IFERROR(IF(K636="","",IF(L636="",MOD(NOW()-K636,1),IF(L636&gt;=K636,L636-K636,L636+1-K636))),"")</f>
        <v>1.978703701752238E-3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 t="shared" si="141"/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171</v>
      </c>
      <c r="G648" s="36">
        <f>SUM(G636:G647)</f>
        <v>855</v>
      </c>
      <c r="H648" s="37"/>
      <c r="I648" s="37"/>
      <c r="J648" s="37"/>
      <c r="K648" s="37"/>
      <c r="L648" s="37"/>
      <c r="M648" s="38">
        <f ca="1">IFERROR(SUM(M636:M647),"")</f>
        <v>1.978703701752238E-3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504</v>
      </c>
      <c r="G649" s="40">
        <f>G635+G648</f>
        <v>2520</v>
      </c>
      <c r="H649" s="41"/>
      <c r="I649" s="41"/>
      <c r="J649" s="41"/>
      <c r="K649" s="41"/>
      <c r="L649" s="41"/>
      <c r="M649" s="42">
        <f ca="1">IFERROR(M635+M648,"")</f>
        <v>1.978703701752238E-3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20" activePane="bottomLeft" state="frozen"/>
      <selection pane="bottomLeft" activeCell="F642" sqref="F6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0.83045092592510628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0.98808981481399516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1.0978120370362174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0.80892314814991551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0.9797564814832489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1.1248953703721378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/>
      <c r="M638" s="30">
        <f t="shared" ca="1" si="142"/>
        <v>4.9200925925106276E-2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98</v>
      </c>
      <c r="G648" s="36">
        <f>SUM(G636:G647)</f>
        <v>411.6</v>
      </c>
      <c r="H648" s="37"/>
      <c r="I648" s="37"/>
      <c r="J648" s="37"/>
      <c r="K648" s="37"/>
      <c r="L648" s="37"/>
      <c r="M648" s="38">
        <f ca="1">IFERROR(SUM(M636:M647),"")</f>
        <v>7.2812037036217414E-2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191</v>
      </c>
      <c r="G649" s="40">
        <f>G635+G648</f>
        <v>802.2</v>
      </c>
      <c r="H649" s="41"/>
      <c r="I649" s="41"/>
      <c r="J649" s="41"/>
      <c r="K649" s="41"/>
      <c r="L649" s="41"/>
      <c r="M649" s="42">
        <f ca="1">IFERROR(M635+M648,"")</f>
        <v>1.0485064814806617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16" zoomScale="50" zoomScaleNormal="50" workbookViewId="0">
      <selection activeCell="F642" sqref="F6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319</v>
      </c>
      <c r="N166" s="27" t="s">
        <v>320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/>
      <c r="M636" s="30">
        <f t="shared" ref="M636:M647" ca="1" si="142">IFERROR(IF(K636="","",IF(L636="",MOD(NOW()-K636,1),IF(L636&gt;=K636,L636-K636,L636+1-K636))),"")</f>
        <v>4.9200925925106276E-2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55</v>
      </c>
      <c r="G648" s="36">
        <f>SUM(G636:G647)</f>
        <v>231</v>
      </c>
      <c r="H648" s="37"/>
      <c r="I648" s="37"/>
      <c r="J648" s="37"/>
      <c r="K648" s="37"/>
      <c r="L648" s="37"/>
      <c r="M648" s="38">
        <f ca="1">IFERROR(SUM(M636:M647),"")</f>
        <v>4.9200925925106276E-2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201</v>
      </c>
      <c r="G649" s="40">
        <f>G635+G648</f>
        <v>844.19999999999993</v>
      </c>
      <c r="H649" s="41"/>
      <c r="I649" s="41"/>
      <c r="J649" s="41"/>
      <c r="K649" s="41"/>
      <c r="L649" s="41"/>
      <c r="M649" s="42">
        <f ca="1">IFERROR(M635+M648,"")</f>
        <v>5.4756481480661812E-2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20" activePane="bottomLeft" state="frozen"/>
      <selection pane="bottomLeft" activeCell="L638" sqref="L63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344</v>
      </c>
      <c r="L58" s="29">
        <v>0.54097222222222219</v>
      </c>
      <c r="M58" s="30" t="str">
        <f t="shared" ca="1" si="13"/>
        <v/>
      </c>
      <c r="N58" s="27" t="s">
        <v>345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0.820728703707573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1.0200342592631286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1.3873953703742397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12</v>
      </c>
      <c r="G648" s="36">
        <f>SUM(G636:G647)</f>
        <v>50.400000000000006</v>
      </c>
      <c r="H648" s="37"/>
      <c r="I648" s="37"/>
      <c r="J648" s="37"/>
      <c r="K648" s="61"/>
      <c r="L648" s="61"/>
      <c r="M648" s="38">
        <f ca="1">IFERROR(SUM(M636:M647),"")</f>
        <v>0.23541666666666672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98</v>
      </c>
      <c r="G649" s="40">
        <f>G635+G648</f>
        <v>411.6</v>
      </c>
      <c r="H649" s="41"/>
      <c r="I649" s="41"/>
      <c r="J649" s="41"/>
      <c r="K649" s="63"/>
      <c r="L649" s="63"/>
      <c r="M649" s="42">
        <f ca="1">IFERROR(M635+M648,"")</f>
        <v>0.4118055555555557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2026-07-25T05:41:24Z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