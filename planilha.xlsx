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13" documentId="8_{AF585B22-221D-4780-BB9C-493D365A6A02}" xr6:coauthVersionLast="47" xr6:coauthVersionMax="47" xr10:uidLastSave="{A1958438-1735-4A44-8F3B-D3F778501B49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<sst xmlns="http://schemas.openxmlformats.org/spreadsheetml/2006/main" count="9644" uniqueCount="383">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</sst>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06" activePane="bottomLeft" state="frozen"/>
      <selection pane="bottomLeft" activeCell="F625" sqref="F6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40</v>
      </c>
      <c r="G635" s="36">
        <f>SUM(G623:G634)</f>
        <v>200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40</v>
      </c>
      <c r="G649" s="40">
        <f>G635+G648</f>
        <v>200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F625" sqref="F6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0.1541921296302462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0.31183101851913508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0.42155324074135725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0.13266435185505543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0.30349768518838882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0.44863657407727769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/>
      <c r="I623" s="33"/>
      <c r="J623" s="33"/>
      <c r="K623" s="29">
        <v>0.29166666666666669</v>
      </c>
      <c r="L623" s="29"/>
      <c r="M623" s="35">
        <f t="shared" ref="M623:M634" ca="1" si="139">IFERROR(IF(K623="","",IF(L623="",MOD(NOW()-K623,1),IF(L623&gt;=K623,L623-K623,L623+1-K623))),"")</f>
        <v>0.1021087963017635</v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16</v>
      </c>
      <c r="G635" s="36">
        <f>SUM(G623:G634)</f>
        <v>67.2</v>
      </c>
      <c r="H635" s="37"/>
      <c r="I635" s="37"/>
      <c r="J635" s="37"/>
      <c r="K635" s="37"/>
      <c r="L635" s="37"/>
      <c r="M635" s="38">
        <f ca="1">IFERROR(SUM(M623:M634),"")</f>
        <v>0.1021087963017635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16</v>
      </c>
      <c r="G649" s="40">
        <f>G635+G648</f>
        <v>67.2</v>
      </c>
      <c r="H649" s="41"/>
      <c r="I649" s="41"/>
      <c r="J649" s="41"/>
      <c r="K649" s="41"/>
      <c r="L649" s="41"/>
      <c r="M649" s="42">
        <f ca="1">IFERROR(M635+M648,"")</f>
        <v>0.1021087963017635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5" sqref="F6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25</v>
      </c>
      <c r="G635" s="36">
        <f>SUM(G623:G634)</f>
        <v>105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25</v>
      </c>
      <c r="G649" s="40">
        <f>G635+G648</f>
        <v>105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F625" sqref="F6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0.14446990741271293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0.34377546296826855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0.71113657407937958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29</v>
      </c>
      <c r="G635" s="36">
        <f>SUM(G623:G634)</f>
        <v>121.80000000000001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29</v>
      </c>
      <c r="G649" s="40">
        <f>G635+G648</f>
        <v>121.80000000000001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2026-07-24T13:29:35Z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