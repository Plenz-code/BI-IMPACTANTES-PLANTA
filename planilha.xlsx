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43" documentId="8_{C51EB6CB-002B-4D6B-B68F-DDEBDB4460C0}" xr6:coauthVersionLast="47" xr6:coauthVersionMax="47" xr10:uidLastSave="{E203F297-5B1F-42B5-8997-9F9D6D514C0E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<sst xmlns="http://schemas.openxmlformats.org/spreadsheetml/2006/main" count="3911" uniqueCount="298">
  <si>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</si>
  <si>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</si>
  <si>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</si>
  <si>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</si>
  <si>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</si>
  <si>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</si>
  <si>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</si>
  <si>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</si>
  <si>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</si>
  <si>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</si>
  <si>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</si>
  <si>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</si>
  <si>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</si>
  <si>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</si>
  <si>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</si>
  <si>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</si>
  <si>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</si>
  <si>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</si>
  <si>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</si>
  <si>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</si>
  <si>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</si>
  <si>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</si>
  <si>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</si>
  <si>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</si>
  <si>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</si>
  <si>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</si>
  <si>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</si>
  <si>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</si>
  <si>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</si>
  <si>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</si>
  <si>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</si>
  <si>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</si>
  <si>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</si>
  <si>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</si>
  <si>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</si>
  <si>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</si>
  <si>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</si>
  <si>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</si>
  <si>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</si>
  <si>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</si>
  <si>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</si>
  <si>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</si>
  <si>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</si>
  <si>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</si>
  <si>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</si>
  <si>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</si>
  <si>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</si>
  <si>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</si>
  <si>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</si>
  <si>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</si>
  <si>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</si>
  <si>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</si>
  <si>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</si>
  <si>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</si>
  <si>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</si>
  <si>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</si>
  <si>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</si>
  <si>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</si>
  <si>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</si>
  <si>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</si>
  <si>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</si>
  <si>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</si>
  <si>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</si>
  <si>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</si>
  <si>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</si>
  <si>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</si>
  <si>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</si>
  <si>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</si>
  <si>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</si>
  <si>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</si>
  <si>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</si>
  <si>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</si>
  <si>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</si>
  <si>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</si>
  <si>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</si>
  <si>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</si>
  <si>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</si>
  <si>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</si>
  <si>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</si>
  <si>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</si>
  <si>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</si>
  <si>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</si>
  <si>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</si>
  <si>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</si>
  <si>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</si>
  <si>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</si>
  <si>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</si>
  <si>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</si>
  <si>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</si>
  <si>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</si>
  <si>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</si>
  <si>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</si>
  <si>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</si>
  <si>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</si>
  <si>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</si>
  <si>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</si>
  <si>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</si>
  <si>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</si>
  <si>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</si>
  <si>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</si>
  <si>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</si>
  <si>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</si>
  <si>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</si>
  <si>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</si>
  <si>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</si>
  <si>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</si>
  <si>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</si>
  <si>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</si>
  <si>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</si>
  <si>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</si>
  <si>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</si>
  <si>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</si>
  <si>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</si>
  <si>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</si>
  <si>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</si>
  <si>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</si>
  <si>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</si>
  <si>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</si>
  <si>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</si>
  <si>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</si>
  <si>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</si>
  <si>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</si>
  <si>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</si>
  <si>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</si>
  <si>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</si>
  <si>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</si>
  <si>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</si>
  <si>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</si>
  <si>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</si>
  <si>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</si>
  <si>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</si>
  <si>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</si>
  <si>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</si>
  <si>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</si>
  <si>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</si>
  <si>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</si>
  <si>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</si>
  <si>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</si>
  <si>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</si>
  <si>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</si>
  <si>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</si>
  <si>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</si>
  <si>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</si>
  <si>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</si>
  <si>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</si>
  <si>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</si>
  <si>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</si>
  <si>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</si>
  <si>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</si>
  <si>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</si>
  <si>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</si>
  <si>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</si>
  <si>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</si>
  <si>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</si>
  <si>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</si>
  <si>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</si>
  <si>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</si>
  <si>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</si>
  <si>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</si>
  <si>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</si>
  <si>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</si>
  <si>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</si>
  <si>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</si>
  <si>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</si>
  <si>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</si>
  <si>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</si>
  <si>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</si>
  <si>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</si>
  <si>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</si>
  <si>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</si>
  <si>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</si>
  <si>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</si>
  <si>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</si>
  <si>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</si>
  <si>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</si>
  <si>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</si>
  <si>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</si>
  <si>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</si>
  <si>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</si>
  <si>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</si>
  <si>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</si>
  <si>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</si>
  <si>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</si>
  <si>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</si>
  <si>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</si>
  <si>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</si>
  <si>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</si>
  <si>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</si>
  <si>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</si>
  <si>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</si>
  <si>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</si>
  <si>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</si>
  <si>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</si>
  <si>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</si>
  <si>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</si>
  <si>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</si>
  <si>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</si>
  <si>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</si>
  <si>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</si>
  <si>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</si>
  <si>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</si>
  <si>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</si>
  <si>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</si>
  <si>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</si>
  <si>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</si>
  <si>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</si>
  <si>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</si>
  <si>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</si>
  <si>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</si>
  <si>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</si>
  <si>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</si>
  <si>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</si>
  <si>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</si>
  <si>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</si>
  <si>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</si>
  <si>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</si>
  <si>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</si>
  <si>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</si>
  <si>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</si>
  <si>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</si>
  <si>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</si>
  <si>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</si>
  <si>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</si>
  <si>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</si>
  <si>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</si>
  <si>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</si>
  <si>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</si>
  <si>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</si>
  <si>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</si>
  <si>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</si>
  <si>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</si>
  <si>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</si>
  <si>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</si>
  <si>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</si>
  <si>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</si>
  <si>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</si>
  <si>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</si>
  <si>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</si>
  <si>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</si>
  <si>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</si>
  <si>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</si>
  <si>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</si>
  <si>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</si>
  <si>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</si>
  <si>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</si>
  <si>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</si>
  <si>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</si>
  <si>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</si>
  <si>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</si>
  <si>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</si>
  <si>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</si>
  <si>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</si>
  <si>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</si>
  <si>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</si>
  <si>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</si>
  <si>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</si>
  <si>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</si>
  <si>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</si>
  <si>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</si>
  <si>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</si>
  <si>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</si>
  <si>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</si>
  <si>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</si>
  <si>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</si>
  <si>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</si>
  <si>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</si>
  <si>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</si>
  <si>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</si>
  <si>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</si>
  <si>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</si>
  <si>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</si>
  <si>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</si>
  <si>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</si>
  <si>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</si>
  <si>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</si>
  <si>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</si>
  <si>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</si>
  <si>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</si>
  <si>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</si>
  <si>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</si>
  <si>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</si>
  <si>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</si>
  <si>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desobstrucao nos bicos do hidrociclone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</si>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</sst>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9" activePane="bottomLeft" state="frozen"/>
      <selection pane="bottomLeft" activeCell="F186" sqref="F18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315</v>
      </c>
      <c r="G189" s="36">
        <f>SUM(G177:G188)</f>
        <v>1537.4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717</v>
      </c>
      <c r="G190" s="40">
        <f>G176+G189</f>
        <v>3547.4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60" activePane="bottomLeft" state="frozen"/>
      <selection pane="bottomLeft" activeCell="N183" sqref="N18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8.0991319438908249E-2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0.21988020832779714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0.30460243055001945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/>
      <c r="M182" s="30">
        <f t="shared" ca="1" si="40"/>
        <v>1.2935763887071516E-2</v>
      </c>
      <c r="N182" s="46" t="s">
        <v>267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74</v>
      </c>
      <c r="G189" s="36">
        <f>SUM(G177:G188)</f>
        <v>310.80000000000007</v>
      </c>
      <c r="H189" s="37"/>
      <c r="I189" s="37"/>
      <c r="J189" s="37"/>
      <c r="K189" s="37"/>
      <c r="L189" s="37"/>
      <c r="M189" s="38">
        <f ca="1">IFERROR(SUM(M177:M188),"")</f>
        <v>0.21154687499818281</v>
      </c>
      <c r="N189" s="36" t="s">
        <v>235</v>
      </c>
      <c r="O189" s="77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143</v>
      </c>
      <c r="G190" s="40">
        <f>G176+G189</f>
        <v>600.60000000000014</v>
      </c>
      <c r="H190" s="41"/>
      <c r="I190" s="41"/>
      <c r="J190" s="41"/>
      <c r="K190" s="41"/>
      <c r="L190" s="41"/>
      <c r="M190" s="42">
        <f ca="1">IFERROR(M176+M189,"")</f>
        <v>0.29418576388707174</v>
      </c>
      <c r="N190" s="40" t="s">
        <v>239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57" zoomScale="50" zoomScaleNormal="50" workbookViewId="0">
      <selection activeCell="F186" sqref="F18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278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279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280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281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12</v>
      </c>
      <c r="G189" s="36">
        <f>SUM(G177:G188)</f>
        <v>50.4</v>
      </c>
      <c r="H189" s="37"/>
      <c r="I189" s="37"/>
      <c r="J189" s="37"/>
      <c r="K189" s="37"/>
      <c r="L189" s="37"/>
      <c r="M189" s="38">
        <f ca="1">IFERROR(SUM(M177:M188),"")</f>
        <v>0.27083333333333337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77</v>
      </c>
      <c r="G190" s="40">
        <f>G176+G189</f>
        <v>323.39999999999998</v>
      </c>
      <c r="H190" s="41"/>
      <c r="I190" s="41"/>
      <c r="J190" s="41"/>
      <c r="K190" s="41"/>
      <c r="L190" s="41"/>
      <c r="M190" s="42">
        <f ca="1">IFERROR(M176+M189,"")</f>
        <v>0.35555555555555562</v>
      </c>
      <c r="N190" s="40" t="s">
        <v>239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F186" sqref="F18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271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271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116</v>
      </c>
      <c r="G189" s="36">
        <f>SUM(G177:G188)</f>
        <v>487.20000000000005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116</v>
      </c>
      <c r="G190" s="40">
        <f>G176+G189</f>
        <v>1167.5999999999999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2026-08-08T08:52:10Z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