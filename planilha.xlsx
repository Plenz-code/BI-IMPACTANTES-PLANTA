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7" documentId="13_ncr:1_{A6DBCFB4-28D9-4249-9038-216934055CA6}" xr6:coauthVersionLast="47" xr6:coauthVersionMax="47" xr10:uidLastSave="{8191B21C-A12C-4426-BAA0-8695E3260F40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M608" i="3" s="1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<sst xmlns="http://schemas.openxmlformats.org/spreadsheetml/2006/main" count="10184" uniqueCount="428">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</sst>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17" activePane="bottomLeft" state="frozen"/>
      <selection activeCell="B1" sqref="B1"/>
      <selection pane="bottomLeft" activeCell="O3" sqref="O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25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25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25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25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25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25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25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25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25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25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25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25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25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25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25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25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25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25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25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25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25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25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25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25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225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226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227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25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88" activePane="bottomLeft" state="frozen"/>
      <selection pane="bottomLeft" activeCell="M609" sqref="M609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25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25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25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25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25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25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25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25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25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25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25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25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25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25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25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25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25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25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25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25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25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25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25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263</v>
      </c>
      <c r="O608" s="74">
        <f>18310+1107750</f>
        <v>1126060</v>
      </c>
    </row>
    <row r="609" spans="1:15" ht="15" customHeight="1" x14ac:dyDescent="0.25">
      <c r="A609" s="18">
        <v>46257</v>
      </c>
      <c r="B609" s="68">
        <v>0.83333333333333304</v>
      </c>
      <c r="C609" s="70" t="s">
        <v>38</v>
      </c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 t="s">
        <v>26</v>
      </c>
      <c r="I609" s="70"/>
      <c r="J609" s="70"/>
      <c r="K609" s="65">
        <v>0.79166666666666663</v>
      </c>
      <c r="L609" s="65">
        <v>0.79236111111111107</v>
      </c>
      <c r="M609" s="71">
        <f t="shared" ref="M609:M620" ca="1" si="132">IFERROR(IF(K609="","",IF(L609="",MOD(NOW()-K609,1),IF(L609&gt;=K609,L609-K609,L609+1-K609))),"")</f>
        <v>6.9444444444444198E-4</v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 t="s">
        <v>38</v>
      </c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 t="s">
        <v>38</v>
      </c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 t="s">
        <v>38</v>
      </c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 t="s">
        <v>38</v>
      </c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 t="s">
        <v>38</v>
      </c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 t="s">
        <v>38</v>
      </c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 t="s">
        <v>38</v>
      </c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 t="s">
        <v>38</v>
      </c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 t="s">
        <v>38</v>
      </c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 t="s">
        <v>38</v>
      </c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6.9444444444444198E-4</v>
      </c>
      <c r="N621" s="2" t="s">
        <v>263</v>
      </c>
      <c r="O621" s="74">
        <v>2354670</v>
      </c>
    </row>
    <row r="622" spans="1:15" ht="18" customHeight="1" x14ac:dyDescent="0.25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0.28333333333333333</v>
      </c>
      <c r="N622" s="1" t="s">
        <v>266</v>
      </c>
      <c r="O622" s="82">
        <f>IFERROR(O608+O621,"")</f>
        <v>3480730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25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25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25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25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25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25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25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25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92" activePane="bottomLeft" state="frozen"/>
      <selection pane="bottomLeft" activeCell="L613" sqref="L613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262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265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25">
      <c r="A28" s="158" t="s">
        <v>251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262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0.22624189814814599</v>
      </c>
      <c r="R53" s="80" t="s">
        <v>315</v>
      </c>
      <c r="S53" s="67"/>
    </row>
    <row r="54" spans="1:20" ht="15.75" customHeight="1" x14ac:dyDescent="0.25">
      <c r="A54" s="159" t="s">
        <v>265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0.36513078703703372</v>
      </c>
      <c r="R54" s="2" t="s">
        <v>263</v>
      </c>
      <c r="S54" s="113">
        <v>352430</v>
      </c>
      <c r="T54" s="114"/>
    </row>
    <row r="55" spans="1:20" ht="18" customHeight="1" x14ac:dyDescent="0.25">
      <c r="A55" s="158" t="s">
        <v>251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0.44985300925925653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262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265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25">
      <c r="A82" s="158" t="s">
        <v>251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262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265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25">
      <c r="A109" s="158" t="s">
        <v>251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262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265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25">
      <c r="A136" s="158" t="s">
        <v>251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262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265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25">
      <c r="A163" s="158" t="s">
        <v>251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262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265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25">
      <c r="A190" s="158" t="s">
        <v>251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262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265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25">
      <c r="A217" s="158" t="s">
        <v>251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262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265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25">
      <c r="A244" s="158" t="s">
        <v>251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262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265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25">
      <c r="A271" s="158" t="s">
        <v>251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262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265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25">
      <c r="A298" s="158" t="s">
        <v>251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262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265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251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262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265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251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262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265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251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262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265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251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262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262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265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251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262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265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251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262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262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265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251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262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265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251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262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265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25">
      <c r="A595" s="158" t="s">
        <v>251</v>
      </c>
      <c r="B595" s="158"/>
      <c r="C595" s="158"/>
      <c r="D595" s="158"/>
      <c r="E595" s="158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262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265</v>
      </c>
      <c r="B621" s="159"/>
      <c r="C621" s="159"/>
      <c r="D621" s="159"/>
      <c r="E621" s="159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25">
      <c r="A622" s="158" t="s">
        <v>251</v>
      </c>
      <c r="B622" s="158"/>
      <c r="C622" s="158"/>
      <c r="D622" s="158"/>
      <c r="E622" s="158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262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265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25">
      <c r="A649" s="158" t="s">
        <v>251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262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265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25">
      <c r="A676" s="158" t="s">
        <v>251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262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265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25">
      <c r="A703" s="158" t="s">
        <v>251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262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265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25">
      <c r="A730" s="158" t="s">
        <v>251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262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265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25">
      <c r="A757" s="158" t="s">
        <v>251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262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265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25">
      <c r="A784" s="158" t="s">
        <v>251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262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265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25">
      <c r="A811" s="158" t="s">
        <v>251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262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265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25">
      <c r="A838" s="158" t="s">
        <v>251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0" activePane="bottomLeft" state="frozen"/>
      <selection pane="bottomLeft" activeCell="A621" sqref="A621:E621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262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265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251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262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265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251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262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265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251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262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265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251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262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265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251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262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265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251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262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265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251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262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265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251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262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265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251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262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265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251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262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265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251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262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265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251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262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265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251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262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265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251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262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265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251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262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265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251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262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265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251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262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265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251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262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265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251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262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265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251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262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265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251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262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265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25">
      <c r="A595" s="158" t="s">
        <v>251</v>
      </c>
      <c r="B595" s="158"/>
      <c r="C595" s="158"/>
      <c r="D595" s="158"/>
      <c r="E595" s="158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262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265</v>
      </c>
      <c r="B621" s="159"/>
      <c r="C621" s="159"/>
      <c r="D621" s="159"/>
      <c r="E621" s="159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25">
      <c r="A622" s="158" t="s">
        <v>251</v>
      </c>
      <c r="B622" s="158"/>
      <c r="C622" s="158"/>
      <c r="D622" s="158"/>
      <c r="E622" s="158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262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265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25">
      <c r="A649" s="158" t="s">
        <v>251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262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265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25">
      <c r="A676" s="158" t="s">
        <v>251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262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265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25">
      <c r="A703" s="158" t="s">
        <v>251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262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265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25">
      <c r="A730" s="158" t="s">
        <v>251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262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265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25">
      <c r="A757" s="158" t="s">
        <v>251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262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265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25">
      <c r="A784" s="158" t="s">
        <v>251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262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265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25">
      <c r="A811" s="158" t="s">
        <v>251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262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265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25">
      <c r="A838" s="158" t="s">
        <v>251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0" activePane="bottomLeft" state="frozen"/>
      <selection pane="bottomLeft" activeCell="A621" sqref="A621:E621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262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265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251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262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265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251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262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265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251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262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265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251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262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265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251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265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251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262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265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251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262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265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251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262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265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251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262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265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251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262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265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251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262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265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251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262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265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251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265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251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262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265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251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262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265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251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262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265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251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262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265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251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262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265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251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262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265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251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262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265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251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262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265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25">
      <c r="A595" s="158" t="s">
        <v>251</v>
      </c>
      <c r="B595" s="158"/>
      <c r="C595" s="158"/>
      <c r="D595" s="158"/>
      <c r="E595" s="158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262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265</v>
      </c>
      <c r="B621" s="159"/>
      <c r="C621" s="159"/>
      <c r="D621" s="159"/>
      <c r="E621" s="159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25">
      <c r="A622" s="158" t="s">
        <v>251</v>
      </c>
      <c r="B622" s="158"/>
      <c r="C622" s="158"/>
      <c r="D622" s="158"/>
      <c r="E622" s="158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262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265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25">
      <c r="A649" s="158" t="s">
        <v>251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262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265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25">
      <c r="A676" s="158" t="s">
        <v>251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262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265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25">
      <c r="A703" s="158" t="s">
        <v>251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262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265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25">
      <c r="A730" s="158" t="s">
        <v>251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262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265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25">
      <c r="A757" s="158" t="s">
        <v>251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262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265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25">
      <c r="A784" s="158" t="s">
        <v>251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262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265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25">
      <c r="A811" s="158" t="s">
        <v>251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262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265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25">
      <c r="A838" s="158" t="s">
        <v>251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2026-08-24T13:16:32Z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