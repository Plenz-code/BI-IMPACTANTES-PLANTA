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67" documentId="13_ncr:1_{0A10D8D4-8450-4366-8075-B53B08E6B7EA}" xr6:coauthVersionLast="47" xr6:coauthVersionMax="47" xr10:uidLastSave="{C9B850B1-A1BE-46BA-B1C5-B23D82CF1D7F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6"/>
  <c r="G406" i="6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90" i="6"/>
  <c r="J490" i="6" s="1"/>
  <c r="H491" i="6"/>
  <c r="J491" i="6" s="1"/>
  <c r="H492" i="6"/>
  <c r="J492" i="6" s="1"/>
  <c r="H493" i="6"/>
  <c r="J493" i="6" s="1"/>
  <c r="H494" i="6"/>
  <c r="J494" i="6" s="1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J825" i="5" s="1"/>
  <c r="H826" i="5"/>
  <c r="J826" i="5" s="1"/>
  <c r="H827" i="5"/>
  <c r="J827" i="5" s="1"/>
  <c r="H828" i="5"/>
  <c r="J828" i="5" s="1"/>
  <c r="H829" i="5"/>
  <c r="J829" i="5" s="1"/>
  <c r="H830" i="5"/>
  <c r="J830" i="5" s="1"/>
  <c r="H831" i="5"/>
  <c r="J831" i="5" s="1"/>
  <c r="H832" i="5"/>
  <c r="J832" i="5" s="1"/>
  <c r="H833" i="5"/>
  <c r="J833" i="5" s="1"/>
  <c r="H834" i="5"/>
  <c r="J834" i="5" s="1"/>
  <c r="H835" i="5"/>
  <c r="J835" i="5" s="1"/>
  <c r="H836" i="5"/>
  <c r="J836" i="5" s="1"/>
  <c r="H812" i="5"/>
  <c r="J812" i="5" s="1"/>
  <c r="H813" i="5"/>
  <c r="J813" i="5" s="1"/>
  <c r="H814" i="5"/>
  <c r="J814" i="5" s="1"/>
  <c r="H815" i="5"/>
  <c r="J815" i="5" s="1"/>
  <c r="H816" i="5"/>
  <c r="J816" i="5" s="1"/>
  <c r="H817" i="5"/>
  <c r="J817" i="5" s="1"/>
  <c r="H818" i="5"/>
  <c r="J818" i="5" s="1"/>
  <c r="H819" i="5"/>
  <c r="J819" i="5" s="1"/>
  <c r="H820" i="5"/>
  <c r="J820" i="5" s="1"/>
  <c r="H821" i="5"/>
  <c r="J821" i="5" s="1"/>
  <c r="H822" i="5"/>
  <c r="J822" i="5" s="1"/>
  <c r="H823" i="5"/>
  <c r="J823" i="5" s="1"/>
  <c r="H798" i="5"/>
  <c r="J798" i="5" s="1"/>
  <c r="H799" i="5"/>
  <c r="J799" i="5" s="1"/>
  <c r="H800" i="5"/>
  <c r="J800" i="5" s="1"/>
  <c r="H801" i="5"/>
  <c r="J801" i="5" s="1"/>
  <c r="H802" i="5"/>
  <c r="J802" i="5" s="1"/>
  <c r="H803" i="5"/>
  <c r="J803" i="5" s="1"/>
  <c r="H804" i="5"/>
  <c r="J804" i="5" s="1"/>
  <c r="H805" i="5"/>
  <c r="J805" i="5" s="1"/>
  <c r="H806" i="5"/>
  <c r="J806" i="5" s="1"/>
  <c r="H807" i="5"/>
  <c r="J807" i="5" s="1"/>
  <c r="H808" i="5"/>
  <c r="J808" i="5" s="1"/>
  <c r="H809" i="5"/>
  <c r="J809" i="5" s="1"/>
  <c r="H785" i="5"/>
  <c r="J785" i="5" s="1"/>
  <c r="H786" i="5"/>
  <c r="J786" i="5" s="1"/>
  <c r="H787" i="5"/>
  <c r="J787" i="5" s="1"/>
  <c r="H788" i="5"/>
  <c r="J788" i="5" s="1"/>
  <c r="H789" i="5"/>
  <c r="J789" i="5" s="1"/>
  <c r="H790" i="5"/>
  <c r="J790" i="5" s="1"/>
  <c r="H791" i="5"/>
  <c r="J791" i="5" s="1"/>
  <c r="H792" i="5"/>
  <c r="J792" i="5" s="1"/>
  <c r="H793" i="5"/>
  <c r="J793" i="5" s="1"/>
  <c r="H794" i="5"/>
  <c r="J794" i="5" s="1"/>
  <c r="H795" i="5"/>
  <c r="J795" i="5" s="1"/>
  <c r="H796" i="5"/>
  <c r="J796" i="5" s="1"/>
  <c r="H771" i="5"/>
  <c r="J771" i="5" s="1"/>
  <c r="H772" i="5"/>
  <c r="J772" i="5" s="1"/>
  <c r="H773" i="5"/>
  <c r="J773" i="5" s="1"/>
  <c r="H774" i="5"/>
  <c r="J774" i="5" s="1"/>
  <c r="H775" i="5"/>
  <c r="J775" i="5" s="1"/>
  <c r="H776" i="5"/>
  <c r="J776" i="5" s="1"/>
  <c r="H777" i="5"/>
  <c r="J777" i="5" s="1"/>
  <c r="H778" i="5"/>
  <c r="J778" i="5" s="1"/>
  <c r="H779" i="5"/>
  <c r="J779" i="5" s="1"/>
  <c r="H780" i="5"/>
  <c r="J780" i="5" s="1"/>
  <c r="H781" i="5"/>
  <c r="J781" i="5" s="1"/>
  <c r="H782" i="5"/>
  <c r="J782" i="5" s="1"/>
  <c r="H758" i="5"/>
  <c r="J758" i="5" s="1"/>
  <c r="H759" i="5"/>
  <c r="J759" i="5" s="1"/>
  <c r="H760" i="5"/>
  <c r="J760" i="5" s="1"/>
  <c r="H761" i="5"/>
  <c r="J761" i="5" s="1"/>
  <c r="H762" i="5"/>
  <c r="J762" i="5" s="1"/>
  <c r="H763" i="5"/>
  <c r="J763" i="5" s="1"/>
  <c r="H764" i="5"/>
  <c r="J764" i="5" s="1"/>
  <c r="H765" i="5"/>
  <c r="J765" i="5" s="1"/>
  <c r="H766" i="5"/>
  <c r="J766" i="5" s="1"/>
  <c r="H767" i="5"/>
  <c r="J767" i="5" s="1"/>
  <c r="H768" i="5"/>
  <c r="J768" i="5" s="1"/>
  <c r="H769" i="5"/>
  <c r="J769" i="5" s="1"/>
  <c r="H744" i="5"/>
  <c r="J744" i="5" s="1"/>
  <c r="H745" i="5"/>
  <c r="J745" i="5" s="1"/>
  <c r="H746" i="5"/>
  <c r="J746" i="5" s="1"/>
  <c r="H747" i="5"/>
  <c r="J747" i="5" s="1"/>
  <c r="H748" i="5"/>
  <c r="J748" i="5" s="1"/>
  <c r="H749" i="5"/>
  <c r="J749" i="5" s="1"/>
  <c r="H750" i="5"/>
  <c r="J750" i="5" s="1"/>
  <c r="H751" i="5"/>
  <c r="J751" i="5" s="1"/>
  <c r="H752" i="5"/>
  <c r="J752" i="5" s="1"/>
  <c r="H753" i="5"/>
  <c r="J753" i="5" s="1"/>
  <c r="H754" i="5"/>
  <c r="J754" i="5" s="1"/>
  <c r="H755" i="5"/>
  <c r="J755" i="5" s="1"/>
  <c r="H731" i="5"/>
  <c r="J731" i="5" s="1"/>
  <c r="H732" i="5"/>
  <c r="J732" i="5" s="1"/>
  <c r="H733" i="5"/>
  <c r="J733" i="5" s="1"/>
  <c r="H734" i="5"/>
  <c r="J734" i="5" s="1"/>
  <c r="H735" i="5"/>
  <c r="J735" i="5" s="1"/>
  <c r="H736" i="5"/>
  <c r="J736" i="5" s="1"/>
  <c r="H737" i="5"/>
  <c r="J737" i="5" s="1"/>
  <c r="H738" i="5"/>
  <c r="J738" i="5" s="1"/>
  <c r="H739" i="5"/>
  <c r="J739" i="5" s="1"/>
  <c r="H740" i="5"/>
  <c r="J740" i="5" s="1"/>
  <c r="H741" i="5"/>
  <c r="J741" i="5" s="1"/>
  <c r="H742" i="5"/>
  <c r="J742" i="5" s="1"/>
  <c r="H717" i="5"/>
  <c r="J717" i="5" s="1"/>
  <c r="H718" i="5"/>
  <c r="J718" i="5" s="1"/>
  <c r="H719" i="5"/>
  <c r="J719" i="5" s="1"/>
  <c r="H720" i="5"/>
  <c r="J720" i="5" s="1"/>
  <c r="H721" i="5"/>
  <c r="J721" i="5" s="1"/>
  <c r="H722" i="5"/>
  <c r="J722" i="5" s="1"/>
  <c r="H723" i="5"/>
  <c r="J723" i="5" s="1"/>
  <c r="H724" i="5"/>
  <c r="J724" i="5" s="1"/>
  <c r="H725" i="5"/>
  <c r="J725" i="5" s="1"/>
  <c r="H726" i="5"/>
  <c r="J726" i="5" s="1"/>
  <c r="H727" i="5"/>
  <c r="J727" i="5" s="1"/>
  <c r="H728" i="5"/>
  <c r="J728" i="5" s="1"/>
  <c r="H704" i="5"/>
  <c r="J704" i="5" s="1"/>
  <c r="H705" i="5"/>
  <c r="J705" i="5" s="1"/>
  <c r="H706" i="5"/>
  <c r="J706" i="5" s="1"/>
  <c r="H707" i="5"/>
  <c r="J707" i="5" s="1"/>
  <c r="H708" i="5"/>
  <c r="J708" i="5" s="1"/>
  <c r="H709" i="5"/>
  <c r="J709" i="5" s="1"/>
  <c r="H710" i="5"/>
  <c r="J710" i="5" s="1"/>
  <c r="H711" i="5"/>
  <c r="J711" i="5" s="1"/>
  <c r="H712" i="5"/>
  <c r="J712" i="5" s="1"/>
  <c r="H713" i="5"/>
  <c r="J713" i="5" s="1"/>
  <c r="H714" i="5"/>
  <c r="J714" i="5" s="1"/>
  <c r="H715" i="5"/>
  <c r="J715" i="5" s="1"/>
  <c r="H690" i="5"/>
  <c r="J690" i="5" s="1"/>
  <c r="H691" i="5"/>
  <c r="J691" i="5" s="1"/>
  <c r="H692" i="5"/>
  <c r="J692" i="5" s="1"/>
  <c r="H693" i="5"/>
  <c r="J693" i="5" s="1"/>
  <c r="H694" i="5"/>
  <c r="J694" i="5" s="1"/>
  <c r="H695" i="5"/>
  <c r="J695" i="5" s="1"/>
  <c r="H696" i="5"/>
  <c r="J696" i="5" s="1"/>
  <c r="H697" i="5"/>
  <c r="J697" i="5" s="1"/>
  <c r="H698" i="5"/>
  <c r="J698" i="5" s="1"/>
  <c r="H699" i="5"/>
  <c r="J699" i="5" s="1"/>
  <c r="H700" i="5"/>
  <c r="J700" i="5" s="1"/>
  <c r="H701" i="5"/>
  <c r="J701" i="5" s="1"/>
  <c r="H677" i="5"/>
  <c r="J677" i="5" s="1"/>
  <c r="H678" i="5"/>
  <c r="J678" i="5" s="1"/>
  <c r="H679" i="5"/>
  <c r="J679" i="5" s="1"/>
  <c r="H680" i="5"/>
  <c r="J680" i="5" s="1"/>
  <c r="H681" i="5"/>
  <c r="J681" i="5" s="1"/>
  <c r="H682" i="5"/>
  <c r="J682" i="5" s="1"/>
  <c r="H683" i="5"/>
  <c r="J683" i="5" s="1"/>
  <c r="H684" i="5"/>
  <c r="J684" i="5" s="1"/>
  <c r="H685" i="5"/>
  <c r="J685" i="5" s="1"/>
  <c r="H686" i="5"/>
  <c r="J686" i="5" s="1"/>
  <c r="H687" i="5"/>
  <c r="J687" i="5" s="1"/>
  <c r="H688" i="5"/>
  <c r="J688" i="5" s="1"/>
  <c r="H663" i="5"/>
  <c r="J663" i="5" s="1"/>
  <c r="H664" i="5"/>
  <c r="J664" i="5" s="1"/>
  <c r="H665" i="5"/>
  <c r="J665" i="5" s="1"/>
  <c r="H666" i="5"/>
  <c r="J666" i="5" s="1"/>
  <c r="H667" i="5"/>
  <c r="J667" i="5" s="1"/>
  <c r="H668" i="5"/>
  <c r="J668" i="5" s="1"/>
  <c r="H669" i="5"/>
  <c r="J669" i="5" s="1"/>
  <c r="H670" i="5"/>
  <c r="J670" i="5" s="1"/>
  <c r="H671" i="5"/>
  <c r="J671" i="5" s="1"/>
  <c r="H672" i="5"/>
  <c r="J672" i="5" s="1"/>
  <c r="H673" i="5"/>
  <c r="J673" i="5" s="1"/>
  <c r="H674" i="5"/>
  <c r="J674" i="5" s="1"/>
  <c r="H650" i="5"/>
  <c r="J650" i="5" s="1"/>
  <c r="H651" i="5"/>
  <c r="J651" i="5" s="1"/>
  <c r="H652" i="5"/>
  <c r="J652" i="5" s="1"/>
  <c r="H653" i="5"/>
  <c r="J653" i="5" s="1"/>
  <c r="H654" i="5"/>
  <c r="J654" i="5" s="1"/>
  <c r="H655" i="5"/>
  <c r="J655" i="5" s="1"/>
  <c r="H656" i="5"/>
  <c r="J656" i="5" s="1"/>
  <c r="H657" i="5"/>
  <c r="J657" i="5" s="1"/>
  <c r="H658" i="5"/>
  <c r="J658" i="5" s="1"/>
  <c r="H659" i="5"/>
  <c r="J659" i="5" s="1"/>
  <c r="H660" i="5"/>
  <c r="J660" i="5" s="1"/>
  <c r="H661" i="5"/>
  <c r="J661" i="5" s="1"/>
  <c r="H636" i="5"/>
  <c r="J636" i="5" s="1"/>
  <c r="H637" i="5"/>
  <c r="J637" i="5" s="1"/>
  <c r="H638" i="5"/>
  <c r="J638" i="5" s="1"/>
  <c r="H639" i="5"/>
  <c r="J639" i="5" s="1"/>
  <c r="H640" i="5"/>
  <c r="J640" i="5" s="1"/>
  <c r="H641" i="5"/>
  <c r="J641" i="5" s="1"/>
  <c r="H642" i="5"/>
  <c r="J642" i="5" s="1"/>
  <c r="H643" i="5"/>
  <c r="J643" i="5" s="1"/>
  <c r="H644" i="5"/>
  <c r="J644" i="5" s="1"/>
  <c r="H645" i="5"/>
  <c r="J645" i="5" s="1"/>
  <c r="H646" i="5"/>
  <c r="J646" i="5" s="1"/>
  <c r="H647" i="5"/>
  <c r="J647" i="5" s="1"/>
  <c r="H623" i="5"/>
  <c r="J623" i="5" s="1"/>
  <c r="H624" i="5"/>
  <c r="J624" i="5" s="1"/>
  <c r="H625" i="5"/>
  <c r="J625" i="5" s="1"/>
  <c r="H626" i="5"/>
  <c r="J626" i="5" s="1"/>
  <c r="H627" i="5"/>
  <c r="J627" i="5" s="1"/>
  <c r="H628" i="5"/>
  <c r="J628" i="5" s="1"/>
  <c r="H629" i="5"/>
  <c r="J629" i="5" s="1"/>
  <c r="H630" i="5"/>
  <c r="J630" i="5" s="1"/>
  <c r="H631" i="5"/>
  <c r="J631" i="5" s="1"/>
  <c r="H632" i="5"/>
  <c r="J632" i="5" s="1"/>
  <c r="H633" i="5"/>
  <c r="J633" i="5" s="1"/>
  <c r="H634" i="5"/>
  <c r="J634" i="5" s="1"/>
  <c r="H609" i="5"/>
  <c r="J609" i="5" s="1"/>
  <c r="H610" i="5"/>
  <c r="J610" i="5" s="1"/>
  <c r="H611" i="5"/>
  <c r="J611" i="5" s="1"/>
  <c r="H612" i="5"/>
  <c r="J612" i="5" s="1"/>
  <c r="H613" i="5"/>
  <c r="J613" i="5" s="1"/>
  <c r="H614" i="5"/>
  <c r="J614" i="5" s="1"/>
  <c r="H615" i="5"/>
  <c r="J615" i="5" s="1"/>
  <c r="H616" i="5"/>
  <c r="J616" i="5" s="1"/>
  <c r="H617" i="5"/>
  <c r="J617" i="5" s="1"/>
  <c r="H618" i="5"/>
  <c r="J618" i="5" s="1"/>
  <c r="H619" i="5"/>
  <c r="J619" i="5" s="1"/>
  <c r="H620" i="5"/>
  <c r="J620" i="5" s="1"/>
  <c r="H596" i="5"/>
  <c r="J596" i="5" s="1"/>
  <c r="H597" i="5"/>
  <c r="J597" i="5" s="1"/>
  <c r="H598" i="5"/>
  <c r="J598" i="5" s="1"/>
  <c r="H599" i="5"/>
  <c r="J599" i="5" s="1"/>
  <c r="H600" i="5"/>
  <c r="J600" i="5" s="1"/>
  <c r="H601" i="5"/>
  <c r="J601" i="5" s="1"/>
  <c r="H602" i="5"/>
  <c r="J602" i="5" s="1"/>
  <c r="H603" i="5"/>
  <c r="J603" i="5" s="1"/>
  <c r="H604" i="5"/>
  <c r="J604" i="5" s="1"/>
  <c r="H605" i="5"/>
  <c r="J605" i="5" s="1"/>
  <c r="H606" i="5"/>
  <c r="J606" i="5" s="1"/>
  <c r="H607" i="5"/>
  <c r="J607" i="5" s="1"/>
  <c r="H582" i="5"/>
  <c r="J582" i="5" s="1"/>
  <c r="H583" i="5"/>
  <c r="J583" i="5" s="1"/>
  <c r="H584" i="5"/>
  <c r="J584" i="5" s="1"/>
  <c r="H585" i="5"/>
  <c r="J585" i="5" s="1"/>
  <c r="H586" i="5"/>
  <c r="J586" i="5" s="1"/>
  <c r="H587" i="5"/>
  <c r="J587" i="5" s="1"/>
  <c r="H588" i="5"/>
  <c r="J588" i="5" s="1"/>
  <c r="H589" i="5"/>
  <c r="J589" i="5" s="1"/>
  <c r="H590" i="5"/>
  <c r="J590" i="5" s="1"/>
  <c r="H591" i="5"/>
  <c r="J591" i="5" s="1"/>
  <c r="H592" i="5"/>
  <c r="J592" i="5" s="1"/>
  <c r="H593" i="5"/>
  <c r="J593" i="5" s="1"/>
  <c r="H569" i="5"/>
  <c r="J569" i="5" s="1"/>
  <c r="H570" i="5"/>
  <c r="J570" i="5" s="1"/>
  <c r="H571" i="5"/>
  <c r="J571" i="5" s="1"/>
  <c r="H572" i="5"/>
  <c r="J572" i="5" s="1"/>
  <c r="H573" i="5"/>
  <c r="J573" i="5" s="1"/>
  <c r="H574" i="5"/>
  <c r="J574" i="5" s="1"/>
  <c r="H575" i="5"/>
  <c r="J575" i="5" s="1"/>
  <c r="H576" i="5"/>
  <c r="J576" i="5" s="1"/>
  <c r="H577" i="5"/>
  <c r="J577" i="5" s="1"/>
  <c r="H578" i="5"/>
  <c r="J578" i="5" s="1"/>
  <c r="H579" i="5"/>
  <c r="J579" i="5" s="1"/>
  <c r="H580" i="5"/>
  <c r="J580" i="5" s="1"/>
  <c r="H555" i="5"/>
  <c r="J555" i="5" s="1"/>
  <c r="H556" i="5"/>
  <c r="J556" i="5" s="1"/>
  <c r="H557" i="5"/>
  <c r="J557" i="5" s="1"/>
  <c r="H558" i="5"/>
  <c r="J558" i="5" s="1"/>
  <c r="H559" i="5"/>
  <c r="J559" i="5" s="1"/>
  <c r="H560" i="5"/>
  <c r="J560" i="5" s="1"/>
  <c r="H561" i="5"/>
  <c r="J561" i="5" s="1"/>
  <c r="H562" i="5"/>
  <c r="J562" i="5" s="1"/>
  <c r="H563" i="5"/>
  <c r="J563" i="5" s="1"/>
  <c r="H564" i="5"/>
  <c r="J564" i="5" s="1"/>
  <c r="H565" i="5"/>
  <c r="J565" i="5" s="1"/>
  <c r="H566" i="5"/>
  <c r="J566" i="5" s="1"/>
  <c r="H542" i="5"/>
  <c r="J542" i="5" s="1"/>
  <c r="H543" i="5"/>
  <c r="J543" i="5" s="1"/>
  <c r="H544" i="5"/>
  <c r="J544" i="5" s="1"/>
  <c r="H545" i="5"/>
  <c r="J545" i="5" s="1"/>
  <c r="H546" i="5"/>
  <c r="J546" i="5" s="1"/>
  <c r="H547" i="5"/>
  <c r="J547" i="5" s="1"/>
  <c r="H548" i="5"/>
  <c r="J548" i="5" s="1"/>
  <c r="H549" i="5"/>
  <c r="J549" i="5" s="1"/>
  <c r="H550" i="5"/>
  <c r="J550" i="5" s="1"/>
  <c r="H551" i="5"/>
  <c r="J551" i="5" s="1"/>
  <c r="H552" i="5"/>
  <c r="J552" i="5" s="1"/>
  <c r="H553" i="5"/>
  <c r="J553" i="5" s="1"/>
  <c r="H528" i="5"/>
  <c r="J528" i="5" s="1"/>
  <c r="H529" i="5"/>
  <c r="J529" i="5" s="1"/>
  <c r="H530" i="5"/>
  <c r="J530" i="5" s="1"/>
  <c r="H531" i="5"/>
  <c r="J531" i="5" s="1"/>
  <c r="H532" i="5"/>
  <c r="J532" i="5" s="1"/>
  <c r="H533" i="5"/>
  <c r="J533" i="5" s="1"/>
  <c r="H534" i="5"/>
  <c r="J534" i="5" s="1"/>
  <c r="H535" i="5"/>
  <c r="J535" i="5" s="1"/>
  <c r="H536" i="5"/>
  <c r="J536" i="5" s="1"/>
  <c r="H537" i="5"/>
  <c r="J537" i="5" s="1"/>
  <c r="H538" i="5"/>
  <c r="J538" i="5" s="1"/>
  <c r="H539" i="5"/>
  <c r="J539" i="5" s="1"/>
  <c r="H515" i="5"/>
  <c r="J515" i="5" s="1"/>
  <c r="H516" i="5"/>
  <c r="J516" i="5" s="1"/>
  <c r="H517" i="5"/>
  <c r="J517" i="5" s="1"/>
  <c r="H518" i="5"/>
  <c r="J518" i="5" s="1"/>
  <c r="H519" i="5"/>
  <c r="J519" i="5" s="1"/>
  <c r="H520" i="5"/>
  <c r="J520" i="5" s="1"/>
  <c r="H521" i="5"/>
  <c r="J521" i="5" s="1"/>
  <c r="H522" i="5"/>
  <c r="J522" i="5" s="1"/>
  <c r="H523" i="5"/>
  <c r="J523" i="5" s="1"/>
  <c r="H524" i="5"/>
  <c r="J524" i="5" s="1"/>
  <c r="H525" i="5"/>
  <c r="J525" i="5" s="1"/>
  <c r="H526" i="5"/>
  <c r="J526" i="5" s="1"/>
  <c r="H501" i="5"/>
  <c r="J501" i="5" s="1"/>
  <c r="H502" i="5"/>
  <c r="J502" i="5" s="1"/>
  <c r="H503" i="5"/>
  <c r="J503" i="5" s="1"/>
  <c r="H504" i="5"/>
  <c r="J504" i="5" s="1"/>
  <c r="H505" i="5"/>
  <c r="J505" i="5" s="1"/>
  <c r="H506" i="5"/>
  <c r="J506" i="5" s="1"/>
  <c r="H507" i="5"/>
  <c r="J507" i="5" s="1"/>
  <c r="H508" i="5"/>
  <c r="J508" i="5" s="1"/>
  <c r="H509" i="5"/>
  <c r="J509" i="5" s="1"/>
  <c r="H510" i="5"/>
  <c r="J510" i="5" s="1"/>
  <c r="H511" i="5"/>
  <c r="J511" i="5" s="1"/>
  <c r="H512" i="5"/>
  <c r="J512" i="5" s="1"/>
  <c r="H490" i="5"/>
  <c r="J490" i="5" s="1"/>
  <c r="H491" i="5"/>
  <c r="J491" i="5" s="1"/>
  <c r="H492" i="5"/>
  <c r="J492" i="5" s="1"/>
  <c r="H493" i="5"/>
  <c r="J493" i="5" s="1"/>
  <c r="H494" i="5"/>
  <c r="J494" i="5" s="1"/>
  <c r="H495" i="5"/>
  <c r="J495" i="5" s="1"/>
  <c r="H496" i="5"/>
  <c r="J496" i="5" s="1"/>
  <c r="H497" i="5"/>
  <c r="J497" i="5" s="1"/>
  <c r="H498" i="5"/>
  <c r="J498" i="5" s="1"/>
  <c r="H499" i="5"/>
  <c r="J499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784" i="6"/>
  <c r="T784" i="6" s="1"/>
  <c r="T770" i="6"/>
  <c r="J541" i="5"/>
  <c r="T541" i="5" s="1"/>
  <c r="J784" i="5"/>
  <c r="T784" i="5" s="1"/>
  <c r="J730" i="4"/>
  <c r="T730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676" i="6"/>
  <c r="H676" i="5"/>
  <c r="H649" i="4"/>
  <c r="H730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G40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8" i="6" l="1"/>
  <c r="H489" i="6"/>
  <c r="J489" i="6" s="1"/>
  <c r="H488" i="5"/>
  <c r="H489" i="5"/>
  <c r="J489" i="5" s="1"/>
  <c r="H488" i="4"/>
  <c r="H489" i="4"/>
  <c r="J489" i="4" s="1"/>
  <c r="J488" i="6"/>
  <c r="J500" i="6" s="1"/>
  <c r="H500" i="6"/>
  <c r="H514" i="6" s="1"/>
  <c r="J488" i="5"/>
  <c r="J500" i="5" s="1"/>
  <c r="H500" i="5"/>
  <c r="H514" i="5" s="1"/>
  <c r="J488" i="4"/>
  <c r="J500" i="4" s="1"/>
  <c r="H500" i="4"/>
  <c r="H514" i="4" s="1"/>
  <c r="H300" i="5"/>
  <c r="H301" i="5"/>
  <c r="H302" i="5"/>
  <c r="H303" i="5"/>
  <c r="H304" i="5"/>
  <c r="H305" i="5"/>
  <c r="H306" i="5"/>
  <c r="J306" i="5" s="1"/>
  <c r="H307" i="5"/>
  <c r="J307" i="5" s="1"/>
  <c r="H308" i="5"/>
  <c r="J308" i="5" s="1"/>
  <c r="H309" i="5"/>
  <c r="J309" i="5" s="1"/>
  <c r="H310" i="5"/>
  <c r="J310" i="5" s="1"/>
  <c r="H299" i="5"/>
  <c r="H313" i="5"/>
  <c r="J313" i="5" s="1"/>
  <c r="H314" i="5"/>
  <c r="J314" i="5" s="1"/>
  <c r="H315" i="5"/>
  <c r="J315" i="5" s="1"/>
  <c r="H316" i="5"/>
  <c r="J316" i="5" s="1"/>
  <c r="H317" i="5"/>
  <c r="J317" i="5" s="1"/>
  <c r="H318" i="5"/>
  <c r="J318" i="5" s="1"/>
  <c r="H319" i="5"/>
  <c r="J319" i="5" s="1"/>
  <c r="H320" i="5"/>
  <c r="J320" i="5" s="1"/>
  <c r="H321" i="5"/>
  <c r="J321" i="5" s="1"/>
  <c r="H322" i="5"/>
  <c r="J322" i="5" s="1"/>
  <c r="H323" i="5"/>
  <c r="J323" i="5" s="1"/>
  <c r="H312" i="5"/>
  <c r="H484" i="6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K406" i="5" s="1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500" i="6" l="1"/>
  <c r="J514" i="6"/>
  <c r="T514" i="6" s="1"/>
  <c r="T500" i="5"/>
  <c r="J514" i="5"/>
  <c r="T514" i="5" s="1"/>
  <c r="J514" i="4"/>
  <c r="T514" i="4" s="1"/>
  <c r="H22" i="1" s="1"/>
  <c r="J22" i="1" s="1"/>
  <c r="T500" i="4"/>
  <c r="J312" i="5"/>
  <c r="J324" i="5" s="1"/>
  <c r="T324" i="5" s="1"/>
  <c r="H324" i="5"/>
  <c r="J461" i="6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<sst xmlns="http://schemas.openxmlformats.org/spreadsheetml/2006/main" count="8315" uniqueCount="382">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</sst>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4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1442380</v>
      </c>
      <c r="E21" s="11">
        <f>IFERROR('Linha 2'!S487,"")</f>
        <v>615040</v>
      </c>
      <c r="F21" s="11">
        <f>IFERROR('Linha 3'!S487,"")</f>
        <v>1354860</v>
      </c>
      <c r="G21" s="12">
        <f t="shared" si="0"/>
        <v>3412280</v>
      </c>
      <c r="H21" s="96">
        <f>IFERROR('Linha 1'!T487+'Linha 2'!T487+'Linha 3'!T487,0)</f>
        <v>491.36831999999993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67918850</v>
      </c>
      <c r="D35" s="13">
        <f t="shared" si="2"/>
        <v>22167400</v>
      </c>
      <c r="E35" s="13">
        <f t="shared" si="2"/>
        <v>11538670</v>
      </c>
      <c r="F35" s="13">
        <f t="shared" si="2"/>
        <v>28115430</v>
      </c>
      <c r="G35" s="13">
        <f t="shared" si="2"/>
        <v>61821500</v>
      </c>
      <c r="H35" s="97">
        <f t="shared" si="2"/>
        <v>4945.4941650601886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0" sqref="F490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59" t="s">
        <v>246</v>
      </c>
      <c r="F488" s="27">
        <v>0</v>
      </c>
      <c r="G488" s="28">
        <f t="shared" ref="G488:G499" si="104">IF(F488="","",IF(E488="PC 17",F488*4.2,IF(E488="PC 19",F488*5,IF(E488="CB",F488*35,""))))</f>
        <v>0</v>
      </c>
      <c r="H488" s="26" t="s">
        <v>25</v>
      </c>
      <c r="I488" s="26" t="s">
        <v>30</v>
      </c>
      <c r="J488" s="26" t="s">
        <v>138</v>
      </c>
      <c r="K488" s="29">
        <v>0.31111111111111112</v>
      </c>
      <c r="L488" s="29"/>
      <c r="M488" s="30">
        <f t="shared" ref="M488:M499" ca="1" si="105">IFERROR(IF(K488="","",IF(L488="",MOD(NOW()-K488,1),IF(L488&gt;=K488,L488-K488,L488+1-K488))),"")</f>
        <v>8.4546990736271255E-2</v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 t="s">
        <v>52</v>
      </c>
      <c r="D489" s="59" t="s">
        <v>29</v>
      </c>
      <c r="E489" s="59" t="s">
        <v>246</v>
      </c>
      <c r="F489" s="27">
        <v>0</v>
      </c>
      <c r="G489" s="34">
        <f t="shared" si="104"/>
        <v>0</v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 t="s">
        <v>52</v>
      </c>
      <c r="D490" s="59" t="s">
        <v>29</v>
      </c>
      <c r="E490" s="59" t="s">
        <v>246</v>
      </c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 t="s">
        <v>52</v>
      </c>
      <c r="D491" s="59" t="s">
        <v>29</v>
      </c>
      <c r="E491" s="59" t="s">
        <v>246</v>
      </c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 t="s">
        <v>52</v>
      </c>
      <c r="D492" s="59" t="s">
        <v>29</v>
      </c>
      <c r="E492" s="59" t="s">
        <v>246</v>
      </c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 t="s">
        <v>52</v>
      </c>
      <c r="D493" s="59" t="s">
        <v>29</v>
      </c>
      <c r="E493" s="59" t="s">
        <v>246</v>
      </c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 t="s">
        <v>52</v>
      </c>
      <c r="D494" s="59" t="s">
        <v>29</v>
      </c>
      <c r="E494" s="59" t="s">
        <v>246</v>
      </c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 t="s">
        <v>52</v>
      </c>
      <c r="D495" s="59" t="s">
        <v>29</v>
      </c>
      <c r="E495" s="59" t="s">
        <v>246</v>
      </c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 t="s">
        <v>52</v>
      </c>
      <c r="D496" s="59" t="s">
        <v>29</v>
      </c>
      <c r="E496" s="59" t="s">
        <v>246</v>
      </c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 t="s">
        <v>52</v>
      </c>
      <c r="D497" s="59" t="s">
        <v>29</v>
      </c>
      <c r="E497" s="59" t="s">
        <v>246</v>
      </c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 t="s">
        <v>52</v>
      </c>
      <c r="D498" s="59" t="s">
        <v>29</v>
      </c>
      <c r="E498" s="59" t="s">
        <v>246</v>
      </c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 t="s">
        <v>52</v>
      </c>
      <c r="D499" s="59" t="s">
        <v>29</v>
      </c>
      <c r="E499" s="59" t="s">
        <v>246</v>
      </c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8.4546990736271255E-2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8.4546990736271255E-2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O489" sqref="O48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0.27413032406911952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0.41301921295800842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0.49774143518023073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6.7690147150259055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15.99948932642487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5.5382847668393778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13.538029430051811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6.7690147150259055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14.153394404145077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14.153394404145077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6.1536497409326421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11.691934507772018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6.1536497409326421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10.461204559585491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7.3843796891191698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118.76543999999998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118.76543999999998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17</v>
      </c>
      <c r="H474" s="140">
        <f>IFERROR(IF($G474="","",$G474*$S$486/$G$486/Cadastro!$E$33),"")</f>
        <v>64.021585365853653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9.2191082926829253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19</v>
      </c>
      <c r="H475" s="134">
        <f>IFERROR(IF($G475="","",$G475*$S$486/$G$486/Cadastro!$E$33),"")</f>
        <v>71.553536585365862</v>
      </c>
      <c r="I475" s="135">
        <f>IFERROR(IF($D475="","",VLOOKUP($D475,Cadastro!$C$4:$G$7,5,FALSE)),"")</f>
        <v>0.6</v>
      </c>
      <c r="J475" s="136">
        <f t="shared" si="118"/>
        <v>10.303709268292684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7</v>
      </c>
      <c r="H476" s="134">
        <f>IFERROR(IF($G476="","",$G476*$S$486/$G$486/Cadastro!$E$33),"")</f>
        <v>26.361829268292684</v>
      </c>
      <c r="I476" s="135">
        <f>IFERROR(IF($D476="","",VLOOKUP($D476,Cadastro!$C$4:$G$7,5,FALSE)),"")</f>
        <v>0.6</v>
      </c>
      <c r="J476" s="136">
        <f t="shared" si="118"/>
        <v>3.7961034146341461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13</v>
      </c>
      <c r="H477" s="134">
        <f>IFERROR(IF($G477="","",$G477*$S$486/$G$486/Cadastro!$E$33),"")</f>
        <v>48.957682926829271</v>
      </c>
      <c r="I477" s="135">
        <f>IFERROR(IF($D477="","",VLOOKUP($D477,Cadastro!$C$4:$G$7,5,FALSE)),"")</f>
        <v>0.6</v>
      </c>
      <c r="J477" s="136">
        <f t="shared" si="118"/>
        <v>7.0499063414634149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37.659756097560972</v>
      </c>
      <c r="I478" s="135">
        <f>IFERROR(IF($D478="","",VLOOKUP($D478,Cadastro!$C$4:$G$7,5,FALSE)),"")</f>
        <v>0.6</v>
      </c>
      <c r="J478" s="136">
        <f t="shared" si="118"/>
        <v>5.4230048780487801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14</v>
      </c>
      <c r="H479" s="134">
        <f>IFERROR(IF($G479="","",$G479*$S$486/$G$486/Cadastro!$E$33),"")</f>
        <v>52.723658536585368</v>
      </c>
      <c r="I479" s="135">
        <f>IFERROR(IF($D479="","",VLOOKUP($D479,Cadastro!$C$4:$G$7,5,FALSE)),"")</f>
        <v>0.6</v>
      </c>
      <c r="J479" s="136">
        <f t="shared" si="118"/>
        <v>7.5922068292682923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10</v>
      </c>
      <c r="H480" s="134">
        <f>IFERROR(IF($G480="","",$G480*$S$486/$G$486/Cadastro!$E$33),"")</f>
        <v>37.659756097560972</v>
      </c>
      <c r="I480" s="135">
        <f>IFERROR(IF($D480="","",VLOOKUP($D480,Cadastro!$C$4:$G$7,5,FALSE)),"")</f>
        <v>0.6</v>
      </c>
      <c r="J480" s="136">
        <f t="shared" si="118"/>
        <v>5.4230048780487801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12</v>
      </c>
      <c r="H481" s="134">
        <f>IFERROR(IF($G481="","",$G481*$S$486/$G$486/Cadastro!$E$33),"")</f>
        <v>45.191707317073167</v>
      </c>
      <c r="I481" s="135">
        <f>IFERROR(IF($D481="","",VLOOKUP($D481,Cadastro!$C$4:$G$7,5,FALSE)),"")</f>
        <v>0.6</v>
      </c>
      <c r="J481" s="136">
        <f t="shared" si="118"/>
        <v>6.5076058536585357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20</v>
      </c>
      <c r="H482" s="134">
        <f>IFERROR(IF($G482="","",$G482*$S$486/$G$486/Cadastro!$E$33),"")</f>
        <v>75.319512195121945</v>
      </c>
      <c r="I482" s="135">
        <f>IFERROR(IF($D482="","",VLOOKUP($D482,Cadastro!$C$4:$G$7,5,FALSE)),"")</f>
        <v>0.6</v>
      </c>
      <c r="J482" s="136">
        <f t="shared" si="118"/>
        <v>10.84600975609756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16</v>
      </c>
      <c r="H483" s="134">
        <f>IFERROR(IF($G483="","",$G483*$S$486/$G$486/Cadastro!$E$33),"")</f>
        <v>60.255609756097563</v>
      </c>
      <c r="I483" s="135">
        <f>IFERROR(IF($D483="","",VLOOKUP($D483,Cadastro!$C$4:$G$7,5,FALSE)),"")</f>
        <v>0.6</v>
      </c>
      <c r="J483" s="136">
        <f t="shared" si="118"/>
        <v>8.6768078048780488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18</v>
      </c>
      <c r="H484" s="134">
        <f>IFERROR(IF($G484="","",$G484*$S$486/$G$486/Cadastro!$E$33),"")</f>
        <v>67.78756097560975</v>
      </c>
      <c r="I484" s="135">
        <f>IFERROR(IF($D484="","",VLOOKUP($D484,Cadastro!$C$4:$G$7,5,FALSE)),"")</f>
        <v>0.6</v>
      </c>
      <c r="J484" s="136">
        <f t="shared" si="118"/>
        <v>9.7614087804878036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8</v>
      </c>
      <c r="H485" s="137">
        <f>IFERROR(IF($G485="","",$G485*$S$486/$G$486/Cadastro!$E$33),"")</f>
        <v>30.127804878048781</v>
      </c>
      <c r="I485" s="138">
        <f>IFERROR(IF($D485="","",VLOOKUP($D485,Cadastro!$C$4:$G$7,5,FALSE)),"")</f>
        <v>0.6</v>
      </c>
      <c r="J485" s="139">
        <f t="shared" si="118"/>
        <v>4.3384039024390244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164</v>
      </c>
      <c r="H486" s="111">
        <f>IFERROR(SUM(H474:H485),"")</f>
        <v>617.62</v>
      </c>
      <c r="I486" s="115"/>
      <c r="J486" s="124">
        <f>IFERROR(SUM(J474:J485),"")</f>
        <v>88.937280000000001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>
        <v>617620</v>
      </c>
      <c r="T486" s="122">
        <f>IFERROR(J486,"")</f>
        <v>88.937280000000001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357</v>
      </c>
      <c r="H487" s="112">
        <f>IFERROR(H473+H486,"")</f>
        <v>1442.38</v>
      </c>
      <c r="I487" s="116"/>
      <c r="J487" s="125">
        <f>IFERROR(J473+J486,"")</f>
        <v>207.70272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1442380</v>
      </c>
      <c r="T487" s="144">
        <f>IFERROR(J487,"")</f>
        <v>207.70272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>
        <v>14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58.800000000000004</v>
      </c>
      <c r="L488" s="26" t="s">
        <v>27</v>
      </c>
      <c r="M488" s="26" t="s">
        <v>38</v>
      </c>
      <c r="N488" s="26" t="s">
        <v>181</v>
      </c>
      <c r="O488" s="29">
        <v>0.32361111111111113</v>
      </c>
      <c r="P488" s="29">
        <v>0.35972222222222222</v>
      </c>
      <c r="Q488" s="30">
        <f t="shared" ref="Q488:Q499" ca="1" si="124">IFERROR(IF(O488="","",IF(P488="",MOD(NOW()-O488,1),IF(P488&gt;=O488,P488-O488,P488+1-O488))),"")</f>
        <v>3.6111111111111094E-2</v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>
        <v>13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2"/>
        <v>0</v>
      </c>
      <c r="K489" s="34">
        <f t="shared" si="123"/>
        <v>54.6</v>
      </c>
      <c r="L489" s="33" t="s">
        <v>27</v>
      </c>
      <c r="M489" s="33"/>
      <c r="N489" s="33" t="s">
        <v>81</v>
      </c>
      <c r="O489" s="29">
        <v>0.39583333333333331</v>
      </c>
      <c r="P489" s="29"/>
      <c r="Q489" s="35">
        <f t="shared" ca="1" si="124"/>
        <v>0.99982476851437241</v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 t="s">
        <v>52</v>
      </c>
      <c r="D493" s="59" t="s">
        <v>29</v>
      </c>
      <c r="E493" s="10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27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113.4</v>
      </c>
      <c r="L500" s="37"/>
      <c r="M500" s="37"/>
      <c r="N500" s="37"/>
      <c r="O500" s="37"/>
      <c r="P500" s="37"/>
      <c r="Q500" s="38">
        <f ca="1">IFERROR(SUM(Q488:Q499),"")</f>
        <v>1.0359358796254834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27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113.4</v>
      </c>
      <c r="L514" s="41"/>
      <c r="M514" s="41"/>
      <c r="N514" s="41"/>
      <c r="O514" s="41"/>
      <c r="P514" s="41"/>
      <c r="Q514" s="42">
        <f ca="1">IFERROR(Q500+Q513,"")</f>
        <v>1.0359358796254834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65" activePane="bottomLeft" state="frozen"/>
      <selection pane="bottomLeft" activeCell="G490" sqref="G49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3.0863127272727273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16.203141818181816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10.030516363636362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6.1726254545454546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15.431563636363636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50.924159999999993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50.924159999999993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4</v>
      </c>
      <c r="H475" s="134">
        <f>IFERROR(IF($G475="","",$G475*$S$486/$G$486/Cadastro!$E$33),"")</f>
        <v>17.722033898305085</v>
      </c>
      <c r="I475" s="135">
        <f>IFERROR(IF($D475="","",VLOOKUP($D475,Cadastro!$C$4:$G$7,5,FALSE)),"")</f>
        <v>0.6</v>
      </c>
      <c r="J475" s="136">
        <f t="shared" si="116"/>
        <v>2.5519728813559324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5</v>
      </c>
      <c r="H476" s="134">
        <f>IFERROR(IF($G476="","",$G476*$S$486/$G$486/Cadastro!$E$33),"")</f>
        <v>22.152542372881356</v>
      </c>
      <c r="I476" s="135">
        <f>IFERROR(IF($D476="","",VLOOKUP($D476,Cadastro!$C$4:$G$7,5,FALSE)),"")</f>
        <v>0.6</v>
      </c>
      <c r="J476" s="136">
        <f t="shared" si="116"/>
        <v>3.1899661016949152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5</v>
      </c>
      <c r="H477" s="134">
        <f>IFERROR(IF($G477="","",$G477*$S$486/$G$486/Cadastro!$E$33),"")</f>
        <v>22.152542372881356</v>
      </c>
      <c r="I477" s="135">
        <f>IFERROR(IF($D477="","",VLOOKUP($D477,Cadastro!$C$4:$G$7,5,FALSE)),"")</f>
        <v>0.6</v>
      </c>
      <c r="J477" s="136">
        <f t="shared" si="116"/>
        <v>3.1899661016949152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44.305084745762713</v>
      </c>
      <c r="I478" s="135">
        <f>IFERROR(IF($D478="","",VLOOKUP($D478,Cadastro!$C$4:$G$7,5,FALSE)),"")</f>
        <v>0.6</v>
      </c>
      <c r="J478" s="136">
        <f t="shared" si="116"/>
        <v>6.3799322033898305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10</v>
      </c>
      <c r="H479" s="134">
        <f>IFERROR(IF($G479="","",$G479*$S$486/$G$486/Cadastro!$E$33),"")</f>
        <v>44.305084745762713</v>
      </c>
      <c r="I479" s="135">
        <f>IFERROR(IF($D479="","",VLOOKUP($D479,Cadastro!$C$4:$G$7,5,FALSE)),"")</f>
        <v>0.6</v>
      </c>
      <c r="J479" s="136">
        <f t="shared" si="116"/>
        <v>6.3799322033898305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3</v>
      </c>
      <c r="H480" s="134">
        <f>IFERROR(IF($G480="","",$G480*$S$486/$G$486/Cadastro!$E$33),"")</f>
        <v>13.291525423728814</v>
      </c>
      <c r="I480" s="135">
        <f>IFERROR(IF($D480="","",VLOOKUP($D480,Cadastro!$C$4:$G$7,5,FALSE)),"")</f>
        <v>0.6</v>
      </c>
      <c r="J480" s="136">
        <f t="shared" si="116"/>
        <v>1.9139796610169491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6</v>
      </c>
      <c r="H481" s="134">
        <f>IFERROR(IF($G481="","",$G481*$S$486/$G$486/Cadastro!$E$33),"")</f>
        <v>26.583050847457628</v>
      </c>
      <c r="I481" s="135">
        <f>IFERROR(IF($D481="","",VLOOKUP($D481,Cadastro!$C$4:$G$7,5,FALSE)),"")</f>
        <v>0.6</v>
      </c>
      <c r="J481" s="136">
        <f t="shared" si="116"/>
        <v>3.8279593220338981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3</v>
      </c>
      <c r="H482" s="134">
        <f>IFERROR(IF($G482="","",$G482*$S$486/$G$486/Cadastro!$E$33),"")</f>
        <v>13.291525423728814</v>
      </c>
      <c r="I482" s="135">
        <f>IFERROR(IF($D482="","",VLOOKUP($D482,Cadastro!$C$4:$G$7,5,FALSE)),"")</f>
        <v>0.6</v>
      </c>
      <c r="J482" s="136">
        <f t="shared" si="116"/>
        <v>1.9139796610169491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3</v>
      </c>
      <c r="H483" s="134">
        <f>IFERROR(IF($G483="","",$G483*$S$486/$G$486/Cadastro!$E$33),"")</f>
        <v>13.291525423728814</v>
      </c>
      <c r="I483" s="135">
        <f>IFERROR(IF($D483="","",VLOOKUP($D483,Cadastro!$C$4:$G$7,5,FALSE)),"")</f>
        <v>0.6</v>
      </c>
      <c r="J483" s="136">
        <f t="shared" si="116"/>
        <v>1.9139796610169491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7</v>
      </c>
      <c r="H484" s="134">
        <f>IFERROR(IF($G484="","",$G484*$S$486/$G$486/Cadastro!$E$33),"")</f>
        <v>31.013559322033899</v>
      </c>
      <c r="I484" s="135">
        <f>IFERROR(IF($D484="","",VLOOKUP($D484,Cadastro!$C$4:$G$7,5,FALSE)),"")</f>
        <v>0.6</v>
      </c>
      <c r="J484" s="136">
        <f t="shared" si="116"/>
        <v>4.4659525423728814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3</v>
      </c>
      <c r="H485" s="137">
        <f>IFERROR(IF($G485="","",$G485*$S$486/$G$486/Cadastro!$E$33),"")</f>
        <v>13.291525423728814</v>
      </c>
      <c r="I485" s="138">
        <f>IFERROR(IF($D485="","",VLOOKUP($D485,Cadastro!$C$4:$G$7,5,FALSE)),"")</f>
        <v>0.6</v>
      </c>
      <c r="J485" s="139">
        <f t="shared" si="116"/>
        <v>1.9139796610169491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59</v>
      </c>
      <c r="H486" s="111">
        <f>IFERROR(SUM(H474:H485),"")</f>
        <v>261.39999999999998</v>
      </c>
      <c r="I486" s="115"/>
      <c r="J486" s="124">
        <f>IFERROR(SUM(J474:J485),"")</f>
        <v>37.641599999999997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>
        <v>261400</v>
      </c>
      <c r="T486" s="119">
        <f>IFERROR(J486,"")</f>
        <v>37.641599999999997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125</v>
      </c>
      <c r="H487" s="112">
        <f>IFERROR(H473+H486,"")</f>
        <v>615.04</v>
      </c>
      <c r="I487" s="116"/>
      <c r="J487" s="125">
        <f>IFERROR(J473+J486,"")</f>
        <v>88.565759999999983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615040</v>
      </c>
      <c r="T487" s="121">
        <f>IFERROR(J487,"")</f>
        <v>88.565759999999983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>
        <v>3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0">IFERROR(IF($H488="","",$H488*$F488*$I488),"")</f>
        <v>0</v>
      </c>
      <c r="K488" s="28">
        <f t="shared" ref="K488:K499" si="121">IF(G488="","",IF(E488="PC 17",G488*4.2,IF(E488="PC 19",G488*5,IF(E488="CB",G488*24,""))))</f>
        <v>12.600000000000001</v>
      </c>
      <c r="L488" s="26" t="s">
        <v>27</v>
      </c>
      <c r="M488" s="26"/>
      <c r="N488" s="26" t="s">
        <v>81</v>
      </c>
      <c r="O488" s="29">
        <v>0.39583333333333331</v>
      </c>
      <c r="P488" s="29"/>
      <c r="Q488" s="30">
        <f t="shared" ref="Q488:Q499" ca="1" si="122">IFERROR(IF(O488="","",IF(P488="",MOD(NOW()-O488,1),IF(P488&gt;=O488,P488-O488,P488+1-O488))),"")</f>
        <v>0.99982476851437241</v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>
        <v>9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0"/>
        <v>0</v>
      </c>
      <c r="K489" s="34">
        <f t="shared" si="121"/>
        <v>37.800000000000004</v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 t="s">
        <v>52</v>
      </c>
      <c r="D493" s="59" t="s">
        <v>29</v>
      </c>
      <c r="E493" s="15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0"/>
        <v/>
      </c>
      <c r="K493" s="34" t="str">
        <f>IF(G493="","",IF(E494="PC 17",G493*4.2,IF(E494="PC 19",G493*5,IF(E494="CB",G493*24,""))))</f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0"/>
        <v/>
      </c>
      <c r="K494" s="28" t="str">
        <f>IF(G494="","",IF(#REF!="PC 17",G494*4.2,IF(#REF!="PC 19",G494*5,IF(#REF!="CB",G494*24,""))))</f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12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50.400000000000006</v>
      </c>
      <c r="L500" s="37"/>
      <c r="M500" s="37"/>
      <c r="N500" s="37"/>
      <c r="O500" s="37"/>
      <c r="P500" s="37"/>
      <c r="Q500" s="38">
        <f ca="1">IFERROR(SUM(Q488:Q499),"")</f>
        <v>0.99982476851437241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12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50.400000000000006</v>
      </c>
      <c r="L514" s="41"/>
      <c r="M514" s="41"/>
      <c r="N514" s="41"/>
      <c r="O514" s="41"/>
      <c r="P514" s="41"/>
      <c r="Q514" s="42">
        <f ca="1">IFERROR(Q500+Q513,"")</f>
        <v>0.99982476851437241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29:F256 E260:E261 F259:F261 E263:F380 E494 E382:F492 E495:F514 F493:F494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65" activePane="bottomLeft" state="frozen"/>
      <selection pane="bottomLeft" activeCell="G490" sqref="G49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8.9808592207792213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11.053365194805194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6.9083532467532462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9.671694545454546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5.5266825974025968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6.2175179220779224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6.9083532467532462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16.58004779220779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11.053365194805194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10.362529870129869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7.5991885714285701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5.5266825974025968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106.38864000000001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106.38864000000001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14</v>
      </c>
      <c r="H474" s="140">
        <f>IFERROR(IF($G474="","",$G474*$S$486/$G$486/Cadastro!$E$33),"")</f>
        <v>57.117218543046356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8.2248794701986743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24</v>
      </c>
      <c r="H475" s="134">
        <f>IFERROR(IF($G475="","",$G475*$S$486/$G$486/Cadastro!$E$33),"")</f>
        <v>97.915231788079467</v>
      </c>
      <c r="I475" s="135">
        <f>IFERROR(IF($D475="","",VLOOKUP($D475,Cadastro!$C$4:$G$7,5,FALSE)),"")</f>
        <v>0.6</v>
      </c>
      <c r="J475" s="136">
        <f t="shared" si="118"/>
        <v>14.099793377483442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381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8</v>
      </c>
      <c r="H477" s="134">
        <f>IFERROR(IF($G477="","",$G477*$S$486/$G$486/Cadastro!$E$33),"")</f>
        <v>32.638410596026489</v>
      </c>
      <c r="I477" s="135">
        <f>IFERROR(IF($D477="","",VLOOKUP($D477,Cadastro!$C$4:$G$7,5,FALSE)),"")</f>
        <v>0.6</v>
      </c>
      <c r="J477" s="136">
        <f t="shared" si="118"/>
        <v>4.6999311258278142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12</v>
      </c>
      <c r="H478" s="134">
        <f>IFERROR(IF($G478="","",$G478*$S$486/$G$486/Cadastro!$E$33),"")</f>
        <v>48.957615894039733</v>
      </c>
      <c r="I478" s="135">
        <f>IFERROR(IF($D478="","",VLOOKUP($D478,Cadastro!$C$4:$G$7,5,FALSE)),"")</f>
        <v>0.6</v>
      </c>
      <c r="J478" s="136">
        <f t="shared" si="118"/>
        <v>7.0498966887417209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12</v>
      </c>
      <c r="H479" s="134">
        <f>IFERROR(IF($G479="","",$G479*$S$486/$G$486/Cadastro!$E$33),"")</f>
        <v>48.957615894039733</v>
      </c>
      <c r="I479" s="135">
        <f>IFERROR(IF($D479="","",VLOOKUP($D479,Cadastro!$C$4:$G$7,5,FALSE)),"")</f>
        <v>0.6</v>
      </c>
      <c r="J479" s="136">
        <f t="shared" si="118"/>
        <v>7.0498966887417209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346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17</v>
      </c>
      <c r="H480" s="134">
        <f>IFERROR(IF($G480="","",$G480*$S$486/$G$486/Cadastro!$E$33),"")</f>
        <v>69.3566225165563</v>
      </c>
      <c r="I480" s="135">
        <f>IFERROR(IF($D480="","",VLOOKUP($D480,Cadastro!$C$4:$G$7,5,FALSE)),"")</f>
        <v>0.6</v>
      </c>
      <c r="J480" s="136">
        <f t="shared" si="118"/>
        <v>9.9873536423841056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4</v>
      </c>
      <c r="H481" s="134">
        <f>IFERROR(IF($G481="","",$G481*$S$486/$G$486/Cadastro!$E$33),"")</f>
        <v>16.319205298013244</v>
      </c>
      <c r="I481" s="135">
        <f>IFERROR(IF($D481="","",VLOOKUP($D481,Cadastro!$C$4:$G$7,5,FALSE)),"")</f>
        <v>0.6</v>
      </c>
      <c r="J481" s="136">
        <f t="shared" si="118"/>
        <v>2.3499655629139071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26</v>
      </c>
      <c r="H482" s="134">
        <f>IFERROR(IF($G482="","",$G482*$S$486/$G$486/Cadastro!$E$33),"")</f>
        <v>106.07483443708608</v>
      </c>
      <c r="I482" s="135">
        <f>IFERROR(IF($D482="","",VLOOKUP($D482,Cadastro!$C$4:$G$7,5,FALSE)),"")</f>
        <v>0.6</v>
      </c>
      <c r="J482" s="136">
        <f t="shared" si="118"/>
        <v>15.274776158940394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10</v>
      </c>
      <c r="H483" s="134">
        <f>IFERROR(IF($G483="","",$G483*$S$486/$G$486/Cadastro!$E$33),"")</f>
        <v>40.798013245033118</v>
      </c>
      <c r="I483" s="135">
        <f>IFERROR(IF($D483="","",VLOOKUP($D483,Cadastro!$C$4:$G$7,5,FALSE)),"")</f>
        <v>0.6</v>
      </c>
      <c r="J483" s="136">
        <f t="shared" si="118"/>
        <v>5.8749139072847685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14</v>
      </c>
      <c r="H484" s="134">
        <f>IFERROR(IF($G484="","",$G484*$S$486/$G$486/Cadastro!$E$33),"")</f>
        <v>57.117218543046356</v>
      </c>
      <c r="I484" s="135">
        <f>IFERROR(IF($D484="","",VLOOKUP($D484,Cadastro!$C$4:$G$7,5,FALSE)),"")</f>
        <v>0.6</v>
      </c>
      <c r="J484" s="136">
        <f t="shared" si="118"/>
        <v>8.2248794701986743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10</v>
      </c>
      <c r="H485" s="137">
        <f>IFERROR(IF($G485="","",$G485*$S$486/$G$486/Cadastro!$E$33),"")</f>
        <v>40.798013245033118</v>
      </c>
      <c r="I485" s="138">
        <f>IFERROR(IF($D485="","",VLOOKUP($D485,Cadastro!$C$4:$G$7,5,FALSE)),"")</f>
        <v>0.6</v>
      </c>
      <c r="J485" s="139">
        <f t="shared" si="118"/>
        <v>5.8749139072847685</v>
      </c>
      <c r="K485" s="34">
        <f t="shared" si="119"/>
        <v>42</v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151</v>
      </c>
      <c r="H486" s="111">
        <f>IFERROR(SUM(H474:H485),"")</f>
        <v>616.04999999999984</v>
      </c>
      <c r="I486" s="115"/>
      <c r="J486" s="124">
        <f>IFERROR(SUM(J474:J485),"")</f>
        <v>88.711199999999977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>
        <v>616050</v>
      </c>
      <c r="T486" s="119">
        <f>IFERROR(J486,"")</f>
        <v>88.711199999999977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305</v>
      </c>
      <c r="H487" s="112">
        <f>IFERROR(H473+H486,"")</f>
        <v>1354.86</v>
      </c>
      <c r="I487" s="116"/>
      <c r="J487" s="125">
        <f>IFERROR(J473+J486,"")</f>
        <v>195.09983999999997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1354860</v>
      </c>
      <c r="T487" s="121">
        <f>IFERROR(J487,"")</f>
        <v>195.09983999999997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>
        <v>19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79.8</v>
      </c>
      <c r="L488" s="26" t="s">
        <v>27</v>
      </c>
      <c r="M488" s="26"/>
      <c r="N488" s="26" t="s">
        <v>81</v>
      </c>
      <c r="O488" s="29">
        <v>0.33680555555555558</v>
      </c>
      <c r="P488" s="29">
        <v>0.34861111111111109</v>
      </c>
      <c r="Q488" s="30">
        <f ca="1">IFERROR(IF(O488="","",IF(P488="",MOD(NOW()-O488,1),IF(P488&gt;=O488,P488-O488,P488+1-O488))),"")</f>
        <v>1.1805555555555514E-2</v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 t="s">
        <v>52</v>
      </c>
      <c r="D489" s="59" t="s">
        <v>37</v>
      </c>
      <c r="E489" s="108" t="s">
        <v>262</v>
      </c>
      <c r="F489" s="134">
        <f>IFERROR(IF($D489="","",VLOOKUP($D489,Cadastro!$C$4:$E$7,3,FALSE)),"")</f>
        <v>0.24</v>
      </c>
      <c r="G489" s="105">
        <v>10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2"/>
        <v>0</v>
      </c>
      <c r="K489" s="34">
        <f t="shared" si="123"/>
        <v>42</v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 t="s">
        <v>52</v>
      </c>
      <c r="D493" s="59" t="s">
        <v>37</v>
      </c>
      <c r="E493" s="10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29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121.8</v>
      </c>
      <c r="L500" s="37"/>
      <c r="M500" s="37"/>
      <c r="N500" s="37"/>
      <c r="O500" s="61"/>
      <c r="P500" s="61"/>
      <c r="Q500" s="38">
        <f ca="1">IFERROR(SUM(Q488:Q499),"")</f>
        <v>1.1805555555555514E-2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29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121.8</v>
      </c>
      <c r="L514" s="41"/>
      <c r="M514" s="41"/>
      <c r="N514" s="41"/>
      <c r="O514" s="63"/>
      <c r="P514" s="63"/>
      <c r="Q514" s="42">
        <f ca="1">IFERROR(Q500+Q513,"")</f>
        <v>1.1805555555555514E-2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2026-08-19T13:31:13Z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