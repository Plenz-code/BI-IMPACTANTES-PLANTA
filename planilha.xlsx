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531" documentId="13_ncr:1_{0A10D8D4-8450-4366-8075-B53B08E6B7EA}" xr6:coauthVersionLast="47" xr6:coauthVersionMax="47" xr10:uidLastSave="{99178546-4E64-468C-BA65-B367C8CF9265}"/>
  <bookViews>
    <workbookView xWindow="-110" yWindow="-110" windowWidth="25820" windowHeight="1550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406" i="4" l="1"/>
  <c r="K406" i="5"/>
  <c r="K406" i="6"/>
  <c r="G406" i="6"/>
  <c r="G406" i="5"/>
  <c r="G406" i="4"/>
  <c r="F406" i="3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1" i="6"/>
  <c r="J421" i="6" s="1"/>
  <c r="H422" i="6"/>
  <c r="J422" i="6" s="1"/>
  <c r="H423" i="6"/>
  <c r="J423" i="6" s="1"/>
  <c r="H424" i="6"/>
  <c r="J424" i="6" s="1"/>
  <c r="H425" i="6"/>
  <c r="J425" i="6" s="1"/>
  <c r="H426" i="6"/>
  <c r="J426" i="6" s="1"/>
  <c r="H427" i="6"/>
  <c r="J427" i="6" s="1"/>
  <c r="H428" i="6"/>
  <c r="J428" i="6" s="1"/>
  <c r="H429" i="6"/>
  <c r="J429" i="6" s="1"/>
  <c r="H430" i="6"/>
  <c r="J430" i="6" s="1"/>
  <c r="H431" i="6"/>
  <c r="J431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1" i="5"/>
  <c r="J421" i="5" s="1"/>
  <c r="H422" i="5"/>
  <c r="J422" i="5" s="1"/>
  <c r="H423" i="5"/>
  <c r="J423" i="5" s="1"/>
  <c r="H424" i="5"/>
  <c r="J424" i="5" s="1"/>
  <c r="H425" i="5"/>
  <c r="J425" i="5" s="1"/>
  <c r="H426" i="5"/>
  <c r="J426" i="5" s="1"/>
  <c r="H427" i="5"/>
  <c r="J427" i="5" s="1"/>
  <c r="H428" i="5"/>
  <c r="J428" i="5" s="1"/>
  <c r="H429" i="5"/>
  <c r="J429" i="5" s="1"/>
  <c r="H430" i="5"/>
  <c r="J430" i="5" s="1"/>
  <c r="H431" i="5"/>
  <c r="J431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1" i="4"/>
  <c r="J421" i="4" s="1"/>
  <c r="H422" i="4"/>
  <c r="J422" i="4" s="1"/>
  <c r="H423" i="4"/>
  <c r="J423" i="4" s="1"/>
  <c r="H424" i="4"/>
  <c r="J424" i="4" s="1"/>
  <c r="H425" i="4"/>
  <c r="J425" i="4" s="1"/>
  <c r="H426" i="4"/>
  <c r="J426" i="4" s="1"/>
  <c r="H427" i="4"/>
  <c r="J427" i="4" s="1"/>
  <c r="H428" i="4"/>
  <c r="J428" i="4" s="1"/>
  <c r="H429" i="4"/>
  <c r="J429" i="4" s="1"/>
  <c r="H430" i="4"/>
  <c r="J430" i="4" s="1"/>
  <c r="H431" i="4"/>
  <c r="J431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810" i="5"/>
  <c r="T810" i="5" s="1"/>
  <c r="J473" i="4"/>
  <c r="T473" i="4" s="1"/>
  <c r="J446" i="6"/>
  <c r="T446" i="6" s="1"/>
  <c r="J540" i="6"/>
  <c r="T540" i="6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621" i="4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473" i="5"/>
  <c r="H581" i="5"/>
  <c r="H621" i="5"/>
  <c r="H648" i="5"/>
  <c r="H459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446" i="4"/>
  <c r="H675" i="4"/>
  <c r="H797" i="5"/>
  <c r="H324" i="5"/>
  <c r="H797" i="4"/>
  <c r="H783" i="6"/>
  <c r="H675" i="6"/>
  <c r="H662" i="4"/>
  <c r="H783" i="5"/>
  <c r="H554" i="5"/>
  <c r="H459" i="4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87" i="5"/>
  <c r="H676" i="5"/>
  <c r="H460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H420" i="6" s="1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H420" i="5" s="1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H420" i="4" s="1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J420" i="6" l="1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H419" i="4" l="1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33" i="4" l="1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<sst xmlns="http://schemas.openxmlformats.org/spreadsheetml/2006/main" count="7301" uniqueCount="356">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</sst>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P24" sqref="P24"/>
    </sheetView>
  </sheetViews>
  <sheetFormatPr defaultColWidth="8.5703125" defaultRowHeight="14.4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/>
      <c r="J18" s="129">
        <f t="shared" si="1"/>
        <v>0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1195500</v>
      </c>
      <c r="D19" s="11">
        <f>IFERROR('Linha 1'!S433,"")</f>
        <v>590830</v>
      </c>
      <c r="E19" s="11">
        <f>IFERROR('Linha 2'!S433,"")</f>
        <v>447620</v>
      </c>
      <c r="F19" s="11">
        <f>IFERROR('Linha 3'!S433,"")</f>
        <v>627410</v>
      </c>
      <c r="G19" s="12">
        <f t="shared" si="0"/>
        <v>1665860</v>
      </c>
      <c r="H19" s="96">
        <f>IFERROR('Linha 1'!T433+'Linha 2'!T433+'Linha 3'!T433,0)</f>
        <v>239.88383999999999</v>
      </c>
      <c r="I19" s="96"/>
      <c r="J19" s="129">
        <f t="shared" si="1"/>
        <v>0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57588020</v>
      </c>
      <c r="D35" s="13">
        <f t="shared" si="2"/>
        <v>18838850</v>
      </c>
      <c r="E35" s="13">
        <f t="shared" si="2"/>
        <v>9882290</v>
      </c>
      <c r="F35" s="13">
        <f t="shared" si="2"/>
        <v>24136340</v>
      </c>
      <c r="G35" s="13">
        <f t="shared" si="2"/>
        <v>52857480</v>
      </c>
      <c r="H35" s="97">
        <f t="shared" si="2"/>
        <v>3450.1791327907322</v>
      </c>
      <c r="I35" s="97">
        <f>IFERROR(SUM(I4:I34),"")</f>
        <v>2403.2399999999998</v>
      </c>
      <c r="J35" s="130">
        <f>IFERROR(AVERAGE(J4:J34),"-")</f>
        <v>0.5749422174907689</v>
      </c>
      <c r="K35" s="157">
        <f>SUM(K4:K34)</f>
        <v>450.78</v>
      </c>
    </row>
  </sheetData>
  <sheetProtection algorithmName="SHA-512" hashValue="IrfNho2feiWZfOO6d9dHLv1JXNgLv5M+T1rWWwVaGz2HqhHIHJyCr705on9TyGr+a1vmAN1YSqQCo1MQUxfY8Q==" saltValue="Q8MYCPwmSrWpCTh6lrtigA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54" zoomScale="85" zoomScaleNormal="85" workbookViewId="0"/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7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67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67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67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67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67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67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67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67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67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67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67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67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67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67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67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67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67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67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67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67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67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67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67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67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67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67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67"/>
      <c r="N58" s="16"/>
      <c r="O58" s="16"/>
      <c r="P58" s="16" t="s">
        <v>216</v>
      </c>
      <c r="Q58" s="16"/>
      <c r="R58" s="16"/>
    </row>
    <row r="59" spans="1:18" ht="15" customHeight="1">
      <c r="M59" s="167"/>
      <c r="N59" s="17"/>
      <c r="O59" s="17"/>
      <c r="P59" s="17" t="s">
        <v>217</v>
      </c>
      <c r="Q59" s="17"/>
      <c r="R59" s="17"/>
    </row>
    <row r="60" spans="1:18" ht="15" customHeight="1">
      <c r="M60" s="167"/>
      <c r="N60" s="16"/>
      <c r="O60" s="16"/>
      <c r="P60" s="77" t="s">
        <v>112</v>
      </c>
      <c r="Q60" s="16"/>
      <c r="R60" s="16"/>
    </row>
    <row r="61" spans="1:18" ht="15" customHeight="1">
      <c r="M61" s="167"/>
      <c r="N61" s="17"/>
      <c r="O61" s="17"/>
      <c r="P61" s="17" t="s">
        <v>218</v>
      </c>
      <c r="Q61" s="17"/>
      <c r="R61" s="17"/>
    </row>
    <row r="62" spans="1:18" ht="15" customHeight="1">
      <c r="M62" s="167"/>
      <c r="N62" s="16"/>
      <c r="O62" s="16"/>
      <c r="P62" s="16" t="s">
        <v>219</v>
      </c>
      <c r="Q62" s="16"/>
      <c r="R62" s="16"/>
    </row>
    <row r="63" spans="1:18" ht="15" customHeight="1">
      <c r="M63" s="167"/>
      <c r="N63" s="17"/>
      <c r="O63" s="17"/>
      <c r="P63" s="17" t="s">
        <v>220</v>
      </c>
      <c r="Q63" s="17"/>
      <c r="R63" s="17"/>
    </row>
    <row r="64" spans="1:18" ht="15" customHeight="1">
      <c r="M64" s="167"/>
      <c r="N64" s="16"/>
      <c r="O64" s="16"/>
      <c r="P64" s="16" t="s">
        <v>221</v>
      </c>
      <c r="Q64" s="16"/>
      <c r="R64" s="16"/>
    </row>
    <row r="65" spans="13:18" ht="15" customHeight="1">
      <c r="M65" s="167"/>
      <c r="N65" s="17"/>
      <c r="O65" s="17"/>
      <c r="P65" s="17" t="s">
        <v>222</v>
      </c>
      <c r="Q65" s="17"/>
      <c r="R65" s="17"/>
    </row>
    <row r="66" spans="13:18" ht="15" customHeight="1">
      <c r="M66" s="167"/>
      <c r="N66" s="16"/>
      <c r="O66" s="16"/>
      <c r="P66" s="16" t="s">
        <v>223</v>
      </c>
      <c r="Q66" s="16"/>
      <c r="R66" s="16"/>
    </row>
    <row r="67" spans="13:18" ht="15" customHeight="1">
      <c r="M67" s="167"/>
      <c r="N67" s="17"/>
      <c r="O67" s="17"/>
      <c r="P67" s="17" t="s">
        <v>224</v>
      </c>
      <c r="Q67" s="17"/>
      <c r="R67" s="17"/>
    </row>
    <row r="68" spans="13:18" ht="15" customHeight="1">
      <c r="M68" s="167"/>
      <c r="N68" s="16"/>
      <c r="O68" s="16"/>
      <c r="P68" s="16" t="s">
        <v>225</v>
      </c>
      <c r="Q68" s="16"/>
      <c r="R68" s="16"/>
    </row>
    <row r="69" spans="13:18" ht="15" customHeight="1">
      <c r="M69" s="167"/>
      <c r="N69" s="17"/>
      <c r="O69" s="17"/>
      <c r="P69" s="17" t="s">
        <v>226</v>
      </c>
      <c r="Q69" s="17"/>
      <c r="R69" s="17"/>
    </row>
    <row r="70" spans="13:18" ht="15" customHeight="1">
      <c r="M70" s="167"/>
      <c r="N70" s="16"/>
      <c r="O70" s="16"/>
      <c r="P70" s="16" t="s">
        <v>227</v>
      </c>
      <c r="Q70" s="16"/>
      <c r="R70" s="16"/>
    </row>
    <row r="71" spans="13:18" ht="15" customHeight="1">
      <c r="M71" s="167"/>
      <c r="N71" s="17"/>
      <c r="O71" s="17"/>
      <c r="P71" s="17" t="s">
        <v>228</v>
      </c>
      <c r="Q71" s="17"/>
      <c r="R71" s="17"/>
    </row>
    <row r="72" spans="13:18" ht="15" customHeight="1">
      <c r="M72" s="167"/>
      <c r="N72" s="16"/>
      <c r="O72" s="16"/>
      <c r="P72" s="16" t="s">
        <v>229</v>
      </c>
      <c r="Q72" s="16"/>
      <c r="R72" s="16"/>
    </row>
    <row r="73" spans="13:18" ht="15" customHeight="1">
      <c r="M73" s="167"/>
      <c r="N73" s="17"/>
      <c r="O73" s="17"/>
      <c r="P73" s="17" t="s">
        <v>230</v>
      </c>
      <c r="Q73" s="17"/>
      <c r="R73" s="17"/>
    </row>
    <row r="74" spans="13:18" ht="15" customHeight="1">
      <c r="M74" s="167"/>
      <c r="N74" s="16"/>
      <c r="O74" s="16"/>
      <c r="P74" s="16" t="s">
        <v>231</v>
      </c>
      <c r="Q74" s="16"/>
      <c r="R74" s="16"/>
    </row>
    <row r="75" spans="13:18" ht="15" customHeight="1">
      <c r="M75" s="167"/>
      <c r="N75" s="17"/>
      <c r="O75" s="17"/>
      <c r="P75" s="17" t="s">
        <v>232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398" activePane="bottomLeft" state="frozen"/>
      <selection pane="bottomLeft" activeCell="F422" sqref="F422"/>
      <selection sqref="A1:G409"/>
    </sheetView>
  </sheetViews>
  <sheetFormatPr defaultColWidth="8.5703125" defaultRowHeight="14.4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244</v>
      </c>
      <c r="B14" s="159"/>
      <c r="C14" s="159"/>
      <c r="D14" s="159"/>
      <c r="E14" s="17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247</v>
      </c>
      <c r="B27" s="159"/>
      <c r="C27" s="159"/>
      <c r="D27" s="159"/>
      <c r="E27" s="17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>
      <c r="A28" s="160" t="s">
        <v>248</v>
      </c>
      <c r="B28" s="161"/>
      <c r="C28" s="161"/>
      <c r="D28" s="161"/>
      <c r="E28" s="17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244</v>
      </c>
      <c r="B41" s="159"/>
      <c r="C41" s="159"/>
      <c r="D41" s="159"/>
      <c r="E41" s="17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247</v>
      </c>
      <c r="B54" s="159"/>
      <c r="C54" s="159"/>
      <c r="D54" s="159"/>
      <c r="E54" s="17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>
      <c r="A55" s="160" t="s">
        <v>248</v>
      </c>
      <c r="B55" s="161"/>
      <c r="C55" s="161"/>
      <c r="D55" s="161"/>
      <c r="E55" s="17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244</v>
      </c>
      <c r="B68" s="159"/>
      <c r="C68" s="159"/>
      <c r="D68" s="159"/>
      <c r="E68" s="17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247</v>
      </c>
      <c r="B81" s="159"/>
      <c r="C81" s="159"/>
      <c r="D81" s="159"/>
      <c r="E81" s="17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>
      <c r="A82" s="160" t="s">
        <v>248</v>
      </c>
      <c r="B82" s="161"/>
      <c r="C82" s="161"/>
      <c r="D82" s="161"/>
      <c r="E82" s="17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244</v>
      </c>
      <c r="B95" s="159"/>
      <c r="C95" s="159"/>
      <c r="D95" s="159"/>
      <c r="E95" s="17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247</v>
      </c>
      <c r="B108" s="159"/>
      <c r="C108" s="159"/>
      <c r="D108" s="159"/>
      <c r="E108" s="17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>
      <c r="A109" s="160" t="s">
        <v>248</v>
      </c>
      <c r="B109" s="161"/>
      <c r="C109" s="161"/>
      <c r="D109" s="161"/>
      <c r="E109" s="17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244</v>
      </c>
      <c r="B122" s="159"/>
      <c r="C122" s="159"/>
      <c r="D122" s="159"/>
      <c r="E122" s="17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247</v>
      </c>
      <c r="B135" s="159"/>
      <c r="C135" s="159"/>
      <c r="D135" s="159"/>
      <c r="E135" s="17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>
      <c r="A136" s="160" t="s">
        <v>248</v>
      </c>
      <c r="B136" s="161"/>
      <c r="C136" s="161"/>
      <c r="D136" s="161"/>
      <c r="E136" s="17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244</v>
      </c>
      <c r="B149" s="159"/>
      <c r="C149" s="159"/>
      <c r="D149" s="159"/>
      <c r="E149" s="17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247</v>
      </c>
      <c r="B162" s="159"/>
      <c r="C162" s="159"/>
      <c r="D162" s="159"/>
      <c r="E162" s="17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>
      <c r="A163" s="160" t="s">
        <v>248</v>
      </c>
      <c r="B163" s="161"/>
      <c r="C163" s="161"/>
      <c r="D163" s="161"/>
      <c r="E163" s="17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244</v>
      </c>
      <c r="B176" s="159"/>
      <c r="C176" s="159"/>
      <c r="D176" s="159"/>
      <c r="E176" s="17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247</v>
      </c>
      <c r="B189" s="159"/>
      <c r="C189" s="159"/>
      <c r="D189" s="159"/>
      <c r="E189" s="17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>
      <c r="A190" s="160" t="s">
        <v>248</v>
      </c>
      <c r="B190" s="161"/>
      <c r="C190" s="161"/>
      <c r="D190" s="161"/>
      <c r="E190" s="17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244</v>
      </c>
      <c r="B203" s="159"/>
      <c r="C203" s="159"/>
      <c r="D203" s="159"/>
      <c r="E203" s="17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247</v>
      </c>
      <c r="B216" s="159"/>
      <c r="C216" s="159"/>
      <c r="D216" s="159"/>
      <c r="E216" s="176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>
      <c r="A217" s="160" t="s">
        <v>248</v>
      </c>
      <c r="B217" s="161"/>
      <c r="C217" s="161"/>
      <c r="D217" s="161"/>
      <c r="E217" s="17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9" t="s">
        <v>244</v>
      </c>
      <c r="B230" s="170"/>
      <c r="C230" s="170"/>
      <c r="D230" s="170"/>
      <c r="E230" s="17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247</v>
      </c>
      <c r="B243" s="159"/>
      <c r="C243" s="159"/>
      <c r="D243" s="159"/>
      <c r="E243" s="176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>
      <c r="A244" s="160" t="s">
        <v>248</v>
      </c>
      <c r="B244" s="161"/>
      <c r="C244" s="161"/>
      <c r="D244" s="161"/>
      <c r="E244" s="17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244</v>
      </c>
      <c r="B257" s="159"/>
      <c r="C257" s="159"/>
      <c r="D257" s="159"/>
      <c r="E257" s="176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247</v>
      </c>
      <c r="B270" s="159"/>
      <c r="C270" s="159"/>
      <c r="D270" s="159"/>
      <c r="E270" s="176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>
      <c r="A271" s="160" t="s">
        <v>248</v>
      </c>
      <c r="B271" s="161"/>
      <c r="C271" s="161"/>
      <c r="D271" s="161"/>
      <c r="E271" s="17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244</v>
      </c>
      <c r="B284" s="159"/>
      <c r="C284" s="159"/>
      <c r="D284" s="159"/>
      <c r="E284" s="176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247</v>
      </c>
      <c r="B297" s="159"/>
      <c r="C297" s="159"/>
      <c r="D297" s="159"/>
      <c r="E297" s="176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>
      <c r="A298" s="160" t="s">
        <v>248</v>
      </c>
      <c r="B298" s="161"/>
      <c r="C298" s="161"/>
      <c r="D298" s="161"/>
      <c r="E298" s="17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244</v>
      </c>
      <c r="B311" s="159"/>
      <c r="C311" s="159"/>
      <c r="D311" s="159"/>
      <c r="E311" s="176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247</v>
      </c>
      <c r="B324" s="159"/>
      <c r="C324" s="159"/>
      <c r="D324" s="159"/>
      <c r="E324" s="176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>
      <c r="A325" s="160" t="s">
        <v>248</v>
      </c>
      <c r="B325" s="161"/>
      <c r="C325" s="161"/>
      <c r="D325" s="161"/>
      <c r="E325" s="17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244</v>
      </c>
      <c r="B338" s="159"/>
      <c r="C338" s="159"/>
      <c r="D338" s="159"/>
      <c r="E338" s="176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247</v>
      </c>
      <c r="B351" s="159"/>
      <c r="C351" s="159"/>
      <c r="D351" s="159"/>
      <c r="E351" s="176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>
      <c r="A352" s="160" t="s">
        <v>248</v>
      </c>
      <c r="B352" s="161"/>
      <c r="C352" s="161"/>
      <c r="D352" s="161"/>
      <c r="E352" s="17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244</v>
      </c>
      <c r="B365" s="159"/>
      <c r="C365" s="159"/>
      <c r="D365" s="159"/>
      <c r="E365" s="176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243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243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243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243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243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243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243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243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243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243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243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243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247</v>
      </c>
      <c r="B378" s="159"/>
      <c r="C378" s="159"/>
      <c r="D378" s="159"/>
      <c r="E378" s="176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245</v>
      </c>
      <c r="O378" s="39">
        <v>2614830</v>
      </c>
    </row>
    <row r="379" spans="1:15" ht="18" customHeight="1">
      <c r="A379" s="160" t="s">
        <v>248</v>
      </c>
      <c r="B379" s="161"/>
      <c r="C379" s="161"/>
      <c r="D379" s="161"/>
      <c r="E379" s="175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249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243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243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243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243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243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243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243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243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243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243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243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243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244</v>
      </c>
      <c r="B392" s="159"/>
      <c r="C392" s="159"/>
      <c r="D392" s="159"/>
      <c r="E392" s="176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243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164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269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243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243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243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243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243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243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243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243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243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243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243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247</v>
      </c>
      <c r="B405" s="159"/>
      <c r="C405" s="159"/>
      <c r="D405" s="159"/>
      <c r="E405" s="176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245</v>
      </c>
      <c r="O405" s="39">
        <v>2612000</v>
      </c>
    </row>
    <row r="406" spans="1:15" ht="18" customHeight="1">
      <c r="A406" s="160" t="s">
        <v>248</v>
      </c>
      <c r="B406" s="161"/>
      <c r="C406" s="161"/>
      <c r="D406" s="161"/>
      <c r="E406" s="175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249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243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243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243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243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243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243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243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243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243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243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243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243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244</v>
      </c>
      <c r="B419" s="159"/>
      <c r="C419" s="159"/>
      <c r="D419" s="159"/>
      <c r="E419" s="176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245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243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225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243</v>
      </c>
      <c r="F421" s="27">
        <v>40</v>
      </c>
      <c r="G421" s="34">
        <f t="shared" si="88"/>
        <v>200</v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243</v>
      </c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243</v>
      </c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243</v>
      </c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243</v>
      </c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243</v>
      </c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243</v>
      </c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243</v>
      </c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243</v>
      </c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243</v>
      </c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243</v>
      </c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247</v>
      </c>
      <c r="B432" s="159"/>
      <c r="C432" s="159"/>
      <c r="D432" s="159"/>
      <c r="E432" s="176">
        <f>SUM(E420:E431)</f>
        <v>0</v>
      </c>
      <c r="F432" s="36">
        <f>SUM(F420:F431)</f>
        <v>55</v>
      </c>
      <c r="G432" s="36">
        <f>SUM(G420:G431)</f>
        <v>275</v>
      </c>
      <c r="H432" s="37"/>
      <c r="I432" s="37"/>
      <c r="J432" s="37"/>
      <c r="K432" s="37"/>
      <c r="L432" s="37"/>
      <c r="M432" s="38">
        <f ca="1">IFERROR(SUM(M420:M431),"")</f>
        <v>2.777777777777779E-2</v>
      </c>
      <c r="N432" s="36" t="s">
        <v>245</v>
      </c>
      <c r="O432" s="39"/>
    </row>
    <row r="433" spans="1:15" ht="18" customHeight="1">
      <c r="A433" s="160" t="s">
        <v>248</v>
      </c>
      <c r="B433" s="161"/>
      <c r="C433" s="161"/>
      <c r="D433" s="161"/>
      <c r="E433" s="175">
        <f>E419+E432</f>
        <v>0</v>
      </c>
      <c r="F433" s="40">
        <f>F419+F432</f>
        <v>265</v>
      </c>
      <c r="G433" s="40">
        <f>G419+G432</f>
        <v>1325</v>
      </c>
      <c r="H433" s="41"/>
      <c r="I433" s="41"/>
      <c r="J433" s="41"/>
      <c r="K433" s="41"/>
      <c r="L433" s="41"/>
      <c r="M433" s="42">
        <f ca="1">IFERROR(M419+M432,"")</f>
        <v>0.26041666666666669</v>
      </c>
      <c r="N433" s="40" t="s">
        <v>249</v>
      </c>
      <c r="O433" s="48">
        <f>IFERROR(O419+O432,"")</f>
        <v>1195500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244</v>
      </c>
      <c r="B446" s="159"/>
      <c r="C446" s="159"/>
      <c r="D446" s="159"/>
      <c r="E446" s="17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245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247</v>
      </c>
      <c r="B459" s="159"/>
      <c r="C459" s="159"/>
      <c r="D459" s="159"/>
      <c r="E459" s="17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>
      <c r="A460" s="160" t="s">
        <v>248</v>
      </c>
      <c r="B460" s="161"/>
      <c r="C460" s="161"/>
      <c r="D460" s="161"/>
      <c r="E460" s="17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249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244</v>
      </c>
      <c r="B473" s="159"/>
      <c r="C473" s="159"/>
      <c r="D473" s="159"/>
      <c r="E473" s="17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247</v>
      </c>
      <c r="B486" s="159"/>
      <c r="C486" s="159"/>
      <c r="D486" s="159"/>
      <c r="E486" s="17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>
      <c r="A487" s="160" t="s">
        <v>248</v>
      </c>
      <c r="B487" s="161"/>
      <c r="C487" s="161"/>
      <c r="D487" s="161"/>
      <c r="E487" s="17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244</v>
      </c>
      <c r="B500" s="159"/>
      <c r="C500" s="159"/>
      <c r="D500" s="159"/>
      <c r="E500" s="17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247</v>
      </c>
      <c r="B513" s="159"/>
      <c r="C513" s="159"/>
      <c r="D513" s="159"/>
      <c r="E513" s="17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>
      <c r="A514" s="160" t="s">
        <v>248</v>
      </c>
      <c r="B514" s="161"/>
      <c r="C514" s="161"/>
      <c r="D514" s="161"/>
      <c r="E514" s="17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244</v>
      </c>
      <c r="B527" s="159"/>
      <c r="C527" s="159"/>
      <c r="D527" s="159"/>
      <c r="E527" s="17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247</v>
      </c>
      <c r="B540" s="159"/>
      <c r="C540" s="159"/>
      <c r="D540" s="159"/>
      <c r="E540" s="17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>
      <c r="A541" s="160" t="s">
        <v>248</v>
      </c>
      <c r="B541" s="161"/>
      <c r="C541" s="161"/>
      <c r="D541" s="161"/>
      <c r="E541" s="17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244</v>
      </c>
      <c r="B554" s="159"/>
      <c r="C554" s="159"/>
      <c r="D554" s="159"/>
      <c r="E554" s="17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247</v>
      </c>
      <c r="B567" s="159"/>
      <c r="C567" s="159"/>
      <c r="D567" s="159"/>
      <c r="E567" s="17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>
      <c r="A568" s="160" t="s">
        <v>248</v>
      </c>
      <c r="B568" s="161"/>
      <c r="C568" s="161"/>
      <c r="D568" s="161"/>
      <c r="E568" s="17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244</v>
      </c>
      <c r="B581" s="159"/>
      <c r="C581" s="159"/>
      <c r="D581" s="159"/>
      <c r="E581" s="17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247</v>
      </c>
      <c r="B594" s="159"/>
      <c r="C594" s="159"/>
      <c r="D594" s="159"/>
      <c r="E594" s="17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>
      <c r="A595" s="160" t="s">
        <v>248</v>
      </c>
      <c r="B595" s="161"/>
      <c r="C595" s="161"/>
      <c r="D595" s="161"/>
      <c r="E595" s="17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244</v>
      </c>
      <c r="B608" s="159"/>
      <c r="C608" s="159"/>
      <c r="D608" s="159"/>
      <c r="E608" s="17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247</v>
      </c>
      <c r="B621" s="159"/>
      <c r="C621" s="159"/>
      <c r="D621" s="159"/>
      <c r="E621" s="17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>
      <c r="A622" s="160" t="s">
        <v>248</v>
      </c>
      <c r="B622" s="161"/>
      <c r="C622" s="161"/>
      <c r="D622" s="161"/>
      <c r="E622" s="17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244</v>
      </c>
      <c r="B635" s="159"/>
      <c r="C635" s="159"/>
      <c r="D635" s="159"/>
      <c r="E635" s="17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247</v>
      </c>
      <c r="B648" s="159"/>
      <c r="C648" s="159"/>
      <c r="D648" s="159"/>
      <c r="E648" s="17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>
      <c r="A649" s="160" t="s">
        <v>248</v>
      </c>
      <c r="B649" s="161"/>
      <c r="C649" s="161"/>
      <c r="D649" s="161"/>
      <c r="E649" s="17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244</v>
      </c>
      <c r="B662" s="159"/>
      <c r="C662" s="159"/>
      <c r="D662" s="159"/>
      <c r="E662" s="17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247</v>
      </c>
      <c r="B675" s="159"/>
      <c r="C675" s="159"/>
      <c r="D675" s="159"/>
      <c r="E675" s="17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>
      <c r="A676" s="160" t="s">
        <v>248</v>
      </c>
      <c r="B676" s="161"/>
      <c r="C676" s="161"/>
      <c r="D676" s="161"/>
      <c r="E676" s="17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244</v>
      </c>
      <c r="B689" s="159"/>
      <c r="C689" s="159"/>
      <c r="D689" s="159"/>
      <c r="E689" s="17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247</v>
      </c>
      <c r="B702" s="159"/>
      <c r="C702" s="159"/>
      <c r="D702" s="159"/>
      <c r="E702" s="17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>
      <c r="A703" s="160" t="s">
        <v>248</v>
      </c>
      <c r="B703" s="161"/>
      <c r="C703" s="161"/>
      <c r="D703" s="161"/>
      <c r="E703" s="17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244</v>
      </c>
      <c r="B716" s="159"/>
      <c r="C716" s="159"/>
      <c r="D716" s="159"/>
      <c r="E716" s="17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247</v>
      </c>
      <c r="B729" s="159"/>
      <c r="C729" s="159"/>
      <c r="D729" s="159"/>
      <c r="E729" s="17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>
      <c r="A730" s="160" t="s">
        <v>248</v>
      </c>
      <c r="B730" s="161"/>
      <c r="C730" s="161"/>
      <c r="D730" s="161"/>
      <c r="E730" s="17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244</v>
      </c>
      <c r="B743" s="159"/>
      <c r="C743" s="159"/>
      <c r="D743" s="159"/>
      <c r="E743" s="17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247</v>
      </c>
      <c r="B756" s="159"/>
      <c r="C756" s="159"/>
      <c r="D756" s="159"/>
      <c r="E756" s="17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>
      <c r="A757" s="160" t="s">
        <v>248</v>
      </c>
      <c r="B757" s="161"/>
      <c r="C757" s="161"/>
      <c r="D757" s="161"/>
      <c r="E757" s="17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244</v>
      </c>
      <c r="B770" s="159"/>
      <c r="C770" s="159"/>
      <c r="D770" s="159"/>
      <c r="E770" s="17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247</v>
      </c>
      <c r="B783" s="159"/>
      <c r="C783" s="159"/>
      <c r="D783" s="159"/>
      <c r="E783" s="17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>
      <c r="A784" s="160" t="s">
        <v>248</v>
      </c>
      <c r="B784" s="161"/>
      <c r="C784" s="161"/>
      <c r="D784" s="161"/>
      <c r="E784" s="17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244</v>
      </c>
      <c r="B797" s="159"/>
      <c r="C797" s="159"/>
      <c r="D797" s="159"/>
      <c r="E797" s="17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247</v>
      </c>
      <c r="B810" s="159"/>
      <c r="C810" s="159"/>
      <c r="D810" s="159"/>
      <c r="E810" s="17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>
      <c r="A811" s="172" t="s">
        <v>248</v>
      </c>
      <c r="B811" s="173"/>
      <c r="C811" s="173"/>
      <c r="D811" s="173"/>
      <c r="E811" s="174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244</v>
      </c>
      <c r="B824" s="159"/>
      <c r="C824" s="159"/>
      <c r="D824" s="159"/>
      <c r="E824" s="17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247</v>
      </c>
      <c r="B837" s="159"/>
      <c r="C837" s="159"/>
      <c r="D837" s="159"/>
      <c r="E837" s="17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>
      <c r="A838" s="160" t="s">
        <v>248</v>
      </c>
      <c r="B838" s="161"/>
      <c r="C838" s="161"/>
      <c r="D838" s="161"/>
      <c r="E838" s="17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381 E383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94" activePane="bottomLeft" state="frozen"/>
      <selection pane="bottomLeft" activeCell="N420" sqref="N420"/>
      <selection sqref="A1:G409"/>
    </sheetView>
  </sheetViews>
  <sheetFormatPr defaultColWidth="8.5703125" defaultRowHeight="14.4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270</v>
      </c>
      <c r="I1" s="133" t="s">
        <v>20</v>
      </c>
      <c r="J1" s="133" t="s">
        <v>271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272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273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274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275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276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277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278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279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0.7538475694382214</v>
      </c>
      <c r="R53" s="46" t="s">
        <v>280</v>
      </c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0.89273645832711024</v>
      </c>
      <c r="R54" s="36" t="s">
        <v>245</v>
      </c>
      <c r="S54" s="75">
        <v>352430</v>
      </c>
      <c r="T54" s="117"/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0.9774586805493326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272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281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282</v>
      </c>
      <c r="Q96" s="30" t="str">
        <f t="shared" ref="Q96:Q107" ca="1" si="22">IFERROR(IF(O96="","",IF(P96="",MOD(NOW()-O96,1),IF(P96&gt;=O96,P96-O96,P96+1-O96))),"")</f>
        <v/>
      </c>
      <c r="R96" s="46" t="s">
        <v>283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284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285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286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287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288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289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290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291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288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292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293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286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281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294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295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296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9" t="s">
        <v>244</v>
      </c>
      <c r="B230" s="170"/>
      <c r="C230" s="170"/>
      <c r="D230" s="170"/>
      <c r="E230" s="170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297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298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299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300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301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293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288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281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245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302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245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249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259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259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303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245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164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167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167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304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165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175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165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245</v>
      </c>
      <c r="S405" s="45">
        <v>774540</v>
      </c>
      <c r="T405" s="122">
        <f>IFERROR(J405,"")</f>
        <v>156.22852721311477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249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245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0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0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/>
      <c r="Q420" s="30">
        <f t="shared" ref="Q420:Q431" ca="1" si="104">IFERROR(IF(O420="","",IF(P420="",MOD(NOW()-O420,1),IF(P420&gt;=O420,P420-O420,P420+1-O420))),"")</f>
        <v>2.458680552081205E-3</v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/>
      <c r="H421" s="134" t="str">
        <f>IFERROR(IF($G421="","",$G421*$S$432/$G$432/Cadastro!$E$33),"")</f>
        <v/>
      </c>
      <c r="I421" s="135">
        <f>IFERROR(IF($D421="","",VLOOKUP($D421,Cadastro!$C$4:$G$7,5,FALSE)),"")</f>
        <v>0.6</v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/>
      <c r="H422" s="134" t="str">
        <f>IFERROR(IF($G422="","",$G422*$S$432/$G$432/Cadastro!$E$33),"")</f>
        <v/>
      </c>
      <c r="I422" s="135">
        <f>IFERROR(IF($D422="","",VLOOKUP($D422,Cadastro!$C$4:$G$7,5,FALSE)),"")</f>
        <v>0.6</v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/>
      <c r="H423" s="134" t="str">
        <f>IFERROR(IF($G423="","",$G423*$S$432/$G$432/Cadastro!$E$33),"")</f>
        <v/>
      </c>
      <c r="I423" s="135">
        <f>IFERROR(IF($D423="","",VLOOKUP($D423,Cadastro!$C$4:$G$7,5,FALSE)),"")</f>
        <v>0.6</v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/>
      <c r="H424" s="134" t="str">
        <f>IFERROR(IF($G424="","",$G424*$S$432/$G$432/Cadastro!$E$33),"")</f>
        <v/>
      </c>
      <c r="I424" s="135">
        <f>IFERROR(IF($D424="","",VLOOKUP($D424,Cadastro!$C$4:$G$7,5,FALSE)),"")</f>
        <v>0.6</v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/>
      <c r="H425" s="134" t="str">
        <f>IFERROR(IF($G425="","",$G425*$S$432/$G$432/Cadastro!$E$33),"")</f>
        <v/>
      </c>
      <c r="I425" s="135">
        <f>IFERROR(IF($D425="","",VLOOKUP($D425,Cadastro!$C$4:$G$7,5,FALSE)),"")</f>
        <v>0.6</v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/>
      <c r="H426" s="134" t="str">
        <f>IFERROR(IF($G426="","",$G426*$S$432/$G$432/Cadastro!$E$33),"")</f>
        <v/>
      </c>
      <c r="I426" s="135">
        <f>IFERROR(IF($D426="","",VLOOKUP($D426,Cadastro!$C$4:$G$7,5,FALSE)),"")</f>
        <v>0.6</v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/>
      <c r="H427" s="134" t="str">
        <f>IFERROR(IF($G427="","",$G427*$S$432/$G$432/Cadastro!$E$33),"")</f>
        <v/>
      </c>
      <c r="I427" s="135">
        <f>IFERROR(IF($D427="","",VLOOKUP($D427,Cadastro!$C$4:$G$7,5,FALSE)),"")</f>
        <v>0.6</v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/>
      <c r="H428" s="134" t="str">
        <f>IFERROR(IF($G428="","",$G428*$S$432/$G$432/Cadastro!$E$33),"")</f>
        <v/>
      </c>
      <c r="I428" s="135">
        <f>IFERROR(IF($D428="","",VLOOKUP($D428,Cadastro!$C$4:$G$7,5,FALSE)),"")</f>
        <v>0.6</v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/>
      <c r="H429" s="134" t="str">
        <f>IFERROR(IF($G429="","",$G429*$S$432/$G$432/Cadastro!$E$33),"")</f>
        <v/>
      </c>
      <c r="I429" s="135">
        <f>IFERROR(IF($D429="","",VLOOKUP($D429,Cadastro!$C$4:$G$7,5,FALSE)),"")</f>
        <v>0.6</v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/>
      <c r="H430" s="134" t="str">
        <f>IFERROR(IF($G430="","",$G430*$S$432/$G$432/Cadastro!$E$33),"")</f>
        <v/>
      </c>
      <c r="I430" s="135">
        <f>IFERROR(IF($D430="","",VLOOKUP($D430,Cadastro!$C$4:$G$7,5,FALSE)),"")</f>
        <v>0.6</v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/>
      <c r="H431" s="137" t="str">
        <f>IFERROR(IF($G431="","",$G431*$S$432/$G$432/Cadastro!$E$33),"")</f>
        <v/>
      </c>
      <c r="I431" s="138">
        <f>IFERROR(IF($D431="","",VLOOKUP($D431,Cadastro!$C$4:$G$7,5,FALSE)),"")</f>
        <v>0.6</v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247</v>
      </c>
      <c r="B432" s="79"/>
      <c r="C432" s="79"/>
      <c r="D432" s="79"/>
      <c r="E432" s="79"/>
      <c r="F432" s="111"/>
      <c r="G432" s="80">
        <f>SUM(G420:G431)</f>
        <v>24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100.80000000000001</v>
      </c>
      <c r="L432" s="37"/>
      <c r="M432" s="37"/>
      <c r="N432" s="37"/>
      <c r="O432" s="37"/>
      <c r="P432" s="37"/>
      <c r="Q432" s="38">
        <f ca="1">IFERROR(SUM(Q420:Q431),"")</f>
        <v>2.458680552081205E-3</v>
      </c>
      <c r="R432" s="36" t="s">
        <v>245</v>
      </c>
      <c r="S432" s="45"/>
      <c r="T432" s="122">
        <f>IFERROR(J432,"")</f>
        <v>0</v>
      </c>
    </row>
    <row r="433" spans="1:20" ht="18" customHeight="1">
      <c r="A433" s="83" t="s">
        <v>248</v>
      </c>
      <c r="B433" s="82"/>
      <c r="C433" s="82"/>
      <c r="D433" s="82"/>
      <c r="E433" s="82"/>
      <c r="F433" s="112"/>
      <c r="G433" s="91">
        <f>G419+G432</f>
        <v>171</v>
      </c>
      <c r="H433" s="112">
        <f>IFERROR(H419+H432,"")</f>
        <v>590.82999999999993</v>
      </c>
      <c r="I433" s="116"/>
      <c r="J433" s="125">
        <f>IFERROR(J419+J432,"")</f>
        <v>85.079520000000002</v>
      </c>
      <c r="K433" s="40">
        <f>K419+K432</f>
        <v>718.2</v>
      </c>
      <c r="L433" s="41"/>
      <c r="M433" s="41"/>
      <c r="N433" s="41"/>
      <c r="O433" s="41"/>
      <c r="P433" s="41"/>
      <c r="Q433" s="42">
        <f ca="1">IFERROR(Q419+Q432,"")</f>
        <v>9.3430902774303437E-2</v>
      </c>
      <c r="R433" s="40" t="s">
        <v>249</v>
      </c>
      <c r="S433" s="143">
        <f>IFERROR(S419+S432,"")</f>
        <v>590830</v>
      </c>
      <c r="T433" s="144">
        <f>IFERROR(J433,"")</f>
        <v>85.079520000000002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yGJdA/lqfZVSPgXUXmdYkWK8SERml5tC5o+rbaIKyY+gYt6zszxYCklhyp2snYv5zb26tq21RRk7BTb6BWrjMw==" saltValue="PgeBFLM8fu/4ApGRBj4SpA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88" activePane="bottomLeft" state="frozen"/>
      <selection pane="bottomLeft" activeCell="N420" sqref="N420"/>
    </sheetView>
  </sheetViews>
  <sheetFormatPr defaultColWidth="8.5703125" defaultRowHeight="14.4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270</v>
      </c>
      <c r="I1" s="133" t="s">
        <v>20</v>
      </c>
      <c r="J1" s="133" t="s">
        <v>271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305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275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306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281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305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305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307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308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309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310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311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312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313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289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281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314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315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292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292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316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317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318</v>
      </c>
      <c r="Q222" s="30" t="str">
        <f t="shared" ca="1" si="49"/>
        <v/>
      </c>
      <c r="R222" s="27" t="s">
        <v>319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320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299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321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300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281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245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245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249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322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303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245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165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165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245</v>
      </c>
      <c r="S405" s="39">
        <v>489360</v>
      </c>
      <c r="T405" s="119">
        <f>IFERROR(J405,"")</f>
        <v>99.305125714285708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249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323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245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0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0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/>
      <c r="Q420" s="30">
        <f t="shared" ref="Q420:Q431" ca="1" si="102">IFERROR(IF(O420="","",IF(P420="",MOD(NOW()-O420,1),IF(P420&gt;=O420,P420-O420,P420+1-O420))),"")</f>
        <v>6.6253472177777439E-3</v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/>
      <c r="H421" s="134" t="str">
        <f>IFERROR(IF($G421="","",$G421*$S$432/$G$432/Cadastro!$E$33),"")</f>
        <v/>
      </c>
      <c r="I421" s="135">
        <f>IFERROR(IF($D421="","",VLOOKUP($D421,Cadastro!$C$4:$G$7,5,FALSE)),"")</f>
        <v>0.6</v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/>
      <c r="H422" s="134" t="str">
        <f>IFERROR(IF($G422="","",$G422*$S$432/$G$432/Cadastro!$E$33),"")</f>
        <v/>
      </c>
      <c r="I422" s="135">
        <f>IFERROR(IF($D422="","",VLOOKUP($D422,Cadastro!$C$4:$G$7,5,FALSE)),"")</f>
        <v>0.6</v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/>
      <c r="H423" s="134" t="str">
        <f>IFERROR(IF($G423="","",$G423*$S$432/$G$432/Cadastro!$E$33),"")</f>
        <v/>
      </c>
      <c r="I423" s="135">
        <f>IFERROR(IF($D423="","",VLOOKUP($D423,Cadastro!$C$4:$G$7,5,FALSE)),"")</f>
        <v>0.6</v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/>
      <c r="H424" s="134" t="str">
        <f>IFERROR(IF($G424="","",$G424*$S$432/$G$432/Cadastro!$E$33),"")</f>
        <v/>
      </c>
      <c r="I424" s="135">
        <f>IFERROR(IF($D424="","",VLOOKUP($D424,Cadastro!$C$4:$G$7,5,FALSE)),"")</f>
        <v>0.6</v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/>
      <c r="H425" s="134" t="str">
        <f>IFERROR(IF($G425="","",$G425*$S$432/$G$432/Cadastro!$E$33),"")</f>
        <v/>
      </c>
      <c r="I425" s="135">
        <f>IFERROR(IF($D425="","",VLOOKUP($D425,Cadastro!$C$4:$G$7,5,FALSE)),"")</f>
        <v>0.6</v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/>
      <c r="H426" s="134" t="str">
        <f>IFERROR(IF($G426="","",$G426*$S$432/$G$432/Cadastro!$E$33),"")</f>
        <v/>
      </c>
      <c r="I426" s="135">
        <f>IFERROR(IF($D426="","",VLOOKUP($D426,Cadastro!$C$4:$G$7,5,FALSE)),"")</f>
        <v>0.6</v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/>
      <c r="H427" s="134" t="str">
        <f>IFERROR(IF($G427="","",$G427*$S$432/$G$432/Cadastro!$E$33),"")</f>
        <v/>
      </c>
      <c r="I427" s="135">
        <f>IFERROR(IF($D427="","",VLOOKUP($D427,Cadastro!$C$4:$G$7,5,FALSE)),"")</f>
        <v>0.6</v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/>
      <c r="H428" s="134" t="str">
        <f>IFERROR(IF($G428="","",$G428*$S$432/$G$432/Cadastro!$E$33),"")</f>
        <v/>
      </c>
      <c r="I428" s="135">
        <f>IFERROR(IF($D428="","",VLOOKUP($D428,Cadastro!$C$4:$G$7,5,FALSE)),"")</f>
        <v>0.6</v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/>
      <c r="H429" s="134" t="str">
        <f>IFERROR(IF($G429="","",$G429*$S$432/$G$432/Cadastro!$E$33),"")</f>
        <v/>
      </c>
      <c r="I429" s="135">
        <f>IFERROR(IF($D429="","",VLOOKUP($D429,Cadastro!$C$4:$G$7,5,FALSE)),"")</f>
        <v>0.6</v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/>
      <c r="H430" s="134" t="str">
        <f>IFERROR(IF($G430="","",$G430*$S$432/$G$432/Cadastro!$E$33),"")</f>
        <v/>
      </c>
      <c r="I430" s="135">
        <f>IFERROR(IF($D430="","",VLOOKUP($D430,Cadastro!$C$4:$G$7,5,FALSE)),"")</f>
        <v>0.6</v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/>
      <c r="H431" s="137" t="str">
        <f>IFERROR(IF($G431="","",$G431*$S$432/$G$432/Cadastro!$E$33),"")</f>
        <v/>
      </c>
      <c r="I431" s="138">
        <f>IFERROR(IF($D431="","",VLOOKUP($D431,Cadastro!$C$4:$G$7,5,FALSE)),"")</f>
        <v>0.6</v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6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25.200000000000003</v>
      </c>
      <c r="L432" s="37"/>
      <c r="M432" s="37"/>
      <c r="N432" s="37"/>
      <c r="O432" s="37"/>
      <c r="P432" s="37"/>
      <c r="Q432" s="38">
        <f ca="1">IFERROR(SUM(Q420:Q431),"")</f>
        <v>6.6253472177777439E-3</v>
      </c>
      <c r="R432" s="36" t="s">
        <v>245</v>
      </c>
      <c r="S432" s="39"/>
      <c r="T432" s="119">
        <f>IFERROR(J432,"")</f>
        <v>0</v>
      </c>
    </row>
    <row r="433" spans="1:20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127</v>
      </c>
      <c r="H433" s="112">
        <f>IFERROR(H419+H432,"")</f>
        <v>447.62</v>
      </c>
      <c r="I433" s="116"/>
      <c r="J433" s="125">
        <f>IFERROR(J419+J432,"")</f>
        <v>64.457279999999997</v>
      </c>
      <c r="K433" s="40">
        <f>K419+K432</f>
        <v>533.40000000000009</v>
      </c>
      <c r="L433" s="41"/>
      <c r="M433" s="41"/>
      <c r="N433" s="41"/>
      <c r="O433" s="41"/>
      <c r="P433" s="41"/>
      <c r="Q433" s="42">
        <f ca="1">IFERROR(Q419+Q432,"")</f>
        <v>7.9542013884444485E-2</v>
      </c>
      <c r="R433" s="40" t="s">
        <v>249</v>
      </c>
      <c r="S433" s="48">
        <f>IFERROR(S419+S432,"")</f>
        <v>447620</v>
      </c>
      <c r="T433" s="121">
        <f>IFERROR(J433,"")</f>
        <v>64.457279999999997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95" activePane="bottomLeft" state="frozen"/>
      <selection pane="bottomLeft" activeCell="D424" sqref="D424"/>
    </sheetView>
  </sheetViews>
  <sheetFormatPr defaultColWidth="8.5703125" defaultRowHeight="14.4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270</v>
      </c>
      <c r="I1" s="133" t="s">
        <v>20</v>
      </c>
      <c r="J1" s="133" t="s">
        <v>271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324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278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305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325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326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244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327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328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329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330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305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305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331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332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281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305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333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334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289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335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336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337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338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339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340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341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342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343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344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345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346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 t="s">
        <v>269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347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244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348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349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350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351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245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352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245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249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259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303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353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245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225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170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354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245</v>
      </c>
      <c r="S405" s="39">
        <v>989450</v>
      </c>
      <c r="T405" s="119">
        <f>IFERROR(J405,"")</f>
        <v>195.72390675675675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249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232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355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170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170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137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245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0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0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/>
      <c r="H421" s="134" t="str">
        <f>IFERROR(IF($G421="","",$G421*$S$432/$G$432/Cadastro!$E$33),"")</f>
        <v/>
      </c>
      <c r="I421" s="135">
        <f>IFERROR(IF($D421="","",VLOOKUP($D421,Cadastro!$C$4:$G$7,5,FALSE)),"")</f>
        <v>0.6</v>
      </c>
      <c r="J421" s="136" t="str">
        <f t="shared" si="102"/>
        <v/>
      </c>
      <c r="K421" s="34" t="str">
        <f t="shared" si="103"/>
        <v/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/>
      <c r="H422" s="134" t="str">
        <f>IFERROR(IF($G422="","",$G422*$S$432/$G$432/Cadastro!$E$33),"")</f>
        <v/>
      </c>
      <c r="I422" s="135">
        <f>IFERROR(IF($D422="","",VLOOKUP($D422,Cadastro!$C$4:$G$7,5,FALSE)),"")</f>
        <v>0.6</v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/>
      <c r="H423" s="134" t="str">
        <f>IFERROR(IF($G423="","",$G423*$S$432/$G$432/Cadastro!$E$33),"")</f>
        <v/>
      </c>
      <c r="I423" s="135">
        <f>IFERROR(IF($D423="","",VLOOKUP($D423,Cadastro!$C$4:$G$7,5,FALSE)),"")</f>
        <v>0.6</v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/>
      <c r="H424" s="134" t="str">
        <f>IFERROR(IF($G424="","",$G424*$S$432/$G$432/Cadastro!$E$33),"")</f>
        <v/>
      </c>
      <c r="I424" s="135">
        <f>IFERROR(IF($D424="","",VLOOKUP($D424,Cadastro!$C$4:$G$7,5,FALSE)),"")</f>
        <v>0.6</v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/>
      <c r="H425" s="134" t="str">
        <f>IFERROR(IF($G425="","",$G425*$S$432/$G$432/Cadastro!$E$33),"")</f>
        <v/>
      </c>
      <c r="I425" s="135">
        <f>IFERROR(IF($D425="","",VLOOKUP($D425,Cadastro!$C$4:$G$7,5,FALSE)),"")</f>
        <v>0.6</v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/>
      <c r="H426" s="134" t="str">
        <f>IFERROR(IF($G426="","",$G426*$S$432/$G$432/Cadastro!$E$33),"")</f>
        <v/>
      </c>
      <c r="I426" s="135">
        <f>IFERROR(IF($D426="","",VLOOKUP($D426,Cadastro!$C$4:$G$7,5,FALSE)),"")</f>
        <v>0.6</v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/>
      <c r="H427" s="134" t="str">
        <f>IFERROR(IF($G427="","",$G427*$S$432/$G$432/Cadastro!$E$33),"")</f>
        <v/>
      </c>
      <c r="I427" s="135">
        <f>IFERROR(IF($D427="","",VLOOKUP($D427,Cadastro!$C$4:$G$7,5,FALSE)),"")</f>
        <v>0.6</v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/>
      <c r="H428" s="134" t="str">
        <f>IFERROR(IF($G428="","",$G428*$S$432/$G$432/Cadastro!$E$33),"")</f>
        <v/>
      </c>
      <c r="I428" s="135">
        <f>IFERROR(IF($D428="","",VLOOKUP($D428,Cadastro!$C$4:$G$7,5,FALSE)),"")</f>
        <v>0.6</v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/>
      <c r="H429" s="134" t="str">
        <f>IFERROR(IF($G429="","",$G429*$S$432/$G$432/Cadastro!$E$33),"")</f>
        <v/>
      </c>
      <c r="I429" s="135">
        <f>IFERROR(IF($D429="","",VLOOKUP($D429,Cadastro!$C$4:$G$7,5,FALSE)),"")</f>
        <v>0.6</v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/>
      <c r="H430" s="134" t="str">
        <f>IFERROR(IF($G430="","",$G430*$S$432/$G$432/Cadastro!$E$33),"")</f>
        <v/>
      </c>
      <c r="I430" s="135">
        <f>IFERROR(IF($D430="","",VLOOKUP($D430,Cadastro!$C$4:$G$7,5,FALSE)),"")</f>
        <v>0.6</v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/>
      <c r="H431" s="137" t="str">
        <f>IFERROR(IF($G431="","",$G431*$S$432/$G$432/Cadastro!$E$33),"")</f>
        <v/>
      </c>
      <c r="I431" s="138">
        <f>IFERROR(IF($D431="","",VLOOKUP($D431,Cadastro!$C$4:$G$7,5,FALSE)),"")</f>
        <v>0.6</v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21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88.2</v>
      </c>
      <c r="L432" s="37"/>
      <c r="M432" s="37"/>
      <c r="N432" s="37"/>
      <c r="O432" s="61"/>
      <c r="P432" s="61"/>
      <c r="Q432" s="38">
        <f ca="1">IFERROR(SUM(Q420:Q431),"")</f>
        <v>2.3611111111111249E-2</v>
      </c>
      <c r="R432" s="36" t="s">
        <v>245</v>
      </c>
      <c r="S432" s="39"/>
      <c r="T432" s="119">
        <f>IFERROR(J432,"")</f>
        <v>0</v>
      </c>
    </row>
    <row r="433" spans="1:21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163</v>
      </c>
      <c r="H433" s="112">
        <f>IFERROR(H419+H432,"")</f>
        <v>627.40999999999985</v>
      </c>
      <c r="I433" s="116"/>
      <c r="J433" s="125">
        <f>IFERROR(J419+J432,"")</f>
        <v>90.347039999999993</v>
      </c>
      <c r="K433" s="40">
        <f>K419+K432</f>
        <v>684.60000000000014</v>
      </c>
      <c r="L433" s="41"/>
      <c r="M433" s="41"/>
      <c r="N433" s="41"/>
      <c r="O433" s="63"/>
      <c r="P433" s="63"/>
      <c r="Q433" s="42">
        <f ca="1">IFERROR(Q419+Q432,"")</f>
        <v>0.13888888888888906</v>
      </c>
      <c r="R433" s="40" t="s">
        <v>249</v>
      </c>
      <c r="S433" s="48">
        <f>IFERROR(S419+S432,"")</f>
        <v>627410</v>
      </c>
      <c r="T433" s="121">
        <f>IFERROR(J433,"")</f>
        <v>90.347039999999993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bvw+RGYaUQuFq9Nz3KeyxCGoE7oj3kds1lTfP/UkR9+s3IwCE9QDw5zVVtvRw8iwUwoh3tcyVO+EuOGXUPyC4A==" saltValue="MBjXyA7K/JEGpLssZ3ih0g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2026-08-17T01:00:34Z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