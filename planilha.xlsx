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412" documentId="8_{AF585B22-221D-4780-BB9C-493D365A6A02}" xr6:coauthVersionLast="47" xr6:coauthVersionMax="47" xr10:uidLastSave="{0FF88199-C13F-40A6-91A1-C4D59BA10BF5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<sst xmlns="http://schemas.openxmlformats.org/spreadsheetml/2006/main" count="11372" uniqueCount="418">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</sst>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1888710</v>
      </c>
      <c r="D31" s="11">
        <f>IFERROR('Linha 1'!O757,"")</f>
        <v>658990</v>
      </c>
      <c r="E31" s="11">
        <f>IFERROR('Linha 2'!O757,"")</f>
        <v>176540</v>
      </c>
      <c r="F31" s="11">
        <f>IFERROR('Linha 3'!O757,"")</f>
        <v>635080</v>
      </c>
      <c r="G31" s="12">
        <f t="shared" si="0"/>
        <v>1470610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84131518</v>
      </c>
      <c r="D35" s="13">
        <f>IFERROR(SUM(D4:D34),"")</f>
        <v>33994380</v>
      </c>
      <c r="E35" s="13">
        <f>IFERROR(SUM(E4:E34),"")</f>
        <v>19455040</v>
      </c>
      <c r="F35" s="13">
        <f>IFERROR(SUM(F4:F34),"")</f>
        <v>35457290</v>
      </c>
      <c r="G35" s="13">
        <f>IFERROR(SUM(G4:G34),"")</f>
        <v>88906710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33" activePane="bottomLeft" state="frozen"/>
      <selection pane="bottomLeft" activeCell="B750" sqref="B75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115</v>
      </c>
      <c r="G756" s="36">
        <f>SUM(G744:G755)</f>
        <v>575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528</v>
      </c>
      <c r="G757" s="40">
        <f>G743+G756</f>
        <v>2615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1888710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24" activePane="bottomLeft" state="frozen"/>
      <selection pane="bottomLeft" activeCell="L748" sqref="L7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0.85901747684692964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1.0166563657358185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1.1263785879580408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0.83748969907173887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1.0083230324050723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1.1534619212939612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322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323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324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325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326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327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329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330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332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334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94</v>
      </c>
      <c r="G756" s="36">
        <f>SUM(G744:G755)</f>
        <v>394.8</v>
      </c>
      <c r="H756" s="37"/>
      <c r="I756" s="37"/>
      <c r="J756" s="37"/>
      <c r="K756" s="37"/>
      <c r="L756" s="37"/>
      <c r="M756" s="38">
        <f ca="1">IFERROR(SUM(M744:M755),"")</f>
        <v>7.6388888888888978E-2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229</v>
      </c>
      <c r="G757" s="40">
        <f>G743+G756</f>
        <v>961.8</v>
      </c>
      <c r="H757" s="41"/>
      <c r="I757" s="41"/>
      <c r="J757" s="41"/>
      <c r="K757" s="41"/>
      <c r="L757" s="41"/>
      <c r="M757" s="42">
        <f ca="1">IFERROR(M743+M756,"")</f>
        <v>0.14652777777777784</v>
      </c>
      <c r="N757" s="40" t="s">
        <v>238</v>
      </c>
      <c r="O757" s="83">
        <f>IFERROR(O743+O756,"")</f>
        <v>658990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28" zoomScale="50" zoomScaleNormal="50" workbookViewId="0">
      <selection activeCell="L748" sqref="L7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285</v>
      </c>
      <c r="K141" s="29">
        <v>0.71597222222222223</v>
      </c>
      <c r="L141" s="29" t="s">
        <v>340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342</v>
      </c>
      <c r="N166" s="27" t="s">
        <v>343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324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322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322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364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</v>
      </c>
      <c r="G756" s="36">
        <f>SUM(G744:G755)</f>
        <v>100.80000000000001</v>
      </c>
      <c r="H756" s="37"/>
      <c r="I756" s="37"/>
      <c r="J756" s="37"/>
      <c r="K756" s="37"/>
      <c r="L756" s="37"/>
      <c r="M756" s="38">
        <f ca="1">IFERROR(SUM(M744:M755),"")</f>
        <v>8.611111111111118E-2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89</v>
      </c>
      <c r="G757" s="40">
        <f>G743+G756</f>
        <v>373.8</v>
      </c>
      <c r="H757" s="41"/>
      <c r="I757" s="41"/>
      <c r="J757" s="41"/>
      <c r="K757" s="41"/>
      <c r="L757" s="41"/>
      <c r="M757" s="42">
        <f ca="1">IFERROR(M743+M756,"")</f>
        <v>0.15069444444444446</v>
      </c>
      <c r="N757" s="40" t="s">
        <v>238</v>
      </c>
      <c r="O757" s="48">
        <f>IFERROR(O743+O756,"")</f>
        <v>176540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8" activePane="bottomLeft" state="frozen"/>
      <selection pane="bottomLeft" activeCell="F751" sqref="F75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369</v>
      </c>
      <c r="L58" s="29">
        <v>0.54097222222222219</v>
      </c>
      <c r="M58" s="30" t="str">
        <f t="shared" ca="1" si="13"/>
        <v/>
      </c>
      <c r="N58" s="27" t="s">
        <v>370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0.84929525462939637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1.048600810184952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1.415961921296063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280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322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93</v>
      </c>
      <c r="G756" s="36">
        <f>SUM(G744:G755)</f>
        <v>390.6</v>
      </c>
      <c r="H756" s="37"/>
      <c r="I756" s="37"/>
      <c r="J756" s="37"/>
      <c r="K756" s="61"/>
      <c r="L756" s="61"/>
      <c r="M756" s="38">
        <f ca="1">IFERROR(SUM(M744:M755),"")</f>
        <v>7.6388888888888951E-2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250</v>
      </c>
      <c r="G757" s="40">
        <f>G743+G756</f>
        <v>1050</v>
      </c>
      <c r="H757" s="41"/>
      <c r="I757" s="41"/>
      <c r="J757" s="41"/>
      <c r="K757" s="63"/>
      <c r="L757" s="63"/>
      <c r="M757" s="42">
        <f ca="1">IFERROR(M743+M756,"")</f>
        <v>1.1847222222222222</v>
      </c>
      <c r="N757" s="40" t="s">
        <v>238</v>
      </c>
      <c r="O757" s="48">
        <f>IFERROR(O743+O756,"")</f>
        <v>635080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2026-07-29T06:22:17Z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