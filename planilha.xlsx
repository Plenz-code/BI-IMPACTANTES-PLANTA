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5" documentId="13_ncr:1_{0A10D8D4-8450-4366-8075-B53B08E6B7EA}" xr6:coauthVersionLast="47" xr6:coauthVersionMax="47" xr10:uidLastSave="{90E46818-F595-4070-9C6D-E8BB6B919974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<sst xmlns="http://schemas.openxmlformats.org/spreadsheetml/2006/main" count="7942" uniqueCount="376">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</sst>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0</v>
      </c>
      <c r="F21" s="11">
        <f>IFERROR('Linha 3'!S487,"")</f>
        <v>0</v>
      </c>
      <c r="G21" s="12">
        <f t="shared" si="0"/>
        <v>824760</v>
      </c>
      <c r="H21" s="96">
        <f>IFERROR('Linha 1'!T487+'Linha 2'!T487+'Linha 3'!T487,0)</f>
        <v>173.19959999999998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10923630</v>
      </c>
      <c r="F35" s="13">
        <f t="shared" si="2"/>
        <v>26760570</v>
      </c>
      <c r="G35" s="13">
        <f t="shared" si="2"/>
        <v>59233980</v>
      </c>
      <c r="H35" s="97">
        <f t="shared" si="2"/>
        <v>4627.3254450601889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O474" sqref="O47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S474" sqref="S47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0.66208888888650108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0.80097777777538992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0.88569999999761229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3" sqref="G4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/>
      <c r="Q462" s="30">
        <f t="shared" ca="1" si="114"/>
        <v>6.3477777781372424E-2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2"/>
        <v>0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0.2884777777813724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0.2884777777813724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3" sqref="G4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0</v>
      </c>
      <c r="I470" s="135">
        <f>IFERROR(IF($D470="","",VLOOKUP($D470,Cadastro!$C$4:$G$7,5,FALSE)),"")</f>
        <v>0.6</v>
      </c>
      <c r="J470" s="136">
        <f t="shared" si="114"/>
        <v>0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4"/>
        <v>0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4"/>
        <v>0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2026-08-18T22:48:58Z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