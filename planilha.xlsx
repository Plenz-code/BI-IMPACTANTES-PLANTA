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75" documentId="13_ncr:1_{A6DBCFB4-28D9-4249-9038-216934055CA6}" xr6:coauthVersionLast="47" xr6:coauthVersionMax="47" xr10:uidLastSave="{A35747D2-A591-4AFA-B1C8-65B99422933C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<sst xmlns="http://schemas.openxmlformats.org/spreadsheetml/2006/main" count="10676" uniqueCount="439">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</sst>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2774540</v>
      </c>
      <c r="D27" s="26">
        <f>IFERROR('Linha 1'!S649,"")</f>
        <v>631780</v>
      </c>
      <c r="E27" s="26">
        <f>IFERROR('Linha 2'!S649,"")</f>
        <v>290880</v>
      </c>
      <c r="F27" s="26">
        <f>IFERROR('Linha 3'!S649,"")</f>
        <v>1044100</v>
      </c>
      <c r="G27" s="27">
        <f t="shared" si="0"/>
        <v>1966760</v>
      </c>
      <c r="H27" s="21">
        <f>IFERROR('Linha 1'!T649+'Linha 2'!T649+'Linha 3'!T649,0)</f>
        <v>413.01960000000003</v>
      </c>
      <c r="I27" s="21"/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86096650</v>
      </c>
      <c r="D35" s="30">
        <f t="shared" si="2"/>
        <v>27232230</v>
      </c>
      <c r="E35" s="30">
        <f t="shared" si="2"/>
        <v>15615500</v>
      </c>
      <c r="F35" s="30">
        <f t="shared" si="2"/>
        <v>36884050</v>
      </c>
      <c r="G35" s="30">
        <f t="shared" si="2"/>
        <v>79731780</v>
      </c>
      <c r="H35" s="31">
        <f t="shared" si="2"/>
        <v>8322.4582946384144</v>
      </c>
      <c r="I35" s="31">
        <f t="shared" si="2"/>
        <v>4967.05</v>
      </c>
      <c r="J35" s="32">
        <f>I35/H35</f>
        <v>0.59682485921256312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12" activePane="bottomLeft" state="frozen"/>
      <selection pane="bottomLeft" activeCell="F645" sqref="F64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>
        <v>2774540</v>
      </c>
    </row>
    <row r="636" spans="1:15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62" t="s">
        <v>262</v>
      </c>
      <c r="F636" s="63">
        <v>51</v>
      </c>
      <c r="G636" s="64">
        <f t="shared" ref="G636:G647" si="137">IF(F636="","",IF(E636="PC 17",F636*4.2,IF(E636="PC 19",F636*5,IF(E636="CB",F636*35,""))))</f>
        <v>255</v>
      </c>
      <c r="H636" s="61" t="s">
        <v>29</v>
      </c>
      <c r="I636" s="61" t="s">
        <v>32</v>
      </c>
      <c r="J636" s="61" t="s">
        <v>145</v>
      </c>
      <c r="K636" s="65">
        <v>0.99930555555555556</v>
      </c>
      <c r="L636" s="65">
        <v>7.013888888888889E-2</v>
      </c>
      <c r="M636" s="66">
        <f t="shared" ref="M636:M647" ca="1" si="138">IFERROR(IF(K636="","",IF(L636="",MOD(NOW()-K636,1),IF(L636&gt;=K636,L636-K636,L636+1-K636))),"")</f>
        <v>7.0833333333333415E-2</v>
      </c>
      <c r="N636" s="80" t="s">
        <v>307</v>
      </c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 t="s">
        <v>54</v>
      </c>
      <c r="D637" s="62" t="s">
        <v>31</v>
      </c>
      <c r="E637" s="62" t="s">
        <v>262</v>
      </c>
      <c r="F637" s="63">
        <v>26</v>
      </c>
      <c r="G637" s="69">
        <f t="shared" si="137"/>
        <v>130</v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 t="s">
        <v>54</v>
      </c>
      <c r="D638" s="62" t="s">
        <v>31</v>
      </c>
      <c r="E638" s="62" t="s">
        <v>262</v>
      </c>
      <c r="F638" s="63">
        <v>34</v>
      </c>
      <c r="G638" s="64">
        <f t="shared" si="137"/>
        <v>170</v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 t="s">
        <v>54</v>
      </c>
      <c r="D639" s="62" t="s">
        <v>31</v>
      </c>
      <c r="E639" s="62" t="s">
        <v>262</v>
      </c>
      <c r="F639" s="63">
        <v>50</v>
      </c>
      <c r="G639" s="69">
        <f t="shared" si="137"/>
        <v>250</v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 t="s">
        <v>54</v>
      </c>
      <c r="D640" s="62" t="s">
        <v>31</v>
      </c>
      <c r="E640" s="62" t="s">
        <v>262</v>
      </c>
      <c r="F640" s="63">
        <v>50</v>
      </c>
      <c r="G640" s="64">
        <f t="shared" si="137"/>
        <v>250</v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 t="s">
        <v>54</v>
      </c>
      <c r="D641" s="54" t="s">
        <v>31</v>
      </c>
      <c r="E641" s="62" t="s">
        <v>262</v>
      </c>
      <c r="F641" s="63">
        <v>20</v>
      </c>
      <c r="G641" s="69">
        <v>100</v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 t="s">
        <v>54</v>
      </c>
      <c r="D642" s="62" t="s">
        <v>31</v>
      </c>
      <c r="E642" s="62" t="s">
        <v>262</v>
      </c>
      <c r="F642" s="63">
        <v>0</v>
      </c>
      <c r="G642" s="64">
        <f t="shared" si="137"/>
        <v>0</v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 t="s">
        <v>54</v>
      </c>
      <c r="D643" s="62" t="s">
        <v>31</v>
      </c>
      <c r="E643" s="62" t="s">
        <v>262</v>
      </c>
      <c r="F643" s="63">
        <v>30</v>
      </c>
      <c r="G643" s="69">
        <f t="shared" si="137"/>
        <v>150</v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 t="s">
        <v>54</v>
      </c>
      <c r="D644" s="62" t="s">
        <v>31</v>
      </c>
      <c r="E644" s="62" t="s">
        <v>262</v>
      </c>
      <c r="F644" s="63">
        <v>50</v>
      </c>
      <c r="G644" s="64">
        <f t="shared" si="137"/>
        <v>250</v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 t="s">
        <v>54</v>
      </c>
      <c r="D645" s="62" t="s">
        <v>31</v>
      </c>
      <c r="E645" s="62" t="s">
        <v>262</v>
      </c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 t="s">
        <v>54</v>
      </c>
      <c r="D646" s="62" t="s">
        <v>31</v>
      </c>
      <c r="E646" s="62" t="s">
        <v>262</v>
      </c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 t="s">
        <v>54</v>
      </c>
      <c r="D647" s="62" t="s">
        <v>31</v>
      </c>
      <c r="E647" s="62" t="s">
        <v>262</v>
      </c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311</v>
      </c>
      <c r="G648" s="2">
        <f>SUM(G636:G647)</f>
        <v>1555</v>
      </c>
      <c r="H648" s="72"/>
      <c r="I648" s="72"/>
      <c r="J648" s="72"/>
      <c r="K648" s="72"/>
      <c r="L648" s="72"/>
      <c r="M648" s="73">
        <f ca="1">IFERROR(SUM(M636:M647),"")</f>
        <v>7.0833333333333415E-2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717</v>
      </c>
      <c r="G649" s="1">
        <f>G635+G648</f>
        <v>3585</v>
      </c>
      <c r="H649" s="76"/>
      <c r="I649" s="76"/>
      <c r="J649" s="76"/>
      <c r="K649" s="76"/>
      <c r="L649" s="76"/>
      <c r="M649" s="77">
        <f ca="1">IFERROR(M635+M648,"")</f>
        <v>9.3055555555555614E-2</v>
      </c>
      <c r="N649" s="1" t="s">
        <v>267</v>
      </c>
      <c r="O649" s="82">
        <f>IFERROR(O635+O648,"")</f>
        <v>2774540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5" sqref="G64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310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4.5258101847139187E-2</v>
      </c>
      <c r="R53" s="80" t="s">
        <v>318</v>
      </c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0.18414699073602692</v>
      </c>
      <c r="R54" s="2" t="s">
        <v>264</v>
      </c>
      <c r="S54" s="113">
        <v>352430</v>
      </c>
      <c r="T54" s="114"/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0.26886921295824973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310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320</v>
      </c>
      <c r="Q96" s="66" t="str">
        <f t="shared" ref="Q96:Q107" ca="1" si="22">IFERROR(IF(O96="","",IF(P96="",MOD(NOW()-O96,1),IF(P96&gt;=O96,P96-O96,P96+1-O96))),"")</f>
        <v/>
      </c>
      <c r="R96" s="80" t="s">
        <v>321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330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340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350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353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354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46.79851851851852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9.827688888888888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326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42.898641975308642</v>
      </c>
      <c r="I624" s="90">
        <f>IFERROR(IF($D624="","",VLOOKUP($D624,Cadastro!$C$4:$G$7,5,FALSE())),"")</f>
        <v>0.6</v>
      </c>
      <c r="J624" s="91">
        <f t="shared" si="162"/>
        <v>9.0087148148148142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58.498148148148147</v>
      </c>
      <c r="I625" s="90">
        <f>IFERROR(IF($D625="","",VLOOKUP($D625,Cadastro!$C$4:$G$7,5,FALSE())),"")</f>
        <v>0.6</v>
      </c>
      <c r="J625" s="91">
        <f t="shared" si="162"/>
        <v>12.28461111111111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58.498148148148147</v>
      </c>
      <c r="I626" s="90">
        <f>IFERROR(IF($D626="","",VLOOKUP($D626,Cadastro!$C$4:$G$7,5,FALSE())),"")</f>
        <v>0.6</v>
      </c>
      <c r="J626" s="91">
        <f t="shared" si="162"/>
        <v>12.28461111111111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74.097654320987658</v>
      </c>
      <c r="I627" s="90">
        <f>IFERROR(IF($D627="","",VLOOKUP($D627,Cadastro!$C$4:$G$7,5,FALSE())),"")</f>
        <v>0.6</v>
      </c>
      <c r="J627" s="91">
        <f t="shared" si="162"/>
        <v>15.560507407407407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46.79851851851852</v>
      </c>
      <c r="I628" s="90">
        <f>IFERROR(IF($D628="","",VLOOKUP($D628,Cadastro!$C$4:$G$7,5,FALSE())),"")</f>
        <v>0.6</v>
      </c>
      <c r="J628" s="91">
        <f t="shared" si="162"/>
        <v>9.827688888888888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38.998765432098764</v>
      </c>
      <c r="I629" s="90">
        <f>IFERROR(IF($D629="","",VLOOKUP($D629,Cadastro!$C$4:$G$7,5,FALSE())),"")</f>
        <v>0.6</v>
      </c>
      <c r="J629" s="91">
        <f t="shared" si="162"/>
        <v>8.1897407407407403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46.79851851851852</v>
      </c>
      <c r="I630" s="90">
        <f>IFERROR(IF($D630="","",VLOOKUP($D630,Cadastro!$C$4:$G$7,5,FALSE())),"")</f>
        <v>0.6</v>
      </c>
      <c r="J630" s="91">
        <f t="shared" si="162"/>
        <v>9.827688888888888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46.79851851851852</v>
      </c>
      <c r="I631" s="90">
        <f>IFERROR(IF($D631="","",VLOOKUP($D631,Cadastro!$C$4:$G$7,5,FALSE())),"")</f>
        <v>0.6</v>
      </c>
      <c r="J631" s="91">
        <f t="shared" si="162"/>
        <v>9.827688888888888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62.398024691358025</v>
      </c>
      <c r="I632" s="90">
        <f>IFERROR(IF($D632="","",VLOOKUP($D632,Cadastro!$C$4:$G$7,5,FALSE())),"")</f>
        <v>0.6</v>
      </c>
      <c r="J632" s="91">
        <f t="shared" si="162"/>
        <v>13.103585185185183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66.297901234567902</v>
      </c>
      <c r="I633" s="90">
        <f>IFERROR(IF($D633="","",VLOOKUP($D633,Cadastro!$C$4:$G$7,5,FALSE())),"")</f>
        <v>0.6</v>
      </c>
      <c r="J633" s="91">
        <f t="shared" si="162"/>
        <v>13.922559259259259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42.898641975308642</v>
      </c>
      <c r="I634" s="93">
        <f>IFERROR(IF($D634="","",VLOOKUP($D634,Cadastro!$C$4:$G$7,5,FALSE())),"")</f>
        <v>0.6</v>
      </c>
      <c r="J634" s="94">
        <f t="shared" si="162"/>
        <v>9.0087148148148142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162</v>
      </c>
      <c r="H635" s="95">
        <f>IFERROR(SUM(H623:H634),"")</f>
        <v>631.78000000000009</v>
      </c>
      <c r="I635" s="97"/>
      <c r="J635" s="98">
        <f>IFERROR(SUM(J623:J634),"")</f>
        <v>132.6738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>
        <v>631780</v>
      </c>
      <c r="T635" s="99">
        <f>IFERROR(J635,"")</f>
        <v>132.6738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16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67.2</v>
      </c>
      <c r="L636" s="61" t="s">
        <v>28</v>
      </c>
      <c r="M636" s="61" t="s">
        <v>48</v>
      </c>
      <c r="N636" s="61" t="s">
        <v>59</v>
      </c>
      <c r="O636" s="65">
        <v>0.86597222222222225</v>
      </c>
      <c r="P636" s="65">
        <v>0.88749999999999996</v>
      </c>
      <c r="Q636" s="66">
        <f t="shared" ref="Q636:Q647" ca="1" si="168">IFERROR(IF(O636="","",IF(P636="",MOD(NOW()-O636,1),IF(P636&gt;=O636,P636-O636,P636+1-O636))),"")</f>
        <v>2.1527777777777701E-2</v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11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55</v>
      </c>
      <c r="L637" s="70" t="s">
        <v>28</v>
      </c>
      <c r="M637" s="70" t="s">
        <v>171</v>
      </c>
      <c r="N637" s="70" t="s">
        <v>36</v>
      </c>
      <c r="O637" s="65">
        <v>0.92083333333333328</v>
      </c>
      <c r="P637" s="65">
        <v>0.9375</v>
      </c>
      <c r="Q637" s="71">
        <f t="shared" ca="1" si="168"/>
        <v>1.6666666666666718E-2</v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10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42</v>
      </c>
      <c r="L638" s="61" t="s">
        <v>29</v>
      </c>
      <c r="M638" s="61" t="s">
        <v>48</v>
      </c>
      <c r="N638" s="61" t="s">
        <v>45</v>
      </c>
      <c r="O638" s="65">
        <v>6.9444444444444441E-3</v>
      </c>
      <c r="P638" s="65">
        <v>2.361111111111111E-2</v>
      </c>
      <c r="Q638" s="66">
        <f t="shared" ca="1" si="168"/>
        <v>1.6666666666666666E-2</v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10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42</v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20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84</v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15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63</v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13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54.6</v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17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71.400000000000006</v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15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6"/>
        <v>0</v>
      </c>
      <c r="K644" s="64">
        <f t="shared" si="167"/>
        <v>63</v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127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542.20000000000005</v>
      </c>
      <c r="L648" s="72"/>
      <c r="M648" s="72"/>
      <c r="N648" s="72"/>
      <c r="O648" s="72"/>
      <c r="P648" s="72"/>
      <c r="Q648" s="73">
        <f ca="1">IFERROR(SUM(Q636:Q647),"")</f>
        <v>5.4861111111111083E-2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289</v>
      </c>
      <c r="H649" s="108">
        <f>IFERROR(H635+H648,"")</f>
        <v>631.78000000000009</v>
      </c>
      <c r="I649" s="110"/>
      <c r="J649" s="111">
        <f>IFERROR(J635+J648,"")</f>
        <v>132.6738</v>
      </c>
      <c r="K649" s="1">
        <f>K635+K648</f>
        <v>1222.6000000000001</v>
      </c>
      <c r="L649" s="76"/>
      <c r="M649" s="76"/>
      <c r="N649" s="76"/>
      <c r="O649" s="76"/>
      <c r="P649" s="76"/>
      <c r="Q649" s="77">
        <f ca="1">IFERROR(Q635+Q648,"")</f>
        <v>0.12569444444444455</v>
      </c>
      <c r="R649" s="1" t="s">
        <v>267</v>
      </c>
      <c r="S649" s="82">
        <f>S635+S648</f>
        <v>631780</v>
      </c>
      <c r="T649" s="118">
        <f>IFERROR(J649,"")</f>
        <v>132.6738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08" activePane="bottomLeft" state="frozen"/>
      <selection pane="bottomLeft" activeCell="G645" sqref="G64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355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355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355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357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358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359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360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361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362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363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0" t="s">
        <v>263</v>
      </c>
      <c r="B149" s="160"/>
      <c r="C149" s="160"/>
      <c r="D149" s="160"/>
      <c r="E149" s="160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364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365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330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330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366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367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368</v>
      </c>
      <c r="Q222" s="66" t="str">
        <f t="shared" ca="1" si="49"/>
        <v/>
      </c>
      <c r="R222" s="63" t="s">
        <v>369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370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371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0" t="s">
        <v>263</v>
      </c>
      <c r="B365" s="160"/>
      <c r="C365" s="160"/>
      <c r="D365" s="160"/>
      <c r="E365" s="160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372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373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374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375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375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376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377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362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378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379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380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381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382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319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383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355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319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378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319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375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384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384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384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44.44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9.332399999999998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360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16.16</v>
      </c>
      <c r="I624" s="90">
        <f>IFERROR(IF($D624="","",VLOOKUP($D624,Cadastro!$C$4:$G$7,5,FALSE())),"")</f>
        <v>0.6</v>
      </c>
      <c r="J624" s="91">
        <f t="shared" si="159"/>
        <v>3.3935999999999997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20.2</v>
      </c>
      <c r="I625" s="90">
        <f>IFERROR(IF($D625="","",VLOOKUP($D625,Cadastro!$C$4:$G$7,5,FALSE())),"")</f>
        <v>0.6</v>
      </c>
      <c r="J625" s="91">
        <f t="shared" si="159"/>
        <v>4.2419999999999991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24.24</v>
      </c>
      <c r="I626" s="90">
        <f>IFERROR(IF($D626="","",VLOOKUP($D626,Cadastro!$C$4:$G$7,5,FALSE())),"")</f>
        <v>0.6</v>
      </c>
      <c r="J626" s="91">
        <f t="shared" si="159"/>
        <v>5.0903999999999989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8.08</v>
      </c>
      <c r="I627" s="90">
        <f>IFERROR(IF($D627="","",VLOOKUP($D627,Cadastro!$C$4:$G$7,5,FALSE())),"")</f>
        <v>0.6</v>
      </c>
      <c r="J627" s="91">
        <f t="shared" si="159"/>
        <v>1.6967999999999999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24.24</v>
      </c>
      <c r="I628" s="90">
        <f>IFERROR(IF($D628="","",VLOOKUP($D628,Cadastro!$C$4:$G$7,5,FALSE())),"")</f>
        <v>0.6</v>
      </c>
      <c r="J628" s="91">
        <f t="shared" si="159"/>
        <v>5.0903999999999989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36.36</v>
      </c>
      <c r="I629" s="90">
        <f>IFERROR(IF($D629="","",VLOOKUP($D629,Cadastro!$C$4:$G$7,5,FALSE())),"")</f>
        <v>0.6</v>
      </c>
      <c r="J629" s="91">
        <f t="shared" si="159"/>
        <v>7.6355999999999993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20.2</v>
      </c>
      <c r="I630" s="90">
        <f>IFERROR(IF($D630="","",VLOOKUP($D630,Cadastro!$C$4:$G$7,5,FALSE())),"")</f>
        <v>0.6</v>
      </c>
      <c r="J630" s="91">
        <f t="shared" si="159"/>
        <v>4.2419999999999991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20.2</v>
      </c>
      <c r="I631" s="90">
        <f>IFERROR(IF($D631="","",VLOOKUP($D631,Cadastro!$C$4:$G$7,5,FALSE())),"")</f>
        <v>0.6</v>
      </c>
      <c r="J631" s="91">
        <f t="shared" si="159"/>
        <v>4.2419999999999991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32.32</v>
      </c>
      <c r="I632" s="90">
        <f>IFERROR(IF($D632="","",VLOOKUP($D632,Cadastro!$C$4:$G$7,5,FALSE())),"")</f>
        <v>0.6</v>
      </c>
      <c r="J632" s="91">
        <f t="shared" si="159"/>
        <v>6.7871999999999995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20.2</v>
      </c>
      <c r="I633" s="90">
        <f>IFERROR(IF($D633="","",VLOOKUP($D633,Cadastro!$C$4:$G$7,5,FALSE())),"")</f>
        <v>0.6</v>
      </c>
      <c r="J633" s="91">
        <f t="shared" si="159"/>
        <v>4.2419999999999991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24.24</v>
      </c>
      <c r="I634" s="93">
        <f>IFERROR(IF($D634="","",VLOOKUP($D634,Cadastro!$C$4:$G$7,5,FALSE())),"")</f>
        <v>0.6</v>
      </c>
      <c r="J634" s="94">
        <f t="shared" si="159"/>
        <v>5.0903999999999989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72</v>
      </c>
      <c r="H635" s="95">
        <f>IFERROR(SUM(H623:H634),"")</f>
        <v>290.87999999999994</v>
      </c>
      <c r="I635" s="97"/>
      <c r="J635" s="98">
        <f>IFERROR(SUM(J623:J634),"")</f>
        <v>61.084799999999987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>
        <v>290880</v>
      </c>
      <c r="T635" s="99">
        <f>IFERROR(J635,"")</f>
        <v>61.084799999999987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11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3">IFERROR(IF($H636="","",$H636*$F636*$I636),"")</f>
        <v>0</v>
      </c>
      <c r="K636" s="64">
        <f t="shared" ref="K636:K647" si="164">IF(G636="","",IF(E636="PC 17",G636*4.2,IF(E636="PC 19",G636*5,IF(E636="CB",G636*24,""))))</f>
        <v>46.2</v>
      </c>
      <c r="L636" s="61" t="s">
        <v>28</v>
      </c>
      <c r="M636" s="61" t="s">
        <v>56</v>
      </c>
      <c r="N636" s="61" t="s">
        <v>36</v>
      </c>
      <c r="O636" s="65">
        <v>0.94027777777777777</v>
      </c>
      <c r="P636" s="65">
        <v>0.95138888888888884</v>
      </c>
      <c r="Q636" s="66">
        <f t="shared" ref="Q636:Q647" ca="1" si="165">IFERROR(IF(O636="","",IF(P636="",MOD(NOW()-O636,1),IF(P636&gt;=O636,P636-O636,P636+1-O636))),"")</f>
        <v>1.1111111111111072E-2</v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12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3"/>
        <v>0</v>
      </c>
      <c r="K637" s="69">
        <f t="shared" si="164"/>
        <v>60</v>
      </c>
      <c r="L637" s="70" t="s">
        <v>29</v>
      </c>
      <c r="M637" s="70" t="s">
        <v>56</v>
      </c>
      <c r="N637" s="70" t="s">
        <v>45</v>
      </c>
      <c r="O637" s="65">
        <v>0.99305555555555558</v>
      </c>
      <c r="P637" s="65">
        <v>1.0416666666666666E-2</v>
      </c>
      <c r="Q637" s="71">
        <f t="shared" ca="1" si="165"/>
        <v>1.736111111111116E-2</v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3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3"/>
        <v>0</v>
      </c>
      <c r="K638" s="64">
        <f t="shared" si="164"/>
        <v>12.600000000000001</v>
      </c>
      <c r="L638" s="61" t="s">
        <v>29</v>
      </c>
      <c r="M638" s="61" t="s">
        <v>56</v>
      </c>
      <c r="N638" s="61" t="s">
        <v>45</v>
      </c>
      <c r="O638" s="65">
        <v>4.583333333333333E-2</v>
      </c>
      <c r="P638" s="65">
        <v>5.2083333333333336E-2</v>
      </c>
      <c r="Q638" s="66">
        <f t="shared" ca="1" si="165"/>
        <v>6.2500000000000056E-3</v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14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3"/>
        <v>0</v>
      </c>
      <c r="K639" s="69">
        <f t="shared" si="164"/>
        <v>58.800000000000004</v>
      </c>
      <c r="L639" s="70" t="s">
        <v>29</v>
      </c>
      <c r="M639" s="70" t="s">
        <v>56</v>
      </c>
      <c r="N639" s="70" t="s">
        <v>65</v>
      </c>
      <c r="O639" s="65">
        <v>8.5416666666666669E-2</v>
      </c>
      <c r="P639" s="65">
        <v>0.10416666666666667</v>
      </c>
      <c r="Q639" s="71">
        <f t="shared" ca="1" si="165"/>
        <v>1.8750000000000003E-2</v>
      </c>
      <c r="R639" s="63" t="s">
        <v>385</v>
      </c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3"/>
        <v>0</v>
      </c>
      <c r="K640" s="64">
        <f t="shared" si="164"/>
        <v>25.200000000000003</v>
      </c>
      <c r="L640" s="61" t="s">
        <v>26</v>
      </c>
      <c r="M640" s="61" t="s">
        <v>56</v>
      </c>
      <c r="N640" s="61" t="s">
        <v>58</v>
      </c>
      <c r="O640" s="65">
        <v>0.10625</v>
      </c>
      <c r="P640" s="65">
        <v>0.1125</v>
      </c>
      <c r="Q640" s="66">
        <f t="shared" ca="1" si="165"/>
        <v>6.2500000000000056E-3</v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5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3"/>
        <v>0</v>
      </c>
      <c r="K641" s="69">
        <f t="shared" si="164"/>
        <v>21</v>
      </c>
      <c r="L641" s="70" t="s">
        <v>29</v>
      </c>
      <c r="M641" s="70" t="s">
        <v>56</v>
      </c>
      <c r="N641" s="70" t="s">
        <v>210</v>
      </c>
      <c r="O641" s="65">
        <v>0.1111111111111111</v>
      </c>
      <c r="P641" s="65">
        <v>0.125</v>
      </c>
      <c r="Q641" s="71">
        <f t="shared" ca="1" si="165"/>
        <v>1.3888888888888895E-2</v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0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3"/>
        <v>0</v>
      </c>
      <c r="K642" s="64">
        <f t="shared" si="164"/>
        <v>0</v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3"/>
        <v>0</v>
      </c>
      <c r="K643" s="69">
        <f t="shared" si="164"/>
        <v>21</v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>
        <v>3</v>
      </c>
      <c r="H644" s="88">
        <f>IFERROR(IF($G644="","",$G644*$S$648/$G$648/Cadastro!$E$33),"")</f>
        <v>0</v>
      </c>
      <c r="I644" s="90">
        <f>IFERROR(IF($D644="","",VLOOKUP($D644,Cadastro!$C$4:$G$7,5,FALSE())),"")</f>
        <v>0.6</v>
      </c>
      <c r="J644" s="91">
        <f t="shared" si="163"/>
        <v>0</v>
      </c>
      <c r="K644" s="64">
        <f t="shared" si="164"/>
        <v>12.600000000000001</v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59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257.40000000000003</v>
      </c>
      <c r="L648" s="72"/>
      <c r="M648" s="72"/>
      <c r="N648" s="72"/>
      <c r="O648" s="72"/>
      <c r="P648" s="72"/>
      <c r="Q648" s="73">
        <f ca="1">IFERROR(SUM(Q636:Q647),"")</f>
        <v>7.3611111111111141E-2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131</v>
      </c>
      <c r="H649" s="108">
        <f>IFERROR(H635+H648,"")</f>
        <v>290.87999999999994</v>
      </c>
      <c r="I649" s="110"/>
      <c r="J649" s="111">
        <f>IFERROR(J635+J648,"")</f>
        <v>61.084799999999987</v>
      </c>
      <c r="K649" s="1">
        <f>K635+K648</f>
        <v>559.80000000000007</v>
      </c>
      <c r="L649" s="76"/>
      <c r="M649" s="76"/>
      <c r="N649" s="76"/>
      <c r="O649" s="76"/>
      <c r="P649" s="76"/>
      <c r="Q649" s="77">
        <f ca="1">IFERROR(Q635+Q648,"")</f>
        <v>0.12708333333333333</v>
      </c>
      <c r="R649" s="1" t="s">
        <v>267</v>
      </c>
      <c r="S649" s="82">
        <f>IFERROR(S635+S648,"")</f>
        <v>290880</v>
      </c>
      <c r="T649" s="118">
        <f>IFERROR(J649,"")</f>
        <v>61.084799999999987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12" activePane="bottomLeft" state="frozen"/>
      <selection pane="bottomLeft" activeCell="G644" sqref="G644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308</v>
      </c>
      <c r="I1" s="86" t="s">
        <v>22</v>
      </c>
      <c r="J1" s="86" t="s">
        <v>309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0" t="s">
        <v>263</v>
      </c>
      <c r="B14" s="160"/>
      <c r="C14" s="160"/>
      <c r="D14" s="160"/>
      <c r="E14" s="160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355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0" t="s">
        <v>266</v>
      </c>
      <c r="B27" s="160"/>
      <c r="C27" s="160"/>
      <c r="D27" s="160"/>
      <c r="E27" s="160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59" t="s">
        <v>252</v>
      </c>
      <c r="B28" s="159"/>
      <c r="C28" s="159"/>
      <c r="D28" s="159"/>
      <c r="E28" s="159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0" t="s">
        <v>263</v>
      </c>
      <c r="B41" s="160"/>
      <c r="C41" s="160"/>
      <c r="D41" s="160"/>
      <c r="E41" s="160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0" t="s">
        <v>266</v>
      </c>
      <c r="B54" s="160"/>
      <c r="C54" s="160"/>
      <c r="D54" s="160"/>
      <c r="E54" s="160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59" t="s">
        <v>252</v>
      </c>
      <c r="B55" s="159"/>
      <c r="C55" s="159"/>
      <c r="D55" s="159"/>
      <c r="E55" s="159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390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391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0" t="s">
        <v>263</v>
      </c>
      <c r="B68" s="160"/>
      <c r="C68" s="160"/>
      <c r="D68" s="160"/>
      <c r="E68" s="160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355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0" t="s">
        <v>266</v>
      </c>
      <c r="B81" s="160"/>
      <c r="C81" s="160"/>
      <c r="D81" s="160"/>
      <c r="E81" s="160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59" t="s">
        <v>252</v>
      </c>
      <c r="B82" s="159"/>
      <c r="C82" s="159"/>
      <c r="D82" s="159"/>
      <c r="E82" s="159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0" t="s">
        <v>263</v>
      </c>
      <c r="B95" s="160"/>
      <c r="C95" s="160"/>
      <c r="D95" s="160"/>
      <c r="E95" s="160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355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0" t="s">
        <v>266</v>
      </c>
      <c r="B108" s="160"/>
      <c r="C108" s="160"/>
      <c r="D108" s="160"/>
      <c r="E108" s="160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59" t="s">
        <v>252</v>
      </c>
      <c r="B109" s="159"/>
      <c r="C109" s="159"/>
      <c r="D109" s="159"/>
      <c r="E109" s="159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0" t="s">
        <v>263</v>
      </c>
      <c r="B122" s="160"/>
      <c r="C122" s="160"/>
      <c r="D122" s="160"/>
      <c r="E122" s="160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355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0" t="s">
        <v>266</v>
      </c>
      <c r="B135" s="160"/>
      <c r="C135" s="160"/>
      <c r="D135" s="160"/>
      <c r="E135" s="160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59" t="s">
        <v>252</v>
      </c>
      <c r="B136" s="159"/>
      <c r="C136" s="159"/>
      <c r="D136" s="159"/>
      <c r="E136" s="159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0" t="s">
        <v>266</v>
      </c>
      <c r="B162" s="160"/>
      <c r="C162" s="160"/>
      <c r="D162" s="160"/>
      <c r="E162" s="160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59" t="s">
        <v>252</v>
      </c>
      <c r="B163" s="159"/>
      <c r="C163" s="159"/>
      <c r="D163" s="159"/>
      <c r="E163" s="159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0" t="s">
        <v>263</v>
      </c>
      <c r="B176" s="160"/>
      <c r="C176" s="160"/>
      <c r="D176" s="160"/>
      <c r="E176" s="160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400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0" t="s">
        <v>266</v>
      </c>
      <c r="B189" s="160"/>
      <c r="C189" s="160"/>
      <c r="D189" s="160"/>
      <c r="E189" s="160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59" t="s">
        <v>252</v>
      </c>
      <c r="B190" s="159"/>
      <c r="C190" s="159"/>
      <c r="D190" s="159"/>
      <c r="E190" s="159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401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0" t="s">
        <v>263</v>
      </c>
      <c r="B203" s="160"/>
      <c r="C203" s="160"/>
      <c r="D203" s="160"/>
      <c r="E203" s="160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0" t="s">
        <v>266</v>
      </c>
      <c r="B216" s="160"/>
      <c r="C216" s="160"/>
      <c r="D216" s="160"/>
      <c r="E216" s="160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59" t="s">
        <v>252</v>
      </c>
      <c r="B217" s="159"/>
      <c r="C217" s="159"/>
      <c r="D217" s="159"/>
      <c r="E217" s="159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0" t="s">
        <v>263</v>
      </c>
      <c r="B230" s="160"/>
      <c r="C230" s="160"/>
      <c r="D230" s="160"/>
      <c r="E230" s="160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0" t="s">
        <v>266</v>
      </c>
      <c r="B243" s="160"/>
      <c r="C243" s="160"/>
      <c r="D243" s="160"/>
      <c r="E243" s="160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59" t="s">
        <v>252</v>
      </c>
      <c r="B244" s="159"/>
      <c r="C244" s="159"/>
      <c r="D244" s="159"/>
      <c r="E244" s="159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0" t="s">
        <v>263</v>
      </c>
      <c r="B257" s="160"/>
      <c r="C257" s="160"/>
      <c r="D257" s="160"/>
      <c r="E257" s="160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0" t="s">
        <v>266</v>
      </c>
      <c r="B270" s="160"/>
      <c r="C270" s="160"/>
      <c r="D270" s="160"/>
      <c r="E270" s="160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59" t="s">
        <v>252</v>
      </c>
      <c r="B271" s="159"/>
      <c r="C271" s="159"/>
      <c r="D271" s="159"/>
      <c r="E271" s="159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0" t="s">
        <v>263</v>
      </c>
      <c r="B284" s="160"/>
      <c r="C284" s="160"/>
      <c r="D284" s="160"/>
      <c r="E284" s="160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0" t="s">
        <v>266</v>
      </c>
      <c r="B297" s="160"/>
      <c r="C297" s="160"/>
      <c r="D297" s="160"/>
      <c r="E297" s="160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59" t="s">
        <v>252</v>
      </c>
      <c r="B298" s="159"/>
      <c r="C298" s="159"/>
      <c r="D298" s="159"/>
      <c r="E298" s="159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0" t="s">
        <v>263</v>
      </c>
      <c r="B311" s="160"/>
      <c r="C311" s="160"/>
      <c r="D311" s="160"/>
      <c r="E311" s="160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0" t="s">
        <v>266</v>
      </c>
      <c r="B324" s="160"/>
      <c r="C324" s="160"/>
      <c r="D324" s="160"/>
      <c r="E324" s="160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59" t="s">
        <v>252</v>
      </c>
      <c r="B325" s="159"/>
      <c r="C325" s="159"/>
      <c r="D325" s="159"/>
      <c r="E325" s="159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0" t="s">
        <v>263</v>
      </c>
      <c r="B338" s="160"/>
      <c r="C338" s="160"/>
      <c r="D338" s="160"/>
      <c r="E338" s="160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410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411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0" t="s">
        <v>266</v>
      </c>
      <c r="B351" s="160"/>
      <c r="C351" s="160"/>
      <c r="D351" s="160"/>
      <c r="E351" s="160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59" t="s">
        <v>252</v>
      </c>
      <c r="B352" s="159"/>
      <c r="C352" s="159"/>
      <c r="D352" s="159"/>
      <c r="E352" s="159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0" t="s">
        <v>266</v>
      </c>
      <c r="B378" s="160"/>
      <c r="C378" s="160"/>
      <c r="D378" s="160"/>
      <c r="E378" s="160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59" t="s">
        <v>252</v>
      </c>
      <c r="B379" s="159"/>
      <c r="C379" s="159"/>
      <c r="D379" s="159"/>
      <c r="E379" s="159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0" t="s">
        <v>263</v>
      </c>
      <c r="B392" s="160"/>
      <c r="C392" s="160"/>
      <c r="D392" s="160"/>
      <c r="E392" s="160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0" t="s">
        <v>266</v>
      </c>
      <c r="B405" s="160"/>
      <c r="C405" s="160"/>
      <c r="D405" s="160"/>
      <c r="E405" s="160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59" t="s">
        <v>252</v>
      </c>
      <c r="B406" s="159"/>
      <c r="C406" s="159"/>
      <c r="D406" s="159"/>
      <c r="E406" s="159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0" t="s">
        <v>263</v>
      </c>
      <c r="B419" s="160"/>
      <c r="C419" s="160"/>
      <c r="D419" s="160"/>
      <c r="E419" s="160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0" t="s">
        <v>266</v>
      </c>
      <c r="B432" s="160"/>
      <c r="C432" s="160"/>
      <c r="D432" s="160"/>
      <c r="E432" s="160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59" t="s">
        <v>252</v>
      </c>
      <c r="B433" s="159"/>
      <c r="C433" s="159"/>
      <c r="D433" s="159"/>
      <c r="E433" s="159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0" t="s">
        <v>263</v>
      </c>
      <c r="B446" s="160"/>
      <c r="C446" s="160"/>
      <c r="D446" s="160"/>
      <c r="E446" s="160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0" t="s">
        <v>266</v>
      </c>
      <c r="B459" s="160"/>
      <c r="C459" s="160"/>
      <c r="D459" s="160"/>
      <c r="E459" s="160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59" t="s">
        <v>252</v>
      </c>
      <c r="B460" s="159"/>
      <c r="C460" s="159"/>
      <c r="D460" s="159"/>
      <c r="E460" s="159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0" t="s">
        <v>263</v>
      </c>
      <c r="B473" s="160"/>
      <c r="C473" s="160"/>
      <c r="D473" s="160"/>
      <c r="E473" s="160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420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377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0" t="s">
        <v>266</v>
      </c>
      <c r="B486" s="160"/>
      <c r="C486" s="160"/>
      <c r="D486" s="160"/>
      <c r="E486" s="160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59" t="s">
        <v>252</v>
      </c>
      <c r="B487" s="159"/>
      <c r="C487" s="159"/>
      <c r="D487" s="159"/>
      <c r="E487" s="159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0" t="s">
        <v>263</v>
      </c>
      <c r="B500" s="160"/>
      <c r="C500" s="160"/>
      <c r="D500" s="160"/>
      <c r="E500" s="160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421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0" t="s">
        <v>266</v>
      </c>
      <c r="B513" s="160"/>
      <c r="C513" s="160"/>
      <c r="D513" s="160"/>
      <c r="E513" s="160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59" t="s">
        <v>252</v>
      </c>
      <c r="B514" s="159"/>
      <c r="C514" s="159"/>
      <c r="D514" s="159"/>
      <c r="E514" s="159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0" t="s">
        <v>263</v>
      </c>
      <c r="B527" s="160"/>
      <c r="C527" s="160"/>
      <c r="D527" s="160"/>
      <c r="E527" s="160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0" t="s">
        <v>266</v>
      </c>
      <c r="B540" s="160"/>
      <c r="C540" s="160"/>
      <c r="D540" s="160"/>
      <c r="E540" s="160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59" t="s">
        <v>252</v>
      </c>
      <c r="B541" s="159"/>
      <c r="C541" s="159"/>
      <c r="D541" s="159"/>
      <c r="E541" s="159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0" t="s">
        <v>263</v>
      </c>
      <c r="B554" s="160"/>
      <c r="C554" s="160"/>
      <c r="D554" s="160"/>
      <c r="E554" s="160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60" t="s">
        <v>266</v>
      </c>
      <c r="B567" s="160"/>
      <c r="C567" s="160"/>
      <c r="D567" s="160"/>
      <c r="E567" s="160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59" t="s">
        <v>252</v>
      </c>
      <c r="B568" s="159"/>
      <c r="C568" s="159"/>
      <c r="D568" s="159"/>
      <c r="E568" s="159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430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0" t="s">
        <v>263</v>
      </c>
      <c r="B581" s="160"/>
      <c r="C581" s="160"/>
      <c r="D581" s="160"/>
      <c r="E581" s="160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431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432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377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0" t="s">
        <v>266</v>
      </c>
      <c r="B594" s="160"/>
      <c r="C594" s="160"/>
      <c r="D594" s="160"/>
      <c r="E594" s="160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59" t="s">
        <v>252</v>
      </c>
      <c r="B595" s="159"/>
      <c r="C595" s="159"/>
      <c r="D595" s="159"/>
      <c r="E595" s="159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433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0" t="s">
        <v>263</v>
      </c>
      <c r="B608" s="160"/>
      <c r="C608" s="160"/>
      <c r="D608" s="160"/>
      <c r="E608" s="160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377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412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434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429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60" t="s">
        <v>266</v>
      </c>
      <c r="B621" s="160"/>
      <c r="C621" s="160"/>
      <c r="D621" s="160"/>
      <c r="E621" s="160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59" t="s">
        <v>252</v>
      </c>
      <c r="B622" s="159"/>
      <c r="C622" s="159"/>
      <c r="D622" s="159"/>
      <c r="E622" s="159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25.994190871369295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5.458780082987551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86.647302904564313</v>
      </c>
      <c r="I624" s="90">
        <f>IFERROR(IF($D624="","",VLOOKUP($D624,Cadastro!$C$4:$G$7,5,FALSE())),"")</f>
        <v>0.6</v>
      </c>
      <c r="J624" s="91">
        <f t="shared" si="162"/>
        <v>18.195933609958505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435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95.312033195020746</v>
      </c>
      <c r="I625" s="90">
        <f>IFERROR(IF($D625="","",VLOOKUP($D625,Cadastro!$C$4:$G$7,5,FALSE())),"")</f>
        <v>0.6</v>
      </c>
      <c r="J625" s="91">
        <f t="shared" si="162"/>
        <v>20.015526970954358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99.644398340248969</v>
      </c>
      <c r="I626" s="90">
        <f>IFERROR(IF($D626="","",VLOOKUP($D626,Cadastro!$C$4:$G$7,5,FALSE())),"")</f>
        <v>0.6</v>
      </c>
      <c r="J626" s="91">
        <f t="shared" si="162"/>
        <v>20.925323651452285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125.63858921161825</v>
      </c>
      <c r="I627" s="90">
        <f>IFERROR(IF($D627="","",VLOOKUP($D627,Cadastro!$C$4:$G$7,5,FALSE())),"")</f>
        <v>0.6</v>
      </c>
      <c r="J627" s="91">
        <f t="shared" si="162"/>
        <v>26.384103734439829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99.644398340248969</v>
      </c>
      <c r="I628" s="90">
        <f>IFERROR(IF($D628="","",VLOOKUP($D628,Cadastro!$C$4:$G$7,5,FALSE())),"")</f>
        <v>0.6</v>
      </c>
      <c r="J628" s="91">
        <f t="shared" si="162"/>
        <v>20.925323651452285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56.320746887966806</v>
      </c>
      <c r="I629" s="90">
        <f>IFERROR(IF($D629="","",VLOOKUP($D629,Cadastro!$C$4:$G$7,5,FALSE())),"")</f>
        <v>0.6</v>
      </c>
      <c r="J629" s="91">
        <f t="shared" si="162"/>
        <v>11.827356846473027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95.312033195020746</v>
      </c>
      <c r="I630" s="90">
        <f>IFERROR(IF($D630="","",VLOOKUP($D630,Cadastro!$C$4:$G$7,5,FALSE())),"")</f>
        <v>0.6</v>
      </c>
      <c r="J630" s="91">
        <f t="shared" si="162"/>
        <v>20.015526970954358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99.644398340248969</v>
      </c>
      <c r="I631" s="90">
        <f>IFERROR(IF($D631="","",VLOOKUP($D631,Cadastro!$C$4:$G$7,5,FALSE())),"")</f>
        <v>0.6</v>
      </c>
      <c r="J631" s="91">
        <f t="shared" si="162"/>
        <v>20.925323651452285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95.312033195020746</v>
      </c>
      <c r="I632" s="90">
        <f>IFERROR(IF($D632="","",VLOOKUP($D632,Cadastro!$C$4:$G$7,5,FALSE())),"")</f>
        <v>0.6</v>
      </c>
      <c r="J632" s="91">
        <f t="shared" si="162"/>
        <v>20.015526970954358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95.312033195020746</v>
      </c>
      <c r="I633" s="90">
        <f>IFERROR(IF($D633="","",VLOOKUP($D633,Cadastro!$C$4:$G$7,5,FALSE())),"")</f>
        <v>0.6</v>
      </c>
      <c r="J633" s="91">
        <f t="shared" si="162"/>
        <v>20.015526970954358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69.317842323651448</v>
      </c>
      <c r="I634" s="93">
        <f>IFERROR(IF($D634="","",VLOOKUP($D634,Cadastro!$C$4:$G$7,5,FALSE())),"")</f>
        <v>0.6</v>
      </c>
      <c r="J634" s="94">
        <f t="shared" si="162"/>
        <v>14.556746887966803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0" t="s">
        <v>263</v>
      </c>
      <c r="B635" s="160"/>
      <c r="C635" s="160"/>
      <c r="D635" s="160"/>
      <c r="E635" s="160"/>
      <c r="F635" s="95"/>
      <c r="G635" s="96">
        <f>SUM(G623:G634)</f>
        <v>241</v>
      </c>
      <c r="H635" s="95">
        <f>IFERROR(SUM(H623:H634),"")</f>
        <v>1044.0999999999999</v>
      </c>
      <c r="I635" s="97"/>
      <c r="J635" s="98">
        <f>IFERROR(SUM(J623:J634),"")</f>
        <v>219.26100000000002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>
        <v>1044100</v>
      </c>
      <c r="T635" s="99">
        <f>IFERROR(J635,"")</f>
        <v>219.26100000000002</v>
      </c>
    </row>
    <row r="636" spans="1:20" ht="15" customHeight="1">
      <c r="A636" s="59">
        <v>46258</v>
      </c>
      <c r="B636" s="60">
        <v>0.83333333333333304</v>
      </c>
      <c r="C636" s="61" t="s">
        <v>54</v>
      </c>
      <c r="D636" s="62" t="s">
        <v>31</v>
      </c>
      <c r="E636" s="87" t="s">
        <v>277</v>
      </c>
      <c r="F636" s="101">
        <f>IFERROR(IF($D636="","",VLOOKUP($D636,Cadastro!$C$4:$E$7,3,FALSE())),"")</f>
        <v>0.35</v>
      </c>
      <c r="G636" s="89">
        <v>13</v>
      </c>
      <c r="H636" s="101">
        <f>IFERROR(IF($G636="","",$G636*$S$648/$G$648/Cadastro!$E$33),"")</f>
        <v>0</v>
      </c>
      <c r="I636" s="102">
        <f>IFERROR(IF($D636="","",VLOOKUP($D636,Cadastro!$C$4:$G$7,5,FALSE())),"")</f>
        <v>0.6</v>
      </c>
      <c r="J636" s="103">
        <f t="shared" ref="J636:J647" si="166">IFERROR(IF($H636="","",$H636*$F636*$I636),"")</f>
        <v>0</v>
      </c>
      <c r="K636" s="64">
        <f t="shared" ref="K636:K647" si="167">IF(G636="","",IF(E636="PC 17",G636*4.2,IF(E636="PC 19",G636*5,IF(E636="CB",G636*24,""))))</f>
        <v>54.6</v>
      </c>
      <c r="L636" s="61" t="s">
        <v>28</v>
      </c>
      <c r="M636" s="61" t="s">
        <v>174</v>
      </c>
      <c r="N636" s="61" t="s">
        <v>36</v>
      </c>
      <c r="O636" s="65">
        <v>0.79166666666666663</v>
      </c>
      <c r="P636" s="65">
        <v>0.81527777777777777</v>
      </c>
      <c r="Q636" s="66">
        <f t="shared" ref="Q636:Q647" ca="1" si="168">IFERROR(IF(O636="","",IF(P636="",MOD(NOW()-O636,1),IF(P636&gt;=O636,P636-O636,P636+1-O636))),"")</f>
        <v>2.3611111111111138E-2</v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 t="s">
        <v>54</v>
      </c>
      <c r="D637" s="62" t="s">
        <v>31</v>
      </c>
      <c r="E637" s="87" t="s">
        <v>262</v>
      </c>
      <c r="F637" s="88">
        <f>IFERROR(IF($D637="","",VLOOKUP($D637,Cadastro!$C$4:$E$7,3,FALSE())),"")</f>
        <v>0.35</v>
      </c>
      <c r="G637" s="89">
        <v>15</v>
      </c>
      <c r="H637" s="88">
        <f>IFERROR(IF($G637="","",$G637*$S$648/$G$648/Cadastro!$E$33),"")</f>
        <v>0</v>
      </c>
      <c r="I637" s="90">
        <f>IFERROR(IF($D637="","",VLOOKUP($D637,Cadastro!$C$4:$G$7,5,FALSE())),"")</f>
        <v>0.6</v>
      </c>
      <c r="J637" s="91">
        <f t="shared" si="166"/>
        <v>0</v>
      </c>
      <c r="K637" s="69">
        <f t="shared" si="167"/>
        <v>75</v>
      </c>
      <c r="L637" s="70" t="s">
        <v>27</v>
      </c>
      <c r="M637" s="70" t="s">
        <v>66</v>
      </c>
      <c r="N637" s="70" t="s">
        <v>239</v>
      </c>
      <c r="O637" s="65">
        <v>0.95277777777777772</v>
      </c>
      <c r="P637" s="65">
        <v>0.98124999999999996</v>
      </c>
      <c r="Q637" s="71">
        <f t="shared" ca="1" si="168"/>
        <v>2.8472222222222232E-2</v>
      </c>
      <c r="R637" s="63" t="s">
        <v>436</v>
      </c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 t="s">
        <v>54</v>
      </c>
      <c r="D638" s="62" t="s">
        <v>31</v>
      </c>
      <c r="E638" s="87" t="s">
        <v>277</v>
      </c>
      <c r="F638" s="88">
        <f>IFERROR(IF($D638="","",VLOOKUP($D638,Cadastro!$C$4:$E$7,3,FALSE())),"")</f>
        <v>0.35</v>
      </c>
      <c r="G638" s="89">
        <v>18</v>
      </c>
      <c r="H638" s="88">
        <f>IFERROR(IF($G638="","",$G638*$S$648/$G$648/Cadastro!$E$33),"")</f>
        <v>0</v>
      </c>
      <c r="I638" s="90">
        <f>IFERROR(IF($D638="","",VLOOKUP($D638,Cadastro!$C$4:$G$7,5,FALSE())),"")</f>
        <v>0.6</v>
      </c>
      <c r="J638" s="91">
        <f t="shared" si="166"/>
        <v>0</v>
      </c>
      <c r="K638" s="64">
        <f t="shared" si="167"/>
        <v>75.600000000000009</v>
      </c>
      <c r="L638" s="61" t="s">
        <v>29</v>
      </c>
      <c r="M638" s="61" t="s">
        <v>174</v>
      </c>
      <c r="N638" s="61" t="s">
        <v>65</v>
      </c>
      <c r="O638" s="65">
        <v>0.98124999999999996</v>
      </c>
      <c r="P638" s="65">
        <v>2.7777777777777776E-2</v>
      </c>
      <c r="Q638" s="66">
        <f t="shared" ca="1" si="168"/>
        <v>4.6527777777777724E-2</v>
      </c>
      <c r="R638" s="63" t="s">
        <v>437</v>
      </c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 t="s">
        <v>54</v>
      </c>
      <c r="D639" s="62" t="s">
        <v>31</v>
      </c>
      <c r="E639" s="87" t="s">
        <v>277</v>
      </c>
      <c r="F639" s="88">
        <f>IFERROR(IF($D639="","",VLOOKUP($D639,Cadastro!$C$4:$E$7,3,FALSE())),"")</f>
        <v>0.35</v>
      </c>
      <c r="G639" s="89">
        <v>28</v>
      </c>
      <c r="H639" s="88">
        <f>IFERROR(IF($G639="","",$G639*$S$648/$G$648/Cadastro!$E$33),"")</f>
        <v>0</v>
      </c>
      <c r="I639" s="90">
        <f>IFERROR(IF($D639="","",VLOOKUP($D639,Cadastro!$C$4:$G$7,5,FALSE())),"")</f>
        <v>0.6</v>
      </c>
      <c r="J639" s="91">
        <f t="shared" si="166"/>
        <v>0</v>
      </c>
      <c r="K639" s="69">
        <f t="shared" si="167"/>
        <v>117.60000000000001</v>
      </c>
      <c r="L639" s="70" t="s">
        <v>28</v>
      </c>
      <c r="M639" s="70" t="s">
        <v>174</v>
      </c>
      <c r="N639" s="70" t="s">
        <v>36</v>
      </c>
      <c r="O639" s="65">
        <v>9.5138888888888884E-2</v>
      </c>
      <c r="P639" s="65">
        <v>0.11805555555555555</v>
      </c>
      <c r="Q639" s="71">
        <f t="shared" ca="1" si="168"/>
        <v>2.2916666666666669E-2</v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 t="s">
        <v>54</v>
      </c>
      <c r="D640" s="62" t="s">
        <v>31</v>
      </c>
      <c r="E640" s="87" t="s">
        <v>277</v>
      </c>
      <c r="F640" s="88">
        <f>IFERROR(IF($D640="","",VLOOKUP($D640,Cadastro!$C$4:$E$7,3,FALSE())),"")</f>
        <v>0.35</v>
      </c>
      <c r="G640" s="89">
        <v>26</v>
      </c>
      <c r="H640" s="88">
        <f>IFERROR(IF($G640="","",$G640*$S$648/$G$648/Cadastro!$E$33),"")</f>
        <v>0</v>
      </c>
      <c r="I640" s="90">
        <f>IFERROR(IF($D640="","",VLOOKUP($D640,Cadastro!$C$4:$G$7,5,FALSE())),"")</f>
        <v>0.6</v>
      </c>
      <c r="J640" s="91">
        <f t="shared" si="166"/>
        <v>0</v>
      </c>
      <c r="K640" s="64">
        <f t="shared" si="167"/>
        <v>109.2</v>
      </c>
      <c r="L640" s="61" t="s">
        <v>29</v>
      </c>
      <c r="M640" s="61" t="s">
        <v>66</v>
      </c>
      <c r="N640" s="61" t="s">
        <v>60</v>
      </c>
      <c r="O640" s="65">
        <v>0.11944444444444445</v>
      </c>
      <c r="P640" s="65"/>
      <c r="Q640" s="66">
        <f t="shared" ca="1" si="168"/>
        <v>4.7341435187263414E-2</v>
      </c>
      <c r="R640" s="63" t="s">
        <v>438</v>
      </c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 t="s">
        <v>54</v>
      </c>
      <c r="D641" s="62" t="s">
        <v>31</v>
      </c>
      <c r="E641" s="87" t="s">
        <v>277</v>
      </c>
      <c r="F641" s="88">
        <f>IFERROR(IF($D641="","",VLOOKUP($D641,Cadastro!$C$4:$E$7,3,FALSE())),"")</f>
        <v>0.35</v>
      </c>
      <c r="G641" s="89">
        <v>20</v>
      </c>
      <c r="H641" s="88">
        <f>IFERROR(IF($G641="","",$G641*$S$648/$G$648/Cadastro!$E$33),"")</f>
        <v>0</v>
      </c>
      <c r="I641" s="90">
        <f>IFERROR(IF($D641="","",VLOOKUP($D641,Cadastro!$C$4:$G$7,5,FALSE())),"")</f>
        <v>0.6</v>
      </c>
      <c r="J641" s="91">
        <f t="shared" si="166"/>
        <v>0</v>
      </c>
      <c r="K641" s="69">
        <f t="shared" si="167"/>
        <v>84</v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 t="s">
        <v>54</v>
      </c>
      <c r="D642" s="62" t="s">
        <v>31</v>
      </c>
      <c r="E642" s="87" t="s">
        <v>277</v>
      </c>
      <c r="F642" s="88">
        <f>IFERROR(IF($D642="","",VLOOKUP($D642,Cadastro!$C$4:$E$7,3,FALSE())),"")</f>
        <v>0.35</v>
      </c>
      <c r="G642" s="89">
        <v>3</v>
      </c>
      <c r="H642" s="88">
        <f>IFERROR(IF($G642="","",$G642*$S$648/$G$648/Cadastro!$E$33),"")</f>
        <v>0</v>
      </c>
      <c r="I642" s="90">
        <f>IFERROR(IF($D642="","",VLOOKUP($D642,Cadastro!$C$4:$G$7,5,FALSE())),"")</f>
        <v>0.6</v>
      </c>
      <c r="J642" s="91">
        <f t="shared" si="166"/>
        <v>0</v>
      </c>
      <c r="K642" s="64">
        <f t="shared" si="167"/>
        <v>12.600000000000001</v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 t="s">
        <v>54</v>
      </c>
      <c r="D643" s="62" t="s">
        <v>31</v>
      </c>
      <c r="E643" s="87" t="s">
        <v>277</v>
      </c>
      <c r="F643" s="88">
        <f>IFERROR(IF($D643="","",VLOOKUP($D643,Cadastro!$C$4:$E$7,3,FALSE())),"")</f>
        <v>0.35</v>
      </c>
      <c r="G643" s="89">
        <v>5</v>
      </c>
      <c r="H643" s="88">
        <f>IFERROR(IF($G643="","",$G643*$S$648/$G$648/Cadastro!$E$33),"")</f>
        <v>0</v>
      </c>
      <c r="I643" s="90">
        <f>IFERROR(IF($D643="","",VLOOKUP($D643,Cadastro!$C$4:$G$7,5,FALSE())),"")</f>
        <v>0.6</v>
      </c>
      <c r="J643" s="91">
        <f t="shared" si="166"/>
        <v>0</v>
      </c>
      <c r="K643" s="69">
        <f t="shared" si="167"/>
        <v>21</v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 t="s">
        <v>54</v>
      </c>
      <c r="D644" s="62" t="s">
        <v>31</v>
      </c>
      <c r="E644" s="87" t="s">
        <v>277</v>
      </c>
      <c r="F644" s="88">
        <f>IFERROR(IF($D644="","",VLOOKUP($D644,Cadastro!$C$4:$E$7,3,FALSE())),"")</f>
        <v>0.35</v>
      </c>
      <c r="G644" s="89"/>
      <c r="H644" s="88" t="str">
        <f>IFERROR(IF($G644="","",$G644*$S$648/$G$648/Cadastro!$E$33),"")</f>
        <v/>
      </c>
      <c r="I644" s="90">
        <f>IFERROR(IF($D644="","",VLOOKUP($D644,Cadastro!$C$4:$G$7,5,FALSE())),"")</f>
        <v>0.6</v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 t="s">
        <v>54</v>
      </c>
      <c r="D645" s="62" t="s">
        <v>31</v>
      </c>
      <c r="E645" s="87" t="s">
        <v>277</v>
      </c>
      <c r="F645" s="88">
        <f>IFERROR(IF($D645="","",VLOOKUP($D645,Cadastro!$C$4:$E$7,3,FALSE())),"")</f>
        <v>0.35</v>
      </c>
      <c r="G645" s="89"/>
      <c r="H645" s="88" t="str">
        <f>IFERROR(IF($G645="","",$G645*$S$648/$G$648/Cadastro!$E$33),"")</f>
        <v/>
      </c>
      <c r="I645" s="90">
        <f>IFERROR(IF($D645="","",VLOOKUP($D645,Cadastro!$C$4:$G$7,5,FALSE())),"")</f>
        <v>0.6</v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 t="s">
        <v>54</v>
      </c>
      <c r="D646" s="62" t="s">
        <v>31</v>
      </c>
      <c r="E646" s="87" t="s">
        <v>277</v>
      </c>
      <c r="F646" s="88">
        <f>IFERROR(IF($D646="","",VLOOKUP($D646,Cadastro!$C$4:$E$7,3,FALSE())),"")</f>
        <v>0.35</v>
      </c>
      <c r="G646" s="89"/>
      <c r="H646" s="88" t="str">
        <f>IFERROR(IF($G646="","",$G646*$S$648/$G$648/Cadastro!$E$33),"")</f>
        <v/>
      </c>
      <c r="I646" s="90">
        <f>IFERROR(IF($D646="","",VLOOKUP($D646,Cadastro!$C$4:$G$7,5,FALSE())),"")</f>
        <v>0.6</v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 t="s">
        <v>54</v>
      </c>
      <c r="D647" s="62" t="s">
        <v>31</v>
      </c>
      <c r="E647" s="87" t="s">
        <v>277</v>
      </c>
      <c r="F647" s="92">
        <f>IFERROR(IF($D647="","",VLOOKUP($D647,Cadastro!$C$4:$E$7,3,FALSE())),"")</f>
        <v>0.35</v>
      </c>
      <c r="G647" s="89"/>
      <c r="H647" s="92" t="str">
        <f>IFERROR(IF($G647="","",$G647*$S$648/$G$648/Cadastro!$E$33),"")</f>
        <v/>
      </c>
      <c r="I647" s="93">
        <f>IFERROR(IF($D647="","",VLOOKUP($D647,Cadastro!$C$4:$G$7,5,FALSE())),"")</f>
        <v>0.6</v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0" t="s">
        <v>266</v>
      </c>
      <c r="B648" s="160"/>
      <c r="C648" s="160"/>
      <c r="D648" s="160"/>
      <c r="E648" s="160"/>
      <c r="F648" s="105"/>
      <c r="G648" s="96">
        <f>SUM(G636:G647)</f>
        <v>128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549.6</v>
      </c>
      <c r="L648" s="72"/>
      <c r="M648" s="72"/>
      <c r="N648" s="72"/>
      <c r="O648" s="134"/>
      <c r="P648" s="134"/>
      <c r="Q648" s="73">
        <f ca="1">IFERROR(SUM(Q636:Q647),"")</f>
        <v>0.16886921296504118</v>
      </c>
      <c r="R648" s="2" t="s">
        <v>264</v>
      </c>
      <c r="S648" s="74"/>
      <c r="T648" s="99">
        <f>IFERROR(J648,"")</f>
        <v>0</v>
      </c>
    </row>
    <row r="649" spans="1:20" ht="18" customHeight="1">
      <c r="A649" s="159" t="s">
        <v>252</v>
      </c>
      <c r="B649" s="159"/>
      <c r="C649" s="159"/>
      <c r="D649" s="159"/>
      <c r="E649" s="159"/>
      <c r="F649" s="108"/>
      <c r="G649" s="109">
        <f>G635+G648</f>
        <v>369</v>
      </c>
      <c r="H649" s="108">
        <f>IFERROR(H635+H648,"")</f>
        <v>1044.0999999999999</v>
      </c>
      <c r="I649" s="110"/>
      <c r="J649" s="111">
        <f>IFERROR(J635+J648,"")</f>
        <v>219.26100000000002</v>
      </c>
      <c r="K649" s="1">
        <f>K635+K648</f>
        <v>1561.8000000000002</v>
      </c>
      <c r="L649" s="76"/>
      <c r="M649" s="76"/>
      <c r="N649" s="76"/>
      <c r="O649" s="135"/>
      <c r="P649" s="135"/>
      <c r="Q649" s="77">
        <f ca="1">IFERROR(Q635+Q648,"")</f>
        <v>0.2383136574094856</v>
      </c>
      <c r="R649" s="1" t="s">
        <v>267</v>
      </c>
      <c r="S649" s="82">
        <f>IFERROR(S635+S648,"")</f>
        <v>1044100</v>
      </c>
      <c r="T649" s="118">
        <f>IFERROR(J649,"")</f>
        <v>219.26100000000002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0" t="s">
        <v>263</v>
      </c>
      <c r="B662" s="160"/>
      <c r="C662" s="160"/>
      <c r="D662" s="160"/>
      <c r="E662" s="160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0" t="s">
        <v>266</v>
      </c>
      <c r="B675" s="160"/>
      <c r="C675" s="160"/>
      <c r="D675" s="160"/>
      <c r="E675" s="160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59" t="s">
        <v>252</v>
      </c>
      <c r="B676" s="159"/>
      <c r="C676" s="159"/>
      <c r="D676" s="159"/>
      <c r="E676" s="159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0" t="s">
        <v>263</v>
      </c>
      <c r="B689" s="160"/>
      <c r="C689" s="160"/>
      <c r="D689" s="160"/>
      <c r="E689" s="160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0" t="s">
        <v>266</v>
      </c>
      <c r="B702" s="160"/>
      <c r="C702" s="160"/>
      <c r="D702" s="160"/>
      <c r="E702" s="160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59" t="s">
        <v>252</v>
      </c>
      <c r="B703" s="159"/>
      <c r="C703" s="159"/>
      <c r="D703" s="159"/>
      <c r="E703" s="159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0" t="s">
        <v>263</v>
      </c>
      <c r="B716" s="160"/>
      <c r="C716" s="160"/>
      <c r="D716" s="160"/>
      <c r="E716" s="160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0" t="s">
        <v>266</v>
      </c>
      <c r="B729" s="160"/>
      <c r="C729" s="160"/>
      <c r="D729" s="160"/>
      <c r="E729" s="160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59" t="s">
        <v>252</v>
      </c>
      <c r="B730" s="159"/>
      <c r="C730" s="159"/>
      <c r="D730" s="159"/>
      <c r="E730" s="159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0" t="s">
        <v>263</v>
      </c>
      <c r="B743" s="160"/>
      <c r="C743" s="160"/>
      <c r="D743" s="160"/>
      <c r="E743" s="160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0" t="s">
        <v>266</v>
      </c>
      <c r="B756" s="160"/>
      <c r="C756" s="160"/>
      <c r="D756" s="160"/>
      <c r="E756" s="160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59" t="s">
        <v>252</v>
      </c>
      <c r="B757" s="159"/>
      <c r="C757" s="159"/>
      <c r="D757" s="159"/>
      <c r="E757" s="159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0" t="s">
        <v>263</v>
      </c>
      <c r="B770" s="160"/>
      <c r="C770" s="160"/>
      <c r="D770" s="160"/>
      <c r="E770" s="160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0" t="s">
        <v>266</v>
      </c>
      <c r="B783" s="160"/>
      <c r="C783" s="160"/>
      <c r="D783" s="160"/>
      <c r="E783" s="160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59" t="s">
        <v>252</v>
      </c>
      <c r="B784" s="159"/>
      <c r="C784" s="159"/>
      <c r="D784" s="159"/>
      <c r="E784" s="159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0" t="s">
        <v>263</v>
      </c>
      <c r="B797" s="160"/>
      <c r="C797" s="160"/>
      <c r="D797" s="160"/>
      <c r="E797" s="160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0" t="s">
        <v>266</v>
      </c>
      <c r="B810" s="160"/>
      <c r="C810" s="160"/>
      <c r="D810" s="160"/>
      <c r="E810" s="160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59" t="s">
        <v>252</v>
      </c>
      <c r="B811" s="159"/>
      <c r="C811" s="159"/>
      <c r="D811" s="159"/>
      <c r="E811" s="159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0" t="s">
        <v>263</v>
      </c>
      <c r="B824" s="160"/>
      <c r="C824" s="160"/>
      <c r="D824" s="160"/>
      <c r="E824" s="160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0" t="s">
        <v>266</v>
      </c>
      <c r="B837" s="160"/>
      <c r="C837" s="160"/>
      <c r="D837" s="160"/>
      <c r="E837" s="160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59" t="s">
        <v>252</v>
      </c>
      <c r="B838" s="159"/>
      <c r="C838" s="159"/>
      <c r="D838" s="159"/>
      <c r="E838" s="159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2026-08-25T08:01:51Z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