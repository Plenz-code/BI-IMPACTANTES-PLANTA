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60" documentId="13_ncr:1_{A6DBCFB4-28D9-4249-9038-216934055CA6}" xr6:coauthVersionLast="47" xr6:coauthVersionMax="47" xr10:uidLastSave="{C15815B2-6673-4BC9-A00C-CAA8376C8868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<sst xmlns="http://schemas.openxmlformats.org/spreadsheetml/2006/main" count="10631" uniqueCount="434">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</sst>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7" sqref="F637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51</v>
      </c>
      <c r="G648" s="2">
        <f>SUM(G636:G647)</f>
        <v>255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457</v>
      </c>
      <c r="G649" s="1">
        <f>G635+G648</f>
        <v>2285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L636" sqref="L63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0.74538483795913635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0.88427372684802408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0.96899594907024689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29</v>
      </c>
      <c r="M636" s="61" t="s">
        <v>48</v>
      </c>
      <c r="N636" s="61"/>
      <c r="O636" s="65">
        <v>0.86597222222222225</v>
      </c>
      <c r="P636" s="65"/>
      <c r="Q636" s="66">
        <f t="shared" ref="Q636:Q647" ca="1" si="168">IFERROR(IF(O636="","",IF(P636="",MOD(NOW()-O636,1),IF(P636&gt;=O636,P636-O636,P636+1-O636))),"")</f>
        <v>9.4039351824903861E-4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67.2</v>
      </c>
      <c r="L648" s="72"/>
      <c r="M648" s="72"/>
      <c r="N648" s="72"/>
      <c r="O648" s="72"/>
      <c r="P648" s="72"/>
      <c r="Q648" s="73">
        <f ca="1">IFERROR(SUM(Q636:Q647),"")</f>
        <v>9.4039351824903861E-4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178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747.60000000000014</v>
      </c>
      <c r="L649" s="76"/>
      <c r="M649" s="76"/>
      <c r="N649" s="76"/>
      <c r="O649" s="76"/>
      <c r="P649" s="76"/>
      <c r="Q649" s="77">
        <f ca="1">IFERROR(Q635+Q648,"")</f>
        <v>7.1773726851582509E-2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7" sqref="G63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11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46.2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83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348.6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7" sqref="G63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277</v>
      </c>
      <c r="F637" s="88">
        <f>IFERROR(IF($D637="","",VLOOKUP($D637,Cadastro!$C$4:$E$7,3,FALSE())),"")</f>
        <v>0.35</v>
      </c>
      <c r="G637" s="89"/>
      <c r="H637" s="88" t="str">
        <f>IFERROR(IF($G637="","",$G637*$S$648/$G$648/Cadastro!$E$33),"")</f>
        <v/>
      </c>
      <c r="I637" s="90">
        <f>IFERROR(IF($D637="","",VLOOKUP($D637,Cadastro!$C$4:$G$7,5,FALSE())),"")</f>
        <v>0.6</v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/>
      <c r="H638" s="88" t="str">
        <f>IFERROR(IF($G638="","",$G638*$S$648/$G$648/Cadastro!$E$33),"")</f>
        <v/>
      </c>
      <c r="I638" s="90">
        <f>IFERROR(IF($D638="","",VLOOKUP($D638,Cadastro!$C$4:$G$7,5,FALSE())),"")</f>
        <v>0.6</v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13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54.6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254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1066.8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2026-08-25T00:49:13Z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