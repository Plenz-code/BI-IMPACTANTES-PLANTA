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480" documentId="8_{C51EB6CB-002B-4D6B-B68F-DDEBDB4460C0}" xr6:coauthVersionLast="47" xr6:coauthVersionMax="47" xr10:uidLastSave="{EC1DA073-F24D-42E2-B80F-06D480200F8F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<sst xmlns="http://schemas.openxmlformats.org/spreadsheetml/2006/main" count="4594" uniqueCount="314">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</sst>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2165620</v>
      </c>
      <c r="D12" s="8">
        <f>IFERROR('Linha 1'!O244,"")</f>
        <v>503310</v>
      </c>
      <c r="E12" s="8">
        <f>IFERROR('Linha 2'!O244,"")</f>
        <v>329640</v>
      </c>
      <c r="F12" s="8">
        <f>IFERROR('Linha 3'!O244,"")</f>
        <v>755220</v>
      </c>
      <c r="G12" s="9">
        <f t="shared" si="0"/>
        <v>1588170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29446500</v>
      </c>
      <c r="D35" s="13">
        <f>IFERROR(SUM(D4:D34),"")</f>
        <v>8827170</v>
      </c>
      <c r="E35" s="13">
        <f>IFERROR(SUM(E4:E34),"")</f>
        <v>4207220</v>
      </c>
      <c r="F35" s="13">
        <f>IFERROR(SUM(F4:F34),"")</f>
        <v>11603970</v>
      </c>
      <c r="G35" s="13">
        <f>IFERROR(SUM(G4:G34),"")</f>
        <v>24638360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O231" sqref="O23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309</v>
      </c>
      <c r="G244" s="40">
        <f>G230+G243</f>
        <v>1545</v>
      </c>
      <c r="H244" s="41"/>
      <c r="I244" s="41"/>
      <c r="J244" s="41"/>
      <c r="K244" s="41"/>
      <c r="L244" s="41"/>
      <c r="M244" s="42">
        <f ca="1">IFERROR(M230+M243,"")</f>
        <v>7.9166666666666552E-2</v>
      </c>
      <c r="N244" s="40" t="s">
        <v>239</v>
      </c>
      <c r="O244" s="48">
        <f>IFERROR(O230+O243,"")</f>
        <v>2165620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O231" sqref="O2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0.66692256944224937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0.80581145833113821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0.89053368055336057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134</v>
      </c>
      <c r="G244" s="40">
        <f>G230+G243</f>
        <v>566.80000000000007</v>
      </c>
      <c r="H244" s="41"/>
      <c r="I244" s="41"/>
      <c r="J244" s="41"/>
      <c r="K244" s="41"/>
      <c r="L244" s="41"/>
      <c r="M244" s="42">
        <f ca="1">IFERROR(M230+M243,"")</f>
        <v>0.14930555555555569</v>
      </c>
      <c r="N244" s="40" t="s">
        <v>239</v>
      </c>
      <c r="O244" s="83">
        <f>IFERROR(O230+O243,"")</f>
        <v>503310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09" zoomScale="50" zoomScaleNormal="50" workbookViewId="0">
      <selection activeCell="E235" sqref="E23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6.4144791664148215E-2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0.12247812499748156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249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77</v>
      </c>
      <c r="G244" s="40">
        <f>G230+G243</f>
        <v>327.39999999999998</v>
      </c>
      <c r="H244" s="41"/>
      <c r="I244" s="41"/>
      <c r="J244" s="41"/>
      <c r="K244" s="41"/>
      <c r="L244" s="41"/>
      <c r="M244" s="42">
        <f ca="1">IFERROR(M230+M243,"")</f>
        <v>0.12247812499748156</v>
      </c>
      <c r="N244" s="40" t="s">
        <v>239</v>
      </c>
      <c r="O244" s="48">
        <f>IFERROR(O230+O243,"")</f>
        <v>329640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7" activePane="bottomLeft" state="frozen"/>
      <selection pane="bottomLeft" activeCell="F231" sqref="F2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249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169</v>
      </c>
      <c r="G244" s="40">
        <f>G230+G243</f>
        <v>725.80000000000007</v>
      </c>
      <c r="H244" s="41"/>
      <c r="I244" s="41"/>
      <c r="J244" s="41"/>
      <c r="K244" s="63"/>
      <c r="L244" s="63"/>
      <c r="M244" s="42">
        <f ca="1">IFERROR(M230+M243,"")</f>
        <v>5.4166666666666752E-2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2026-08-09T22:55:29Z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