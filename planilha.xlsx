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78" documentId="8_{C51EB6CB-002B-4D6B-B68F-DDEBDB4460C0}" xr6:coauthVersionLast="47" xr6:coauthVersionMax="47" xr10:uidLastSave="{34E63715-033B-440C-BE9D-ABDB6F479E14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<sst xmlns="http://schemas.openxmlformats.org/spreadsheetml/2006/main" count="3463" uniqueCount="286">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</sst>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3" sqref="F1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</v>
      </c>
      <c r="G162" s="36">
        <f>SUM(G150:G161)</f>
        <v>155</v>
      </c>
      <c r="H162" s="37"/>
      <c r="I162" s="37"/>
      <c r="J162" s="37"/>
      <c r="K162" s="37"/>
      <c r="L162" s="37"/>
      <c r="M162" s="38">
        <f ca="1">IFERROR(SUM(M150:M161),"")</f>
        <v>6.4583333333333326E-2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320</v>
      </c>
      <c r="G163" s="40">
        <f>G149+G162</f>
        <v>1600</v>
      </c>
      <c r="H163" s="41"/>
      <c r="I163" s="41"/>
      <c r="J163" s="41"/>
      <c r="K163" s="41"/>
      <c r="L163" s="41"/>
      <c r="M163" s="42">
        <f ca="1">IFERROR(M149+M162,"")</f>
        <v>0.16319444444444448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0" activePane="bottomLeft" state="frozen"/>
      <selection pane="bottomLeft" activeCell="J152" sqref="J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0.80396122684760485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0.94285011573649369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1.0275723379587161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52</v>
      </c>
      <c r="J152" s="26" t="s">
        <v>27</v>
      </c>
      <c r="K152" s="29">
        <v>0.90138888888888891</v>
      </c>
      <c r="L152" s="29">
        <v>0.91666666666666663</v>
      </c>
      <c r="M152" s="30">
        <f t="shared" ca="1" si="34"/>
        <v>1.5277777777777724E-2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38</v>
      </c>
      <c r="G162" s="36">
        <f>SUM(G150:G161)</f>
        <v>159.60000000000002</v>
      </c>
      <c r="H162" s="37"/>
      <c r="I162" s="37"/>
      <c r="J162" s="37"/>
      <c r="K162" s="37"/>
      <c r="L162" s="37"/>
      <c r="M162" s="38">
        <f ca="1">IFERROR(SUM(M150:M161),"")</f>
        <v>4.5138888888888951E-2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178</v>
      </c>
      <c r="G163" s="40">
        <f>G149+G162</f>
        <v>747.6</v>
      </c>
      <c r="H163" s="41"/>
      <c r="I163" s="41"/>
      <c r="J163" s="41"/>
      <c r="K163" s="41"/>
      <c r="L163" s="41"/>
      <c r="M163" s="42">
        <f ca="1">IFERROR(M149+M162,"")</f>
        <v>0.22083333333333338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3" sqref="F1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</v>
      </c>
      <c r="G162" s="36">
        <f>SUM(G150:G161)</f>
        <v>33.6</v>
      </c>
      <c r="H162" s="37"/>
      <c r="I162" s="37"/>
      <c r="J162" s="37"/>
      <c r="K162" s="37"/>
      <c r="L162" s="37"/>
      <c r="M162" s="38">
        <f ca="1">IFERROR(SUM(M150:M161),"")</f>
        <v>6.8055555555555536E-2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41</v>
      </c>
      <c r="G163" s="40">
        <f>G149+G162</f>
        <v>172.2</v>
      </c>
      <c r="H163" s="41"/>
      <c r="I163" s="41"/>
      <c r="J163" s="41"/>
      <c r="K163" s="41"/>
      <c r="L163" s="41"/>
      <c r="M163" s="42">
        <f ca="1">IFERROR(M149+M162,"")</f>
        <v>0.22152777777777771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3" sqref="F1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20</v>
      </c>
      <c r="I150" s="26" t="s">
        <v>52</v>
      </c>
      <c r="J150" s="26" t="s">
        <v>56</v>
      </c>
      <c r="K150" s="29">
        <v>0.9194444444444444</v>
      </c>
      <c r="L150" s="29"/>
      <c r="M150" s="30">
        <f t="shared" ref="M150:M161" ca="1" si="34">IFERROR(IF(K150="","",IF(L150="",MOD(NOW()-K150,1),IF(L150&gt;=K150,L150-K150,L150+1-K150))),"")</f>
        <v>6.0445601848186925E-3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</v>
      </c>
      <c r="G162" s="36">
        <f>SUM(G150:G161)</f>
        <v>130.19999999999999</v>
      </c>
      <c r="H162" s="37"/>
      <c r="I162" s="37"/>
      <c r="J162" s="37"/>
      <c r="K162" s="61"/>
      <c r="L162" s="61"/>
      <c r="M162" s="38">
        <f ca="1">IFERROR(SUM(M150:M161),"")</f>
        <v>6.0445601848186925E-3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213</v>
      </c>
      <c r="G163" s="40">
        <f>G149+G162</f>
        <v>894.60000000000014</v>
      </c>
      <c r="H163" s="41"/>
      <c r="I163" s="41"/>
      <c r="J163" s="41"/>
      <c r="K163" s="63"/>
      <c r="L163" s="63"/>
      <c r="M163" s="42">
        <f ca="1">IFERROR(M149+M162,"")</f>
        <v>0.10048900462926308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2026-08-07T02:13:07Z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