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26" documentId="13_ncr:1_{A6DBCFB4-28D9-4249-9038-216934055CA6}" xr6:coauthVersionLast="47" xr6:coauthVersionMax="47" xr10:uidLastSave="{72BF3FB3-738E-4A8E-8BFA-80B77069E5D1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84" i="6" l="1"/>
  <c r="J585" i="6"/>
  <c r="J586" i="6"/>
  <c r="J587" i="6"/>
  <c r="J588" i="6"/>
  <c r="J589" i="6"/>
  <c r="J590" i="6"/>
  <c r="J591" i="6"/>
  <c r="J592" i="6"/>
  <c r="J593" i="6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<sst xmlns="http://schemas.openxmlformats.org/spreadsheetml/2006/main" count="10077" uniqueCount="428">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</sst>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R17" sqref="R1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79841380</v>
      </c>
      <c r="D35" s="30">
        <f t="shared" si="2"/>
        <v>25386150</v>
      </c>
      <c r="E35" s="30">
        <f t="shared" si="2"/>
        <v>14583440</v>
      </c>
      <c r="F35" s="30">
        <f t="shared" si="2"/>
        <v>34414330</v>
      </c>
      <c r="G35" s="30">
        <f t="shared" si="2"/>
        <v>74383920</v>
      </c>
      <c r="H35" s="31">
        <f t="shared" si="2"/>
        <v>7206.0576326915125</v>
      </c>
      <c r="I35" s="31">
        <f t="shared" si="2"/>
        <v>4967.05</v>
      </c>
      <c r="J35" s="32">
        <f>I35/H35</f>
        <v>0.68928813134467992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78" activePane="bottomLeft" state="frozen"/>
      <selection pane="bottomLeft" activeCell="D600" sqref="D600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261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261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0.16111111111111109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43</v>
      </c>
      <c r="G622" s="1">
        <f>G608+G621</f>
        <v>215</v>
      </c>
      <c r="H622" s="76"/>
      <c r="I622" s="76"/>
      <c r="J622" s="76"/>
      <c r="K622" s="76"/>
      <c r="L622" s="76"/>
      <c r="M622" s="77">
        <f ca="1">IFERROR(M608+M621,"")</f>
        <v>0.16111111111111109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601" sqref="G601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0.37762731481052469</v>
      </c>
      <c r="R53" s="80" t="s">
        <v>315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0.51651620369941242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0.60123842592163523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63</v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4"/>
        <v>0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0</v>
      </c>
      <c r="I599" s="90">
        <f>IFERROR(IF($D599="","",VLOOKUP($D599,Cadastro!$C$4:$G$7,5,FALSE())),"")</f>
        <v>0.6</v>
      </c>
      <c r="J599" s="91">
        <f t="shared" si="154"/>
        <v>0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0</v>
      </c>
      <c r="I600" s="90">
        <f>IFERROR(IF($D600="","",VLOOKUP($D600,Cadastro!$C$4:$G$7,5,FALSE())),"")</f>
        <v>0.6</v>
      </c>
      <c r="J600" s="91">
        <f t="shared" si="154"/>
        <v>0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56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1.5277777777777779E-2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56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235.2</v>
      </c>
      <c r="L622" s="76"/>
      <c r="M622" s="76"/>
      <c r="N622" s="76"/>
      <c r="O622" s="76"/>
      <c r="P622" s="76"/>
      <c r="Q622" s="77">
        <f ca="1">IFERROR(Q608+Q621,"")</f>
        <v>1.5277777777777779E-2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600" sqref="G600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0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1"/>
        <v>0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1"/>
        <v>0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0</v>
      </c>
      <c r="I599" s="90">
        <f>IFERROR(IF($D599="","",VLOOKUP($D599,Cadastro!$C$4:$G$7,5,FALSE())),"")</f>
        <v>0.6</v>
      </c>
      <c r="J599" s="91">
        <f t="shared" si="151"/>
        <v>0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/>
      <c r="Q599" s="71">
        <f t="shared" ca="1" si="153"/>
        <v>3.0405092591536231E-2</v>
      </c>
      <c r="R599" s="63" t="s">
        <v>316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0</v>
      </c>
      <c r="I600" s="90">
        <f>IFERROR(IF($D600="","",VLOOKUP($D600,Cadastro!$C$4:$G$7,5,FALSE())),"")</f>
        <v>0.6</v>
      </c>
      <c r="J600" s="91">
        <f t="shared" si="151"/>
        <v>0</v>
      </c>
      <c r="K600" s="64">
        <f t="shared" si="152"/>
        <v>16.8</v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25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7.8321759258202894E-2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25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105</v>
      </c>
      <c r="L622" s="76"/>
      <c r="M622" s="76"/>
      <c r="N622" s="76"/>
      <c r="O622" s="76"/>
      <c r="P622" s="76"/>
      <c r="Q622" s="77">
        <f ca="1">IFERROR(Q608+Q621,"")</f>
        <v>7.8321759258202894E-2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93" activePane="bottomLeft" state="frozen"/>
      <selection pane="bottomLeft" activeCell="G601" sqref="G601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0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0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427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0</v>
      </c>
      <c r="I597" s="90">
        <f>IFERROR(IF($D597="","",VLOOKUP($D597,Cadastro!$C$4:$G$7,5,FALSE())),"")</f>
        <v>0.6</v>
      </c>
      <c r="J597" s="91">
        <f t="shared" si="154"/>
        <v>0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0</v>
      </c>
      <c r="I598" s="90">
        <f>IFERROR(IF($D598="","",VLOOKUP($D598,Cadastro!$C$4:$G$7,5,FALSE())),"")</f>
        <v>0.6</v>
      </c>
      <c r="J598" s="91">
        <f t="shared" si="154"/>
        <v>0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0</v>
      </c>
      <c r="I599" s="90">
        <f>IFERROR(IF($D599="","",VLOOKUP($D599,Cadastro!$C$4:$G$7,5,FALSE())),"")</f>
        <v>0.6</v>
      </c>
      <c r="J599" s="91">
        <f t="shared" si="154"/>
        <v>0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0</v>
      </c>
      <c r="I600" s="90">
        <f>IFERROR(IF($D600="","",VLOOKUP($D600,Cadastro!$C$4:$G$7,5,FALSE())),"")</f>
        <v>0.6</v>
      </c>
      <c r="J600" s="91">
        <f t="shared" si="154"/>
        <v>0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60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60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252</v>
      </c>
      <c r="L622" s="76"/>
      <c r="M622" s="76"/>
      <c r="N622" s="76"/>
      <c r="O622" s="135"/>
      <c r="P622" s="135"/>
      <c r="Q622" s="77">
        <f ca="1">IFERROR(Q608+Q621,"")</f>
        <v>2.0833333333333315E-2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2026-08-23T15:59:26Z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