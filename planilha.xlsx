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956" documentId="8_{AF585B22-221D-4780-BB9C-493D365A6A02}" xr6:coauthVersionLast="47" xr6:coauthVersionMax="47" xr10:uidLastSave="{CE63E7DC-95C3-4B6F-82EF-07232CA241E9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<sst xmlns="http://schemas.openxmlformats.org/spreadsheetml/2006/main" count="3770" uniqueCount="269">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</sst>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1895110</v>
      </c>
      <c r="D11" s="11">
        <f>IFERROR('Linha 1'!O217,"")</f>
        <v>0</v>
      </c>
      <c r="E11" s="11">
        <f>IFERROR('Linha 2'!O217,"")</f>
        <v>324840</v>
      </c>
      <c r="F11" s="11">
        <f>IFERROR('Linha 3'!O217,"")</f>
        <v>674440</v>
      </c>
      <c r="G11" s="12">
        <f t="shared" si="0"/>
        <v>999280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21328420</v>
      </c>
      <c r="D35" s="13">
        <f>IFERROR(SUM(D4:D34),"")</f>
        <v>7238930</v>
      </c>
      <c r="E35" s="13">
        <f>IFERROR(SUM(E4:E34),"")</f>
        <v>4963390</v>
      </c>
      <c r="F35" s="13">
        <f>IFERROR(SUM(F4:F34),"")</f>
        <v>8879980</v>
      </c>
      <c r="G35" s="13">
        <f>IFERROR(SUM(G4:G34),"")</f>
        <v>21082300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6" sqref="I1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97"/>
      <c r="I16" s="16"/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97"/>
      <c r="I17" s="17"/>
      <c r="J17" s="17" t="s">
        <v>104</v>
      </c>
      <c r="K17" s="17" t="s">
        <v>105</v>
      </c>
      <c r="L17" s="17" t="s">
        <v>106</v>
      </c>
      <c r="M17" s="17" t="s">
        <v>107</v>
      </c>
    </row>
    <row r="18" spans="1:13" ht="15.75" customHeight="1">
      <c r="A18" s="16"/>
      <c r="C18" s="16"/>
      <c r="E18" s="16"/>
      <c r="G18" s="16" t="s">
        <v>108</v>
      </c>
      <c r="H18" s="97"/>
      <c r="I18" s="16"/>
      <c r="J18" s="16"/>
      <c r="K18" s="16" t="s">
        <v>109</v>
      </c>
      <c r="L18" s="16" t="s">
        <v>110</v>
      </c>
      <c r="M18" s="16" t="s">
        <v>111</v>
      </c>
    </row>
    <row r="19" spans="1:13" ht="15.75" customHeight="1">
      <c r="A19" s="17"/>
      <c r="C19" s="17"/>
      <c r="E19" s="17"/>
      <c r="G19" s="17" t="s">
        <v>112</v>
      </c>
      <c r="H19" s="97"/>
      <c r="I19" s="17"/>
      <c r="J19" s="17"/>
      <c r="K19" s="17" t="s">
        <v>113</v>
      </c>
      <c r="L19" s="17"/>
      <c r="M19" s="17" t="s">
        <v>114</v>
      </c>
    </row>
    <row r="20" spans="1:13" ht="15.75" customHeight="1">
      <c r="A20" s="16"/>
      <c r="C20" s="16"/>
      <c r="E20" s="16"/>
      <c r="G20" s="16" t="s">
        <v>115</v>
      </c>
      <c r="H20" s="97"/>
      <c r="I20" s="16"/>
      <c r="J20" s="16"/>
      <c r="K20" s="16" t="s">
        <v>116</v>
      </c>
      <c r="L20" s="16"/>
      <c r="M20" s="16" t="s">
        <v>117</v>
      </c>
    </row>
    <row r="21" spans="1:13" ht="15.75" customHeight="1">
      <c r="A21" s="17"/>
      <c r="C21" s="17"/>
      <c r="E21" s="17"/>
      <c r="G21" s="17" t="s">
        <v>118</v>
      </c>
      <c r="H21" s="97"/>
      <c r="I21" s="17"/>
      <c r="J21" s="17"/>
      <c r="K21" s="17" t="s">
        <v>119</v>
      </c>
      <c r="L21" s="17"/>
      <c r="M21" s="17" t="s">
        <v>120</v>
      </c>
    </row>
    <row r="22" spans="1:13" ht="15.75" customHeight="1">
      <c r="A22" s="16"/>
      <c r="C22" s="16"/>
      <c r="E22" s="16"/>
      <c r="G22" s="16" t="s">
        <v>121</v>
      </c>
      <c r="H22" s="97"/>
      <c r="I22" s="16"/>
      <c r="J22" s="16"/>
      <c r="K22" s="16" t="s">
        <v>122</v>
      </c>
      <c r="L22" s="16"/>
      <c r="M22" s="16" t="s">
        <v>123</v>
      </c>
    </row>
    <row r="23" spans="1:13" ht="15.75" customHeight="1">
      <c r="A23" s="17"/>
      <c r="C23" s="17"/>
      <c r="E23" s="17"/>
      <c r="G23" s="17" t="s">
        <v>124</v>
      </c>
      <c r="H23" s="97"/>
      <c r="I23" s="17"/>
      <c r="J23" s="17"/>
      <c r="K23" s="17" t="s">
        <v>125</v>
      </c>
      <c r="L23" s="17"/>
      <c r="M23" s="17" t="s">
        <v>126</v>
      </c>
    </row>
    <row r="24" spans="1:13" ht="15.75" customHeight="1">
      <c r="A24" s="16"/>
      <c r="C24" s="16"/>
      <c r="E24" s="16"/>
      <c r="G24" s="16" t="s">
        <v>127</v>
      </c>
      <c r="H24" s="97"/>
      <c r="I24" s="16"/>
      <c r="J24" s="16"/>
      <c r="K24" s="16" t="s">
        <v>128</v>
      </c>
      <c r="L24" s="16"/>
      <c r="M24" s="16" t="s">
        <v>129</v>
      </c>
    </row>
    <row r="25" spans="1:13" ht="15.75" customHeight="1">
      <c r="A25" s="17"/>
      <c r="C25" s="17"/>
      <c r="E25" s="17"/>
      <c r="G25" s="17" t="s">
        <v>130</v>
      </c>
      <c r="H25" s="97"/>
      <c r="I25" s="17"/>
      <c r="J25" s="17"/>
      <c r="K25" s="17" t="s">
        <v>131</v>
      </c>
      <c r="L25" s="17"/>
      <c r="M25" s="17" t="s">
        <v>132</v>
      </c>
    </row>
    <row r="26" spans="1:13" ht="15.75" customHeight="1">
      <c r="A26" s="16"/>
      <c r="C26" s="16"/>
      <c r="E26" s="16"/>
      <c r="G26" s="16" t="s">
        <v>133</v>
      </c>
      <c r="H26" s="97"/>
      <c r="I26" s="16"/>
      <c r="J26" s="16"/>
      <c r="K26" s="16" t="s">
        <v>134</v>
      </c>
      <c r="L26" s="16"/>
      <c r="M26" s="16"/>
    </row>
    <row r="27" spans="1:13" ht="15.75" customHeight="1">
      <c r="A27" s="17"/>
      <c r="C27" s="17"/>
      <c r="E27" s="17"/>
      <c r="G27" s="17" t="s">
        <v>135</v>
      </c>
      <c r="H27" s="97"/>
      <c r="I27" s="17"/>
      <c r="J27" s="17"/>
      <c r="K27" s="17" t="s">
        <v>126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136</v>
      </c>
      <c r="H28" s="97"/>
      <c r="I28" s="16"/>
      <c r="J28" s="16"/>
      <c r="K28" s="16" t="s">
        <v>129</v>
      </c>
      <c r="L28" s="16"/>
      <c r="M28" s="16" t="s">
        <v>137</v>
      </c>
    </row>
    <row r="29" spans="1:13" ht="15.75" customHeight="1">
      <c r="A29" s="17"/>
      <c r="C29" s="17"/>
      <c r="E29" s="17"/>
      <c r="G29" s="17" t="s">
        <v>138</v>
      </c>
      <c r="H29" s="97"/>
      <c r="I29" s="17"/>
      <c r="J29" s="17"/>
      <c r="K29" s="17" t="s">
        <v>139</v>
      </c>
      <c r="L29" s="17"/>
      <c r="M29" s="17" t="s">
        <v>140</v>
      </c>
    </row>
    <row r="30" spans="1:13" ht="15.75" customHeight="1">
      <c r="A30" s="16"/>
      <c r="C30" s="16"/>
      <c r="E30" s="16"/>
      <c r="G30" s="16" t="s">
        <v>141</v>
      </c>
      <c r="H30" s="97"/>
      <c r="I30" s="16"/>
      <c r="J30" s="16"/>
      <c r="K30" s="16" t="s">
        <v>142</v>
      </c>
      <c r="L30" s="16"/>
      <c r="M30" s="16" t="s">
        <v>143</v>
      </c>
    </row>
    <row r="31" spans="1:13" ht="15.75" customHeight="1">
      <c r="A31" s="17"/>
      <c r="C31" s="17"/>
      <c r="E31" s="17"/>
      <c r="G31" s="17" t="s">
        <v>144</v>
      </c>
      <c r="H31" s="97"/>
      <c r="I31" s="17"/>
      <c r="J31" s="17"/>
      <c r="K31" s="18" t="s">
        <v>145</v>
      </c>
      <c r="L31" s="17"/>
      <c r="M31" s="17" t="s">
        <v>146</v>
      </c>
    </row>
    <row r="32" spans="1:13" ht="15.75" customHeight="1">
      <c r="A32" s="16"/>
      <c r="C32" s="16"/>
      <c r="E32" s="16"/>
      <c r="G32" s="16" t="s">
        <v>147</v>
      </c>
      <c r="H32" s="97"/>
      <c r="I32" s="16"/>
      <c r="J32" s="16"/>
      <c r="K32" s="16" t="s">
        <v>148</v>
      </c>
      <c r="L32" s="16"/>
      <c r="M32" t="s">
        <v>149</v>
      </c>
    </row>
    <row r="33" spans="1:13" ht="15.75" customHeight="1">
      <c r="A33" s="17"/>
      <c r="C33" s="17"/>
      <c r="E33" s="17"/>
      <c r="G33" s="17" t="s">
        <v>150</v>
      </c>
      <c r="H33" s="97"/>
      <c r="I33" s="17"/>
      <c r="J33" s="17"/>
      <c r="K33" s="18" t="s">
        <v>151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152</v>
      </c>
      <c r="H34" s="97"/>
      <c r="I34" s="16"/>
      <c r="J34" s="16"/>
      <c r="K34" s="16" t="s">
        <v>79</v>
      </c>
      <c r="L34" s="16"/>
      <c r="M34" s="16" t="s">
        <v>153</v>
      </c>
    </row>
    <row r="35" spans="1:13" ht="15.75" customHeight="1">
      <c r="A35" s="17"/>
      <c r="C35" s="17"/>
      <c r="E35" s="17"/>
      <c r="G35" s="17" t="s">
        <v>154</v>
      </c>
      <c r="H35" s="97"/>
      <c r="I35" s="17"/>
      <c r="J35" s="17"/>
      <c r="K35" s="17" t="s">
        <v>155</v>
      </c>
      <c r="L35" s="17"/>
      <c r="M35" s="17" t="s">
        <v>156</v>
      </c>
    </row>
    <row r="36" spans="1:13" ht="15.75" customHeight="1">
      <c r="A36" s="16"/>
      <c r="C36" s="16"/>
      <c r="E36" s="16"/>
      <c r="G36" s="16" t="s">
        <v>157</v>
      </c>
      <c r="H36" s="97"/>
      <c r="I36" s="16"/>
      <c r="J36" s="16"/>
      <c r="K36" s="16" t="s">
        <v>158</v>
      </c>
      <c r="L36" s="16"/>
      <c r="M36" s="16" t="s">
        <v>159</v>
      </c>
    </row>
    <row r="37" spans="1:13" ht="15.75" customHeight="1">
      <c r="A37" s="17"/>
      <c r="C37" s="17"/>
      <c r="E37" s="17"/>
      <c r="G37" s="17" t="s">
        <v>160</v>
      </c>
      <c r="H37" s="97"/>
      <c r="I37" s="17"/>
      <c r="J37" s="17"/>
      <c r="K37" s="17" t="s">
        <v>161</v>
      </c>
      <c r="L37" s="17"/>
      <c r="M37" s="17" t="s">
        <v>162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163</v>
      </c>
      <c r="L38" s="16"/>
      <c r="M38" s="16" t="s">
        <v>164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165</v>
      </c>
      <c r="L39" s="17"/>
      <c r="M39" s="17" t="s">
        <v>166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167</v>
      </c>
      <c r="L40" s="16"/>
      <c r="M40" s="16" t="s">
        <v>168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169</v>
      </c>
      <c r="L41" s="17"/>
      <c r="M41" s="17" t="s">
        <v>170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171</v>
      </c>
      <c r="L42" s="16"/>
      <c r="M42" s="16" t="s">
        <v>172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173</v>
      </c>
      <c r="L43" s="17"/>
      <c r="M43" s="17" t="s">
        <v>174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175</v>
      </c>
      <c r="L44" s="16"/>
      <c r="M44" s="16" t="s">
        <v>176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177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178</v>
      </c>
      <c r="L46" s="16"/>
      <c r="M46" s="16" t="s">
        <v>179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180</v>
      </c>
      <c r="L47" s="17"/>
      <c r="M47" s="17" t="s">
        <v>181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182</v>
      </c>
      <c r="L48" s="16"/>
      <c r="M48" s="16" t="s">
        <v>183</v>
      </c>
    </row>
    <row r="49" spans="1:13" ht="18" customHeight="1">
      <c r="H49" s="97"/>
      <c r="I49" s="17"/>
      <c r="J49" s="17"/>
      <c r="K49" s="17" t="s">
        <v>184</v>
      </c>
      <c r="L49" s="17"/>
      <c r="M49" s="17" t="s">
        <v>185</v>
      </c>
    </row>
    <row r="50" spans="1:13" ht="21" customHeight="1">
      <c r="A50" s="19" t="s">
        <v>186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187</v>
      </c>
      <c r="L50" s="16"/>
      <c r="M50" s="16" t="s">
        <v>188</v>
      </c>
    </row>
    <row r="51" spans="1:13" ht="24" customHeight="1">
      <c r="H51" s="97"/>
      <c r="I51" s="17"/>
      <c r="J51" s="17"/>
      <c r="K51" s="17" t="s">
        <v>189</v>
      </c>
      <c r="L51" s="17"/>
      <c r="M51" s="17" t="s">
        <v>190</v>
      </c>
    </row>
    <row r="52" spans="1:13" ht="24" customHeight="1">
      <c r="H52" s="97"/>
      <c r="I52" s="16"/>
      <c r="J52" s="16"/>
      <c r="K52" s="16" t="s">
        <v>191</v>
      </c>
      <c r="L52" s="16"/>
      <c r="M52" s="16"/>
    </row>
    <row r="53" spans="1:13" ht="36" customHeight="1">
      <c r="H53" s="97"/>
      <c r="I53" s="17"/>
      <c r="J53" s="17"/>
      <c r="K53" s="17" t="s">
        <v>192</v>
      </c>
      <c r="L53" s="17"/>
      <c r="M53" s="17"/>
    </row>
    <row r="54" spans="1:13" ht="15" customHeight="1">
      <c r="H54" s="97"/>
      <c r="I54" s="16"/>
      <c r="J54" s="16"/>
      <c r="K54" s="16" t="s">
        <v>193</v>
      </c>
      <c r="L54" s="16"/>
      <c r="M54" s="16"/>
    </row>
    <row r="55" spans="1:13" ht="15" customHeight="1">
      <c r="H55" s="97"/>
      <c r="I55" s="17"/>
      <c r="J55" s="17"/>
      <c r="K55" s="17" t="s">
        <v>194</v>
      </c>
      <c r="L55" s="17"/>
      <c r="M55" s="17"/>
    </row>
    <row r="56" spans="1:13" ht="15" customHeight="1">
      <c r="H56" s="97"/>
      <c r="I56" s="16"/>
      <c r="J56" s="16"/>
      <c r="K56" s="16" t="s">
        <v>195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196</v>
      </c>
      <c r="L58" s="16"/>
      <c r="M58" s="16"/>
    </row>
    <row r="59" spans="1:13" ht="15" customHeight="1">
      <c r="H59" s="97"/>
      <c r="I59" s="17"/>
      <c r="J59" s="17"/>
      <c r="K59" s="17" t="s">
        <v>197</v>
      </c>
      <c r="L59" s="17"/>
      <c r="M59" s="17"/>
    </row>
    <row r="60" spans="1:13" ht="15" customHeight="1">
      <c r="H60" s="97"/>
      <c r="I60" s="16"/>
      <c r="J60" s="16"/>
      <c r="K60" s="99" t="s">
        <v>104</v>
      </c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88" activePane="bottomLeft" state="frozen"/>
      <selection pane="bottomLeft" activeCell="F210" sqref="F21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208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106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140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211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213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212</v>
      </c>
      <c r="O27" s="39">
        <v>1183060</v>
      </c>
    </row>
    <row r="28" spans="1:15" ht="18" customHeight="1">
      <c r="A28" s="90" t="s">
        <v>214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180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211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213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212</v>
      </c>
      <c r="O54" s="39">
        <v>959290</v>
      </c>
    </row>
    <row r="55" spans="1:15" ht="18" customHeight="1">
      <c r="A55" s="90" t="s">
        <v>214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211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177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129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213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212</v>
      </c>
      <c r="O81" s="39">
        <v>878050</v>
      </c>
    </row>
    <row r="82" spans="1:15" ht="18" customHeight="1">
      <c r="A82" s="90" t="s">
        <v>214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163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 t="s">
        <v>20</v>
      </c>
      <c r="I85" s="33" t="s">
        <v>141</v>
      </c>
      <c r="J85" s="33" t="s">
        <v>126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189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211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213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212</v>
      </c>
      <c r="O108" s="39">
        <v>1700000</v>
      </c>
    </row>
    <row r="109" spans="1:15" ht="18" customHeight="1">
      <c r="A109" s="90" t="s">
        <v>214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194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211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183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185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213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212</v>
      </c>
      <c r="O135" s="39">
        <v>862330</v>
      </c>
    </row>
    <row r="136" spans="1:15" ht="18" customHeight="1">
      <c r="A136" s="90" t="s">
        <v>214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215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183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106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211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212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161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140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213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212</v>
      </c>
      <c r="O162" s="44">
        <v>1546080</v>
      </c>
    </row>
    <row r="163" spans="1:15" ht="18" customHeight="1">
      <c r="A163" s="90" t="s">
        <v>214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215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125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211</v>
      </c>
      <c r="B176" s="88"/>
      <c r="C176" s="88"/>
      <c r="D176" s="88"/>
      <c r="E176" s="8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212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213</v>
      </c>
      <c r="B189" s="88"/>
      <c r="C189" s="88"/>
      <c r="D189" s="88"/>
      <c r="E189" s="8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212</v>
      </c>
      <c r="O189" s="39">
        <v>2355810</v>
      </c>
    </row>
    <row r="190" spans="1:15" ht="18" customHeight="1">
      <c r="A190" s="90" t="s">
        <v>214</v>
      </c>
      <c r="B190" s="91"/>
      <c r="C190" s="91"/>
      <c r="D190" s="91"/>
      <c r="E190" s="9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215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211</v>
      </c>
      <c r="B203" s="88"/>
      <c r="C203" s="88"/>
      <c r="D203" s="88"/>
      <c r="E203" s="89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212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18</v>
      </c>
      <c r="I204" s="26"/>
      <c r="J204" s="26" t="s">
        <v>193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109.2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209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209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209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209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209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209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209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209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209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209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213</v>
      </c>
      <c r="B216" s="88"/>
      <c r="C216" s="88"/>
      <c r="D216" s="88"/>
      <c r="E216" s="89">
        <f>SUM(E204:E215)</f>
        <v>0</v>
      </c>
      <c r="F216" s="36">
        <f>SUM(F204:F215)</f>
        <v>169</v>
      </c>
      <c r="G216" s="36">
        <f>SUM(G204:G215)</f>
        <v>824.2</v>
      </c>
      <c r="H216" s="37"/>
      <c r="I216" s="37"/>
      <c r="J216" s="37"/>
      <c r="K216" s="37"/>
      <c r="L216" s="37"/>
      <c r="M216" s="38">
        <f ca="1">IFERROR(SUM(M204:M215),"")</f>
        <v>2.1527777777777812E-2</v>
      </c>
      <c r="N216" s="36" t="s">
        <v>212</v>
      </c>
      <c r="O216" s="45"/>
    </row>
    <row r="217" spans="1:15" ht="18" customHeight="1">
      <c r="A217" s="90" t="s">
        <v>214</v>
      </c>
      <c r="B217" s="91"/>
      <c r="C217" s="91"/>
      <c r="D217" s="91"/>
      <c r="E217" s="92">
        <f>E203+E216</f>
        <v>0</v>
      </c>
      <c r="F217" s="40">
        <f>F203+F216</f>
        <v>499</v>
      </c>
      <c r="G217" s="40">
        <f>G203+G216</f>
        <v>2474.1999999999998</v>
      </c>
      <c r="H217" s="41"/>
      <c r="I217" s="41"/>
      <c r="J217" s="41"/>
      <c r="K217" s="41"/>
      <c r="L217" s="41"/>
      <c r="M217" s="42">
        <f ca="1">IFERROR(M203+M216,"")</f>
        <v>4.5138888888888951E-2</v>
      </c>
      <c r="N217" s="40" t="s">
        <v>215</v>
      </c>
      <c r="O217" s="48">
        <f>IFERROR(O203+O216,"")</f>
        <v>1895110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211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213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0" t="s">
        <v>214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211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213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0" t="s">
        <v>214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211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213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0" t="s">
        <v>214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211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213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0" t="s">
        <v>214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211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213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0" t="s">
        <v>214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211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213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0" t="s">
        <v>214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211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213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0" t="s">
        <v>214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211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213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0" t="s">
        <v>214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211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213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0" t="s">
        <v>214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211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213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0" t="s">
        <v>214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211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213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0" t="s">
        <v>214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211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213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0" t="s">
        <v>214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211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213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0" t="s">
        <v>214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211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213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0" t="s">
        <v>214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211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213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0" t="s">
        <v>214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211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213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0" t="s">
        <v>214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211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213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0" t="s">
        <v>214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211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213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0" t="s">
        <v>214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211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213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0" t="s">
        <v>214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211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213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0" t="s">
        <v>214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211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213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0" t="s">
        <v>214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211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213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0" t="s">
        <v>214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197" activePane="bottomLeft" state="frozen"/>
      <selection pane="bottomLeft" activeCell="K207" sqref="K20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10</v>
      </c>
      <c r="G3" s="34">
        <f t="shared" si="0"/>
        <v>42</v>
      </c>
      <c r="H3" s="33" t="s">
        <v>19</v>
      </c>
      <c r="I3" s="33" t="s">
        <v>154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220</v>
      </c>
      <c r="F4" s="27">
        <v>8</v>
      </c>
      <c r="G4" s="28">
        <f t="shared" si="0"/>
        <v>33.6</v>
      </c>
      <c r="H4" s="26" t="s">
        <v>19</v>
      </c>
      <c r="I4" s="26" t="s">
        <v>154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211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154</v>
      </c>
      <c r="J15" s="33" t="s">
        <v>161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213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212</v>
      </c>
      <c r="O27" s="78">
        <v>393200</v>
      </c>
    </row>
    <row r="28" spans="1:15" ht="18" customHeight="1">
      <c r="A28" s="90" t="s">
        <v>214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162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211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222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220</v>
      </c>
      <c r="F45" s="27">
        <v>0</v>
      </c>
      <c r="G45" s="28">
        <f t="shared" si="9"/>
        <v>0</v>
      </c>
      <c r="H45" s="33" t="s">
        <v>20</v>
      </c>
      <c r="I45" s="33" t="s">
        <v>154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213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85">
        <v>276360</v>
      </c>
    </row>
    <row r="55" spans="1:15" ht="18" customHeight="1">
      <c r="A55" s="90" t="s">
        <v>214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223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224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211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18</v>
      </c>
      <c r="G70" s="28">
        <f t="shared" si="15"/>
        <v>75.600000000000009</v>
      </c>
      <c r="H70" s="26" t="s">
        <v>19</v>
      </c>
      <c r="I70" s="26" t="s">
        <v>154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213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212</v>
      </c>
      <c r="O81" s="54">
        <v>787860</v>
      </c>
    </row>
    <row r="82" spans="1:15" ht="18" customHeight="1">
      <c r="A82" s="90" t="s">
        <v>214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181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211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142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227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151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228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213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212</v>
      </c>
      <c r="O108" s="54">
        <v>1087080</v>
      </c>
    </row>
    <row r="109" spans="1:15" ht="18" customHeight="1">
      <c r="A109" s="90" t="s">
        <v>214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162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229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211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161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230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151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231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151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232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 t="s">
        <v>18</v>
      </c>
      <c r="I127" s="33" t="s">
        <v>154</v>
      </c>
      <c r="J127" s="33" t="s">
        <v>161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188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193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193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213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212</v>
      </c>
      <c r="O135" s="54">
        <v>794480</v>
      </c>
    </row>
    <row r="136" spans="1:15" ht="18" customHeight="1">
      <c r="A136" s="90" t="s">
        <v>214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215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193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234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211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212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213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212</v>
      </c>
      <c r="O162" s="54">
        <v>882280</v>
      </c>
    </row>
    <row r="163" spans="1:15" ht="18" customHeight="1">
      <c r="A163" s="90" t="s">
        <v>214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215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211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212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213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212</v>
      </c>
      <c r="O189" s="78"/>
    </row>
    <row r="190" spans="1:15" ht="18" customHeight="1">
      <c r="A190" s="90" t="s">
        <v>214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211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212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29.400000000000002</v>
      </c>
      <c r="H205" s="33" t="s">
        <v>18</v>
      </c>
      <c r="I205" s="33" t="s">
        <v>31</v>
      </c>
      <c r="J205" s="33" t="s">
        <v>151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24</v>
      </c>
      <c r="G206" s="28">
        <f t="shared" si="45"/>
        <v>100.80000000000001</v>
      </c>
      <c r="H206" s="26"/>
      <c r="I206" s="26"/>
      <c r="J206" s="26"/>
      <c r="K206" s="29">
        <v>6.25E-2</v>
      </c>
      <c r="L206" s="29"/>
      <c r="M206" s="30">
        <f t="shared" ca="1" si="46"/>
        <v>1.3148958336387295E-2</v>
      </c>
      <c r="N206" s="46" t="s">
        <v>237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27</v>
      </c>
      <c r="G207" s="34">
        <f t="shared" si="45"/>
        <v>113.4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213</v>
      </c>
      <c r="B216" s="88"/>
      <c r="C216" s="88"/>
      <c r="D216" s="88"/>
      <c r="E216" s="89">
        <f>SUM(E204:E215)</f>
        <v>0</v>
      </c>
      <c r="F216" s="36">
        <f>SUM(F204:F215)</f>
        <v>112</v>
      </c>
      <c r="G216" s="36">
        <f>SUM(G204:G215)</f>
        <v>470.40000000000009</v>
      </c>
      <c r="H216" s="37"/>
      <c r="I216" s="37"/>
      <c r="J216" s="37"/>
      <c r="K216" s="37"/>
      <c r="L216" s="37"/>
      <c r="M216" s="38">
        <f ca="1">IFERROR(SUM(M204:M215),"")</f>
        <v>6.523229166972061E-2</v>
      </c>
      <c r="N216" s="36" t="s">
        <v>212</v>
      </c>
      <c r="O216" s="78"/>
    </row>
    <row r="217" spans="1:15" ht="18" customHeight="1">
      <c r="A217" s="90" t="s">
        <v>214</v>
      </c>
      <c r="B217" s="91"/>
      <c r="C217" s="91"/>
      <c r="D217" s="91"/>
      <c r="E217" s="92">
        <f>E203+E216</f>
        <v>0</v>
      </c>
      <c r="F217" s="40">
        <f>F203+F216</f>
        <v>112</v>
      </c>
      <c r="G217" s="40">
        <f>G203+G216</f>
        <v>470.40000000000009</v>
      </c>
      <c r="H217" s="41"/>
      <c r="I217" s="41"/>
      <c r="J217" s="41"/>
      <c r="K217" s="41"/>
      <c r="L217" s="41"/>
      <c r="M217" s="42">
        <f ca="1">IFERROR(M203+M216,"")</f>
        <v>6.523229166972061E-2</v>
      </c>
      <c r="N217" s="40" t="s">
        <v>215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211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212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213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78"/>
    </row>
    <row r="244" spans="1:15" ht="18" customHeight="1">
      <c r="A244" s="90" t="s">
        <v>214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215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211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213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78"/>
    </row>
    <row r="271" spans="1:15" ht="18" customHeight="1">
      <c r="A271" s="90" t="s">
        <v>214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211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213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78"/>
    </row>
    <row r="298" spans="1:15" ht="18" customHeight="1">
      <c r="A298" s="90" t="s">
        <v>214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211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213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78"/>
    </row>
    <row r="325" spans="1:15" ht="18" customHeight="1">
      <c r="A325" s="90" t="s">
        <v>214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211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213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78"/>
    </row>
    <row r="352" spans="1:15" ht="18" customHeight="1">
      <c r="A352" s="90" t="s">
        <v>214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211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213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78"/>
    </row>
    <row r="379" spans="1:15" ht="18" customHeight="1">
      <c r="A379" s="90" t="s">
        <v>214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211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213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78"/>
    </row>
    <row r="406" spans="1:15" ht="18" customHeight="1">
      <c r="A406" s="90" t="s">
        <v>214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211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213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78"/>
    </row>
    <row r="433" spans="1:15" ht="18" customHeight="1">
      <c r="A433" s="90" t="s">
        <v>214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211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213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78"/>
    </row>
    <row r="460" spans="1:15" ht="18" customHeight="1">
      <c r="A460" s="90" t="s">
        <v>214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211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213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78"/>
    </row>
    <row r="487" spans="1:15" ht="18" customHeight="1">
      <c r="A487" s="90" t="s">
        <v>214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211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213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78"/>
    </row>
    <row r="514" spans="1:15" ht="18" customHeight="1">
      <c r="A514" s="90" t="s">
        <v>214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211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213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78"/>
    </row>
    <row r="541" spans="1:15" ht="18" customHeight="1">
      <c r="A541" s="90" t="s">
        <v>214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211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213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78"/>
    </row>
    <row r="568" spans="1:15" ht="18" customHeight="1">
      <c r="A568" s="90" t="s">
        <v>214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211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213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78"/>
    </row>
    <row r="595" spans="1:15" ht="18" customHeight="1">
      <c r="A595" s="90" t="s">
        <v>214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211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213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78"/>
    </row>
    <row r="622" spans="1:15" ht="18" customHeight="1">
      <c r="A622" s="90" t="s">
        <v>214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211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213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78"/>
    </row>
    <row r="649" spans="1:15" ht="18" customHeight="1">
      <c r="A649" s="90" t="s">
        <v>214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211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213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78"/>
    </row>
    <row r="676" spans="1:15" ht="18" customHeight="1">
      <c r="A676" s="90" t="s">
        <v>214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211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213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78"/>
    </row>
    <row r="703" spans="1:15" ht="18" customHeight="1">
      <c r="A703" s="90" t="s">
        <v>214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211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213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78"/>
    </row>
    <row r="730" spans="1:15" ht="18" customHeight="1">
      <c r="A730" s="90" t="s">
        <v>214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211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213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0" t="s">
        <v>214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211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213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0" t="s">
        <v>214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211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213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0" t="s">
        <v>214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89" activePane="bottomLeft" state="frozen"/>
      <selection pane="bottomLeft" activeCell="F210" sqref="F21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161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211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213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212</v>
      </c>
      <c r="O27" s="39">
        <v>308500</v>
      </c>
    </row>
    <row r="28" spans="1:15" ht="18" customHeight="1">
      <c r="A28" s="90" t="s">
        <v>214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162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211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213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39">
        <v>124290</v>
      </c>
    </row>
    <row r="55" spans="1:15" ht="18" customHeight="1">
      <c r="A55" s="90" t="s">
        <v>214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211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162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213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212</v>
      </c>
      <c r="O81" s="39">
        <v>396340</v>
      </c>
    </row>
    <row r="82" spans="1:15" ht="18" customHeight="1">
      <c r="A82" s="90" t="s">
        <v>214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211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213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212</v>
      </c>
      <c r="O108" s="39">
        <v>41230</v>
      </c>
    </row>
    <row r="109" spans="1:15" ht="18" customHeight="1">
      <c r="A109" s="90" t="s">
        <v>214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211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188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213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212</v>
      </c>
      <c r="O135" s="39">
        <v>381250</v>
      </c>
    </row>
    <row r="136" spans="1:15" ht="18" customHeight="1">
      <c r="A136" s="90" t="s">
        <v>214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215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211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212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213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212</v>
      </c>
      <c r="O162" s="39">
        <v>337120</v>
      </c>
    </row>
    <row r="163" spans="1:15" ht="18" customHeight="1">
      <c r="A163" s="90" t="s">
        <v>214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215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125</v>
      </c>
      <c r="K166" s="29">
        <v>0.45694444444444443</v>
      </c>
      <c r="L166" s="29">
        <v>0.47222222222222221</v>
      </c>
      <c r="M166" s="30" t="s">
        <v>246</v>
      </c>
      <c r="N166" s="27" t="s">
        <v>247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211</v>
      </c>
      <c r="B176" s="88"/>
      <c r="C176" s="88"/>
      <c r="D176" s="88"/>
      <c r="E176" s="8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212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213</v>
      </c>
      <c r="B189" s="88"/>
      <c r="C189" s="88"/>
      <c r="D189" s="88"/>
      <c r="E189" s="8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212</v>
      </c>
      <c r="O189" s="39">
        <v>747210</v>
      </c>
    </row>
    <row r="190" spans="1:15" ht="18" customHeight="1">
      <c r="A190" s="90" t="s">
        <v>214</v>
      </c>
      <c r="B190" s="91"/>
      <c r="C190" s="91"/>
      <c r="D190" s="91"/>
      <c r="E190" s="9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215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133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166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248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159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211</v>
      </c>
      <c r="B203" s="88"/>
      <c r="C203" s="88"/>
      <c r="D203" s="88"/>
      <c r="E203" s="89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212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54.6</v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15</v>
      </c>
      <c r="G206" s="28">
        <f t="shared" si="45"/>
        <v>63</v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213</v>
      </c>
      <c r="B216" s="88"/>
      <c r="C216" s="88"/>
      <c r="D216" s="88"/>
      <c r="E216" s="89">
        <f>SUM(E204:E215)</f>
        <v>0</v>
      </c>
      <c r="F216" s="36">
        <f>SUM(F204:F215)</f>
        <v>58</v>
      </c>
      <c r="G216" s="36">
        <f>SUM(G204:G215)</f>
        <v>243.60000000000002</v>
      </c>
      <c r="H216" s="37"/>
      <c r="I216" s="37"/>
      <c r="J216" s="37"/>
      <c r="K216" s="37"/>
      <c r="L216" s="37"/>
      <c r="M216" s="38">
        <f ca="1">IFERROR(SUM(M204:M215),"")</f>
        <v>3.472222222222221E-2</v>
      </c>
      <c r="N216" s="36" t="s">
        <v>212</v>
      </c>
      <c r="O216" s="39"/>
    </row>
    <row r="217" spans="1:15" ht="18" customHeight="1">
      <c r="A217" s="90" t="s">
        <v>214</v>
      </c>
      <c r="B217" s="91"/>
      <c r="C217" s="91"/>
      <c r="D217" s="91"/>
      <c r="E217" s="92">
        <f>E203+E216</f>
        <v>0</v>
      </c>
      <c r="F217" s="40">
        <f>F203+F216</f>
        <v>148</v>
      </c>
      <c r="G217" s="40">
        <f>G203+G216</f>
        <v>621.59999999999991</v>
      </c>
      <c r="H217" s="41"/>
      <c r="I217" s="41"/>
      <c r="J217" s="41"/>
      <c r="K217" s="41"/>
      <c r="L217" s="41"/>
      <c r="M217" s="42">
        <f ca="1">IFERROR(M203+M216,"")</f>
        <v>0.19097222222222227</v>
      </c>
      <c r="N217" s="40" t="s">
        <v>215</v>
      </c>
      <c r="O217" s="48">
        <f>IFERROR(O203+O216,"")</f>
        <v>324840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211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213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0" t="s">
        <v>214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211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213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0" t="s">
        <v>214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211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213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0" t="s">
        <v>214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211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213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0" t="s">
        <v>214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211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213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0" t="s">
        <v>214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211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213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0" t="s">
        <v>214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211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213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0" t="s">
        <v>214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211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213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0" t="s">
        <v>214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211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213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0" t="s">
        <v>214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211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213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0" t="s">
        <v>214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211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213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0" t="s">
        <v>214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211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213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0" t="s">
        <v>214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211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213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0" t="s">
        <v>214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211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213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0" t="s">
        <v>214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211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213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0" t="s">
        <v>214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211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213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0" t="s">
        <v>214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211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213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0" t="s">
        <v>214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211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213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0" t="s">
        <v>214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211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213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0" t="s">
        <v>214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211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213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0" t="s">
        <v>214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211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213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0" t="s">
        <v>214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211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213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0" t="s">
        <v>214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03" activePane="bottomLeft" state="frozen"/>
      <selection pane="bottomLeft" activeCell="F210" sqref="F21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136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18</v>
      </c>
      <c r="I3" s="33" t="s">
        <v>157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211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213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212</v>
      </c>
      <c r="O27" s="39">
        <v>202230</v>
      </c>
    </row>
    <row r="28" spans="1:15" ht="18" customHeight="1">
      <c r="A28" s="90" t="s">
        <v>214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124</v>
      </c>
      <c r="J29" s="33" t="s">
        <v>191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 t="s">
        <v>20</v>
      </c>
      <c r="I35" s="33" t="s">
        <v>147</v>
      </c>
      <c r="J35" s="33" t="s">
        <v>176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 t="s">
        <v>20</v>
      </c>
      <c r="I36" s="26" t="s">
        <v>147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211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213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212</v>
      </c>
      <c r="O54" s="39">
        <v>473910</v>
      </c>
    </row>
    <row r="55" spans="1:15" ht="18" customHeight="1">
      <c r="A55" s="90" t="s">
        <v>214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253</v>
      </c>
      <c r="L58" s="29">
        <v>0.54097222222222219</v>
      </c>
      <c r="M58" s="30" t="str">
        <f t="shared" ca="1" si="13"/>
        <v/>
      </c>
      <c r="N58" s="27" t="s">
        <v>254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211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12</v>
      </c>
      <c r="G71" s="34">
        <f t="shared" si="15"/>
        <v>50.400000000000006</v>
      </c>
      <c r="H71" s="33" t="s">
        <v>18</v>
      </c>
      <c r="I71" s="33" t="s">
        <v>124</v>
      </c>
      <c r="J71" s="33" t="s">
        <v>192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162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162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162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1</v>
      </c>
      <c r="G76" s="28">
        <f t="shared" si="15"/>
        <v>4.2</v>
      </c>
      <c r="H76" s="26" t="s">
        <v>20</v>
      </c>
      <c r="I76" s="26" t="s">
        <v>147</v>
      </c>
      <c r="J76" s="26" t="s">
        <v>179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213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212</v>
      </c>
      <c r="O81" s="39">
        <v>565120</v>
      </c>
    </row>
    <row r="82" spans="1:15" ht="18" customHeight="1">
      <c r="A82" s="90" t="s">
        <v>214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211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157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193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213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212</v>
      </c>
      <c r="O108" s="39">
        <v>558590</v>
      </c>
    </row>
    <row r="109" spans="1:15" ht="18" customHeight="1">
      <c r="A109" s="90" t="s">
        <v>214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193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211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124</v>
      </c>
      <c r="J125" s="33" t="s">
        <v>195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23</v>
      </c>
      <c r="G126" s="28">
        <f t="shared" si="27"/>
        <v>115</v>
      </c>
      <c r="H126" s="26" t="s">
        <v>19</v>
      </c>
      <c r="I126" s="26" t="s">
        <v>157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188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0.82634340278309537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233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213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1.025648958338651</v>
      </c>
      <c r="N135" s="36" t="s">
        <v>212</v>
      </c>
      <c r="O135" s="39">
        <v>729290</v>
      </c>
    </row>
    <row r="136" spans="1:18" ht="18" customHeight="1">
      <c r="A136" s="90" t="s">
        <v>214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1.393010069449762</v>
      </c>
      <c r="N136" s="40" t="s">
        <v>215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28</v>
      </c>
      <c r="G139" s="34">
        <f t="shared" si="30"/>
        <v>140</v>
      </c>
      <c r="H139" s="33" t="s">
        <v>19</v>
      </c>
      <c r="I139" s="33" t="s">
        <v>157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211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212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162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213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212</v>
      </c>
      <c r="O162" s="39">
        <v>697320</v>
      </c>
    </row>
    <row r="163" spans="1:15" ht="18" customHeight="1">
      <c r="A163" s="90" t="s">
        <v>214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215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220</v>
      </c>
      <c r="F165" s="27">
        <v>20</v>
      </c>
      <c r="G165" s="34">
        <f t="shared" si="36"/>
        <v>84</v>
      </c>
      <c r="H165" s="33" t="s">
        <v>20</v>
      </c>
      <c r="I165" s="33" t="s">
        <v>136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220</v>
      </c>
      <c r="F166" s="27">
        <v>10</v>
      </c>
      <c r="G166" s="28">
        <f t="shared" si="36"/>
        <v>42</v>
      </c>
      <c r="H166" s="26" t="s">
        <v>19</v>
      </c>
      <c r="I166" s="26" t="s">
        <v>136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211</v>
      </c>
      <c r="B176" s="88"/>
      <c r="C176" s="88"/>
      <c r="D176" s="88"/>
      <c r="E176" s="8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212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157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16</v>
      </c>
      <c r="G178" s="28">
        <f t="shared" si="39"/>
        <v>67.2</v>
      </c>
      <c r="H178" s="26" t="s">
        <v>20</v>
      </c>
      <c r="I178" s="26" t="s">
        <v>136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20</v>
      </c>
      <c r="G179" s="34">
        <f t="shared" si="39"/>
        <v>84</v>
      </c>
      <c r="H179" s="33" t="s">
        <v>20</v>
      </c>
      <c r="I179" s="33" t="s">
        <v>136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213</v>
      </c>
      <c r="B189" s="88"/>
      <c r="C189" s="88"/>
      <c r="D189" s="88"/>
      <c r="E189" s="8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212</v>
      </c>
      <c r="O189" s="39">
        <v>973580</v>
      </c>
    </row>
    <row r="190" spans="1:15" ht="18" customHeight="1">
      <c r="A190" s="90" t="s">
        <v>214</v>
      </c>
      <c r="B190" s="91"/>
      <c r="C190" s="91"/>
      <c r="D190" s="91"/>
      <c r="E190" s="9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215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138</v>
      </c>
      <c r="J191" s="33" t="s">
        <v>125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220</v>
      </c>
      <c r="F192" s="27">
        <v>15</v>
      </c>
      <c r="G192" s="28">
        <f t="shared" si="42"/>
        <v>63</v>
      </c>
      <c r="H192" s="26" t="s">
        <v>19</v>
      </c>
      <c r="I192" s="26" t="s">
        <v>157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220</v>
      </c>
      <c r="F193" s="27">
        <v>15</v>
      </c>
      <c r="G193" s="34">
        <f t="shared" si="42"/>
        <v>63</v>
      </c>
      <c r="H193" s="33" t="s">
        <v>18</v>
      </c>
      <c r="I193" s="33" t="s">
        <v>136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266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220</v>
      </c>
      <c r="F194" s="27">
        <v>15</v>
      </c>
      <c r="G194" s="28">
        <f t="shared" si="42"/>
        <v>63</v>
      </c>
      <c r="H194" s="26" t="s">
        <v>19</v>
      </c>
      <c r="I194" s="26" t="s">
        <v>157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267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211</v>
      </c>
      <c r="B203" s="88"/>
      <c r="C203" s="88"/>
      <c r="D203" s="88"/>
      <c r="E203" s="89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212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50.400000000000006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161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268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26</v>
      </c>
      <c r="G208" s="28">
        <f t="shared" si="45"/>
        <v>109.2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213</v>
      </c>
      <c r="B216" s="88"/>
      <c r="C216" s="88"/>
      <c r="D216" s="88"/>
      <c r="E216" s="89">
        <f>SUM(E204:E215)</f>
        <v>0</v>
      </c>
      <c r="F216" s="36">
        <f>SUM(F204:F215)</f>
        <v>100</v>
      </c>
      <c r="G216" s="36">
        <f>SUM(G204:G215)</f>
        <v>420</v>
      </c>
      <c r="H216" s="37"/>
      <c r="I216" s="37"/>
      <c r="J216" s="37"/>
      <c r="K216" s="61"/>
      <c r="L216" s="61"/>
      <c r="M216" s="38">
        <f ca="1">IFERROR(SUM(M204:M215),"")</f>
        <v>5.8333333333333404E-2</v>
      </c>
      <c r="N216" s="36" t="s">
        <v>212</v>
      </c>
      <c r="O216" s="45"/>
    </row>
    <row r="217" spans="1:15" ht="18" customHeight="1">
      <c r="A217" s="90" t="s">
        <v>214</v>
      </c>
      <c r="B217" s="91"/>
      <c r="C217" s="91"/>
      <c r="D217" s="91"/>
      <c r="E217" s="92">
        <f>E203+E216</f>
        <v>0</v>
      </c>
      <c r="F217" s="40">
        <f>F203+F216</f>
        <v>250</v>
      </c>
      <c r="G217" s="40">
        <f>G203+G216</f>
        <v>1050</v>
      </c>
      <c r="H217" s="41"/>
      <c r="I217" s="41"/>
      <c r="J217" s="41"/>
      <c r="K217" s="63"/>
      <c r="L217" s="63"/>
      <c r="M217" s="42">
        <f ca="1">IFERROR(M203+M216,"")</f>
        <v>0.25555555555555559</v>
      </c>
      <c r="N217" s="40" t="s">
        <v>215</v>
      </c>
      <c r="O217" s="48">
        <f>IFERROR(O203+O216,"")</f>
        <v>674440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211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213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0" t="s">
        <v>214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211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213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0" t="s">
        <v>214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211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213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0" t="s">
        <v>214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211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213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0" t="s">
        <v>214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211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213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0" t="s">
        <v>214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211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213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0" t="s">
        <v>214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211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213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0" t="s">
        <v>214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211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213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212</v>
      </c>
      <c r="O432" s="39"/>
    </row>
    <row r="433" spans="1:17" ht="18" customHeight="1">
      <c r="A433" s="90" t="s">
        <v>214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211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213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0" t="s">
        <v>214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211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213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0" t="s">
        <v>214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211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213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0" t="s">
        <v>214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211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213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0" t="s">
        <v>214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211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213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0" t="s">
        <v>214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211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213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0" t="s">
        <v>214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211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213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0" t="s">
        <v>214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211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213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0" t="s">
        <v>214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211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213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0" t="s">
        <v>214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211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213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0" t="s">
        <v>214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211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213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0" t="s">
        <v>214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211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213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0" t="s">
        <v>214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211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213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0" t="s">
        <v>214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211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213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0" t="s">
        <v>214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2026-07-09T05:49:30Z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