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037" documentId="13_ncr:1_{0A10D8D4-8450-4366-8075-B53B08E6B7EA}" xr6:coauthVersionLast="47" xr6:coauthVersionMax="47" xr10:uidLastSave="{08DA90F9-B482-496D-9B45-D70160894D45}"/>
  <bookViews>
    <workbookView xWindow="-28920" yWindow="-6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58" i="6" s="1"/>
  <c r="J358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59" i="5" s="1"/>
  <c r="J359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H359" i="4" s="1"/>
  <c r="J359" i="4" s="1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6" i="6" l="1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<sst xmlns="http://schemas.openxmlformats.org/spreadsheetml/2006/main" count="6337" uniqueCount="346">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</sst>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F360" sqref="F36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220</v>
      </c>
      <c r="G365" s="36">
        <f>SUM(G353:G364)</f>
        <v>1066.4000000000001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220</v>
      </c>
      <c r="G379" s="40">
        <f>G365+G378</f>
        <v>1066.4000000000001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D364" sqref="D36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0.471915624999383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0.61080451388827184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0.6955267361104942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75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315</v>
      </c>
      <c r="L365" s="37"/>
      <c r="M365" s="37"/>
      <c r="N365" s="37"/>
      <c r="O365" s="37"/>
      <c r="P365" s="37"/>
      <c r="Q365" s="38">
        <f ca="1">IFERROR(SUM(Q353:Q364),"")</f>
        <v>4.9305555555555491E-2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75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315</v>
      </c>
      <c r="L379" s="41"/>
      <c r="M379" s="41"/>
      <c r="N379" s="41"/>
      <c r="O379" s="41"/>
      <c r="P379" s="41"/>
      <c r="Q379" s="42">
        <f ca="1">IFERROR(Q365+Q378,"")</f>
        <v>4.9305555555555491E-2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37" activePane="bottomLeft" state="frozen"/>
      <selection pane="bottomLeft" activeCell="D354" sqref="D35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0"/>
        <v/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0"/>
        <v/>
      </c>
      <c r="K356" s="28">
        <f t="shared" si="81"/>
        <v>29.400000000000002</v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0"/>
        <v/>
      </c>
      <c r="K357" s="34">
        <f t="shared" si="81"/>
        <v>37.800000000000004</v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 t="str">
        <f t="shared" si="80"/>
        <v/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37</v>
      </c>
      <c r="E359" s="109" t="s">
        <v>259</v>
      </c>
      <c r="F359" s="134" t="str">
        <f>IFERROR(IF($D359="","",VLOOKUP($D359,Cadastro!$C$4:$E$7,3,FALSE)),"")</f>
        <v>b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 t="str">
        <f t="shared" si="80"/>
        <v/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37</v>
      </c>
      <c r="E360" s="109" t="s">
        <v>259</v>
      </c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37</v>
      </c>
      <c r="E361" s="109" t="s">
        <v>259</v>
      </c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37</v>
      </c>
      <c r="E362" s="109" t="s">
        <v>259</v>
      </c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37</v>
      </c>
      <c r="E363" s="109"/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37</v>
      </c>
      <c r="E364" s="109"/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53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222.60000000000002</v>
      </c>
      <c r="L365" s="37"/>
      <c r="M365" s="37"/>
      <c r="N365" s="37"/>
      <c r="O365" s="37"/>
      <c r="P365" s="37"/>
      <c r="Q365" s="38">
        <f ca="1">IFERROR(SUM(Q353:Q364),"")</f>
        <v>4.7222222222222221E-2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53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222.60000000000002</v>
      </c>
      <c r="L379" s="41"/>
      <c r="M379" s="41"/>
      <c r="N379" s="41"/>
      <c r="O379" s="41"/>
      <c r="P379" s="41"/>
      <c r="Q379" s="42">
        <f ca="1">IFERROR(Q365+Q378,"")</f>
        <v>4.7222222222222221E-2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D364" sqref="D36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/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/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/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/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115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483</v>
      </c>
      <c r="L365" s="37"/>
      <c r="M365" s="37"/>
      <c r="N365" s="37"/>
      <c r="O365" s="61"/>
      <c r="P365" s="61"/>
      <c r="Q365" s="38">
        <f ca="1">IFERROR(SUM(Q353:Q364),"")</f>
        <v>0.10277777777777786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115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483</v>
      </c>
      <c r="L379" s="41"/>
      <c r="M379" s="41"/>
      <c r="N379" s="41"/>
      <c r="O379" s="63"/>
      <c r="P379" s="63"/>
      <c r="Q379" s="42">
        <f ca="1">IFERROR(Q365+Q378,"")</f>
        <v>0.10277777777777786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2026-08-14T18:14:34Z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