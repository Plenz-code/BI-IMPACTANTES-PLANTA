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91" documentId="8_{AF585B22-221D-4780-BB9C-493D365A6A02}" xr6:coauthVersionLast="47" xr6:coauthVersionMax="47" xr10:uidLastSave="{05D85882-E493-4F44-9CBF-22CB79BB4DC5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2" i="3" l="1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G26" i="3"/>
  <c r="G25" i="3"/>
  <c r="G24" i="3"/>
  <c r="G23" i="3"/>
  <c r="G22" i="3"/>
  <c r="G21" i="3"/>
  <c r="G20" i="3"/>
  <c r="G19" i="3"/>
  <c r="G18" i="3"/>
  <c r="G17" i="3"/>
  <c r="G16" i="3"/>
  <c r="G15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4" i="4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G769" i="4"/>
  <c r="G768" i="4"/>
  <c r="G767" i="4"/>
  <c r="G766" i="4"/>
  <c r="G765" i="4"/>
  <c r="G764" i="4"/>
  <c r="G763" i="4"/>
  <c r="G762" i="4"/>
  <c r="G761" i="4"/>
  <c r="G760" i="4"/>
  <c r="G759" i="4"/>
  <c r="G770" i="4" s="1"/>
  <c r="G784" i="4" s="1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F730" i="4" s="1"/>
  <c r="G728" i="4"/>
  <c r="G727" i="4"/>
  <c r="G726" i="4"/>
  <c r="G725" i="4"/>
  <c r="G724" i="4"/>
  <c r="G723" i="4"/>
  <c r="G722" i="4"/>
  <c r="G721" i="4"/>
  <c r="G720" i="4"/>
  <c r="G729" i="4" s="1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89" i="4" s="1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F649" i="4" s="1"/>
  <c r="G647" i="4"/>
  <c r="G646" i="4"/>
  <c r="G645" i="4"/>
  <c r="G644" i="4"/>
  <c r="G643" i="4"/>
  <c r="G642" i="4"/>
  <c r="G641" i="4"/>
  <c r="G648" i="4" s="1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G649" i="4" s="1"/>
  <c r="G621" i="4"/>
  <c r="F621" i="4"/>
  <c r="G620" i="4"/>
  <c r="G619" i="4"/>
  <c r="G618" i="4"/>
  <c r="G617" i="4"/>
  <c r="G616" i="4"/>
  <c r="G614" i="4"/>
  <c r="G613" i="4"/>
  <c r="G612" i="4"/>
  <c r="G611" i="4"/>
  <c r="G610" i="4"/>
  <c r="G609" i="4"/>
  <c r="F608" i="4"/>
  <c r="F622" i="4" s="1"/>
  <c r="G607" i="4"/>
  <c r="G606" i="4"/>
  <c r="G605" i="4"/>
  <c r="G604" i="4"/>
  <c r="G603" i="4"/>
  <c r="G602" i="4"/>
  <c r="G601" i="4"/>
  <c r="G600" i="4"/>
  <c r="G608" i="4" s="1"/>
  <c r="G622" i="4" s="1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G581" i="4"/>
  <c r="G595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F567" i="4"/>
  <c r="F568" i="4" s="1"/>
  <c r="G566" i="4"/>
  <c r="G567" i="4" s="1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7" i="4" s="1"/>
  <c r="G541" i="4" s="1"/>
  <c r="G525" i="4"/>
  <c r="G524" i="4"/>
  <c r="G523" i="4"/>
  <c r="G522" i="4"/>
  <c r="G521" i="4"/>
  <c r="G520" i="4"/>
  <c r="G519" i="4"/>
  <c r="G518" i="4"/>
  <c r="G517" i="4"/>
  <c r="G516" i="4"/>
  <c r="G515" i="4"/>
  <c r="F513" i="4"/>
  <c r="F514" i="4" s="1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7" i="4"/>
  <c r="G486" i="4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F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G446" i="4"/>
  <c r="G460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F432" i="4"/>
  <c r="F433" i="4" s="1"/>
  <c r="G431" i="4"/>
  <c r="G430" i="4"/>
  <c r="G429" i="4"/>
  <c r="G428" i="4"/>
  <c r="G427" i="4"/>
  <c r="G426" i="4"/>
  <c r="G425" i="4"/>
  <c r="G424" i="4"/>
  <c r="G423" i="4"/>
  <c r="G422" i="4"/>
  <c r="G432" i="4" s="1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92" i="4" s="1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78" i="4" s="1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G379" i="4" s="1"/>
  <c r="F351" i="4"/>
  <c r="F352" i="4" s="1"/>
  <c r="G350" i="4"/>
  <c r="G349" i="4"/>
  <c r="G348" i="4"/>
  <c r="G347" i="4"/>
  <c r="G346" i="4"/>
  <c r="G345" i="4"/>
  <c r="G344" i="4"/>
  <c r="G343" i="4"/>
  <c r="G351" i="4" s="1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38" i="4" s="1"/>
  <c r="G352" i="4" s="1"/>
  <c r="G326" i="4"/>
  <c r="G324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F311" i="4"/>
  <c r="F325" i="4" s="1"/>
  <c r="G310" i="4"/>
  <c r="G309" i="4"/>
  <c r="G308" i="4"/>
  <c r="G307" i="4"/>
  <c r="G306" i="4"/>
  <c r="G305" i="4"/>
  <c r="G304" i="4"/>
  <c r="G303" i="4"/>
  <c r="G311" i="4" s="1"/>
  <c r="G325" i="4" s="1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G284" i="4"/>
  <c r="G298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F270" i="4"/>
  <c r="F271" i="4" s="1"/>
  <c r="G269" i="4"/>
  <c r="G270" i="4" s="1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G271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30" i="4" s="1"/>
  <c r="G244" i="4" s="1"/>
  <c r="G228" i="4"/>
  <c r="G227" i="4"/>
  <c r="G226" i="4"/>
  <c r="G225" i="4"/>
  <c r="G224" i="4"/>
  <c r="G223" i="4"/>
  <c r="G222" i="4"/>
  <c r="G221" i="4"/>
  <c r="G220" i="4"/>
  <c r="G219" i="4"/>
  <c r="G218" i="4"/>
  <c r="F216" i="4"/>
  <c r="F217" i="4" s="1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90" i="4"/>
  <c r="G189" i="4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F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G149" i="4"/>
  <c r="G163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F135" i="4"/>
  <c r="F136" i="4" s="1"/>
  <c r="G134" i="4"/>
  <c r="G133" i="4"/>
  <c r="G132" i="4"/>
  <c r="G131" i="4"/>
  <c r="G130" i="4"/>
  <c r="G129" i="4"/>
  <c r="G128" i="4"/>
  <c r="G127" i="4"/>
  <c r="G126" i="4"/>
  <c r="G125" i="4"/>
  <c r="G135" i="4" s="1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G136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95" i="4" s="1"/>
  <c r="G109" i="4" s="1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81" i="4" s="1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G82" i="4" s="1"/>
  <c r="F54" i="4"/>
  <c r="F55" i="4" s="1"/>
  <c r="G53" i="4"/>
  <c r="G52" i="4"/>
  <c r="G51" i="4"/>
  <c r="G50" i="4"/>
  <c r="G49" i="4"/>
  <c r="G48" i="4"/>
  <c r="G47" i="4"/>
  <c r="G46" i="4"/>
  <c r="G54" i="4" s="1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41" i="4" s="1"/>
  <c r="G29" i="4"/>
  <c r="G27" i="4"/>
  <c r="F27" i="4"/>
  <c r="G26" i="4"/>
  <c r="G25" i="4"/>
  <c r="G24" i="4"/>
  <c r="G23" i="4"/>
  <c r="G22" i="4"/>
  <c r="G21" i="4"/>
  <c r="G20" i="4"/>
  <c r="G19" i="4"/>
  <c r="G18" i="4"/>
  <c r="G17" i="4"/>
  <c r="G16" i="4"/>
  <c r="G15" i="4"/>
  <c r="F14" i="4"/>
  <c r="F28" i="4" s="1"/>
  <c r="G13" i="4"/>
  <c r="G12" i="4"/>
  <c r="G11" i="4"/>
  <c r="G10" i="4"/>
  <c r="G9" i="4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F784" i="5" s="1"/>
  <c r="G782" i="5"/>
  <c r="G781" i="5"/>
  <c r="G783" i="5" s="1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70" i="5" s="1"/>
  <c r="G784" i="5" s="1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43" i="5" s="1"/>
  <c r="G757" i="5" s="1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29" i="5" s="1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G730" i="5" s="1"/>
  <c r="F702" i="5"/>
  <c r="F703" i="5" s="1"/>
  <c r="G701" i="5"/>
  <c r="G702" i="5" s="1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89" i="5" s="1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2" i="5" s="1"/>
  <c r="G676" i="5" s="1"/>
  <c r="G660" i="5"/>
  <c r="G659" i="5"/>
  <c r="G658" i="5"/>
  <c r="G657" i="5"/>
  <c r="G656" i="5"/>
  <c r="G655" i="5"/>
  <c r="G654" i="5"/>
  <c r="G653" i="5"/>
  <c r="G652" i="5"/>
  <c r="G651" i="5"/>
  <c r="G650" i="5"/>
  <c r="F648" i="5"/>
  <c r="F649" i="5" s="1"/>
  <c r="G647" i="5"/>
  <c r="G646" i="5"/>
  <c r="G645" i="5"/>
  <c r="G644" i="5"/>
  <c r="G643" i="5"/>
  <c r="G642" i="5"/>
  <c r="G641" i="5"/>
  <c r="G648" i="5" s="1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2" i="5"/>
  <c r="G621" i="5"/>
  <c r="F621" i="5"/>
  <c r="G620" i="5"/>
  <c r="G619" i="5"/>
  <c r="G618" i="5"/>
  <c r="G617" i="5"/>
  <c r="G616" i="5"/>
  <c r="G614" i="5"/>
  <c r="G613" i="5"/>
  <c r="G612" i="5"/>
  <c r="G611" i="5"/>
  <c r="G610" i="5"/>
  <c r="G609" i="5"/>
  <c r="F608" i="5"/>
  <c r="G607" i="5"/>
  <c r="G606" i="5"/>
  <c r="G605" i="5"/>
  <c r="G604" i="5"/>
  <c r="G603" i="5"/>
  <c r="G602" i="5"/>
  <c r="G601" i="5"/>
  <c r="G600" i="5"/>
  <c r="G608" i="5" s="1"/>
  <c r="G622" i="5" s="1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G581" i="5"/>
  <c r="G595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F567" i="5"/>
  <c r="F568" i="5" s="1"/>
  <c r="G566" i="5"/>
  <c r="G565" i="5"/>
  <c r="G564" i="5"/>
  <c r="G563" i="5"/>
  <c r="G562" i="5"/>
  <c r="G561" i="5"/>
  <c r="G567" i="5" s="1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1" i="5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G526" i="5"/>
  <c r="G525" i="5"/>
  <c r="G524" i="5"/>
  <c r="G523" i="5"/>
  <c r="G522" i="5"/>
  <c r="G521" i="5"/>
  <c r="G527" i="5" s="1"/>
  <c r="G520" i="5"/>
  <c r="G519" i="5"/>
  <c r="G518" i="5"/>
  <c r="G517" i="5"/>
  <c r="G516" i="5"/>
  <c r="G515" i="5"/>
  <c r="F513" i="5"/>
  <c r="F514" i="5" s="1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F487" i="5" s="1"/>
  <c r="G485" i="5"/>
  <c r="G484" i="5"/>
  <c r="G483" i="5"/>
  <c r="G482" i="5"/>
  <c r="G486" i="5" s="1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6" i="5" s="1"/>
  <c r="G460" i="5" s="1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32" i="5" s="1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G433" i="5" s="1"/>
  <c r="F405" i="5"/>
  <c r="F406" i="5" s="1"/>
  <c r="G404" i="5"/>
  <c r="G403" i="5"/>
  <c r="G405" i="5" s="1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92" i="5" s="1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5" i="5" s="1"/>
  <c r="G362" i="5"/>
  <c r="G361" i="5"/>
  <c r="G360" i="5"/>
  <c r="G359" i="5"/>
  <c r="G358" i="5"/>
  <c r="G357" i="5"/>
  <c r="G356" i="5"/>
  <c r="G355" i="5"/>
  <c r="G354" i="5"/>
  <c r="G353" i="5"/>
  <c r="F351" i="5"/>
  <c r="F352" i="5" s="1"/>
  <c r="G350" i="5"/>
  <c r="G349" i="5"/>
  <c r="G348" i="5"/>
  <c r="G347" i="5"/>
  <c r="G346" i="5"/>
  <c r="G345" i="5"/>
  <c r="G344" i="5"/>
  <c r="G343" i="5"/>
  <c r="G351" i="5" s="1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G324" i="5"/>
  <c r="F324" i="5"/>
  <c r="F325" i="5" s="1"/>
  <c r="G323" i="5"/>
  <c r="G322" i="5"/>
  <c r="G321" i="5"/>
  <c r="G320" i="5"/>
  <c r="G319" i="5"/>
  <c r="G318" i="5"/>
  <c r="G317" i="5"/>
  <c r="G316" i="5"/>
  <c r="G315" i="5"/>
  <c r="G314" i="5"/>
  <c r="G313" i="5"/>
  <c r="G312" i="5"/>
  <c r="F311" i="5"/>
  <c r="G310" i="5"/>
  <c r="G309" i="5"/>
  <c r="G308" i="5"/>
  <c r="G307" i="5"/>
  <c r="G306" i="5"/>
  <c r="G305" i="5"/>
  <c r="G304" i="5"/>
  <c r="G303" i="5"/>
  <c r="G311" i="5" s="1"/>
  <c r="G325" i="5" s="1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G284" i="5"/>
  <c r="G298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F270" i="5"/>
  <c r="F271" i="5" s="1"/>
  <c r="G269" i="5"/>
  <c r="G268" i="5"/>
  <c r="G267" i="5"/>
  <c r="G266" i="5"/>
  <c r="G265" i="5"/>
  <c r="G264" i="5"/>
  <c r="G270" i="5" s="1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4" i="5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G229" i="5"/>
  <c r="G228" i="5"/>
  <c r="G227" i="5"/>
  <c r="G226" i="5"/>
  <c r="G225" i="5"/>
  <c r="G224" i="5"/>
  <c r="G230" i="5" s="1"/>
  <c r="G244" i="5" s="1"/>
  <c r="G223" i="5"/>
  <c r="G222" i="5"/>
  <c r="G221" i="5"/>
  <c r="G220" i="5"/>
  <c r="G219" i="5"/>
  <c r="G218" i="5"/>
  <c r="F216" i="5"/>
  <c r="F217" i="5" s="1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90" i="5"/>
  <c r="F189" i="5"/>
  <c r="G188" i="5"/>
  <c r="G187" i="5"/>
  <c r="G186" i="5"/>
  <c r="G185" i="5"/>
  <c r="G189" i="5" s="1"/>
  <c r="G184" i="5"/>
  <c r="G183" i="5"/>
  <c r="G182" i="5"/>
  <c r="G181" i="5"/>
  <c r="G180" i="5"/>
  <c r="G179" i="5"/>
  <c r="G178" i="5"/>
  <c r="G177" i="5"/>
  <c r="F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9" i="5" s="1"/>
  <c r="G163" i="5" s="1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35" i="5" s="1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F109" i="5" s="1"/>
  <c r="G107" i="5"/>
  <c r="G106" i="5"/>
  <c r="G108" i="5" s="1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95" i="5" s="1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8" i="5" s="1"/>
  <c r="G65" i="5"/>
  <c r="G64" i="5"/>
  <c r="G63" i="5"/>
  <c r="G62" i="5"/>
  <c r="G61" i="5"/>
  <c r="G60" i="5"/>
  <c r="G59" i="5"/>
  <c r="G58" i="5"/>
  <c r="G57" i="5"/>
  <c r="G56" i="5"/>
  <c r="F54" i="5"/>
  <c r="F55" i="5" s="1"/>
  <c r="G53" i="5"/>
  <c r="G52" i="5"/>
  <c r="G51" i="5"/>
  <c r="G50" i="5"/>
  <c r="G49" i="5"/>
  <c r="G48" i="5"/>
  <c r="G47" i="5"/>
  <c r="G46" i="5"/>
  <c r="G54" i="5" s="1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G55" i="5" s="1"/>
  <c r="G27" i="5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7" i="4"/>
  <c r="B788" i="4" s="1"/>
  <c r="B789" i="4" s="1"/>
  <c r="B790" i="4" s="1"/>
  <c r="B791" i="4" s="1"/>
  <c r="B792" i="4" s="1"/>
  <c r="B793" i="4" s="1"/>
  <c r="B794" i="4" s="1"/>
  <c r="B795" i="4" s="1"/>
  <c r="B796" i="4" s="1"/>
  <c r="B786" i="4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69" i="4"/>
  <c r="B760" i="4"/>
  <c r="B761" i="4" s="1"/>
  <c r="B762" i="4" s="1"/>
  <c r="B763" i="4" s="1"/>
  <c r="B764" i="4" s="1"/>
  <c r="B765" i="4" s="1"/>
  <c r="B766" i="4" s="1"/>
  <c r="B767" i="4" s="1"/>
  <c r="B768" i="4" s="1"/>
  <c r="B759" i="4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E730" i="4" s="1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E703" i="4" s="1"/>
  <c r="B692" i="4"/>
  <c r="B693" i="4" s="1"/>
  <c r="B694" i="4" s="1"/>
  <c r="B695" i="4" s="1"/>
  <c r="B696" i="4" s="1"/>
  <c r="B697" i="4" s="1"/>
  <c r="B698" i="4" s="1"/>
  <c r="B699" i="4" s="1"/>
  <c r="B700" i="4" s="1"/>
  <c r="B701" i="4" s="1"/>
  <c r="B691" i="4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6" i="4"/>
  <c r="E675" i="4"/>
  <c r="B665" i="4"/>
  <c r="B666" i="4" s="1"/>
  <c r="B667" i="4" s="1"/>
  <c r="B668" i="4" s="1"/>
  <c r="B669" i="4" s="1"/>
  <c r="B670" i="4" s="1"/>
  <c r="B671" i="4" s="1"/>
  <c r="B672" i="4" s="1"/>
  <c r="B673" i="4" s="1"/>
  <c r="B674" i="4" s="1"/>
  <c r="B664" i="4"/>
  <c r="E662" i="4"/>
  <c r="B652" i="4"/>
  <c r="B653" i="4" s="1"/>
  <c r="B654" i="4" s="1"/>
  <c r="B655" i="4" s="1"/>
  <c r="B656" i="4" s="1"/>
  <c r="B657" i="4" s="1"/>
  <c r="B658" i="4" s="1"/>
  <c r="B659" i="4" s="1"/>
  <c r="B660" i="4" s="1"/>
  <c r="B661" i="4" s="1"/>
  <c r="B651" i="4"/>
  <c r="E648" i="4"/>
  <c r="E649" i="4" s="1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60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7" i="4"/>
  <c r="B558" i="4" s="1"/>
  <c r="B559" i="4" s="1"/>
  <c r="B560" i="4" s="1"/>
  <c r="B561" i="4" s="1"/>
  <c r="B562" i="4" s="1"/>
  <c r="B563" i="4" s="1"/>
  <c r="B564" i="4" s="1"/>
  <c r="B565" i="4" s="1"/>
  <c r="B566" i="4" s="1"/>
  <c r="B556" i="4"/>
  <c r="E554" i="4"/>
  <c r="E568" i="4" s="1"/>
  <c r="B544" i="4"/>
  <c r="B545" i="4" s="1"/>
  <c r="B546" i="4" s="1"/>
  <c r="B547" i="4" s="1"/>
  <c r="B548" i="4" s="1"/>
  <c r="B549" i="4" s="1"/>
  <c r="B550" i="4" s="1"/>
  <c r="B551" i="4" s="1"/>
  <c r="B552" i="4" s="1"/>
  <c r="B553" i="4" s="1"/>
  <c r="B543" i="4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E514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7" i="4"/>
  <c r="E486" i="4"/>
  <c r="B480" i="4"/>
  <c r="B481" i="4" s="1"/>
  <c r="B482" i="4" s="1"/>
  <c r="B483" i="4" s="1"/>
  <c r="B484" i="4" s="1"/>
  <c r="B485" i="4" s="1"/>
  <c r="B475" i="4"/>
  <c r="B476" i="4" s="1"/>
  <c r="B477" i="4" s="1"/>
  <c r="B478" i="4" s="1"/>
  <c r="B479" i="4" s="1"/>
  <c r="E473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E460" i="4" s="1"/>
  <c r="B449" i="4"/>
  <c r="B450" i="4" s="1"/>
  <c r="B451" i="4" s="1"/>
  <c r="B452" i="4" s="1"/>
  <c r="B453" i="4" s="1"/>
  <c r="B454" i="4" s="1"/>
  <c r="B455" i="4" s="1"/>
  <c r="B456" i="4" s="1"/>
  <c r="B457" i="4" s="1"/>
  <c r="B458" i="4" s="1"/>
  <c r="B448" i="4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11" i="4"/>
  <c r="B412" i="4" s="1"/>
  <c r="B413" i="4" s="1"/>
  <c r="B414" i="4" s="1"/>
  <c r="B415" i="4" s="1"/>
  <c r="B416" i="4" s="1"/>
  <c r="B417" i="4" s="1"/>
  <c r="B418" i="4" s="1"/>
  <c r="B410" i="4"/>
  <c r="B409" i="4"/>
  <c r="B408" i="4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B367" i="4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E325" i="4" s="1"/>
  <c r="B314" i="4"/>
  <c r="B315" i="4" s="1"/>
  <c r="B316" i="4" s="1"/>
  <c r="B317" i="4" s="1"/>
  <c r="B318" i="4" s="1"/>
  <c r="B319" i="4" s="1"/>
  <c r="B320" i="4" s="1"/>
  <c r="B321" i="4" s="1"/>
  <c r="B322" i="4" s="1"/>
  <c r="B323" i="4" s="1"/>
  <c r="B313" i="4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E298" i="4" s="1"/>
  <c r="B290" i="4"/>
  <c r="B291" i="4" s="1"/>
  <c r="B292" i="4" s="1"/>
  <c r="B293" i="4" s="1"/>
  <c r="B294" i="4" s="1"/>
  <c r="B295" i="4" s="1"/>
  <c r="B296" i="4" s="1"/>
  <c r="B286" i="4"/>
  <c r="B287" i="4" s="1"/>
  <c r="B288" i="4" s="1"/>
  <c r="B289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E271" i="4" s="1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7" i="4"/>
  <c r="B248" i="4" s="1"/>
  <c r="B249" i="4" s="1"/>
  <c r="B250" i="4" s="1"/>
  <c r="B251" i="4" s="1"/>
  <c r="B252" i="4" s="1"/>
  <c r="B253" i="4" s="1"/>
  <c r="B254" i="4" s="1"/>
  <c r="B255" i="4" s="1"/>
  <c r="B256" i="4" s="1"/>
  <c r="B246" i="4"/>
  <c r="E243" i="4"/>
  <c r="E244" i="4" s="1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5" i="4"/>
  <c r="B196" i="4" s="1"/>
  <c r="B197" i="4" s="1"/>
  <c r="B198" i="4" s="1"/>
  <c r="B199" i="4" s="1"/>
  <c r="B200" i="4" s="1"/>
  <c r="B201" i="4" s="1"/>
  <c r="B202" i="4" s="1"/>
  <c r="B193" i="4"/>
  <c r="B194" i="4" s="1"/>
  <c r="B192" i="4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B165" i="4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E136" i="4" s="1"/>
  <c r="B125" i="4"/>
  <c r="B126" i="4" s="1"/>
  <c r="B127" i="4" s="1"/>
  <c r="B128" i="4" s="1"/>
  <c r="B129" i="4" s="1"/>
  <c r="B130" i="4" s="1"/>
  <c r="B131" i="4" s="1"/>
  <c r="B132" i="4" s="1"/>
  <c r="B133" i="4" s="1"/>
  <c r="B134" i="4" s="1"/>
  <c r="B124" i="4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9" i="4"/>
  <c r="E108" i="4"/>
  <c r="B98" i="4"/>
  <c r="B99" i="4" s="1"/>
  <c r="B100" i="4" s="1"/>
  <c r="B101" i="4" s="1"/>
  <c r="B102" i="4" s="1"/>
  <c r="B103" i="4" s="1"/>
  <c r="B104" i="4" s="1"/>
  <c r="B105" i="4" s="1"/>
  <c r="B106" i="4" s="1"/>
  <c r="B107" i="4" s="1"/>
  <c r="B97" i="4"/>
  <c r="E95" i="4"/>
  <c r="B85" i="4"/>
  <c r="B86" i="4" s="1"/>
  <c r="B87" i="4" s="1"/>
  <c r="B88" i="4" s="1"/>
  <c r="B89" i="4" s="1"/>
  <c r="B90" i="4" s="1"/>
  <c r="B91" i="4" s="1"/>
  <c r="B92" i="4" s="1"/>
  <c r="B93" i="4" s="1"/>
  <c r="B94" i="4" s="1"/>
  <c r="B84" i="4"/>
  <c r="E81" i="4"/>
  <c r="E82" i="4" s="1"/>
  <c r="B71" i="4"/>
  <c r="B72" i="4" s="1"/>
  <c r="B73" i="4" s="1"/>
  <c r="B74" i="4" s="1"/>
  <c r="B75" i="4" s="1"/>
  <c r="B76" i="4" s="1"/>
  <c r="B77" i="4" s="1"/>
  <c r="B78" i="4" s="1"/>
  <c r="B79" i="4" s="1"/>
  <c r="B80" i="4" s="1"/>
  <c r="B70" i="4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E55" i="4" s="1"/>
  <c r="B52" i="4"/>
  <c r="B53" i="4" s="1"/>
  <c r="B43" i="4"/>
  <c r="B44" i="4" s="1"/>
  <c r="B45" i="4" s="1"/>
  <c r="B46" i="4" s="1"/>
  <c r="B47" i="4" s="1"/>
  <c r="B48" i="4" s="1"/>
  <c r="B49" i="4" s="1"/>
  <c r="B50" i="4" s="1"/>
  <c r="B51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5" i="4"/>
  <c r="B6" i="4" s="1"/>
  <c r="B7" i="4" s="1"/>
  <c r="B8" i="4" s="1"/>
  <c r="B9" i="4" s="1"/>
  <c r="B10" i="4" s="1"/>
  <c r="B11" i="4" s="1"/>
  <c r="B12" i="4" s="1"/>
  <c r="B13" i="4" s="1"/>
  <c r="B4" i="4"/>
  <c r="B3" i="4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60" i="5"/>
  <c r="B761" i="5" s="1"/>
  <c r="B762" i="5" s="1"/>
  <c r="B763" i="5" s="1"/>
  <c r="B764" i="5" s="1"/>
  <c r="B765" i="5" s="1"/>
  <c r="B766" i="5" s="1"/>
  <c r="B767" i="5" s="1"/>
  <c r="B768" i="5" s="1"/>
  <c r="B769" i="5" s="1"/>
  <c r="B759" i="5"/>
  <c r="E757" i="5"/>
  <c r="E756" i="5"/>
  <c r="B746" i="5"/>
  <c r="B747" i="5" s="1"/>
  <c r="B748" i="5" s="1"/>
  <c r="B749" i="5" s="1"/>
  <c r="B750" i="5" s="1"/>
  <c r="B751" i="5" s="1"/>
  <c r="B752" i="5" s="1"/>
  <c r="B753" i="5" s="1"/>
  <c r="B754" i="5" s="1"/>
  <c r="B755" i="5" s="1"/>
  <c r="B745" i="5"/>
  <c r="E743" i="5"/>
  <c r="B734" i="5"/>
  <c r="B735" i="5" s="1"/>
  <c r="B736" i="5" s="1"/>
  <c r="B737" i="5" s="1"/>
  <c r="B738" i="5" s="1"/>
  <c r="B739" i="5" s="1"/>
  <c r="B740" i="5" s="1"/>
  <c r="B741" i="5" s="1"/>
  <c r="B742" i="5" s="1"/>
  <c r="B732" i="5"/>
  <c r="B733" i="5" s="1"/>
  <c r="E729" i="5"/>
  <c r="E730" i="5" s="1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E703" i="5" s="1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E649" i="5" s="1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2" i="5"/>
  <c r="E621" i="5"/>
  <c r="B616" i="5"/>
  <c r="B617" i="5" s="1"/>
  <c r="B618" i="5" s="1"/>
  <c r="B619" i="5" s="1"/>
  <c r="B620" i="5" s="1"/>
  <c r="B610" i="5"/>
  <c r="B611" i="5" s="1"/>
  <c r="B612" i="5" s="1"/>
  <c r="B613" i="5" s="1"/>
  <c r="B614" i="5" s="1"/>
  <c r="B615" i="5" s="1"/>
  <c r="E608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5" i="5"/>
  <c r="B586" i="5" s="1"/>
  <c r="B587" i="5" s="1"/>
  <c r="B588" i="5" s="1"/>
  <c r="B589" i="5" s="1"/>
  <c r="B590" i="5" s="1"/>
  <c r="B591" i="5" s="1"/>
  <c r="B592" i="5" s="1"/>
  <c r="B593" i="5" s="1"/>
  <c r="B584" i="5"/>
  <c r="B583" i="5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4" i="5"/>
  <c r="B545" i="5" s="1"/>
  <c r="B546" i="5" s="1"/>
  <c r="B547" i="5" s="1"/>
  <c r="B548" i="5" s="1"/>
  <c r="B549" i="5" s="1"/>
  <c r="B550" i="5" s="1"/>
  <c r="B551" i="5" s="1"/>
  <c r="B552" i="5" s="1"/>
  <c r="B553" i="5" s="1"/>
  <c r="B543" i="5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E514" i="5" s="1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E487" i="5" s="1"/>
  <c r="B480" i="5"/>
  <c r="B481" i="5" s="1"/>
  <c r="B482" i="5" s="1"/>
  <c r="B483" i="5" s="1"/>
  <c r="B484" i="5" s="1"/>
  <c r="B485" i="5" s="1"/>
  <c r="B475" i="5"/>
  <c r="B476" i="5" s="1"/>
  <c r="B477" i="5" s="1"/>
  <c r="B478" i="5" s="1"/>
  <c r="B479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E460" i="5" s="1"/>
  <c r="B449" i="5"/>
  <c r="B450" i="5" s="1"/>
  <c r="B451" i="5" s="1"/>
  <c r="B452" i="5" s="1"/>
  <c r="B453" i="5" s="1"/>
  <c r="B454" i="5" s="1"/>
  <c r="B455" i="5" s="1"/>
  <c r="B456" i="5" s="1"/>
  <c r="B457" i="5" s="1"/>
  <c r="B458" i="5" s="1"/>
  <c r="B448" i="5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9" i="5"/>
  <c r="B410" i="5" s="1"/>
  <c r="B411" i="5" s="1"/>
  <c r="B412" i="5" s="1"/>
  <c r="B413" i="5" s="1"/>
  <c r="B414" i="5" s="1"/>
  <c r="B415" i="5" s="1"/>
  <c r="B416" i="5" s="1"/>
  <c r="B417" i="5" s="1"/>
  <c r="B418" i="5" s="1"/>
  <c r="B408" i="5"/>
  <c r="E405" i="5"/>
  <c r="B395" i="5"/>
  <c r="B396" i="5" s="1"/>
  <c r="B397" i="5" s="1"/>
  <c r="B398" i="5" s="1"/>
  <c r="B399" i="5" s="1"/>
  <c r="B400" i="5" s="1"/>
  <c r="B401" i="5" s="1"/>
  <c r="B402" i="5" s="1"/>
  <c r="B403" i="5" s="1"/>
  <c r="B404" i="5" s="1"/>
  <c r="B394" i="5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5" i="5"/>
  <c r="B356" i="5" s="1"/>
  <c r="B357" i="5" s="1"/>
  <c r="B358" i="5" s="1"/>
  <c r="B359" i="5" s="1"/>
  <c r="B360" i="5" s="1"/>
  <c r="B361" i="5" s="1"/>
  <c r="B362" i="5" s="1"/>
  <c r="B363" i="5" s="1"/>
  <c r="B364" i="5" s="1"/>
  <c r="B354" i="5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E325" i="5" s="1"/>
  <c r="B315" i="5"/>
  <c r="B316" i="5" s="1"/>
  <c r="B317" i="5" s="1"/>
  <c r="B318" i="5" s="1"/>
  <c r="B319" i="5" s="1"/>
  <c r="B320" i="5" s="1"/>
  <c r="B321" i="5" s="1"/>
  <c r="B322" i="5" s="1"/>
  <c r="B323" i="5" s="1"/>
  <c r="B314" i="5"/>
  <c r="B313" i="5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8" i="5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E271" i="5" s="1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E244" i="5" s="1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3" i="5"/>
  <c r="E162" i="5"/>
  <c r="B152" i="5"/>
  <c r="B153" i="5" s="1"/>
  <c r="B154" i="5" s="1"/>
  <c r="B155" i="5" s="1"/>
  <c r="B156" i="5" s="1"/>
  <c r="B157" i="5" s="1"/>
  <c r="B158" i="5" s="1"/>
  <c r="B159" i="5" s="1"/>
  <c r="B160" i="5" s="1"/>
  <c r="B161" i="5" s="1"/>
  <c r="B151" i="5"/>
  <c r="E149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E136" i="5" s="1"/>
  <c r="B129" i="5"/>
  <c r="B130" i="5" s="1"/>
  <c r="B131" i="5" s="1"/>
  <c r="B132" i="5" s="1"/>
  <c r="B133" i="5" s="1"/>
  <c r="B134" i="5" s="1"/>
  <c r="B124" i="5"/>
  <c r="B125" i="5" s="1"/>
  <c r="B126" i="5" s="1"/>
  <c r="B127" i="5" s="1"/>
  <c r="B128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E109" i="5" s="1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E55" i="5" s="1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9" i="5"/>
  <c r="B20" i="5" s="1"/>
  <c r="B21" i="5" s="1"/>
  <c r="B22" i="5" s="1"/>
  <c r="B23" i="5" s="1"/>
  <c r="B24" i="5" s="1"/>
  <c r="B25" i="5" s="1"/>
  <c r="B26" i="5" s="1"/>
  <c r="B16" i="5"/>
  <c r="B17" i="5" s="1"/>
  <c r="B18" i="5" s="1"/>
  <c r="B4" i="5"/>
  <c r="B5" i="5" s="1"/>
  <c r="B6" i="5" s="1"/>
  <c r="B7" i="5" s="1"/>
  <c r="B8" i="5" s="1"/>
  <c r="B9" i="5" s="1"/>
  <c r="B10" i="5" s="1"/>
  <c r="B11" i="5" s="1"/>
  <c r="B12" i="5" s="1"/>
  <c r="B13" i="5" s="1"/>
  <c r="B3" i="5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G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G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6" i="5"/>
  <c r="M25" i="5"/>
  <c r="M24" i="5"/>
  <c r="M23" i="5"/>
  <c r="M22" i="5"/>
  <c r="M21" i="5"/>
  <c r="M20" i="5"/>
  <c r="M19" i="5"/>
  <c r="M18" i="5"/>
  <c r="M17" i="5"/>
  <c r="M16" i="5"/>
  <c r="M1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G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O28" i="4"/>
  <c r="D4" i="1" s="1"/>
  <c r="M26" i="4"/>
  <c r="M25" i="4"/>
  <c r="M24" i="4"/>
  <c r="M23" i="4"/>
  <c r="M22" i="4"/>
  <c r="M21" i="4"/>
  <c r="M20" i="4"/>
  <c r="M19" i="4"/>
  <c r="M18" i="4"/>
  <c r="M17" i="4"/>
  <c r="M16" i="4"/>
  <c r="M15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G34" i="1" s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G19" i="1"/>
  <c r="F19" i="1"/>
  <c r="E19" i="1"/>
  <c r="D19" i="1"/>
  <c r="C19" i="1"/>
  <c r="E18" i="1"/>
  <c r="D18" i="1"/>
  <c r="G18" i="1" s="1"/>
  <c r="C18" i="1"/>
  <c r="D17" i="1"/>
  <c r="F16" i="1"/>
  <c r="C16" i="1"/>
  <c r="E15" i="1"/>
  <c r="D15" i="1"/>
  <c r="F14" i="1"/>
  <c r="G14" i="1" s="1"/>
  <c r="E14" i="1"/>
  <c r="D14" i="1"/>
  <c r="F13" i="1"/>
  <c r="D13" i="1"/>
  <c r="G13" i="1" s="1"/>
  <c r="C13" i="1"/>
  <c r="G12" i="1"/>
  <c r="C12" i="1"/>
  <c r="G11" i="1"/>
  <c r="F11" i="1"/>
  <c r="E10" i="1"/>
  <c r="G10" i="1" s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F4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5" i="6"/>
  <c r="E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E41" i="6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M16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14" i="5" l="1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G27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460" i="3" l="1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<sst xmlns="http://schemas.openxmlformats.org/spreadsheetml/2006/main" count="1106" uniqueCount="197">
  <si>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</si>
  <si>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</si>
  <si>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</si>
  <si>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</si>
  <si>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</si>
  <si>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</si>
  <si>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</si>
  <si>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</si>
  <si>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</si>
  <si>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</si>
  <si>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</si>
  <si>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</si>
  <si>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</si>
  <si>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</si>
  <si>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</si>
  <si>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</si>
  <si>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</si>
  <si>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</si>
  <si>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</si>
  <si>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</si>
  <si>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</si>
  <si>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</si>
  <si>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</si>
  <si>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</si>
  <si>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</si>
  <si>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</si>
  <si>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</si>
  <si>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</si>
  <si>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</si>
  <si>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</si>
  <si>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</si>
  <si>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</si>
  <si>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</si>
  <si>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</si>
  <si>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</si>
  <si>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</si>
  <si>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</si>
  <si>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</si>
  <si>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</si>
  <si>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</si>
  <si>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</si>
  <si>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</si>
  <si>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</si>
  <si>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</si>
  <si>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</si>
  <si>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</si>
  <si>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</si>
  <si>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</si>
  <si>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</si>
  <si>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</si>
  <si>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</si>
  <si>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</si>
  <si>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</si>
  <si>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</si>
  <si>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</si>
  <si>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</si>
  <si>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</si>
  <si>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</si>
  <si>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</si>
  <si>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</si>
  <si>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</si>
  <si>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</si>
  <si>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</si>
  <si>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</si>
  <si>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</si>
  <si>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</si>
  <si>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</si>
  <si>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</si>
  <si>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</si>
  <si>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</si>
  <si>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</si>
  <si>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</si>
  <si>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</si>
  <si>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</si>
  <si>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</si>
  <si>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</si>
  <si>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</si>
  <si>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</si>
  <si>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</si>
  <si>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</si>
  <si>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</si>
  <si>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</si>
  <si>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</si>
  <si>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</si>
  <si>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</si>
  <si>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</si>
  <si>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</si>
  <si>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</si>
  <si>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</si>
  <si>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</si>
  <si>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</si>
  <si>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</si>
  <si>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</si>
  <si>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</si>
  <si>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</si>
  <si>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</si>
  <si>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</si>
  <si>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</si>
  <si>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</si>
  <si>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</si>
  <si>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</si>
  <si>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</si>
  <si>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</si>
  <si>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</si>
  <si>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</si>
  <si>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</si>
  <si>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</si>
  <si>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</si>
  <si>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</si>
  <si>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</si>
  <si>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</si>
  <si>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</si>
  <si>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</si>
  <si>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</si>
  <si>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</si>
  <si>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</si>
  <si>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</si>
  <si>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</si>
  <si>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</si>
  <si>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</si>
  <si>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</si>
  <si>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</si>
  <si>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</si>
  <si>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</si>
  <si>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</si>
  <si>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</si>
  <si>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</si>
  <si>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</si>
  <si>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</si>
  <si>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</si>
  <si>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</si>
  <si>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</si>
  <si>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</si>
  <si>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</si>
  <si>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</si>
  <si>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</si>
  <si>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</si>
  <si>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</si>
  <si>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</si>
  <si>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</si>
  <si>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</si>
  <si>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</si>
  <si>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</si>
  <si>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</si>
  <si>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</si>
  <si>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</si>
  <si>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</si>
  <si>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</si>
  <si>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</si>
  <si>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</si>
  <si>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</si>
  <si>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</si>
  <si>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</si>
  <si>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</si>
  <si>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</si>
  <si>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</si>
  <si>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</si>
  <si>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</si>
  <si>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</si>
  <si>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</si>
  <si>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</si>
  <si>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</si>
  <si>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</si>
  <si>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</si>
  <si>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</si>
  <si>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</si>
  <si>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</si>
  <si>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</si>
  <si>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</si>
  <si>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</si>
  <si>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</si>
  <si>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</si>
  <si>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</si>
  <si>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</si>
  <si>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</si>
  <si>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</si>
  <si>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</si>
  <si>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</si>
  <si>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</si>
  <si>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</si>
  <si>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</si>
  <si>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</si>
  <si>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</si>
  <si>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</si>
  <si>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</si>
  <si>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</si>
  <si>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</si>
  <si>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</si>
  <si>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</si>
  <si>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</si>
  <si>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</si>
  <si>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</si>
  <si>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</si>
  <si>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</si>
  <si>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solda na grelha</t>
  </si>
  <si>
    <t>9;10</t>
  </si>
  <si>
    <t>manutençao no rolamento do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</si>
</sst>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19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8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1:B1048576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0</v>
      </c>
      <c r="D4" s="8">
        <f>IFERROR('Linha 1'!O28,"")</f>
        <v>0</v>
      </c>
      <c r="E4" s="8">
        <f>IFERROR('Linha 2'!O28,"")</f>
        <v>0</v>
      </c>
      <c r="F4" s="8">
        <f>IFERROR('Linha 3'!O28,"")</f>
        <v>0</v>
      </c>
      <c r="G4" s="9">
        <f t="shared" ref="G4:G34" si="0">IFERROR(D4+E4+F4,"")</f>
        <v>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0</v>
      </c>
      <c r="D35" s="13">
        <f>IFERROR(SUM(D4:D34),"")</f>
        <v>0</v>
      </c>
      <c r="E35" s="13">
        <f>IFERROR(SUM(E4:E34),"")</f>
        <v>0</v>
      </c>
      <c r="F35" s="13">
        <f>IFERROR(SUM(F4:F34),"")</f>
        <v>0</v>
      </c>
      <c r="G35" s="13">
        <f>IFERROR(SUM(G4:G34),"")</f>
        <v>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J16" zoomScale="85" zoomScaleNormal="85" workbookViewId="0">
      <selection activeCell="M44" sqref="M4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/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171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172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173</v>
      </c>
      <c r="L48" s="16"/>
      <c r="M48" s="16"/>
    </row>
    <row r="49" spans="1:13" ht="18" customHeight="1">
      <c r="H49" s="87"/>
      <c r="I49" s="17"/>
      <c r="J49" s="17"/>
      <c r="K49" s="17" t="s">
        <v>174</v>
      </c>
      <c r="L49" s="17"/>
      <c r="M49" s="17"/>
    </row>
    <row r="50" spans="1:13" ht="21" customHeight="1">
      <c r="A50" s="19" t="s">
        <v>175</v>
      </c>
      <c r="B50" s="19"/>
      <c r="C50" s="19"/>
      <c r="D50" s="19"/>
      <c r="E50" s="19"/>
      <c r="F50" s="19"/>
      <c r="G50" s="19"/>
      <c r="H50" s="87"/>
      <c r="I50" s="16"/>
      <c r="J50" s="16"/>
      <c r="K50" s="16"/>
      <c r="L50" s="16"/>
      <c r="M50" s="16"/>
    </row>
    <row r="51" spans="1:13" ht="24" customHeight="1">
      <c r="H51" s="87"/>
      <c r="I51" s="17"/>
      <c r="J51" s="17"/>
      <c r="K51" s="17"/>
      <c r="L51" s="17"/>
      <c r="M51" s="17"/>
    </row>
    <row r="52" spans="1:13" ht="24" customHeight="1">
      <c r="H52" s="87"/>
      <c r="I52" s="16"/>
      <c r="J52" s="16"/>
      <c r="K52" s="16"/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2" activePane="bottomLeft" state="frozen"/>
      <selection pane="bottomLeft" activeCell="E13" sqref="E1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176</v>
      </c>
      <c r="C1" s="23" t="s">
        <v>12</v>
      </c>
      <c r="D1" s="22" t="s">
        <v>13</v>
      </c>
      <c r="E1" s="22" t="s">
        <v>177</v>
      </c>
      <c r="F1" s="23" t="s">
        <v>178</v>
      </c>
      <c r="G1" s="23" t="s">
        <v>179</v>
      </c>
      <c r="H1" s="23" t="s">
        <v>14</v>
      </c>
      <c r="I1" s="23" t="s">
        <v>15</v>
      </c>
      <c r="J1" s="23" t="s">
        <v>180</v>
      </c>
      <c r="K1" s="23" t="s">
        <v>181</v>
      </c>
      <c r="L1" s="23" t="s">
        <v>182</v>
      </c>
      <c r="M1" s="24" t="s">
        <v>183</v>
      </c>
      <c r="N1" s="23" t="s">
        <v>184</v>
      </c>
      <c r="O1" s="23" t="s">
        <v>185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186</v>
      </c>
      <c r="E2" s="59" t="s">
        <v>187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188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187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187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187</v>
      </c>
      <c r="F5" s="27">
        <v>10</v>
      </c>
      <c r="G5" s="34">
        <f t="shared" si="0"/>
        <v>50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187</v>
      </c>
      <c r="F6" s="27"/>
      <c r="G6" s="28" t="str">
        <f t="shared" si="0"/>
        <v/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187</v>
      </c>
      <c r="F7" s="27"/>
      <c r="G7" s="34" t="str">
        <f t="shared" si="0"/>
        <v/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187</v>
      </c>
      <c r="F8" s="27"/>
      <c r="G8" s="28" t="str">
        <f t="shared" si="0"/>
        <v/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187</v>
      </c>
      <c r="F9" s="27"/>
      <c r="G9" s="34" t="str">
        <f t="shared" si="0"/>
        <v/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187</v>
      </c>
      <c r="F10" s="27"/>
      <c r="G10" s="28" t="str">
        <f t="shared" si="0"/>
        <v/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187</v>
      </c>
      <c r="F11" s="27"/>
      <c r="G11" s="34" t="str">
        <f t="shared" si="0"/>
        <v/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187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187</v>
      </c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189</v>
      </c>
      <c r="B14" s="78"/>
      <c r="C14" s="78"/>
      <c r="D14" s="78"/>
      <c r="E14" s="79"/>
      <c r="F14" s="36">
        <f>SUM(F2:F13)</f>
        <v>10</v>
      </c>
      <c r="G14" s="36">
        <f>SUM(G2:G13)</f>
        <v>50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190</v>
      </c>
      <c r="O14" s="39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191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190</v>
      </c>
      <c r="O27" s="39"/>
    </row>
    <row r="28" spans="1:15" ht="18" customHeight="1">
      <c r="A28" s="80" t="s">
        <v>192</v>
      </c>
      <c r="B28" s="81"/>
      <c r="C28" s="81"/>
      <c r="D28" s="81"/>
      <c r="E28" s="82"/>
      <c r="F28" s="40">
        <f>F14+F27</f>
        <v>10</v>
      </c>
      <c r="G28" s="40">
        <f>G14+G27</f>
        <v>50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193</v>
      </c>
      <c r="O28" s="43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189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190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191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190</v>
      </c>
      <c r="O54" s="39"/>
    </row>
    <row r="55" spans="1:15" ht="18" customHeight="1">
      <c r="A55" s="80" t="s">
        <v>192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193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189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190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191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190</v>
      </c>
      <c r="O81" s="39"/>
    </row>
    <row r="82" spans="1:15" ht="18" customHeight="1">
      <c r="A82" s="80" t="s">
        <v>192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193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189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190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191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190</v>
      </c>
      <c r="O108" s="39"/>
    </row>
    <row r="109" spans="1:15" ht="18" customHeight="1">
      <c r="A109" s="80" t="s">
        <v>192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193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189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191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190</v>
      </c>
      <c r="O135" s="39"/>
    </row>
    <row r="136" spans="1:15" ht="18" customHeight="1">
      <c r="A136" s="80" t="s">
        <v>192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189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190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191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190</v>
      </c>
      <c r="O162" s="44"/>
    </row>
    <row r="163" spans="1:15" ht="18" customHeight="1">
      <c r="A163" s="80" t="s">
        <v>192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189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191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190</v>
      </c>
      <c r="O189" s="39"/>
    </row>
    <row r="190" spans="1:15" ht="18" customHeight="1">
      <c r="A190" s="80" t="s">
        <v>192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189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191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190</v>
      </c>
      <c r="O216" s="45"/>
    </row>
    <row r="217" spans="1:15" ht="18" customHeight="1">
      <c r="A217" s="80" t="s">
        <v>192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189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191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190</v>
      </c>
      <c r="O243" s="39"/>
    </row>
    <row r="244" spans="1:15" ht="18" customHeight="1">
      <c r="A244" s="80" t="s">
        <v>192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189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191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190</v>
      </c>
      <c r="O270" s="39"/>
    </row>
    <row r="271" spans="1:15" ht="18" customHeight="1">
      <c r="A271" s="80" t="s">
        <v>192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189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191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190</v>
      </c>
      <c r="O297" s="39"/>
    </row>
    <row r="298" spans="1:15" ht="18" customHeight="1">
      <c r="A298" s="80" t="s">
        <v>192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189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191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190</v>
      </c>
      <c r="O324" s="39"/>
    </row>
    <row r="325" spans="1:15" ht="18" customHeight="1">
      <c r="A325" s="80" t="s">
        <v>192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189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191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190</v>
      </c>
      <c r="O351" s="39"/>
    </row>
    <row r="352" spans="1:15" ht="18" customHeight="1">
      <c r="A352" s="80" t="s">
        <v>192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189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191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190</v>
      </c>
      <c r="O378" s="39"/>
    </row>
    <row r="379" spans="1:15" ht="18" customHeight="1">
      <c r="A379" s="80" t="s">
        <v>192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189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191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190</v>
      </c>
      <c r="O405" s="39"/>
    </row>
    <row r="406" spans="1:15" ht="18" customHeight="1">
      <c r="A406" s="80" t="s">
        <v>192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189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191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190</v>
      </c>
      <c r="O432" s="39"/>
    </row>
    <row r="433" spans="1:15" ht="18" customHeight="1">
      <c r="A433" s="80" t="s">
        <v>192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189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191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190</v>
      </c>
      <c r="O459" s="39"/>
    </row>
    <row r="460" spans="1:15" ht="18" customHeight="1">
      <c r="A460" s="80" t="s">
        <v>192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189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191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190</v>
      </c>
      <c r="O486" s="39"/>
    </row>
    <row r="487" spans="1:15" ht="18" customHeight="1">
      <c r="A487" s="80" t="s">
        <v>192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189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191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190</v>
      </c>
      <c r="O513" s="39"/>
    </row>
    <row r="514" spans="1:15" ht="18" customHeight="1">
      <c r="A514" s="80" t="s">
        <v>192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189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191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190</v>
      </c>
      <c r="O540" s="39"/>
    </row>
    <row r="541" spans="1:15" ht="18" customHeight="1">
      <c r="A541" s="80" t="s">
        <v>192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189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191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190</v>
      </c>
      <c r="O567" s="39"/>
    </row>
    <row r="568" spans="1:15" ht="18" customHeight="1">
      <c r="A568" s="80" t="s">
        <v>192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189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191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190</v>
      </c>
      <c r="O594" s="39"/>
    </row>
    <row r="595" spans="1:15" ht="18" customHeight="1">
      <c r="A595" s="80" t="s">
        <v>192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189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191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190</v>
      </c>
      <c r="O621" s="39"/>
    </row>
    <row r="622" spans="1:15" ht="18" customHeight="1">
      <c r="A622" s="80" t="s">
        <v>192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189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191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190</v>
      </c>
      <c r="O648" s="39"/>
    </row>
    <row r="649" spans="1:15" ht="18" customHeight="1">
      <c r="A649" s="80" t="s">
        <v>192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189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191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190</v>
      </c>
      <c r="O675" s="39"/>
    </row>
    <row r="676" spans="1:15" ht="18" customHeight="1">
      <c r="A676" s="80" t="s">
        <v>192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189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191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190</v>
      </c>
      <c r="O702" s="39"/>
    </row>
    <row r="703" spans="1:15" ht="18" customHeight="1">
      <c r="A703" s="80" t="s">
        <v>192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189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191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190</v>
      </c>
      <c r="O729" s="39"/>
    </row>
    <row r="730" spans="1:15" ht="18" customHeight="1">
      <c r="A730" s="80" t="s">
        <v>192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189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191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190</v>
      </c>
      <c r="O756" s="39"/>
    </row>
    <row r="757" spans="1:15" ht="18" customHeight="1">
      <c r="A757" s="80" t="s">
        <v>192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189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191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190</v>
      </c>
      <c r="O783" s="39"/>
    </row>
    <row r="784" spans="1:15" ht="18" customHeight="1">
      <c r="A784" s="80" t="s">
        <v>192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189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191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190</v>
      </c>
      <c r="O810" s="39"/>
    </row>
    <row r="811" spans="1:15" ht="18" customHeight="1">
      <c r="A811" s="80" t="s">
        <v>192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15:E26 E2:E13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D15:D26 D3:D13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" activePane="bottomLeft" state="frozen"/>
      <selection pane="bottomLeft" activeCell="L4" sqref="L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99.42578125" style="20" customWidth="1"/>
    <col min="15" max="15" width="20" customWidth="1"/>
  </cols>
  <sheetData>
    <row r="1" spans="1:15" ht="37.5" customHeight="1">
      <c r="A1" s="68" t="s">
        <v>7</v>
      </c>
      <c r="B1" s="23" t="s">
        <v>176</v>
      </c>
      <c r="C1" s="23" t="s">
        <v>12</v>
      </c>
      <c r="D1" s="22" t="s">
        <v>13</v>
      </c>
      <c r="E1" s="22" t="s">
        <v>177</v>
      </c>
      <c r="F1" s="23" t="s">
        <v>178</v>
      </c>
      <c r="G1" s="23" t="s">
        <v>179</v>
      </c>
      <c r="H1" s="23" t="s">
        <v>14</v>
      </c>
      <c r="I1" s="23" t="s">
        <v>15</v>
      </c>
      <c r="J1" s="23" t="s">
        <v>180</v>
      </c>
      <c r="K1" s="23" t="s">
        <v>181</v>
      </c>
      <c r="L1" s="23" t="s">
        <v>182</v>
      </c>
      <c r="M1" s="24" t="s">
        <v>183</v>
      </c>
      <c r="N1" s="23" t="s">
        <v>184</v>
      </c>
      <c r="O1" s="23" t="s">
        <v>185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/>
      <c r="F2" s="27">
        <v>0</v>
      </c>
      <c r="G2" s="28" t="str">
        <f t="shared" ref="G2:G13" si="0">IF(F2="","",IF(E2="PC 17",F2*4.2,IF(E2="PC 19",F2*5,"")))</f>
        <v/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/>
      <c r="F3" s="27">
        <v>10</v>
      </c>
      <c r="G3" s="34" t="str">
        <f t="shared" si="0"/>
        <v/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/>
      <c r="F4" s="27">
        <v>8</v>
      </c>
      <c r="G4" s="28" t="str">
        <f t="shared" si="0"/>
        <v/>
      </c>
      <c r="H4" s="26"/>
      <c r="I4" s="26"/>
      <c r="J4" s="26"/>
      <c r="K4" s="29"/>
      <c r="L4" s="29"/>
      <c r="M4" s="35" t="str">
        <f t="shared" ca="1" si="1"/>
        <v/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/>
      <c r="F5" s="27">
        <v>8</v>
      </c>
      <c r="G5" s="34" t="str">
        <f t="shared" si="0"/>
        <v/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/>
      <c r="F6" s="27"/>
      <c r="G6" s="28" t="str">
        <f t="shared" si="0"/>
        <v/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/>
      <c r="F7" s="27"/>
      <c r="G7" s="34" t="str">
        <f t="shared" si="0"/>
        <v/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/>
      <c r="F8" s="27"/>
      <c r="G8" s="28" t="str">
        <f t="shared" si="0"/>
        <v/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/>
      <c r="F9" s="27"/>
      <c r="G9" s="34" t="str">
        <f t="shared" si="0"/>
        <v/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/>
      <c r="F10" s="27"/>
      <c r="G10" s="28" t="str">
        <f t="shared" si="0"/>
        <v/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/>
      <c r="F11" s="27"/>
      <c r="G11" s="34" t="str">
        <f t="shared" si="0"/>
        <v/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/>
      <c r="F12" s="27"/>
      <c r="G12" s="28" t="str">
        <f t="shared" si="0"/>
        <v/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/>
      <c r="F13" s="27"/>
      <c r="G13" s="34" t="str">
        <f t="shared" si="0"/>
        <v/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189</v>
      </c>
      <c r="B14" s="78"/>
      <c r="C14" s="78"/>
      <c r="D14" s="78"/>
      <c r="E14" s="79"/>
      <c r="F14" s="36">
        <f>SUM(F2:F13)</f>
        <v>26</v>
      </c>
      <c r="G14" s="36">
        <f>SUM(G2:G13)</f>
        <v>0</v>
      </c>
      <c r="H14" s="37"/>
      <c r="I14" s="37"/>
      <c r="J14" s="37"/>
      <c r="K14" s="37"/>
      <c r="L14" s="37"/>
      <c r="M14" s="38">
        <f ca="1">IFERROR(SUM(M2:M13),"")</f>
        <v>6.458333333333327E-2</v>
      </c>
      <c r="N14" s="36" t="s">
        <v>190</v>
      </c>
      <c r="O14" s="54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0" t="str">
        <f t="shared" ref="M15:M26" ca="1" si="4">IFERROR(IF(K15="","",IF(L15="",MOD(NOW()-K15,1),IF(L15&gt;=K15,L15-K15,L15+1-K15))),"")</f>
        <v/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0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0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0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0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0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  <c r="O26" s="31"/>
    </row>
    <row r="27" spans="1:15" ht="15.75" customHeight="1">
      <c r="A27" s="77" t="s">
        <v>191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190</v>
      </c>
      <c r="O27" s="54"/>
    </row>
    <row r="28" spans="1:15" ht="18" customHeight="1">
      <c r="A28" s="80" t="s">
        <v>192</v>
      </c>
      <c r="B28" s="81"/>
      <c r="C28" s="81"/>
      <c r="D28" s="81"/>
      <c r="E28" s="82"/>
      <c r="F28" s="40">
        <f>F14+F27</f>
        <v>26</v>
      </c>
      <c r="G28" s="40">
        <f>G14+G27</f>
        <v>0</v>
      </c>
      <c r="H28" s="41"/>
      <c r="I28" s="41"/>
      <c r="J28" s="41"/>
      <c r="K28" s="41"/>
      <c r="L28" s="41"/>
      <c r="M28" s="42">
        <f ca="1">IFERROR(M14+M27,"")</f>
        <v>6.458333333333327E-2</v>
      </c>
      <c r="N28" s="40" t="s">
        <v>193</v>
      </c>
      <c r="O28" s="43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189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190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191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190</v>
      </c>
      <c r="O54" s="54"/>
    </row>
    <row r="55" spans="1:15" ht="18" customHeight="1">
      <c r="A55" s="80" t="s">
        <v>192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193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189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190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191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190</v>
      </c>
      <c r="O81" s="54"/>
    </row>
    <row r="82" spans="1:15" ht="18" customHeight="1">
      <c r="A82" s="80" t="s">
        <v>192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193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189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190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191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190</v>
      </c>
      <c r="O108" s="54"/>
    </row>
    <row r="109" spans="1:15" ht="18" customHeight="1">
      <c r="A109" s="80" t="s">
        <v>192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193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189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190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191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190</v>
      </c>
      <c r="O135" s="54"/>
    </row>
    <row r="136" spans="1:15" ht="18" customHeight="1">
      <c r="A136" s="80" t="s">
        <v>192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189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190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191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190</v>
      </c>
      <c r="O162" s="54"/>
    </row>
    <row r="163" spans="1:15" ht="18" customHeight="1">
      <c r="A163" s="80" t="s">
        <v>192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189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191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190</v>
      </c>
      <c r="O189" s="39"/>
    </row>
    <row r="190" spans="1:15" ht="18" customHeight="1">
      <c r="A190" s="80" t="s">
        <v>192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189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191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190</v>
      </c>
      <c r="O216" s="45"/>
    </row>
    <row r="217" spans="1:15" ht="18" customHeight="1">
      <c r="A217" s="80" t="s">
        <v>192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189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191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190</v>
      </c>
      <c r="O243" s="39"/>
    </row>
    <row r="244" spans="1:15" ht="18" customHeight="1">
      <c r="A244" s="80" t="s">
        <v>192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189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191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190</v>
      </c>
      <c r="O270" s="39"/>
    </row>
    <row r="271" spans="1:15" ht="18" customHeight="1">
      <c r="A271" s="80" t="s">
        <v>192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189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191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190</v>
      </c>
      <c r="O297" s="39"/>
    </row>
    <row r="298" spans="1:15" ht="18" customHeight="1">
      <c r="A298" s="80" t="s">
        <v>192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189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191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190</v>
      </c>
      <c r="O324" s="39"/>
    </row>
    <row r="325" spans="1:15" ht="18" customHeight="1">
      <c r="A325" s="80" t="s">
        <v>192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189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191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190</v>
      </c>
      <c r="O351" s="39"/>
    </row>
    <row r="352" spans="1:15" ht="18" customHeight="1">
      <c r="A352" s="80" t="s">
        <v>192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189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191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190</v>
      </c>
      <c r="O378" s="39"/>
    </row>
    <row r="379" spans="1:15" ht="18" customHeight="1">
      <c r="A379" s="80" t="s">
        <v>192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189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191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190</v>
      </c>
      <c r="O405" s="39"/>
    </row>
    <row r="406" spans="1:15" ht="18" customHeight="1">
      <c r="A406" s="80" t="s">
        <v>192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189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191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190</v>
      </c>
      <c r="O432" s="39"/>
    </row>
    <row r="433" spans="1:15" ht="18" customHeight="1">
      <c r="A433" s="80" t="s">
        <v>192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189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191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190</v>
      </c>
      <c r="O459" s="39"/>
    </row>
    <row r="460" spans="1:15" ht="18" customHeight="1">
      <c r="A460" s="80" t="s">
        <v>192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189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191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190</v>
      </c>
      <c r="O486" s="39"/>
    </row>
    <row r="487" spans="1:15" ht="18" customHeight="1">
      <c r="A487" s="80" t="s">
        <v>192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189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191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190</v>
      </c>
      <c r="O513" s="39"/>
    </row>
    <row r="514" spans="1:15" ht="18" customHeight="1">
      <c r="A514" s="80" t="s">
        <v>192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189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191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190</v>
      </c>
      <c r="O540" s="39"/>
    </row>
    <row r="541" spans="1:15" ht="18" customHeight="1">
      <c r="A541" s="80" t="s">
        <v>192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189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191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190</v>
      </c>
      <c r="O567" s="39"/>
    </row>
    <row r="568" spans="1:15" ht="18" customHeight="1">
      <c r="A568" s="80" t="s">
        <v>192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189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191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190</v>
      </c>
      <c r="O594" s="39"/>
    </row>
    <row r="595" spans="1:15" ht="18" customHeight="1">
      <c r="A595" s="80" t="s">
        <v>192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189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191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190</v>
      </c>
      <c r="O621" s="39"/>
    </row>
    <row r="622" spans="1:15" ht="18" customHeight="1">
      <c r="A622" s="80" t="s">
        <v>192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193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189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190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191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190</v>
      </c>
      <c r="O648" s="39"/>
    </row>
    <row r="649" spans="1:15" ht="18" customHeight="1">
      <c r="A649" s="80" t="s">
        <v>192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193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189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191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190</v>
      </c>
      <c r="O675" s="39"/>
    </row>
    <row r="676" spans="1:15" ht="18" customHeight="1">
      <c r="A676" s="80" t="s">
        <v>192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189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191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190</v>
      </c>
      <c r="O702" s="39"/>
    </row>
    <row r="703" spans="1:15" ht="18" customHeight="1">
      <c r="A703" s="80" t="s">
        <v>192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189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191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190</v>
      </c>
      <c r="O729" s="39"/>
    </row>
    <row r="730" spans="1:15" ht="18" customHeight="1">
      <c r="A730" s="80" t="s">
        <v>192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189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191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190</v>
      </c>
      <c r="O756" s="39"/>
    </row>
    <row r="757" spans="1:15" ht="18" customHeight="1">
      <c r="A757" s="80" t="s">
        <v>192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189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191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190</v>
      </c>
      <c r="O783" s="39"/>
    </row>
    <row r="784" spans="1:15" ht="18" customHeight="1">
      <c r="A784" s="80" t="s">
        <v>192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189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191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190</v>
      </c>
      <c r="O810" s="39"/>
    </row>
    <row r="811" spans="1:15" ht="18" customHeight="1">
      <c r="A811" s="80" t="s">
        <v>192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193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D29:D900 D15:D26 D2:D13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2" activePane="bottomLeft" state="frozen"/>
      <selection pane="bottomLeft" activeCell="F6" sqref="F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176</v>
      </c>
      <c r="C1" s="23" t="s">
        <v>12</v>
      </c>
      <c r="D1" s="22" t="s">
        <v>13</v>
      </c>
      <c r="E1" s="22" t="s">
        <v>177</v>
      </c>
      <c r="F1" s="23" t="s">
        <v>178</v>
      </c>
      <c r="G1" s="23" t="s">
        <v>179</v>
      </c>
      <c r="H1" s="23" t="s">
        <v>14</v>
      </c>
      <c r="I1" s="23" t="s">
        <v>15</v>
      </c>
      <c r="J1" s="23" t="s">
        <v>180</v>
      </c>
      <c r="K1" s="23" t="s">
        <v>181</v>
      </c>
      <c r="L1" s="23" t="s">
        <v>182</v>
      </c>
      <c r="M1" s="24" t="s">
        <v>183</v>
      </c>
      <c r="N1" s="23" t="s">
        <v>184</v>
      </c>
      <c r="O1" s="23" t="s">
        <v>185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/>
      <c r="F2" s="27">
        <v>0</v>
      </c>
      <c r="G2" s="28" t="str">
        <f t="shared" ref="G2:G13" si="0">IF(F2="","",IF(E2="PC 17",F2*4.2,IF(E2="PC 19",F2*5,"")))</f>
        <v/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/>
      <c r="F3" s="27">
        <v>5</v>
      </c>
      <c r="G3" s="34" t="str">
        <f t="shared" si="0"/>
        <v/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/>
      <c r="F4" s="27">
        <v>1</v>
      </c>
      <c r="G4" s="28" t="str">
        <f t="shared" si="0"/>
        <v/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194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/>
      <c r="F5" s="27">
        <v>6</v>
      </c>
      <c r="G5" s="34" t="str">
        <f t="shared" si="0"/>
        <v/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/>
      <c r="F6" s="27"/>
      <c r="G6" s="28" t="str">
        <f t="shared" si="0"/>
        <v/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/>
      <c r="F7" s="27"/>
      <c r="G7" s="34" t="str">
        <f t="shared" si="0"/>
        <v/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/>
      <c r="F8" s="27"/>
      <c r="G8" s="28" t="str">
        <f t="shared" si="0"/>
        <v/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/>
      <c r="F9" s="27"/>
      <c r="G9" s="34" t="str">
        <f t="shared" si="0"/>
        <v/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/>
      <c r="F10" s="27"/>
      <c r="G10" s="28" t="str">
        <f t="shared" si="0"/>
        <v/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/>
      <c r="F11" s="27"/>
      <c r="G11" s="34" t="str">
        <f t="shared" si="0"/>
        <v/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/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/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189</v>
      </c>
      <c r="B14" s="78"/>
      <c r="C14" s="78"/>
      <c r="D14" s="78"/>
      <c r="E14" s="79"/>
      <c r="F14" s="36">
        <f>SUM(F2:F13)</f>
        <v>12</v>
      </c>
      <c r="G14" s="36">
        <f>SUM(G2:G13)</f>
        <v>0</v>
      </c>
      <c r="H14" s="37"/>
      <c r="I14" s="37"/>
      <c r="J14" s="37"/>
      <c r="K14" s="37"/>
      <c r="L14" s="37"/>
      <c r="M14" s="38">
        <f ca="1">IFERROR(SUM(M2:M13),"")</f>
        <v>6.3194444444444386E-2</v>
      </c>
      <c r="N14" s="36" t="s">
        <v>190</v>
      </c>
      <c r="O14" s="39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191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190</v>
      </c>
      <c r="O27" s="39"/>
    </row>
    <row r="28" spans="1:15" ht="18" customHeight="1">
      <c r="A28" s="80" t="s">
        <v>192</v>
      </c>
      <c r="B28" s="81"/>
      <c r="C28" s="81"/>
      <c r="D28" s="81"/>
      <c r="E28" s="82"/>
      <c r="F28" s="40">
        <f>F14+F27</f>
        <v>12</v>
      </c>
      <c r="G28" s="40">
        <f>G14+G27</f>
        <v>0</v>
      </c>
      <c r="H28" s="41"/>
      <c r="I28" s="41"/>
      <c r="J28" s="41"/>
      <c r="K28" s="41"/>
      <c r="L28" s="41"/>
      <c r="M28" s="42">
        <f ca="1">IFERROR(M14+M27,"")</f>
        <v>6.3194444444444386E-2</v>
      </c>
      <c r="N28" s="40" t="s">
        <v>193</v>
      </c>
      <c r="O28" s="43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189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190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191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190</v>
      </c>
      <c r="O54" s="39"/>
    </row>
    <row r="55" spans="1:15" ht="18" customHeight="1">
      <c r="A55" s="80" t="s">
        <v>192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193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189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190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191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190</v>
      </c>
      <c r="O81" s="39"/>
    </row>
    <row r="82" spans="1:15" ht="18" customHeight="1">
      <c r="A82" s="80" t="s">
        <v>192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193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189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190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191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190</v>
      </c>
      <c r="O108" s="39"/>
    </row>
    <row r="109" spans="1:15" ht="18" customHeight="1">
      <c r="A109" s="80" t="s">
        <v>192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193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189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191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190</v>
      </c>
      <c r="O135" s="39"/>
    </row>
    <row r="136" spans="1:15" ht="18" customHeight="1">
      <c r="A136" s="80" t="s">
        <v>192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189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191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190</v>
      </c>
      <c r="O162" s="39"/>
    </row>
    <row r="163" spans="1:15" ht="18" customHeight="1">
      <c r="A163" s="80" t="s">
        <v>192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189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191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190</v>
      </c>
      <c r="O189" s="39"/>
    </row>
    <row r="190" spans="1:15" ht="18" customHeight="1">
      <c r="A190" s="80" t="s">
        <v>192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189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190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191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190</v>
      </c>
      <c r="O216" s="39"/>
    </row>
    <row r="217" spans="1:15" ht="18" customHeight="1">
      <c r="A217" s="80" t="s">
        <v>192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189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191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190</v>
      </c>
      <c r="O243" s="39"/>
    </row>
    <row r="244" spans="1:15" ht="18" customHeight="1">
      <c r="A244" s="80" t="s">
        <v>192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189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191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190</v>
      </c>
      <c r="O270" s="39"/>
    </row>
    <row r="271" spans="1:15" ht="18" customHeight="1">
      <c r="A271" s="80" t="s">
        <v>192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189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191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190</v>
      </c>
      <c r="O297" s="39"/>
    </row>
    <row r="298" spans="1:15" ht="18" customHeight="1">
      <c r="A298" s="80" t="s">
        <v>192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189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191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190</v>
      </c>
      <c r="O324" s="39"/>
    </row>
    <row r="325" spans="1:15" ht="18" customHeight="1">
      <c r="A325" s="80" t="s">
        <v>192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189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191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190</v>
      </c>
      <c r="O351" s="39"/>
    </row>
    <row r="352" spans="1:15" ht="18" customHeight="1">
      <c r="A352" s="80" t="s">
        <v>192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189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191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190</v>
      </c>
      <c r="O378" s="39"/>
    </row>
    <row r="379" spans="1:15" ht="18" customHeight="1">
      <c r="A379" s="80" t="s">
        <v>192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189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191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190</v>
      </c>
      <c r="O405" s="39"/>
    </row>
    <row r="406" spans="1:15" ht="18" customHeight="1">
      <c r="A406" s="80" t="s">
        <v>192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189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191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190</v>
      </c>
      <c r="O432" s="39"/>
    </row>
    <row r="433" spans="1:15" ht="18" customHeight="1">
      <c r="A433" s="80" t="s">
        <v>192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189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191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190</v>
      </c>
      <c r="O459" s="39"/>
    </row>
    <row r="460" spans="1:15" ht="18" customHeight="1">
      <c r="A460" s="80" t="s">
        <v>192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189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191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190</v>
      </c>
      <c r="O486" s="39"/>
    </row>
    <row r="487" spans="1:15" ht="18" customHeight="1">
      <c r="A487" s="80" t="s">
        <v>192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189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191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190</v>
      </c>
      <c r="O513" s="39"/>
    </row>
    <row r="514" spans="1:15" ht="18" customHeight="1">
      <c r="A514" s="80" t="s">
        <v>192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189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191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190</v>
      </c>
      <c r="O540" s="39"/>
    </row>
    <row r="541" spans="1:15" ht="18" customHeight="1">
      <c r="A541" s="80" t="s">
        <v>192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189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191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190</v>
      </c>
      <c r="O567" s="39"/>
    </row>
    <row r="568" spans="1:15" ht="18" customHeight="1">
      <c r="A568" s="80" t="s">
        <v>192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189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191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190</v>
      </c>
      <c r="O594" s="39"/>
    </row>
    <row r="595" spans="1:15" ht="18" customHeight="1">
      <c r="A595" s="80" t="s">
        <v>192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189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191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190</v>
      </c>
      <c r="O621" s="39"/>
    </row>
    <row r="622" spans="1:15" ht="18" customHeight="1">
      <c r="A622" s="80" t="s">
        <v>192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189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191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190</v>
      </c>
      <c r="O648" s="39"/>
    </row>
    <row r="649" spans="1:15" ht="18" customHeight="1">
      <c r="A649" s="80" t="s">
        <v>192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189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191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190</v>
      </c>
      <c r="O675" s="39"/>
    </row>
    <row r="676" spans="1:15" ht="18" customHeight="1">
      <c r="A676" s="80" t="s">
        <v>192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189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191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190</v>
      </c>
      <c r="O702" s="39"/>
    </row>
    <row r="703" spans="1:15" ht="18" customHeight="1">
      <c r="A703" s="80" t="s">
        <v>192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189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191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190</v>
      </c>
      <c r="O729" s="39"/>
    </row>
    <row r="730" spans="1:15" ht="18" customHeight="1">
      <c r="A730" s="80" t="s">
        <v>192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189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191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190</v>
      </c>
      <c r="O756" s="39"/>
    </row>
    <row r="757" spans="1:15" ht="18" customHeight="1">
      <c r="A757" s="80" t="s">
        <v>192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189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191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190</v>
      </c>
      <c r="O783" s="39"/>
    </row>
    <row r="784" spans="1:15" ht="18" customHeight="1">
      <c r="A784" s="80" t="s">
        <v>192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189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191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190</v>
      </c>
      <c r="O810" s="39"/>
    </row>
    <row r="811" spans="1:15" ht="18" customHeight="1">
      <c r="A811" s="80" t="s">
        <v>192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618DBFC7-9EE5-4350-9682-B167270E51D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D29:D900 D15:D26 D2:D13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2" activePane="bottomLeft" state="frozen"/>
      <selection pane="bottomLeft" activeCell="F6" sqref="F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126.42578125" style="57" customWidth="1"/>
    <col min="15" max="15" width="14" customWidth="1"/>
  </cols>
  <sheetData>
    <row r="1" spans="1:15" ht="37.5" customHeight="1">
      <c r="A1" s="68" t="s">
        <v>7</v>
      </c>
      <c r="B1" s="23" t="s">
        <v>176</v>
      </c>
      <c r="C1" s="23" t="s">
        <v>12</v>
      </c>
      <c r="D1" s="22" t="s">
        <v>13</v>
      </c>
      <c r="E1" s="22" t="s">
        <v>177</v>
      </c>
      <c r="F1" s="23" t="s">
        <v>178</v>
      </c>
      <c r="G1" s="23" t="s">
        <v>179</v>
      </c>
      <c r="H1" s="23" t="s">
        <v>14</v>
      </c>
      <c r="I1" s="23" t="s">
        <v>15</v>
      </c>
      <c r="J1" s="23" t="s">
        <v>180</v>
      </c>
      <c r="K1" s="23" t="s">
        <v>181</v>
      </c>
      <c r="L1" s="23" t="s">
        <v>182</v>
      </c>
      <c r="M1" s="24" t="s">
        <v>183</v>
      </c>
      <c r="N1" s="23" t="s">
        <v>184</v>
      </c>
      <c r="O1" s="23" t="s">
        <v>185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/>
      <c r="F2" s="27">
        <v>0</v>
      </c>
      <c r="G2" s="28" t="str">
        <f t="shared" ref="G2:G13" si="0">IF(F2="","",IF(E2="PC 17",F2*4.2,IF(E2="PC 19",F2*5,"")))</f>
        <v/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 t="s">
        <v>195</v>
      </c>
      <c r="M2" s="30" t="str">
        <f t="shared" ref="M2:M13" ca="1" si="1">IFERROR(IF(K2="","",IF(L2="",MOD(NOW()-K2,1),IF(L2&gt;=K2,L2-K2,L2+1-K2))),"")</f>
        <v/>
      </c>
      <c r="N2" s="27" t="s">
        <v>196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/>
      <c r="F3" s="27">
        <v>0</v>
      </c>
      <c r="G3" s="34" t="str">
        <f t="shared" si="0"/>
        <v/>
      </c>
      <c r="H3" s="33"/>
      <c r="I3" s="33"/>
      <c r="J3" s="33"/>
      <c r="K3" s="29"/>
      <c r="L3" s="29"/>
      <c r="M3" s="35" t="str">
        <f t="shared" ca="1" si="1"/>
        <v/>
      </c>
      <c r="N3" s="27"/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/>
      <c r="F4" s="27">
        <v>5</v>
      </c>
      <c r="G4" s="28" t="str">
        <f t="shared" si="0"/>
        <v/>
      </c>
      <c r="H4" s="26"/>
      <c r="I4" s="26"/>
      <c r="J4" s="26"/>
      <c r="K4" s="29"/>
      <c r="L4" s="29"/>
      <c r="M4" s="30" t="str">
        <f t="shared" ca="1" si="1"/>
        <v/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/>
      <c r="F5" s="27">
        <v>10</v>
      </c>
      <c r="G5" s="34" t="str">
        <f t="shared" si="0"/>
        <v/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/>
      <c r="F6" s="27"/>
      <c r="G6" s="28" t="str">
        <f t="shared" si="0"/>
        <v/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/>
      <c r="F7" s="27"/>
      <c r="G7" s="34" t="str">
        <f t="shared" si="0"/>
        <v/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/>
      <c r="F8" s="27"/>
      <c r="G8" s="28" t="str">
        <f t="shared" si="0"/>
        <v/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/>
      <c r="F9" s="27"/>
      <c r="G9" s="34" t="str">
        <f t="shared" si="0"/>
        <v/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/>
      <c r="F10" s="27"/>
      <c r="G10" s="28" t="str">
        <f t="shared" si="0"/>
        <v/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/>
      <c r="F11" s="27"/>
      <c r="G11" s="34" t="str">
        <f t="shared" si="0"/>
        <v/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/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/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189</v>
      </c>
      <c r="B14" s="78"/>
      <c r="C14" s="78"/>
      <c r="D14" s="78"/>
      <c r="E14" s="79"/>
      <c r="F14" s="36">
        <f>SUM(F2:F13)</f>
        <v>15</v>
      </c>
      <c r="G14" s="36">
        <f>SUM(G2:G13)</f>
        <v>0</v>
      </c>
      <c r="H14" s="37"/>
      <c r="I14" s="37"/>
      <c r="J14" s="37"/>
      <c r="K14" s="61"/>
      <c r="L14" s="61"/>
      <c r="M14" s="38">
        <f ca="1">IFERROR(SUM(M2:M13),"")</f>
        <v>0</v>
      </c>
      <c r="N14" s="36" t="s">
        <v>190</v>
      </c>
      <c r="O14" s="39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60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191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61"/>
      <c r="L27" s="61"/>
      <c r="M27" s="38">
        <f ca="1">IFERROR(SUM(M15:M26),"")</f>
        <v>0</v>
      </c>
      <c r="N27" s="36" t="s">
        <v>190</v>
      </c>
      <c r="O27" s="39"/>
    </row>
    <row r="28" spans="1:15" ht="18" customHeight="1">
      <c r="A28" s="80" t="s">
        <v>192</v>
      </c>
      <c r="B28" s="81"/>
      <c r="C28" s="81"/>
      <c r="D28" s="81"/>
      <c r="E28" s="82"/>
      <c r="F28" s="40">
        <f>F14+F27</f>
        <v>15</v>
      </c>
      <c r="G28" s="40">
        <f>G14+G27</f>
        <v>0</v>
      </c>
      <c r="H28" s="41"/>
      <c r="I28" s="41"/>
      <c r="J28" s="41"/>
      <c r="K28" s="63"/>
      <c r="L28" s="63"/>
      <c r="M28" s="42">
        <f ca="1">IFERROR(M14+M27,"")</f>
        <v>0</v>
      </c>
      <c r="N28" s="40" t="s">
        <v>193</v>
      </c>
      <c r="O28" s="48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189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190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191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190</v>
      </c>
      <c r="O54" s="39"/>
    </row>
    <row r="55" spans="1:15" ht="18" customHeight="1">
      <c r="A55" s="80" t="s">
        <v>192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193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189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190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191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190</v>
      </c>
      <c r="O81" s="39"/>
    </row>
    <row r="82" spans="1:15" ht="18" customHeight="1">
      <c r="A82" s="80" t="s">
        <v>192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193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189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190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191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190</v>
      </c>
      <c r="O108" s="39"/>
    </row>
    <row r="109" spans="1:15" ht="18" customHeight="1">
      <c r="A109" s="80" t="s">
        <v>192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193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189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191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190</v>
      </c>
      <c r="O135" s="39"/>
    </row>
    <row r="136" spans="1:15" ht="18" customHeight="1">
      <c r="A136" s="80" t="s">
        <v>192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193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189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191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190</v>
      </c>
      <c r="O162" s="39"/>
    </row>
    <row r="163" spans="1:15" ht="18" customHeight="1">
      <c r="A163" s="80" t="s">
        <v>192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189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191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190</v>
      </c>
      <c r="O189" s="39"/>
    </row>
    <row r="190" spans="1:15" ht="18" customHeight="1">
      <c r="A190" s="80" t="s">
        <v>192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189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191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190</v>
      </c>
      <c r="O216" s="45"/>
    </row>
    <row r="217" spans="1:15" ht="18" customHeight="1">
      <c r="A217" s="80" t="s">
        <v>192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189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191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190</v>
      </c>
      <c r="O243" s="39"/>
    </row>
    <row r="244" spans="1:15" ht="18" customHeight="1">
      <c r="A244" s="80" t="s">
        <v>192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189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191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190</v>
      </c>
      <c r="O270" s="39"/>
    </row>
    <row r="271" spans="1:15" ht="18" customHeight="1">
      <c r="A271" s="80" t="s">
        <v>192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189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191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190</v>
      </c>
      <c r="O297" s="39"/>
    </row>
    <row r="298" spans="1:15" ht="18" customHeight="1">
      <c r="A298" s="80" t="s">
        <v>192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189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191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190</v>
      </c>
      <c r="O324" s="39"/>
    </row>
    <row r="325" spans="1:15" ht="18" customHeight="1">
      <c r="A325" s="80" t="s">
        <v>192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189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191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190</v>
      </c>
      <c r="O351" s="39"/>
    </row>
    <row r="352" spans="1:15" ht="18" customHeight="1">
      <c r="A352" s="80" t="s">
        <v>192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189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191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190</v>
      </c>
      <c r="O378" s="39"/>
    </row>
    <row r="379" spans="1:15" ht="18" customHeight="1">
      <c r="A379" s="80" t="s">
        <v>192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189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191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190</v>
      </c>
      <c r="O405" s="39"/>
    </row>
    <row r="406" spans="1:15" ht="18" customHeight="1">
      <c r="A406" s="80" t="s">
        <v>192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189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191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190</v>
      </c>
      <c r="O432" s="39"/>
    </row>
    <row r="433" spans="1:17" ht="18" customHeight="1">
      <c r="A433" s="80" t="s">
        <v>192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193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189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190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191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190</v>
      </c>
      <c r="O459" s="39"/>
    </row>
    <row r="460" spans="1:15" ht="18" customHeight="1">
      <c r="A460" s="80" t="s">
        <v>192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189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191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190</v>
      </c>
      <c r="O486" s="39"/>
    </row>
    <row r="487" spans="1:15" ht="18" customHeight="1">
      <c r="A487" s="80" t="s">
        <v>192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189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191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190</v>
      </c>
      <c r="O513" s="39"/>
    </row>
    <row r="514" spans="1:15" ht="18" customHeight="1">
      <c r="A514" s="80" t="s">
        <v>192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189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191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190</v>
      </c>
      <c r="O540" s="39"/>
    </row>
    <row r="541" spans="1:15" ht="18" customHeight="1">
      <c r="A541" s="80" t="s">
        <v>192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189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191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190</v>
      </c>
      <c r="O567" s="39"/>
    </row>
    <row r="568" spans="1:15" ht="18" customHeight="1">
      <c r="A568" s="80" t="s">
        <v>192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189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191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190</v>
      </c>
      <c r="O594" s="39"/>
    </row>
    <row r="595" spans="1:15" ht="18" customHeight="1">
      <c r="A595" s="80" t="s">
        <v>192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189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191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190</v>
      </c>
      <c r="O621" s="39"/>
    </row>
    <row r="622" spans="1:15" ht="18" customHeight="1">
      <c r="A622" s="80" t="s">
        <v>192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189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191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190</v>
      </c>
      <c r="O648" s="39"/>
    </row>
    <row r="649" spans="1:15" ht="18" customHeight="1">
      <c r="A649" s="80" t="s">
        <v>192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189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191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190</v>
      </c>
      <c r="O675" s="39"/>
    </row>
    <row r="676" spans="1:15" ht="18" customHeight="1">
      <c r="A676" s="80" t="s">
        <v>192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189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191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190</v>
      </c>
      <c r="O702" s="39"/>
    </row>
    <row r="703" spans="1:15" ht="18" customHeight="1">
      <c r="A703" s="80" t="s">
        <v>192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189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191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190</v>
      </c>
      <c r="O729" s="39"/>
    </row>
    <row r="730" spans="1:15" ht="18" customHeight="1">
      <c r="A730" s="80" t="s">
        <v>192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189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191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190</v>
      </c>
      <c r="O756" s="39"/>
    </row>
    <row r="757" spans="1:15" ht="18" customHeight="1">
      <c r="A757" s="80" t="s">
        <v>192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189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191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190</v>
      </c>
      <c r="O783" s="39"/>
    </row>
    <row r="784" spans="1:15" ht="18" customHeight="1">
      <c r="A784" s="80" t="s">
        <v>192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189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191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190</v>
      </c>
      <c r="O810" s="39"/>
    </row>
    <row r="811" spans="1:15" ht="18" customHeight="1">
      <c r="A811" s="80" t="s">
        <v>192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193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D29:D900 D15:D26 D2:D13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2026-07-01T15:39:07Z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