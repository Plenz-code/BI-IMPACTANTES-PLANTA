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134" documentId="8_{C51EB6CB-002B-4D6B-B68F-DDEBDB4460C0}" xr6:coauthVersionLast="47" xr6:coauthVersionMax="47" xr10:uidLastSave="{841FF75C-AD07-41C4-A723-652FBF28720C}"/>
  <bookViews>
    <workbookView xWindow="-108" yWindow="-108" windowWidth="23256" windowHeight="12456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176" i="6" l="1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<sst xmlns="http://schemas.openxmlformats.org/spreadsheetml/2006/main" count="4312" uniqueCount="305">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</sst>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10" t="s">
        <v>0</v>
      </c>
      <c r="B1" s="110"/>
      <c r="C1" s="110"/>
      <c r="D1" s="110"/>
      <c r="E1" s="110"/>
      <c r="F1" s="110"/>
      <c r="G1" s="110"/>
    </row>
    <row r="2" spans="1:7" ht="24.75" customHeight="1">
      <c r="A2" s="111"/>
      <c r="B2" s="111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1392300</v>
      </c>
      <c r="D11" s="11">
        <f>IFERROR('Linha 1'!O217,"")</f>
        <v>601390</v>
      </c>
      <c r="E11" s="11">
        <f>IFERROR('Linha 2'!O217,"")</f>
        <v>92510</v>
      </c>
      <c r="F11" s="11">
        <f>IFERROR('Linha 3'!O217,"")</f>
        <v>790070</v>
      </c>
      <c r="G11" s="12">
        <f t="shared" si="0"/>
        <v>1483970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2" t="s">
        <v>9</v>
      </c>
      <c r="B35" s="112"/>
      <c r="C35" s="13">
        <f>IFERROR(SUM(C4:C34),"")</f>
        <v>25428585</v>
      </c>
      <c r="D35" s="13">
        <f>IFERROR(SUM(D4:D34),"")</f>
        <v>7714120</v>
      </c>
      <c r="E35" s="13">
        <f>IFERROR(SUM(E4:E34),"")</f>
        <v>3728860</v>
      </c>
      <c r="F35" s="13">
        <f>IFERROR(SUM(F4:F34),"")</f>
        <v>10241570</v>
      </c>
      <c r="G35" s="13">
        <f>IFERROR(SUM(G4:G34),"")</f>
        <v>21684550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3" t="s">
        <v>10</v>
      </c>
      <c r="B1" s="113"/>
      <c r="C1" s="113"/>
      <c r="D1" s="113"/>
      <c r="E1" s="113"/>
      <c r="F1" s="113"/>
      <c r="G1" s="113"/>
      <c r="H1" s="114"/>
      <c r="I1" s="115" t="s">
        <v>11</v>
      </c>
      <c r="J1" s="115"/>
      <c r="K1" s="115"/>
      <c r="L1" s="115"/>
      <c r="M1" s="115"/>
    </row>
    <row r="2" spans="1:13" ht="4.5" customHeight="1">
      <c r="H2" s="114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4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4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4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4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4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4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4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4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4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4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4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4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4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4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4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4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4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4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4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4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4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4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4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4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4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4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4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4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4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4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4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4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4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4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4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4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4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4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4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4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4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4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4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4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4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4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4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4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4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4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4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4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4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4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4"/>
      <c r="I57" s="17"/>
      <c r="J57" s="17"/>
      <c r="K57" s="17" t="s">
        <v>50</v>
      </c>
      <c r="L57" s="17"/>
      <c r="M57" s="17"/>
    </row>
    <row r="58" spans="1:13" ht="15" customHeight="1">
      <c r="H58" s="114"/>
      <c r="I58" s="16"/>
      <c r="J58" s="16"/>
      <c r="K58" s="16" t="s">
        <v>207</v>
      </c>
      <c r="L58" s="16"/>
      <c r="M58" s="16"/>
    </row>
    <row r="59" spans="1:13" ht="15" customHeight="1">
      <c r="H59" s="114"/>
      <c r="I59" s="17"/>
      <c r="J59" s="17"/>
      <c r="K59" s="17" t="s">
        <v>208</v>
      </c>
      <c r="L59" s="17"/>
      <c r="M59" s="17"/>
    </row>
    <row r="60" spans="1:13" ht="15" customHeight="1">
      <c r="H60" s="114"/>
      <c r="I60" s="16"/>
      <c r="J60" s="16"/>
      <c r="K60" s="86" t="s">
        <v>105</v>
      </c>
      <c r="L60" s="16"/>
      <c r="M60" s="16"/>
    </row>
    <row r="61" spans="1:13" ht="15" customHeight="1">
      <c r="H61" s="114"/>
      <c r="I61" s="17"/>
      <c r="J61" s="17"/>
      <c r="K61" s="17" t="s">
        <v>209</v>
      </c>
      <c r="L61" s="17"/>
      <c r="M61" s="17"/>
    </row>
    <row r="62" spans="1:13" ht="15" customHeight="1">
      <c r="H62" s="114"/>
      <c r="I62" s="16"/>
      <c r="J62" s="16"/>
      <c r="K62" s="16" t="s">
        <v>210</v>
      </c>
      <c r="L62" s="16"/>
      <c r="M62" s="16"/>
    </row>
    <row r="63" spans="1:13" ht="15" customHeight="1">
      <c r="H63" s="114"/>
      <c r="I63" s="17"/>
      <c r="J63" s="17"/>
      <c r="K63" s="17" t="s">
        <v>211</v>
      </c>
      <c r="L63" s="17"/>
      <c r="M63" s="17"/>
    </row>
    <row r="64" spans="1:13" ht="15" customHeight="1">
      <c r="H64" s="114"/>
      <c r="I64" s="16"/>
      <c r="J64" s="16"/>
      <c r="K64" s="16" t="s">
        <v>212</v>
      </c>
      <c r="L64" s="16"/>
      <c r="M64" s="16"/>
    </row>
    <row r="65" spans="8:13" ht="15" customHeight="1">
      <c r="H65" s="114"/>
      <c r="I65" s="17"/>
      <c r="J65" s="17"/>
      <c r="K65" s="17" t="s">
        <v>213</v>
      </c>
      <c r="L65" s="17"/>
      <c r="M65" s="17"/>
    </row>
    <row r="66" spans="8:13" ht="15" customHeight="1">
      <c r="H66" s="114"/>
      <c r="I66" s="16"/>
      <c r="J66" s="16"/>
      <c r="K66" s="16" t="s">
        <v>214</v>
      </c>
      <c r="L66" s="16"/>
      <c r="M66" s="16"/>
    </row>
    <row r="67" spans="8:13" ht="15" customHeight="1">
      <c r="H67" s="114"/>
      <c r="I67" s="17"/>
      <c r="J67" s="17"/>
      <c r="K67" s="17" t="s">
        <v>215</v>
      </c>
      <c r="L67" s="17"/>
      <c r="M67" s="17"/>
    </row>
    <row r="68" spans="8:13" ht="15" customHeight="1">
      <c r="H68" s="114"/>
      <c r="I68" s="16"/>
      <c r="J68" s="16"/>
      <c r="K68" s="16" t="s">
        <v>216</v>
      </c>
      <c r="L68" s="16"/>
      <c r="M68" s="16"/>
    </row>
    <row r="69" spans="8:13" ht="15" customHeight="1">
      <c r="H69" s="114"/>
      <c r="I69" s="17"/>
      <c r="J69" s="17"/>
      <c r="K69" s="17" t="s">
        <v>217</v>
      </c>
      <c r="L69" s="17"/>
      <c r="M69" s="17"/>
    </row>
    <row r="70" spans="8:13" ht="15" customHeight="1">
      <c r="H70" s="114"/>
      <c r="I70" s="16"/>
      <c r="J70" s="16"/>
      <c r="K70" s="16" t="s">
        <v>218</v>
      </c>
      <c r="L70" s="16"/>
      <c r="M70" s="16"/>
    </row>
    <row r="71" spans="8:13" ht="15" customHeight="1">
      <c r="H71" s="114"/>
      <c r="I71" s="17"/>
      <c r="J71" s="17"/>
      <c r="K71" s="17" t="s">
        <v>219</v>
      </c>
      <c r="L71" s="17"/>
      <c r="M71" s="17"/>
    </row>
    <row r="72" spans="8:13" ht="15" customHeight="1">
      <c r="H72" s="114"/>
      <c r="I72" s="16"/>
      <c r="J72" s="16"/>
      <c r="K72" s="16" t="s">
        <v>220</v>
      </c>
      <c r="L72" s="16"/>
      <c r="M72" s="16"/>
    </row>
    <row r="73" spans="8:13" ht="15" customHeight="1">
      <c r="H73" s="114"/>
      <c r="I73" s="17"/>
      <c r="J73" s="17"/>
      <c r="K73" s="17" t="s">
        <v>221</v>
      </c>
      <c r="L73" s="17"/>
      <c r="M73" s="17"/>
    </row>
    <row r="74" spans="8:13" ht="15" customHeight="1">
      <c r="H74" s="114"/>
      <c r="I74" s="16"/>
      <c r="J74" s="16"/>
      <c r="K74" s="16" t="s">
        <v>222</v>
      </c>
      <c r="L74" s="16"/>
      <c r="M74" s="16"/>
    </row>
    <row r="75" spans="8:13" ht="15" customHeight="1">
      <c r="H75" s="114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189" activePane="bottomLeft" state="frozen"/>
      <selection pane="bottomLeft" activeCell="F209" sqref="F209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7.5703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235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233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233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236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235</v>
      </c>
      <c r="O27" s="39">
        <v>997910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239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233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240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233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236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235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233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233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233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233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235</v>
      </c>
      <c r="O54" s="39">
        <v>981310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239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233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235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233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242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235</v>
      </c>
      <c r="O81" s="39">
        <v>1547910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239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233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233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243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235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244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3156240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239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235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235</v>
      </c>
      <c r="O135" s="39">
        <v>2875180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239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245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233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233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233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235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233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233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233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233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235</v>
      </c>
      <c r="O162" s="44">
        <v>842000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239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247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233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235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248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235</v>
      </c>
      <c r="O189" s="39">
        <v>1901630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239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233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233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250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235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233</v>
      </c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233</v>
      </c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233</v>
      </c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233</v>
      </c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233</v>
      </c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233</v>
      </c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233</v>
      </c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158</v>
      </c>
      <c r="G216" s="36">
        <f>SUM(G204:G215)</f>
        <v>790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45"/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409</v>
      </c>
      <c r="G217" s="40">
        <f>G203+G216</f>
        <v>2045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239</v>
      </c>
      <c r="O217" s="48">
        <f>IFERROR(O203+O216,"")</f>
        <v>1392300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7" t="s">
        <v>238</v>
      </c>
      <c r="B811" s="108"/>
      <c r="C811" s="108"/>
      <c r="D811" s="108"/>
      <c r="E811" s="109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177" activePane="bottomLeft" state="frozen"/>
      <selection pane="bottomLeft" activeCell="F209" sqref="F20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251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252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253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235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249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249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249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249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254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249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255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249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249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249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249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249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235</v>
      </c>
      <c r="O27" s="77">
        <v>549860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239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235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249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249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249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249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256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249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257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249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249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258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249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0.88147002314508427</v>
      </c>
      <c r="N53" s="46" t="s">
        <v>259</v>
      </c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1.0203589120339731</v>
      </c>
      <c r="N54" s="36" t="s">
        <v>235</v>
      </c>
      <c r="O54" s="84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1.1050811342561955</v>
      </c>
      <c r="N55" s="40" t="s">
        <v>239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251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235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249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249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249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249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249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260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249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249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249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235</v>
      </c>
      <c r="O81" s="54">
        <v>634210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239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261</v>
      </c>
      <c r="E83" s="59" t="s">
        <v>249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209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235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262</v>
      </c>
      <c r="M96" s="30" t="str">
        <f t="shared" ref="M96:M107" ca="1" si="22">IFERROR(IF(K96="","",IF(L96="",MOD(NOW()-K96,1),IF(L96&gt;=K96,L96-K96,L96+1-K96))),"")</f>
        <v/>
      </c>
      <c r="N96" s="46" t="s">
        <v>263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236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264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265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236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235</v>
      </c>
      <c r="O108" s="54">
        <v>456830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239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266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235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235</v>
      </c>
      <c r="O135" s="54">
        <v>756720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239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249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267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249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249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268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249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249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249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249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269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249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249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235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270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235</v>
      </c>
      <c r="O162" s="54">
        <v>501750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239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249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249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249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249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249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249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249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249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249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249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235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249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249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271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249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268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272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249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249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235</v>
      </c>
      <c r="O189" s="77">
        <v>362530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239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273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266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235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10</v>
      </c>
      <c r="G206" s="28">
        <f t="shared" si="45"/>
        <v>42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62</v>
      </c>
      <c r="G216" s="36">
        <f>SUM(G204:G215)</f>
        <v>260.39999999999998</v>
      </c>
      <c r="H216" s="37"/>
      <c r="I216" s="37"/>
      <c r="J216" s="37"/>
      <c r="K216" s="37"/>
      <c r="L216" s="37"/>
      <c r="M216" s="38">
        <f ca="1">IFERROR(SUM(M204:M215),"")</f>
        <v>4.6527777777777835E-2</v>
      </c>
      <c r="N216" s="36" t="s">
        <v>235</v>
      </c>
      <c r="O216" s="77"/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195</v>
      </c>
      <c r="G217" s="40">
        <f>G203+G216</f>
        <v>819</v>
      </c>
      <c r="H217" s="41"/>
      <c r="I217" s="41"/>
      <c r="J217" s="41"/>
      <c r="K217" s="41"/>
      <c r="L217" s="41"/>
      <c r="M217" s="42">
        <f ca="1">IFERROR(M203+M216,"")</f>
        <v>0.1868055555555555</v>
      </c>
      <c r="N217" s="40" t="s">
        <v>239</v>
      </c>
      <c r="O217" s="83">
        <f>IFERROR(O203+O216,"")</f>
        <v>601390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6" t="s">
        <v>234</v>
      </c>
      <c r="B230" s="117"/>
      <c r="C230" s="117"/>
      <c r="D230" s="117"/>
      <c r="E230" s="11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77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77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77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77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77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77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77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77"/>
    </row>
    <row r="433" spans="1:15" ht="18" customHeight="1">
      <c r="A433" s="92" t="s">
        <v>238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77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77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77"/>
    </row>
    <row r="514" spans="1:15" ht="18" customHeight="1">
      <c r="A514" s="92" t="s">
        <v>238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77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77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77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77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77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77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77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77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84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176" zoomScale="50" zoomScaleNormal="50" workbookViewId="0">
      <selection activeCell="F209" sqref="F20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235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274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249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249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254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249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275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249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249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249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249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249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249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235</v>
      </c>
      <c r="O27" s="39">
        <v>358000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239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235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260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274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274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235</v>
      </c>
      <c r="O54" s="39">
        <v>279980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239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249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249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249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249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249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276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249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249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249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249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235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277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235</v>
      </c>
      <c r="O81" s="39">
        <v>185920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239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278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279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235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280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235</v>
      </c>
      <c r="O108" s="39">
        <v>434370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239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235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281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235</v>
      </c>
      <c r="O135" s="39">
        <v>416350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239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282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269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235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260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235</v>
      </c>
      <c r="O162" s="39">
        <v>169760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239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283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235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284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272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272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235</v>
      </c>
      <c r="O189" s="39">
        <v>72220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239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235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285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21</v>
      </c>
      <c r="G216" s="36">
        <f>SUM(G204:G215)</f>
        <v>88.2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235</v>
      </c>
      <c r="O216" s="39"/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36</v>
      </c>
      <c r="G217" s="40">
        <f>G203+G216</f>
        <v>151.20000000000002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239</v>
      </c>
      <c r="O217" s="48">
        <f>IFERROR(O203+O216,"")</f>
        <v>92510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174" activePane="bottomLeft" state="frozen"/>
      <selection pane="bottomLeft" activeCell="L205" sqref="L205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235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249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286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249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257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249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274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249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287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249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249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249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288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249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249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235</v>
      </c>
      <c r="O27" s="39">
        <v>491520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239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249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249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249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249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249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249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249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249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249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249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1" t="s">
        <v>234</v>
      </c>
      <c r="B41" s="102"/>
      <c r="C41" s="102"/>
      <c r="D41" s="102"/>
      <c r="E41" s="103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235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289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235</v>
      </c>
      <c r="O54" s="39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239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290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291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235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216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292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274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249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235</v>
      </c>
      <c r="O81" s="39">
        <v>612410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239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235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274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235</v>
      </c>
      <c r="O108" s="39">
        <v>956070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239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216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221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221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293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235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294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260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274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235</v>
      </c>
      <c r="O135" s="39">
        <v>912240</v>
      </c>
    </row>
    <row r="136" spans="1:18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239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295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296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269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234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235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297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298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235</v>
      </c>
      <c r="O162" s="39">
        <v>573230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239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299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235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300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235</v>
      </c>
      <c r="O189" s="39">
        <v>692750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239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301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235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302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6</v>
      </c>
      <c r="G205" s="34">
        <f t="shared" si="45"/>
        <v>25.200000000000003</v>
      </c>
      <c r="H205" s="33" t="s">
        <v>20</v>
      </c>
      <c r="I205" s="57" t="s">
        <v>303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304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/>
      <c r="G210" s="28"/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20</v>
      </c>
      <c r="G216" s="36">
        <f>SUM(G204:G215)</f>
        <v>84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235</v>
      </c>
      <c r="O216" s="45"/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181</v>
      </c>
      <c r="G217" s="40">
        <f>G203+G216</f>
        <v>760.2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239</v>
      </c>
      <c r="O217" s="48">
        <f>IFERROR(O203+O216,"")</f>
        <v>790070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1" t="s">
        <v>234</v>
      </c>
      <c r="B338" s="102"/>
      <c r="C338" s="102"/>
      <c r="D338" s="102"/>
      <c r="E338" s="103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235</v>
      </c>
      <c r="O432" s="39"/>
    </row>
    <row r="433" spans="1:17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235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239</v>
      </c>
      <c r="O838" s="48">
        <f>IFERROR(O824+O837,"")</f>
        <v>0</v>
      </c>
    </row>
  </sheetData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2026-08-09T04:04:37Z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