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727" documentId="8_{AF585B22-221D-4780-BB9C-493D365A6A02}" xr6:coauthVersionLast="47" xr6:coauthVersionMax="47" xr10:uidLastSave="{0B4E6544-4B86-48CC-A500-D715A58E483C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<sst xmlns="http://schemas.openxmlformats.org/spreadsheetml/2006/main" count="10162" uniqueCount="392">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</sst>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927770</v>
      </c>
      <c r="D28" s="8">
        <f>IFERROR('Linha 1'!O676,"")</f>
        <v>595370</v>
      </c>
      <c r="E28" s="8">
        <f>IFERROR('Linha 2'!O676,"")</f>
        <v>446880</v>
      </c>
      <c r="F28" s="8">
        <f>IFERROR('Linha 3'!O676,"")</f>
        <v>0</v>
      </c>
      <c r="G28" s="9">
        <f t="shared" si="0"/>
        <v>1042250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76084568</v>
      </c>
      <c r="D35" s="13">
        <f>IFERROR(SUM(D4:D34),"")</f>
        <v>30077060</v>
      </c>
      <c r="E35" s="13">
        <f>IFERROR(SUM(E4:E34),"")</f>
        <v>17510650</v>
      </c>
      <c r="F35" s="13">
        <f>IFERROR(SUM(F4:F34),"")</f>
        <v>31043010</v>
      </c>
      <c r="G35" s="13">
        <f>IFERROR(SUM(G4:G34),"")</f>
        <v>78630720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K664" sqref="K6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/>
      <c r="M663" s="35">
        <f t="shared" ref="M663:M674" ca="1" si="148">IFERROR(IF(K663="","",IF(L663="",MOD(NOW()-K663,1),IF(L663&gt;=K663,L663-K663,L663+1-K663))),"")</f>
        <v>3.0152777762850747E-3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31</v>
      </c>
      <c r="G675" s="36">
        <f>SUM(G663:G674)</f>
        <v>155</v>
      </c>
      <c r="H675" s="37"/>
      <c r="I675" s="37"/>
      <c r="J675" s="37"/>
      <c r="K675" s="37"/>
      <c r="L675" s="37"/>
      <c r="M675" s="38">
        <f ca="1">IFERROR(SUM(M663:M674),"")</f>
        <v>3.0152777762850747E-3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359</v>
      </c>
      <c r="G676" s="40">
        <f>G662+G675</f>
        <v>1795</v>
      </c>
      <c r="H676" s="41"/>
      <c r="I676" s="41"/>
      <c r="J676" s="41"/>
      <c r="K676" s="41"/>
      <c r="L676" s="41"/>
      <c r="M676" s="42">
        <f ca="1">IFERROR(M662+M675,"")</f>
        <v>1.204305555406282E-2</v>
      </c>
      <c r="N676" s="40" t="s">
        <v>236</v>
      </c>
      <c r="O676" s="48">
        <f>IFERROR(O662+O675,"")</f>
        <v>927770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F665" sqref="F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0.62245972221717238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0.78009861110606127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0.88982083332828343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0.60093194444198161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0.77176527777531501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0.91690416666420393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0.13079305555584142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0.26343194444473045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9</v>
      </c>
      <c r="G664" s="28">
        <f t="shared" si="147"/>
        <v>37.800000000000004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/>
      <c r="M664" s="30">
        <f t="shared" ca="1" si="148"/>
        <v>4.4041666624252684E-3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28</v>
      </c>
      <c r="G675" s="36">
        <f>SUM(G663:G674)</f>
        <v>117.6</v>
      </c>
      <c r="H675" s="37"/>
      <c r="I675" s="37"/>
      <c r="J675" s="37"/>
      <c r="K675" s="37"/>
      <c r="L675" s="37"/>
      <c r="M675" s="38">
        <f ca="1">IFERROR(SUM(M663:M674),"")</f>
        <v>2.0376388884647545E-2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153</v>
      </c>
      <c r="G676" s="40">
        <f>G662+G675</f>
        <v>650.6</v>
      </c>
      <c r="H676" s="41"/>
      <c r="I676" s="41"/>
      <c r="J676" s="41"/>
      <c r="K676" s="41"/>
      <c r="L676" s="41"/>
      <c r="M676" s="42">
        <f ca="1">IFERROR(M662+M675,"")</f>
        <v>0.28380833332937799</v>
      </c>
      <c r="N676" s="40" t="s">
        <v>236</v>
      </c>
      <c r="O676" s="83">
        <f>IFERROR(O662+O675,"")</f>
        <v>595370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65" sqref="F66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7</v>
      </c>
      <c r="G664" s="28">
        <f t="shared" si="147"/>
        <v>29.400000000000002</v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17</v>
      </c>
      <c r="G675" s="36">
        <f>SUM(G663:G674)</f>
        <v>71.400000000000006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112</v>
      </c>
      <c r="G676" s="40">
        <f>G662+G675</f>
        <v>478.4</v>
      </c>
      <c r="H676" s="41"/>
      <c r="I676" s="41"/>
      <c r="J676" s="41"/>
      <c r="K676" s="41"/>
      <c r="L676" s="41"/>
      <c r="M676" s="42">
        <f ca="1">IFERROR(M662+M675,"")</f>
        <v>0.12361111111111112</v>
      </c>
      <c r="N676" s="40" t="s">
        <v>236</v>
      </c>
      <c r="O676" s="48">
        <f>IFERROR(O662+O675,"")</f>
        <v>446880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J663" sqref="J66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349</v>
      </c>
      <c r="L58" s="29">
        <v>0.54097222222222219</v>
      </c>
      <c r="M58" s="30" t="str">
        <f t="shared" ca="1" si="13"/>
        <v/>
      </c>
      <c r="N58" s="27" t="s">
        <v>350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0.61273749999963911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0.81204305555519474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1.1794041666663058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/>
      <c r="M663" s="35">
        <f t="shared" ref="M663:M674" ca="1" si="148">IFERROR(IF(K663="","",IF(L663="",MOD(NOW()-K663,1),IF(L663&gt;=K663,L663-K663,L663+1-K663))),"")</f>
        <v>7.0376388888689689E-2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7.0376388888689689E-2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0.57037638888868969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2026-07-26T00:41:52Z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