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08" documentId="13_ncr:1_{A6DBCFB4-28D9-4249-9038-216934055CA6}" xr6:coauthVersionLast="47" xr6:coauthVersionMax="47" xr10:uidLastSave="{7734CE9B-D7CE-41ED-8D7E-B758D488B0BC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<sst xmlns="http://schemas.openxmlformats.org/spreadsheetml/2006/main" count="9934" uniqueCount="428">
  <si>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</si>
  <si>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</si>
  <si>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</si>
  <si>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</si>
  <si>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</si>
  <si>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</si>
  <si>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</si>
  <si>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</si>
  <si>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</si>
  <si>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</si>
  <si>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</si>
  <si>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</si>
  <si>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</si>
  <si>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</si>
  <si>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</si>
  <si>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</si>
  <si>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</si>
  <si>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</si>
  <si>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</si>
  <si>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</si>
  <si>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</si>
  <si>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</si>
  <si>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</si>
  <si>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</si>
  <si>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</si>
  <si>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</si>
  <si>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</si>
  <si>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</si>
  <si>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</si>
  <si>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</si>
  <si>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</si>
  <si>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</si>
  <si>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</si>
  <si>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</si>
  <si>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</si>
  <si>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</si>
  <si>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</si>
  <si>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</si>
  <si>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</si>
  <si>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</si>
  <si>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</si>
  <si>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</si>
  <si>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</si>
  <si>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</si>
  <si>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</si>
  <si>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</si>
  <si>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</si>
  <si>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</si>
  <si>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</si>
  <si>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</si>
  <si>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</si>
  <si>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</si>
  <si>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</si>
  <si>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</si>
  <si>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</si>
  <si>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</si>
  <si>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</si>
  <si>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</si>
  <si>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</si>
  <si>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</si>
  <si>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</si>
  <si>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</si>
  <si>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</si>
  <si>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</si>
  <si>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</si>
  <si>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</si>
  <si>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</si>
  <si>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</si>
  <si>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</si>
  <si>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</si>
  <si>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</si>
  <si>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</si>
  <si>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</si>
  <si>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</si>
  <si>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</si>
  <si>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</si>
  <si>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</si>
  <si>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</si>
  <si>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</si>
  <si>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</si>
  <si>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</si>
  <si>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</si>
  <si>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</si>
  <si>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</si>
  <si>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</si>
  <si>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</si>
  <si>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</si>
  <si>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</si>
  <si>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</si>
  <si>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</si>
  <si>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</si>
  <si>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</si>
  <si>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</si>
  <si>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</si>
  <si>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</si>
  <si>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</si>
  <si>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</si>
  <si>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</si>
  <si>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</si>
  <si>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</si>
  <si>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</si>
  <si>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</si>
  <si>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</si>
  <si>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</si>
  <si>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</si>
  <si>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</si>
  <si>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</si>
  <si>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</si>
  <si>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</si>
  <si>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</si>
  <si>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</si>
  <si>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</si>
  <si>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</si>
  <si>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</si>
  <si>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</si>
  <si>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</si>
  <si>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</si>
  <si>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</si>
  <si>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</si>
  <si>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</si>
  <si>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</si>
  <si>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</si>
  <si>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</si>
  <si>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</si>
  <si>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</si>
  <si>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</si>
  <si>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</si>
  <si>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</si>
  <si>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</si>
  <si>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</si>
  <si>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</si>
  <si>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</si>
  <si>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</si>
  <si>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</si>
  <si>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</si>
  <si>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</si>
  <si>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</si>
  <si>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</si>
  <si>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</si>
  <si>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</si>
  <si>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</si>
  <si>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</si>
  <si>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</si>
  <si>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</si>
  <si>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</si>
  <si>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</si>
  <si>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</si>
  <si>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</si>
  <si>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</si>
  <si>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</si>
  <si>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</si>
  <si>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</si>
  <si>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</si>
  <si>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</si>
  <si>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</si>
  <si>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</si>
  <si>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</si>
  <si>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</si>
  <si>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</si>
  <si>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</si>
  <si>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</si>
  <si>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</si>
  <si>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</si>
  <si>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</si>
  <si>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</si>
  <si>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</si>
  <si>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</si>
  <si>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</si>
  <si>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</si>
  <si>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</si>
  <si>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</si>
  <si>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</si>
  <si>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</si>
  <si>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</si>
  <si>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</si>
  <si>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</si>
  <si>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</si>
  <si>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</si>
  <si>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</si>
  <si>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</si>
  <si>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</si>
  <si>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</si>
  <si>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</si>
  <si>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</si>
  <si>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</si>
  <si>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</si>
  <si>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</si>
  <si>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</si>
  <si>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</si>
  <si>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</si>
  <si>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</si>
  <si>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</si>
  <si>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</si>
  <si>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</si>
  <si>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</si>
  <si>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</si>
  <si>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</si>
  <si>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</si>
  <si>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</si>
  <si>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</si>
  <si>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</si>
  <si>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</si>
  <si>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</si>
  <si>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</si>
  <si>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</si>
  <si>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</si>
  <si>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</si>
  <si>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</si>
  <si>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</si>
  <si>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</si>
  <si>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</si>
  <si>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</si>
  <si>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</si>
  <si>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</si>
  <si>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</si>
  <si>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</si>
  <si>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</si>
  <si>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</si>
  <si>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</si>
  <si>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</si>
  <si>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</si>
  <si>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</si>
  <si>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</si>
  <si>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</si>
  <si>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</si>
  <si>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</si>
  <si>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</si>
  <si>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</si>
  <si>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</si>
  <si>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</si>
  <si>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</si>
  <si>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</si>
  <si>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</si>
  <si>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</si>
  <si>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</si>
  <si>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</si>
  <si>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</si>
  <si>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</si>
  <si>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</si>
  <si>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</si>
  <si>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</si>
  <si>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</si>
  <si>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</si>
  <si>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</si>
  <si>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</si>
  <si>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</si>
  <si>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</si>
  <si>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</si>
  <si>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</si>
  <si>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</si>
  <si>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</si>
  <si>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</si>
  <si>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</si>
  <si>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</si>
  <si>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</si>
  <si>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</si>
  <si>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</si>
  <si>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</si>
  <si>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</si>
  <si>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</si>
  <si>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</si>
  <si>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</si>
  <si>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</si>
  <si>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</si>
  <si>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</si>
  <si>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</si>
  <si>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</si>
  <si>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</si>
  <si>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</si>
  <si>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</si>
  <si>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</si>
  <si>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</si>
  <si>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</si>
  <si>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</si>
  <si>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</si>
  <si>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</si>
  <si>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</si>
  <si>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</si>
  <si>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</si>
  <si>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</si>
  <si>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</si>
  <si>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</si>
  <si>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</si>
  <si>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</si>
  <si>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</si>
  <si>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</si>
  <si>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</si>
  <si>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</si>
  <si>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</si>
  <si>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</si>
  <si>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</si>
  <si>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</si>
  <si>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</si>
  <si>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</si>
  <si>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</si>
  <si>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</si>
  <si>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</si>
  <si>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</si>
  <si>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</si>
  <si>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</si>
  <si>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</si>
  <si>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</si>
  <si>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</si>
  <si>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</si>
  <si>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</si>
  <si>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rolamento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</si>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</sst>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5" sqref="N58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0.24791666666666667</v>
      </c>
      <c r="M583" s="71">
        <f t="shared" ca="1" si="126"/>
        <v>2.9166666666666674E-2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 t="s">
        <v>27</v>
      </c>
      <c r="I584" s="61" t="s">
        <v>32</v>
      </c>
      <c r="J584" s="61" t="s">
        <v>43</v>
      </c>
      <c r="K584" s="65">
        <v>0.24791666666666667</v>
      </c>
      <c r="L584" s="65"/>
      <c r="M584" s="66">
        <f t="shared" ca="1" si="126"/>
        <v>1.1912615736946464E-2</v>
      </c>
      <c r="N584" s="80" t="s">
        <v>305</v>
      </c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7.5801504625835348E-2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0.15288483795916863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P588" sqref="P58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0.13830150462308666</v>
      </c>
      <c r="R53" s="80" t="s">
        <v>316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0.27719039351197439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0.3619126157341972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318</v>
      </c>
      <c r="Q96" s="66" t="str">
        <f t="shared" ref="Q96:Q107" ca="1" si="22">IFERROR(IF(O96="","",IF(P96="",MOD(NOW()-O96,1),IF(P96&gt;=O96,P96-O96,P96+1-O96))),"")</f>
        <v/>
      </c>
      <c r="R96" s="80" t="s">
        <v>319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350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351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E592" sqref="E592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365</v>
      </c>
      <c r="Q222" s="66" t="str">
        <f t="shared" ca="1" si="49"/>
        <v/>
      </c>
      <c r="R222" s="63" t="s">
        <v>366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317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380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352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317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375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5</v>
      </c>
      <c r="H592" s="88">
        <f>IFERROR(IF($G592="","",$G592*$S$594/$G$594/Cadastro!$E$33),"")</f>
        <v>0</v>
      </c>
      <c r="I592" s="90">
        <f>IFERROR(IF($D592="","",VLOOKUP($D592,Cadastro!$C$4:$G$7,5,FALSE())),"")</f>
        <v>0.6</v>
      </c>
      <c r="J592" s="91">
        <f t="shared" si="147"/>
        <v>0</v>
      </c>
      <c r="K592" s="64">
        <f t="shared" si="148"/>
        <v>25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84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356.80000000000007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247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1050.2000000000003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P589" sqref="P58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306</v>
      </c>
      <c r="I1" s="86" t="s">
        <v>22</v>
      </c>
      <c r="J1" s="86" t="s">
        <v>307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423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424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407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408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425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426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427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374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2026-08-23T10:14:35Z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