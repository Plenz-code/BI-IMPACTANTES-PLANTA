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64" documentId="13_ncr:1_{0A10D8D4-8450-4366-8075-B53B08E6B7EA}" xr6:coauthVersionLast="47" xr6:coauthVersionMax="47" xr10:uidLastSave="{30691FAC-CE9E-4A7A-8FAD-587706555E78}"/>
  <bookViews>
    <workbookView xWindow="-120" yWindow="-120" windowWidth="29040" windowHeight="1572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486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71" i="5" l="1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<sst xmlns="http://schemas.openxmlformats.org/spreadsheetml/2006/main" count="7942" uniqueCount="376">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</sst>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9" fontId="6" fillId="8" borderId="10" xfId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66120180</v>
      </c>
      <c r="D35" s="13">
        <f t="shared" si="2"/>
        <v>20725020</v>
      </c>
      <c r="E35" s="13">
        <f t="shared" si="2"/>
        <v>10923630</v>
      </c>
      <c r="F35" s="13">
        <f t="shared" si="2"/>
        <v>26760570</v>
      </c>
      <c r="G35" s="13">
        <f t="shared" si="2"/>
        <v>58409220</v>
      </c>
      <c r="H35" s="97">
        <f t="shared" si="2"/>
        <v>4454.125845060189</v>
      </c>
      <c r="I35" s="97">
        <f>IFERROR(SUM(I4:I34),"")</f>
        <v>4326.08</v>
      </c>
      <c r="J35" s="130">
        <f>IFERROR(AVERAGE(J4:J34),"-")</f>
        <v>0.87408023186383732</v>
      </c>
      <c r="K35" s="157">
        <f>SUM(K4:K34)</f>
        <v>450.78</v>
      </c>
    </row>
    <row r="36" spans="1:11">
      <c r="J36" s="179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39" activePane="bottomLeft" state="frozen"/>
      <selection pane="bottomLeft" activeCell="O474" sqref="O474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278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247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347</v>
      </c>
      <c r="G487" s="40">
        <f>G473+G486</f>
        <v>1735</v>
      </c>
      <c r="H487" s="41"/>
      <c r="I487" s="41"/>
      <c r="J487" s="41"/>
      <c r="K487" s="41"/>
      <c r="L487" s="41"/>
      <c r="M487" s="42">
        <f ca="1">IFERROR(M473+M486,"")</f>
        <v>3.1944444444444442E-2</v>
      </c>
      <c r="N487" s="40" t="s">
        <v>251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33" activePane="bottomLeft" state="frozen"/>
      <selection pane="bottomLeft" activeCell="G473" sqref="G473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0.66141678240092006</v>
      </c>
      <c r="R53" s="46" t="s">
        <v>289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0.8003056712898089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0.88502789351203126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291</v>
      </c>
      <c r="Q96" s="30" t="str">
        <f t="shared" ref="Q96:Q107" ca="1" si="22">IFERROR(IF(O96="","",IF(P96="",MOD(NOW()-O96,1),IF(P96&gt;=O96,P96-O96,P96+1-O96))),"")</f>
        <v/>
      </c>
      <c r="R96" s="46" t="s">
        <v>292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314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315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316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317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319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4"/>
        <v>0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4"/>
        <v>0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4"/>
        <v>0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4"/>
        <v>0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0</v>
      </c>
      <c r="I470" s="135">
        <f>IFERROR(IF($D470="","",VLOOKUP($D470,Cadastro!$C$4:$G$7,5,FALSE)),"")</f>
        <v>0.6</v>
      </c>
      <c r="J470" s="136">
        <f t="shared" si="114"/>
        <v>0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4"/>
        <v>0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4"/>
        <v>0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193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193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810.59999999999991</v>
      </c>
      <c r="L487" s="41"/>
      <c r="M487" s="41"/>
      <c r="N487" s="41"/>
      <c r="O487" s="41"/>
      <c r="P487" s="41"/>
      <c r="Q487" s="42">
        <f ca="1">IFERROR(Q473+Q486,"")</f>
        <v>0.11944444444444435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33" activePane="bottomLeft" state="frozen"/>
      <selection pane="bottomLeft" activeCell="G473" sqref="G47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333</v>
      </c>
      <c r="Q222" s="30" t="str">
        <f t="shared" ca="1" si="49"/>
        <v/>
      </c>
      <c r="R222" s="27" t="s">
        <v>334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337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338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339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340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340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341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0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2"/>
        <v>0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/>
      <c r="Q462" s="30">
        <f t="shared" ca="1" si="114"/>
        <v>6.2805671295791399E-2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2"/>
        <v>0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2"/>
        <v>0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0</v>
      </c>
      <c r="I470" s="135">
        <f>IFERROR(IF($D470="","",VLOOKUP($D470,Cadastro!$C$4:$G$7,5,FALSE)),"")</f>
        <v>0.6</v>
      </c>
      <c r="J470" s="136">
        <f t="shared" si="112"/>
        <v>0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66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0.28780567129579138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66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277.2</v>
      </c>
      <c r="L487" s="41"/>
      <c r="M487" s="41"/>
      <c r="N487" s="41"/>
      <c r="O487" s="41"/>
      <c r="P487" s="41"/>
      <c r="Q487" s="42">
        <f ca="1">IFERROR(Q473+Q486,"")</f>
        <v>0.28780567129579138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0" activePane="bottomLeft" state="frozen"/>
      <selection pane="bottomLeft" activeCell="G473" sqref="G47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373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374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375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369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4"/>
        <v>0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4"/>
        <v>0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4"/>
        <v>0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4"/>
        <v>0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0</v>
      </c>
      <c r="I470" s="135">
        <f>IFERROR(IF($D470="","",VLOOKUP($D470,Cadastro!$C$4:$G$7,5,FALSE)),"")</f>
        <v>0.6</v>
      </c>
      <c r="J470" s="136">
        <f t="shared" si="114"/>
        <v>0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4"/>
        <v>0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4"/>
        <v>0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154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154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646.80000000000007</v>
      </c>
      <c r="L487" s="41"/>
      <c r="M487" s="41"/>
      <c r="N487" s="41"/>
      <c r="O487" s="63"/>
      <c r="P487" s="63"/>
      <c r="Q487" s="42">
        <f ca="1">IFERROR(Q473+Q486,"")</f>
        <v>0.29305555555555535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2026-08-18T22:47:56Z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