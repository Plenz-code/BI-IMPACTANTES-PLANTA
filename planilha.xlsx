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40" documentId="13_ncr:1_{9DFDFEE8-78F7-4C04-B87C-99924EE6CC37}" xr6:coauthVersionLast="47" xr6:coauthVersionMax="47" xr10:uidLastSave="{E48BD447-C050-40DF-A98F-5B91004C990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<sst xmlns="http://schemas.openxmlformats.org/spreadsheetml/2006/main" count="4634" uniqueCount="1313">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</sst>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343250</v>
      </c>
      <c r="G5" s="27">
        <f t="shared" si="0"/>
        <v>1791380</v>
      </c>
      <c r="H5" s="21">
        <f>IFERROR('Linha 1'!T55+'Linha 2'!T55+'Linha 3'!T55,0)</f>
        <v>752.37959999999998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1516060</v>
      </c>
      <c r="E35" s="31">
        <f t="shared" si="2"/>
        <v>1099140</v>
      </c>
      <c r="F35" s="31">
        <f t="shared" si="2"/>
        <v>1734410</v>
      </c>
      <c r="G35" s="31">
        <f t="shared" si="2"/>
        <v>4349610</v>
      </c>
      <c r="H35" s="32">
        <f>IFERROR(SUM(H4:H34),"")</f>
        <v>1472.7846608695652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4" sqref="F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0" activePane="bottomLeft" state="frozen"/>
      <selection pane="bottomLeft" activeCell="S54" sqref="S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41" activePane="bottomLeft" state="frozen"/>
      <selection pane="bottomLeft" activeCell="S55" sqref="S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" activePane="bottomLeft" state="frozen"/>
      <selection pane="bottomLeft" activeCell="G54" sqref="G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2026-09-03T10:49:29Z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