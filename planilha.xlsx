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021" documentId="13_ncr:1_{A6DBCFB4-28D9-4249-9038-216934055CA6}" xr6:coauthVersionLast="47" xr6:coauthVersionMax="47" xr10:uidLastSave="{26604711-1420-4653-99E4-E91356C6A891}"/>
  <bookViews>
    <workbookView xWindow="-110" yWindow="-110" windowWidth="25820" windowHeight="1550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32" i="6" l="1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<sst xmlns="http://schemas.openxmlformats.org/spreadsheetml/2006/main" count="9020" uniqueCount="401">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</sst>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36" sqref="G3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21" activePane="bottomLeft" state="frozen"/>
      <selection pane="bottomLeft" activeCell="J531" sqref="J531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259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/>
      <c r="M531" s="71">
        <f t="shared" ca="1" si="115"/>
        <v>6.6336805553874001E-2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259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259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259</v>
      </c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259</v>
      </c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9.6892361109429559E-2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0.14203124999831851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G535" sqref="G535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260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263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6" t="s">
        <v>249</v>
      </c>
      <c r="B28" s="156"/>
      <c r="C28" s="156"/>
      <c r="D28" s="156"/>
      <c r="E28" s="156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260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3.1423611071659252E-3</v>
      </c>
      <c r="R53" s="80" t="s">
        <v>306</v>
      </c>
      <c r="S53" s="67"/>
    </row>
    <row r="54" spans="1:20" ht="15.75" customHeight="1">
      <c r="A54" s="157" t="s">
        <v>263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0.14203124999605365</v>
      </c>
      <c r="R54" s="2" t="s">
        <v>261</v>
      </c>
      <c r="S54" s="113">
        <v>352430</v>
      </c>
      <c r="T54" s="114"/>
    </row>
    <row r="55" spans="1:20" ht="18" customHeight="1">
      <c r="A55" s="156" t="s">
        <v>249</v>
      </c>
      <c r="B55" s="156"/>
      <c r="C55" s="156"/>
      <c r="D55" s="156"/>
      <c r="E55" s="156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0.22675347221827646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260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263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6" t="s">
        <v>249</v>
      </c>
      <c r="B82" s="156"/>
      <c r="C82" s="156"/>
      <c r="D82" s="156"/>
      <c r="E82" s="156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260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263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6" t="s">
        <v>249</v>
      </c>
      <c r="B109" s="156"/>
      <c r="C109" s="156"/>
      <c r="D109" s="156"/>
      <c r="E109" s="156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260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263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6" t="s">
        <v>249</v>
      </c>
      <c r="B136" s="156"/>
      <c r="C136" s="156"/>
      <c r="D136" s="156"/>
      <c r="E136" s="156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260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263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6" t="s">
        <v>249</v>
      </c>
      <c r="B163" s="156"/>
      <c r="C163" s="156"/>
      <c r="D163" s="156"/>
      <c r="E163" s="156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260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263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6" t="s">
        <v>249</v>
      </c>
      <c r="B190" s="156"/>
      <c r="C190" s="156"/>
      <c r="D190" s="156"/>
      <c r="E190" s="156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260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263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6" t="s">
        <v>249</v>
      </c>
      <c r="B217" s="156"/>
      <c r="C217" s="156"/>
      <c r="D217" s="156"/>
      <c r="E217" s="156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260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263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6" t="s">
        <v>249</v>
      </c>
      <c r="B244" s="156"/>
      <c r="C244" s="156"/>
      <c r="D244" s="156"/>
      <c r="E244" s="156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260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263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6" t="s">
        <v>249</v>
      </c>
      <c r="B271" s="156"/>
      <c r="C271" s="156"/>
      <c r="D271" s="156"/>
      <c r="E271" s="156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260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263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6" t="s">
        <v>249</v>
      </c>
      <c r="B298" s="156"/>
      <c r="C298" s="156"/>
      <c r="D298" s="156"/>
      <c r="E298" s="156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260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263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6" t="s">
        <v>249</v>
      </c>
      <c r="B325" s="156"/>
      <c r="C325" s="156"/>
      <c r="D325" s="156"/>
      <c r="E325" s="156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260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263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6" t="s">
        <v>249</v>
      </c>
      <c r="B352" s="156"/>
      <c r="C352" s="156"/>
      <c r="D352" s="156"/>
      <c r="E352" s="156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260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263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6" t="s">
        <v>249</v>
      </c>
      <c r="B379" s="156"/>
      <c r="C379" s="156"/>
      <c r="D379" s="156"/>
      <c r="E379" s="156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260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263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6" t="s">
        <v>249</v>
      </c>
      <c r="B406" s="156"/>
      <c r="C406" s="156"/>
      <c r="D406" s="156"/>
      <c r="E406" s="156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260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260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263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6" t="s">
        <v>249</v>
      </c>
      <c r="B460" s="156"/>
      <c r="C460" s="156"/>
      <c r="D460" s="156"/>
      <c r="E460" s="156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260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263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6" t="s">
        <v>249</v>
      </c>
      <c r="B487" s="156"/>
      <c r="C487" s="156"/>
      <c r="D487" s="156"/>
      <c r="E487" s="156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260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260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4"/>
        <v>0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/>
      <c r="M533" s="70"/>
      <c r="N533" s="70"/>
      <c r="O533" s="65">
        <v>8.9583333333333334E-2</v>
      </c>
      <c r="P533" s="65"/>
      <c r="Q533" s="71">
        <f t="shared" ca="1" si="136"/>
        <v>3.5086805553874001E-2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4"/>
        <v>0</v>
      </c>
      <c r="K534" s="64">
        <f t="shared" si="135"/>
        <v>42</v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39</v>
      </c>
      <c r="E536" s="87"/>
      <c r="F536" s="88">
        <f>IFERROR(IF($D536="","",VLOOKUP($D536,Cadastro!$C$4:$E$7,3,FALSE())),"")</f>
        <v>0.24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263</v>
      </c>
      <c r="B540" s="157"/>
      <c r="C540" s="157"/>
      <c r="D540" s="157"/>
      <c r="E540" s="157"/>
      <c r="F540" s="105"/>
      <c r="G540" s="96">
        <f>SUM(G528:G539)</f>
        <v>68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297.60000000000002</v>
      </c>
      <c r="L540" s="72"/>
      <c r="M540" s="72"/>
      <c r="N540" s="72"/>
      <c r="O540" s="72"/>
      <c r="P540" s="72"/>
      <c r="Q540" s="73">
        <f ca="1">IFERROR(SUM(Q528:Q539),"")</f>
        <v>7.4670138887207443E-2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6" t="s">
        <v>249</v>
      </c>
      <c r="B541" s="156"/>
      <c r="C541" s="156"/>
      <c r="D541" s="156"/>
      <c r="E541" s="156"/>
      <c r="F541" s="108"/>
      <c r="G541" s="109">
        <f>G527+G540</f>
        <v>247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1123</v>
      </c>
      <c r="L541" s="76"/>
      <c r="M541" s="76"/>
      <c r="N541" s="76"/>
      <c r="O541" s="76"/>
      <c r="P541" s="76"/>
      <c r="Q541" s="77">
        <f ca="1">IFERROR(Q527+Q540,"")</f>
        <v>0.13925347222054071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260</v>
      </c>
      <c r="B554" s="157"/>
      <c r="C554" s="157"/>
      <c r="D554" s="157"/>
      <c r="E554" s="157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263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6" t="s">
        <v>249</v>
      </c>
      <c r="B568" s="156"/>
      <c r="C568" s="156"/>
      <c r="D568" s="156"/>
      <c r="E568" s="156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260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263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6" t="s">
        <v>249</v>
      </c>
      <c r="B595" s="156"/>
      <c r="C595" s="156"/>
      <c r="D595" s="156"/>
      <c r="E595" s="15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260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263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6" t="s">
        <v>249</v>
      </c>
      <c r="B622" s="156"/>
      <c r="C622" s="156"/>
      <c r="D622" s="156"/>
      <c r="E622" s="15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260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263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6" t="s">
        <v>249</v>
      </c>
      <c r="B649" s="156"/>
      <c r="C649" s="156"/>
      <c r="D649" s="156"/>
      <c r="E649" s="15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260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263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6" t="s">
        <v>249</v>
      </c>
      <c r="B676" s="156"/>
      <c r="C676" s="156"/>
      <c r="D676" s="156"/>
      <c r="E676" s="15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260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263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6" t="s">
        <v>249</v>
      </c>
      <c r="B703" s="156"/>
      <c r="C703" s="156"/>
      <c r="D703" s="156"/>
      <c r="E703" s="15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260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263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6" t="s">
        <v>249</v>
      </c>
      <c r="B730" s="156"/>
      <c r="C730" s="156"/>
      <c r="D730" s="156"/>
      <c r="E730" s="15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260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263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6" t="s">
        <v>249</v>
      </c>
      <c r="B757" s="156"/>
      <c r="C757" s="156"/>
      <c r="D757" s="156"/>
      <c r="E757" s="15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260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263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6" t="s">
        <v>249</v>
      </c>
      <c r="B784" s="156"/>
      <c r="C784" s="156"/>
      <c r="D784" s="156"/>
      <c r="E784" s="15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260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263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6" t="s">
        <v>249</v>
      </c>
      <c r="B811" s="156"/>
      <c r="C811" s="156"/>
      <c r="D811" s="156"/>
      <c r="E811" s="15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260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263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6" t="s">
        <v>249</v>
      </c>
      <c r="B838" s="156"/>
      <c r="C838" s="156"/>
      <c r="D838" s="156"/>
      <c r="E838" s="15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15" activePane="bottomLeft" state="frozen"/>
      <selection pane="bottomLeft" activeCell="L533" sqref="L533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260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339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263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6" t="s">
        <v>249</v>
      </c>
      <c r="B28" s="156"/>
      <c r="C28" s="156"/>
      <c r="D28" s="156"/>
      <c r="E28" s="156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260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339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339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263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6" t="s">
        <v>249</v>
      </c>
      <c r="B55" s="156"/>
      <c r="C55" s="156"/>
      <c r="D55" s="156"/>
      <c r="E55" s="156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341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260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342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263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6" t="s">
        <v>249</v>
      </c>
      <c r="B82" s="156"/>
      <c r="C82" s="156"/>
      <c r="D82" s="156"/>
      <c r="E82" s="156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343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344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260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263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6" t="s">
        <v>249</v>
      </c>
      <c r="B109" s="156"/>
      <c r="C109" s="156"/>
      <c r="D109" s="156"/>
      <c r="E109" s="156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260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346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263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6" t="s">
        <v>249</v>
      </c>
      <c r="B136" s="156"/>
      <c r="C136" s="156"/>
      <c r="D136" s="156"/>
      <c r="E136" s="156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347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260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263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6" t="s">
        <v>249</v>
      </c>
      <c r="B163" s="156"/>
      <c r="C163" s="156"/>
      <c r="D163" s="156"/>
      <c r="E163" s="156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348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260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349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263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6" t="s">
        <v>249</v>
      </c>
      <c r="B190" s="156"/>
      <c r="C190" s="156"/>
      <c r="D190" s="156"/>
      <c r="E190" s="156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260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350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263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6" t="s">
        <v>249</v>
      </c>
      <c r="B217" s="156"/>
      <c r="C217" s="156"/>
      <c r="D217" s="156"/>
      <c r="E217" s="156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352</v>
      </c>
      <c r="Q222" s="66" t="str">
        <f t="shared" ca="1" si="49"/>
        <v/>
      </c>
      <c r="R222" s="63" t="s">
        <v>353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260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263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6" t="s">
        <v>249</v>
      </c>
      <c r="B244" s="156"/>
      <c r="C244" s="156"/>
      <c r="D244" s="156"/>
      <c r="E244" s="156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354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260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263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6" t="s">
        <v>249</v>
      </c>
      <c r="B271" s="156"/>
      <c r="C271" s="156"/>
      <c r="D271" s="156"/>
      <c r="E271" s="156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260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263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6" t="s">
        <v>249</v>
      </c>
      <c r="B298" s="156"/>
      <c r="C298" s="156"/>
      <c r="D298" s="156"/>
      <c r="E298" s="156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260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263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6" t="s">
        <v>249</v>
      </c>
      <c r="B325" s="156"/>
      <c r="C325" s="156"/>
      <c r="D325" s="156"/>
      <c r="E325" s="156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355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260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263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6" t="s">
        <v>249</v>
      </c>
      <c r="B352" s="156"/>
      <c r="C352" s="156"/>
      <c r="D352" s="156"/>
      <c r="E352" s="156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260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263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6" t="s">
        <v>249</v>
      </c>
      <c r="B379" s="156"/>
      <c r="C379" s="156"/>
      <c r="D379" s="156"/>
      <c r="E379" s="156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356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260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263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6" t="s">
        <v>249</v>
      </c>
      <c r="B406" s="156"/>
      <c r="C406" s="156"/>
      <c r="D406" s="156"/>
      <c r="E406" s="156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357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260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358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263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6" t="s">
        <v>249</v>
      </c>
      <c r="B433" s="156"/>
      <c r="C433" s="156"/>
      <c r="D433" s="156"/>
      <c r="E433" s="156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359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359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260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360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263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6" t="s">
        <v>249</v>
      </c>
      <c r="B460" s="156"/>
      <c r="C460" s="156"/>
      <c r="D460" s="156"/>
      <c r="E460" s="156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260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361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263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6" t="s">
        <v>249</v>
      </c>
      <c r="B487" s="156"/>
      <c r="C487" s="156"/>
      <c r="D487" s="156"/>
      <c r="E487" s="156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346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260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362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363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263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6" t="s">
        <v>249</v>
      </c>
      <c r="B514" s="156"/>
      <c r="C514" s="156"/>
      <c r="D514" s="156"/>
      <c r="E514" s="156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364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260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0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1"/>
        <v>0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1"/>
        <v>0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1"/>
        <v>0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307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1"/>
        <v>0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1"/>
        <v>0</v>
      </c>
      <c r="K533" s="69">
        <f t="shared" si="132"/>
        <v>8.4</v>
      </c>
      <c r="L533" s="70"/>
      <c r="M533" s="70" t="s">
        <v>56</v>
      </c>
      <c r="N533" s="70"/>
      <c r="O533" s="65">
        <v>0.11527777777777778</v>
      </c>
      <c r="P533" s="65"/>
      <c r="Q533" s="71">
        <f t="shared" ca="1" si="133"/>
        <v>9.3923611129866913E-3</v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1"/>
        <v>0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/>
      <c r="F535" s="88">
        <f>IFERROR(IF($D535="","",VLOOKUP($D535,Cadastro!$C$4:$E$7,3,FALSE())),"")</f>
        <v>0.24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39</v>
      </c>
      <c r="E536" s="87"/>
      <c r="F536" s="88">
        <f>IFERROR(IF($D536="","",VLOOKUP($D536,Cadastro!$C$4:$E$7,3,FALSE())),"")</f>
        <v>0.24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39</v>
      </c>
      <c r="E537" s="87"/>
      <c r="F537" s="88">
        <f>IFERROR(IF($D537="","",VLOOKUP($D537,Cadastro!$C$4:$E$7,3,FALSE())),"")</f>
        <v>0.24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39</v>
      </c>
      <c r="E538" s="87"/>
      <c r="F538" s="88">
        <f>IFERROR(IF($D538="","",VLOOKUP($D538,Cadastro!$C$4:$E$7,3,FALSE())),"")</f>
        <v>0.24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39</v>
      </c>
      <c r="E539" s="87"/>
      <c r="F539" s="92">
        <f>IFERROR(IF($D539="","",VLOOKUP($D539,Cadastro!$C$4:$E$7,3,FALSE())),"")</f>
        <v>0.24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263</v>
      </c>
      <c r="B540" s="157"/>
      <c r="C540" s="157"/>
      <c r="D540" s="157"/>
      <c r="E540" s="157"/>
      <c r="F540" s="105"/>
      <c r="G540" s="96">
        <f>SUM(G528:G539)</f>
        <v>53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226.60000000000002</v>
      </c>
      <c r="L540" s="72"/>
      <c r="M540" s="72"/>
      <c r="N540" s="72"/>
      <c r="O540" s="72"/>
      <c r="P540" s="72"/>
      <c r="Q540" s="73">
        <f ca="1">IFERROR(SUM(Q528:Q539),"")</f>
        <v>4.5503472224097813E-2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6" t="s">
        <v>249</v>
      </c>
      <c r="B541" s="156"/>
      <c r="C541" s="156"/>
      <c r="D541" s="156"/>
      <c r="E541" s="156"/>
      <c r="F541" s="108"/>
      <c r="G541" s="109">
        <f>G527+G540</f>
        <v>130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575.6</v>
      </c>
      <c r="L541" s="76"/>
      <c r="M541" s="76"/>
      <c r="N541" s="76"/>
      <c r="O541" s="76"/>
      <c r="P541" s="76"/>
      <c r="Q541" s="77">
        <f ca="1">IFERROR(Q527+Q540,"")</f>
        <v>0.11425347222409774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260</v>
      </c>
      <c r="B554" s="157"/>
      <c r="C554" s="157"/>
      <c r="D554" s="157"/>
      <c r="E554" s="157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7" t="s">
        <v>263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6" t="s">
        <v>249</v>
      </c>
      <c r="B568" s="156"/>
      <c r="C568" s="156"/>
      <c r="D568" s="156"/>
      <c r="E568" s="156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260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263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6" t="s">
        <v>249</v>
      </c>
      <c r="B595" s="156"/>
      <c r="C595" s="156"/>
      <c r="D595" s="156"/>
      <c r="E595" s="15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260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263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6" t="s">
        <v>249</v>
      </c>
      <c r="B622" s="156"/>
      <c r="C622" s="156"/>
      <c r="D622" s="156"/>
      <c r="E622" s="15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260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263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6" t="s">
        <v>249</v>
      </c>
      <c r="B649" s="156"/>
      <c r="C649" s="156"/>
      <c r="D649" s="156"/>
      <c r="E649" s="15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260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263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6" t="s">
        <v>249</v>
      </c>
      <c r="B676" s="156"/>
      <c r="C676" s="156"/>
      <c r="D676" s="156"/>
      <c r="E676" s="15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260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263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6" t="s">
        <v>249</v>
      </c>
      <c r="B703" s="156"/>
      <c r="C703" s="156"/>
      <c r="D703" s="156"/>
      <c r="E703" s="15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260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263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6" t="s">
        <v>249</v>
      </c>
      <c r="B730" s="156"/>
      <c r="C730" s="156"/>
      <c r="D730" s="156"/>
      <c r="E730" s="15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260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263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6" t="s">
        <v>249</v>
      </c>
      <c r="B757" s="156"/>
      <c r="C757" s="156"/>
      <c r="D757" s="156"/>
      <c r="E757" s="15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260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263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6" t="s">
        <v>249</v>
      </c>
      <c r="B784" s="156"/>
      <c r="C784" s="156"/>
      <c r="D784" s="156"/>
      <c r="E784" s="15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260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263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6" t="s">
        <v>249</v>
      </c>
      <c r="B811" s="156"/>
      <c r="C811" s="156"/>
      <c r="D811" s="156"/>
      <c r="E811" s="15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260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263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6" t="s">
        <v>249</v>
      </c>
      <c r="B838" s="156"/>
      <c r="C838" s="156"/>
      <c r="D838" s="156"/>
      <c r="E838" s="15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17" activePane="bottomLeft" state="frozen"/>
      <selection pane="bottomLeft" activeCell="L544" sqref="L544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260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339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263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6" t="s">
        <v>249</v>
      </c>
      <c r="B28" s="156"/>
      <c r="C28" s="156"/>
      <c r="D28" s="156"/>
      <c r="E28" s="156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260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263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6" t="s">
        <v>249</v>
      </c>
      <c r="B55" s="156"/>
      <c r="C55" s="156"/>
      <c r="D55" s="156"/>
      <c r="E55" s="156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260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339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263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6" t="s">
        <v>249</v>
      </c>
      <c r="B82" s="156"/>
      <c r="C82" s="156"/>
      <c r="D82" s="156"/>
      <c r="E82" s="156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260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339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263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6" t="s">
        <v>249</v>
      </c>
      <c r="B109" s="156"/>
      <c r="C109" s="156"/>
      <c r="D109" s="156"/>
      <c r="E109" s="156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260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339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263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6" t="s">
        <v>249</v>
      </c>
      <c r="B136" s="156"/>
      <c r="C136" s="156"/>
      <c r="D136" s="156"/>
      <c r="E136" s="156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263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6" t="s">
        <v>249</v>
      </c>
      <c r="B163" s="156"/>
      <c r="C163" s="156"/>
      <c r="D163" s="156"/>
      <c r="E163" s="156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260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263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6" t="s">
        <v>249</v>
      </c>
      <c r="B190" s="156"/>
      <c r="C190" s="156"/>
      <c r="D190" s="156"/>
      <c r="E190" s="156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260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263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6" t="s">
        <v>249</v>
      </c>
      <c r="B217" s="156"/>
      <c r="C217" s="156"/>
      <c r="D217" s="156"/>
      <c r="E217" s="156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260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263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6" t="s">
        <v>249</v>
      </c>
      <c r="B244" s="156"/>
      <c r="C244" s="156"/>
      <c r="D244" s="156"/>
      <c r="E244" s="156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260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263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6" t="s">
        <v>249</v>
      </c>
      <c r="B271" s="156"/>
      <c r="C271" s="156"/>
      <c r="D271" s="156"/>
      <c r="E271" s="156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260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263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6" t="s">
        <v>249</v>
      </c>
      <c r="B298" s="156"/>
      <c r="C298" s="156"/>
      <c r="D298" s="156"/>
      <c r="E298" s="156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260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263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6" t="s">
        <v>249</v>
      </c>
      <c r="B325" s="156"/>
      <c r="C325" s="156"/>
      <c r="D325" s="156"/>
      <c r="E325" s="156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260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263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6" t="s">
        <v>249</v>
      </c>
      <c r="B352" s="156"/>
      <c r="C352" s="156"/>
      <c r="D352" s="156"/>
      <c r="E352" s="156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263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6" t="s">
        <v>249</v>
      </c>
      <c r="B379" s="156"/>
      <c r="C379" s="156"/>
      <c r="D379" s="156"/>
      <c r="E379" s="156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260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263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6" t="s">
        <v>249</v>
      </c>
      <c r="B406" s="156"/>
      <c r="C406" s="156"/>
      <c r="D406" s="156"/>
      <c r="E406" s="156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260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263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6" t="s">
        <v>249</v>
      </c>
      <c r="B433" s="156"/>
      <c r="C433" s="156"/>
      <c r="D433" s="156"/>
      <c r="E433" s="156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260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263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6" t="s">
        <v>249</v>
      </c>
      <c r="B460" s="156"/>
      <c r="C460" s="156"/>
      <c r="D460" s="156"/>
      <c r="E460" s="156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260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361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263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6" t="s">
        <v>249</v>
      </c>
      <c r="B487" s="156"/>
      <c r="C487" s="156"/>
      <c r="D487" s="156"/>
      <c r="E487" s="156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260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263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6" t="s">
        <v>249</v>
      </c>
      <c r="B514" s="156"/>
      <c r="C514" s="156"/>
      <c r="D514" s="156"/>
      <c r="E514" s="156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260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4"/>
        <v>0</v>
      </c>
      <c r="K532" s="64">
        <f t="shared" si="135"/>
        <v>84</v>
      </c>
      <c r="L532" s="61"/>
      <c r="M532" s="61"/>
      <c r="N532" s="61"/>
      <c r="O532" s="65">
        <v>0.12430555555555556</v>
      </c>
      <c r="P532" s="65"/>
      <c r="Q532" s="66">
        <f t="shared" ca="1" si="136"/>
        <v>3.6458333488553762E-4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84</v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4"/>
        <v>0</v>
      </c>
      <c r="K534" s="64">
        <f t="shared" si="135"/>
        <v>58.800000000000004</v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39</v>
      </c>
      <c r="E536" s="87"/>
      <c r="F536" s="88">
        <f>IFERROR(IF($D536="","",VLOOKUP($D536,Cadastro!$C$4:$E$7,3,FALSE())),"")</f>
        <v>0.24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39</v>
      </c>
      <c r="E537" s="87"/>
      <c r="F537" s="88">
        <f>IFERROR(IF($D537="","",VLOOKUP($D537,Cadastro!$C$4:$E$7,3,FALSE())),"")</f>
        <v>0.24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39</v>
      </c>
      <c r="E538" s="87"/>
      <c r="F538" s="88">
        <f>IFERROR(IF($D538="","",VLOOKUP($D538,Cadastro!$C$4:$E$7,3,FALSE())),"")</f>
        <v>0.24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39</v>
      </c>
      <c r="E539" s="87"/>
      <c r="F539" s="92">
        <f>IFERROR(IF($D539="","",VLOOKUP($D539,Cadastro!$C$4:$E$7,3,FALSE())),"")</f>
        <v>0.24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263</v>
      </c>
      <c r="B540" s="157"/>
      <c r="C540" s="157"/>
      <c r="D540" s="157"/>
      <c r="E540" s="157"/>
      <c r="F540" s="105"/>
      <c r="G540" s="96">
        <f>SUM(G528:G539)</f>
        <v>110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477.2</v>
      </c>
      <c r="L540" s="72"/>
      <c r="M540" s="72"/>
      <c r="N540" s="72"/>
      <c r="O540" s="134"/>
      <c r="P540" s="134"/>
      <c r="Q540" s="73">
        <f ca="1">IFERROR(SUM(Q528:Q539),"")</f>
        <v>3.3003472223774533E-2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6" t="s">
        <v>249</v>
      </c>
      <c r="B541" s="156"/>
      <c r="C541" s="156"/>
      <c r="D541" s="156"/>
      <c r="E541" s="156"/>
      <c r="F541" s="108"/>
      <c r="G541" s="109">
        <f>G527+G540</f>
        <v>307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1378.2</v>
      </c>
      <c r="L541" s="76"/>
      <c r="M541" s="76"/>
      <c r="N541" s="76"/>
      <c r="O541" s="135"/>
      <c r="P541" s="135"/>
      <c r="Q541" s="77">
        <f ca="1">IFERROR(Q527+Q540,"")</f>
        <v>8.3003472223774633E-2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7" t="s">
        <v>260</v>
      </c>
      <c r="B554" s="157"/>
      <c r="C554" s="157"/>
      <c r="D554" s="157"/>
      <c r="E554" s="157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7" t="s">
        <v>263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6" t="s">
        <v>249</v>
      </c>
      <c r="B568" s="156"/>
      <c r="C568" s="156"/>
      <c r="D568" s="156"/>
      <c r="E568" s="156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260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263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6" t="s">
        <v>249</v>
      </c>
      <c r="B595" s="156"/>
      <c r="C595" s="156"/>
      <c r="D595" s="156"/>
      <c r="E595" s="15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260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263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6" t="s">
        <v>249</v>
      </c>
      <c r="B622" s="156"/>
      <c r="C622" s="156"/>
      <c r="D622" s="156"/>
      <c r="E622" s="15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260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263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6" t="s">
        <v>249</v>
      </c>
      <c r="B649" s="156"/>
      <c r="C649" s="156"/>
      <c r="D649" s="156"/>
      <c r="E649" s="15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260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263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6" t="s">
        <v>249</v>
      </c>
      <c r="B676" s="156"/>
      <c r="C676" s="156"/>
      <c r="D676" s="156"/>
      <c r="E676" s="15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260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263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6" t="s">
        <v>249</v>
      </c>
      <c r="B703" s="156"/>
      <c r="C703" s="156"/>
      <c r="D703" s="156"/>
      <c r="E703" s="15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260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263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6" t="s">
        <v>249</v>
      </c>
      <c r="B730" s="156"/>
      <c r="C730" s="156"/>
      <c r="D730" s="156"/>
      <c r="E730" s="15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260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263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6" t="s">
        <v>249</v>
      </c>
      <c r="B757" s="156"/>
      <c r="C757" s="156"/>
      <c r="D757" s="156"/>
      <c r="E757" s="15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260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263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6" t="s">
        <v>249</v>
      </c>
      <c r="B784" s="156"/>
      <c r="C784" s="156"/>
      <c r="D784" s="156"/>
      <c r="E784" s="15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260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263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6" t="s">
        <v>249</v>
      </c>
      <c r="B811" s="156"/>
      <c r="C811" s="156"/>
      <c r="D811" s="156"/>
      <c r="E811" s="15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260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263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6" t="s">
        <v>249</v>
      </c>
      <c r="B838" s="156"/>
      <c r="C838" s="156"/>
      <c r="D838" s="156"/>
      <c r="E838" s="15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2026-08-21T07:00:02Z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