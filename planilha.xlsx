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05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lho/"/>
    </mc:Choice>
  </mc:AlternateContent>
  <xr:revisionPtr revIDLastSave="4263" documentId="8_{AF585B22-221D-4780-BB9C-493D365A6A02}" xr6:coauthVersionLast="47" xr6:coauthVersionMax="47" xr10:uidLastSave="{3BD2524A-90B4-406A-AD19-9E23CB100392}"/>
  <bookViews>
    <workbookView xWindow="-110" yWindow="-110" windowWidth="25820" windowHeight="15500" tabRatio="500" firstSheet="3" activeTab="4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G181" i="5" l="1"/>
  <c r="M125" i="4"/>
  <c r="O109" i="3"/>
  <c r="G98" i="6"/>
  <c r="G99" i="6"/>
  <c r="G100" i="6"/>
  <c r="G101" i="6"/>
  <c r="G102" i="6"/>
  <c r="G103" i="6"/>
  <c r="G104" i="6"/>
  <c r="G105" i="6"/>
  <c r="G106" i="6"/>
  <c r="G107" i="6"/>
  <c r="M44" i="4"/>
  <c r="M43" i="4"/>
  <c r="M45" i="4"/>
  <c r="M46" i="4"/>
  <c r="M47" i="4"/>
  <c r="M48" i="4"/>
  <c r="M49" i="4"/>
  <c r="M50" i="4"/>
  <c r="M51" i="4"/>
  <c r="M52" i="4"/>
  <c r="M53" i="4"/>
  <c r="M42" i="3"/>
  <c r="M43" i="3"/>
  <c r="M44" i="3"/>
  <c r="M45" i="3"/>
  <c r="M46" i="3"/>
  <c r="M47" i="3"/>
  <c r="M48" i="3"/>
  <c r="M49" i="3"/>
  <c r="M50" i="3"/>
  <c r="M51" i="3"/>
  <c r="M52" i="3"/>
  <c r="M48" i="6"/>
  <c r="M49" i="6"/>
  <c r="M50" i="6"/>
  <c r="M51" i="6"/>
  <c r="M52" i="6"/>
  <c r="M53" i="6"/>
  <c r="M42" i="6"/>
  <c r="M43" i="6"/>
  <c r="M44" i="6"/>
  <c r="M45" i="6"/>
  <c r="M46" i="6"/>
  <c r="M47" i="6"/>
  <c r="M16" i="6"/>
  <c r="M15" i="5"/>
  <c r="O28" i="4"/>
  <c r="M26" i="5"/>
  <c r="M16" i="5"/>
  <c r="M17" i="5"/>
  <c r="M18" i="5"/>
  <c r="M19" i="5"/>
  <c r="M20" i="5"/>
  <c r="M21" i="5"/>
  <c r="M22" i="5"/>
  <c r="M23" i="5"/>
  <c r="M24" i="5"/>
  <c r="G24" i="3"/>
  <c r="G23" i="4"/>
  <c r="M15" i="4"/>
  <c r="M16" i="4"/>
  <c r="M17" i="4"/>
  <c r="M18" i="4"/>
  <c r="M19" i="4"/>
  <c r="M20" i="4"/>
  <c r="M21" i="4"/>
  <c r="M22" i="4"/>
  <c r="M23" i="4"/>
  <c r="M24" i="4"/>
  <c r="M25" i="4"/>
  <c r="G16" i="3"/>
  <c r="G17" i="3"/>
  <c r="G18" i="3"/>
  <c r="G19" i="3"/>
  <c r="G20" i="3"/>
  <c r="G21" i="3"/>
  <c r="G22" i="3"/>
  <c r="G23" i="3"/>
  <c r="G25" i="3"/>
  <c r="G26" i="3"/>
  <c r="G26" i="4"/>
  <c r="G17" i="4"/>
  <c r="G18" i="4"/>
  <c r="G19" i="4"/>
  <c r="G20" i="4"/>
  <c r="G21" i="4"/>
  <c r="G22" i="4"/>
  <c r="G24" i="4"/>
  <c r="G25" i="4"/>
  <c r="G16" i="4"/>
  <c r="G15" i="3"/>
  <c r="G27" i="3"/>
  <c r="G9" i="4"/>
  <c r="G10" i="4"/>
  <c r="G11" i="4"/>
  <c r="G12" i="4"/>
  <c r="G13" i="4"/>
  <c r="M2" i="3"/>
  <c r="F810" i="3"/>
  <c r="G809" i="3"/>
  <c r="G808" i="3"/>
  <c r="G807" i="3"/>
  <c r="G806" i="3"/>
  <c r="G805" i="3"/>
  <c r="G804" i="3"/>
  <c r="G803" i="3"/>
  <c r="G802" i="3"/>
  <c r="G801" i="3"/>
  <c r="G797" i="3"/>
  <c r="F797" i="3"/>
  <c r="F811" i="3" s="1"/>
  <c r="F783" i="3"/>
  <c r="G782" i="3"/>
  <c r="G781" i="3"/>
  <c r="G780" i="3"/>
  <c r="G779" i="3"/>
  <c r="G778" i="3"/>
  <c r="G777" i="3"/>
  <c r="G776" i="3"/>
  <c r="G775" i="3"/>
  <c r="G774" i="3"/>
  <c r="G773" i="3"/>
  <c r="G772" i="3"/>
  <c r="G771" i="3"/>
  <c r="F770" i="3"/>
  <c r="F784" i="3" s="1"/>
  <c r="G769" i="3"/>
  <c r="G768" i="3"/>
  <c r="G767" i="3"/>
  <c r="G766" i="3"/>
  <c r="G765" i="3"/>
  <c r="G764" i="3"/>
  <c r="G763" i="3"/>
  <c r="G762" i="3"/>
  <c r="G761" i="3"/>
  <c r="G760" i="3"/>
  <c r="G759" i="3"/>
  <c r="G758" i="3"/>
  <c r="G770" i="3" s="1"/>
  <c r="F756" i="3"/>
  <c r="G755" i="3"/>
  <c r="G754" i="3"/>
  <c r="G753" i="3"/>
  <c r="G752" i="3"/>
  <c r="G751" i="3"/>
  <c r="G750" i="3"/>
  <c r="G749" i="3"/>
  <c r="G748" i="3"/>
  <c r="G747" i="3"/>
  <c r="G746" i="3"/>
  <c r="G745" i="3"/>
  <c r="G744" i="3"/>
  <c r="G756" i="3" s="1"/>
  <c r="F743" i="3"/>
  <c r="G742" i="3"/>
  <c r="G741" i="3"/>
  <c r="G740" i="3"/>
  <c r="G739" i="3"/>
  <c r="G738" i="3"/>
  <c r="G737" i="3"/>
  <c r="G736" i="3"/>
  <c r="G735" i="3"/>
  <c r="G734" i="3"/>
  <c r="G733" i="3"/>
  <c r="G732" i="3"/>
  <c r="G731" i="3"/>
  <c r="F729" i="3"/>
  <c r="G728" i="3"/>
  <c r="G727" i="3"/>
  <c r="G726" i="3"/>
  <c r="G725" i="3"/>
  <c r="G724" i="3"/>
  <c r="G723" i="3"/>
  <c r="G722" i="3"/>
  <c r="G721" i="3"/>
  <c r="G720" i="3"/>
  <c r="G719" i="3"/>
  <c r="G718" i="3"/>
  <c r="G717" i="3"/>
  <c r="G729" i="3" s="1"/>
  <c r="F716" i="3"/>
  <c r="F730" i="3" s="1"/>
  <c r="G715" i="3"/>
  <c r="G714" i="3"/>
  <c r="G713" i="3"/>
  <c r="G712" i="3"/>
  <c r="G711" i="3"/>
  <c r="G710" i="3"/>
  <c r="G709" i="3"/>
  <c r="G708" i="3"/>
  <c r="G707" i="3"/>
  <c r="G706" i="3"/>
  <c r="G705" i="3"/>
  <c r="G704" i="3"/>
  <c r="G716" i="3" s="1"/>
  <c r="G730" i="3" s="1"/>
  <c r="F702" i="3"/>
  <c r="G701" i="3"/>
  <c r="G700" i="3"/>
  <c r="G699" i="3"/>
  <c r="G698" i="3"/>
  <c r="G697" i="3"/>
  <c r="G696" i="3"/>
  <c r="G695" i="3"/>
  <c r="G694" i="3"/>
  <c r="G693" i="3"/>
  <c r="G692" i="3"/>
  <c r="G691" i="3"/>
  <c r="G690" i="3"/>
  <c r="F689" i="3"/>
  <c r="G688" i="3"/>
  <c r="G687" i="3"/>
  <c r="G686" i="3"/>
  <c r="G685" i="3"/>
  <c r="G684" i="3"/>
  <c r="G683" i="3"/>
  <c r="G682" i="3"/>
  <c r="G681" i="3"/>
  <c r="G680" i="3"/>
  <c r="G679" i="3"/>
  <c r="G678" i="3"/>
  <c r="G677" i="3"/>
  <c r="G689" i="3" s="1"/>
  <c r="F675" i="3"/>
  <c r="G674" i="3"/>
  <c r="G673" i="3"/>
  <c r="G672" i="3"/>
  <c r="G671" i="3"/>
  <c r="G670" i="3"/>
  <c r="G669" i="3"/>
  <c r="G668" i="3"/>
  <c r="G667" i="3"/>
  <c r="G666" i="3"/>
  <c r="G665" i="3"/>
  <c r="G664" i="3"/>
  <c r="G663" i="3"/>
  <c r="G675" i="3" s="1"/>
  <c r="F662" i="3"/>
  <c r="F676" i="3" s="1"/>
  <c r="G661" i="3"/>
  <c r="G660" i="3"/>
  <c r="G659" i="3"/>
  <c r="G658" i="3"/>
  <c r="G657" i="3"/>
  <c r="G656" i="3"/>
  <c r="G655" i="3"/>
  <c r="G654" i="3"/>
  <c r="G653" i="3"/>
  <c r="G652" i="3"/>
  <c r="G651" i="3"/>
  <c r="G650" i="3"/>
  <c r="F648" i="3"/>
  <c r="G647" i="3"/>
  <c r="G646" i="3"/>
  <c r="G645" i="3"/>
  <c r="G644" i="3"/>
  <c r="G643" i="3"/>
  <c r="G642" i="3"/>
  <c r="G641" i="3"/>
  <c r="G640" i="3"/>
  <c r="G639" i="3"/>
  <c r="G638" i="3"/>
  <c r="G637" i="3"/>
  <c r="G636" i="3"/>
  <c r="G648" i="3" s="1"/>
  <c r="F635" i="3"/>
  <c r="G634" i="3"/>
  <c r="G633" i="3"/>
  <c r="G632" i="3"/>
  <c r="G631" i="3"/>
  <c r="G630" i="3"/>
  <c r="G629" i="3"/>
  <c r="G628" i="3"/>
  <c r="G627" i="3"/>
  <c r="G626" i="3"/>
  <c r="G625" i="3"/>
  <c r="G624" i="3"/>
  <c r="G623" i="3"/>
  <c r="G635" i="3" s="1"/>
  <c r="G649" i="3" s="1"/>
  <c r="F621" i="3"/>
  <c r="G620" i="3"/>
  <c r="G619" i="3"/>
  <c r="G618" i="3"/>
  <c r="G617" i="3"/>
  <c r="G616" i="3"/>
  <c r="G614" i="3"/>
  <c r="G613" i="3"/>
  <c r="G612" i="3"/>
  <c r="G611" i="3"/>
  <c r="G610" i="3"/>
  <c r="G609" i="3"/>
  <c r="F608" i="3"/>
  <c r="F622" i="3" s="1"/>
  <c r="G607" i="3"/>
  <c r="G606" i="3"/>
  <c r="G605" i="3"/>
  <c r="G604" i="3"/>
  <c r="G603" i="3"/>
  <c r="G602" i="3"/>
  <c r="G601" i="3"/>
  <c r="G600" i="3"/>
  <c r="G599" i="3"/>
  <c r="G598" i="3"/>
  <c r="G597" i="3"/>
  <c r="G596" i="3"/>
  <c r="G608" i="3" s="1"/>
  <c r="F594" i="3"/>
  <c r="G593" i="3"/>
  <c r="G592" i="3"/>
  <c r="G591" i="3"/>
  <c r="G590" i="3"/>
  <c r="G589" i="3"/>
  <c r="G588" i="3"/>
  <c r="G587" i="3"/>
  <c r="G586" i="3"/>
  <c r="G585" i="3"/>
  <c r="G584" i="3"/>
  <c r="G583" i="3"/>
  <c r="G582" i="3"/>
  <c r="G594" i="3" s="1"/>
  <c r="F581" i="3"/>
  <c r="F595" i="3" s="1"/>
  <c r="G580" i="3"/>
  <c r="G579" i="3"/>
  <c r="G578" i="3"/>
  <c r="G577" i="3"/>
  <c r="G576" i="3"/>
  <c r="G575" i="3"/>
  <c r="G574" i="3"/>
  <c r="G573" i="3"/>
  <c r="G572" i="3"/>
  <c r="G571" i="3"/>
  <c r="G570" i="3"/>
  <c r="G569" i="3"/>
  <c r="F567" i="3"/>
  <c r="G566" i="3"/>
  <c r="G565" i="3"/>
  <c r="G564" i="3"/>
  <c r="G563" i="3"/>
  <c r="G562" i="3"/>
  <c r="G561" i="3"/>
  <c r="G560" i="3"/>
  <c r="G559" i="3"/>
  <c r="G558" i="3"/>
  <c r="G557" i="3"/>
  <c r="G556" i="3"/>
  <c r="G555" i="3"/>
  <c r="F554" i="3"/>
  <c r="G553" i="3"/>
  <c r="G552" i="3"/>
  <c r="G551" i="3"/>
  <c r="G550" i="3"/>
  <c r="G549" i="3"/>
  <c r="G548" i="3"/>
  <c r="G547" i="3"/>
  <c r="G546" i="3"/>
  <c r="G545" i="3"/>
  <c r="G544" i="3"/>
  <c r="G543" i="3"/>
  <c r="G542" i="3"/>
  <c r="G554" i="3" s="1"/>
  <c r="F540" i="3"/>
  <c r="G539" i="3"/>
  <c r="G538" i="3"/>
  <c r="G537" i="3"/>
  <c r="G536" i="3"/>
  <c r="G535" i="3"/>
  <c r="G534" i="3"/>
  <c r="G533" i="3"/>
  <c r="G532" i="3"/>
  <c r="G531" i="3"/>
  <c r="G530" i="3"/>
  <c r="G529" i="3"/>
  <c r="G528" i="3"/>
  <c r="G540" i="3" s="1"/>
  <c r="F527" i="3"/>
  <c r="F541" i="3" s="1"/>
  <c r="G526" i="3"/>
  <c r="G525" i="3"/>
  <c r="G524" i="3"/>
  <c r="G523" i="3"/>
  <c r="G522" i="3"/>
  <c r="G521" i="3"/>
  <c r="G520" i="3"/>
  <c r="G519" i="3"/>
  <c r="G518" i="3"/>
  <c r="G517" i="3"/>
  <c r="G516" i="3"/>
  <c r="G515" i="3"/>
  <c r="F513" i="3"/>
  <c r="G512" i="3"/>
  <c r="G511" i="3"/>
  <c r="G510" i="3"/>
  <c r="G509" i="3"/>
  <c r="G508" i="3"/>
  <c r="G507" i="3"/>
  <c r="G506" i="3"/>
  <c r="G505" i="3"/>
  <c r="G504" i="3"/>
  <c r="G503" i="3"/>
  <c r="G502" i="3"/>
  <c r="G501" i="3"/>
  <c r="G513" i="3" s="1"/>
  <c r="F500" i="3"/>
  <c r="F514" i="3" s="1"/>
  <c r="G499" i="3"/>
  <c r="G498" i="3"/>
  <c r="G497" i="3"/>
  <c r="G496" i="3"/>
  <c r="G495" i="3"/>
  <c r="G494" i="3"/>
  <c r="G493" i="3"/>
  <c r="G492" i="3"/>
  <c r="G491" i="3"/>
  <c r="G490" i="3"/>
  <c r="G489" i="3"/>
  <c r="G488" i="3"/>
  <c r="G500" i="3" s="1"/>
  <c r="G514" i="3" s="1"/>
  <c r="F486" i="3"/>
  <c r="G485" i="3"/>
  <c r="G484" i="3"/>
  <c r="G483" i="3"/>
  <c r="G482" i="3"/>
  <c r="G481" i="3"/>
  <c r="G480" i="3"/>
  <c r="G479" i="3"/>
  <c r="G478" i="3"/>
  <c r="G477" i="3"/>
  <c r="G476" i="3"/>
  <c r="G475" i="3"/>
  <c r="G474" i="3"/>
  <c r="F473" i="3"/>
  <c r="F487" i="3" s="1"/>
  <c r="G472" i="3"/>
  <c r="G471" i="3"/>
  <c r="G470" i="3"/>
  <c r="G469" i="3"/>
  <c r="G468" i="3"/>
  <c r="G467" i="3"/>
  <c r="G466" i="3"/>
  <c r="G465" i="3"/>
  <c r="G464" i="3"/>
  <c r="G463" i="3"/>
  <c r="G462" i="3"/>
  <c r="G461" i="3"/>
  <c r="G473" i="3" s="1"/>
  <c r="F459" i="3"/>
  <c r="G458" i="3"/>
  <c r="G457" i="3"/>
  <c r="G456" i="3"/>
  <c r="G455" i="3"/>
  <c r="G454" i="3"/>
  <c r="G453" i="3"/>
  <c r="G452" i="3"/>
  <c r="G451" i="3"/>
  <c r="G450" i="3"/>
  <c r="G449" i="3"/>
  <c r="G448" i="3"/>
  <c r="G447" i="3"/>
  <c r="F446" i="3"/>
  <c r="F460" i="3" s="1"/>
  <c r="G445" i="3"/>
  <c r="G444" i="3"/>
  <c r="G443" i="3"/>
  <c r="G442" i="3"/>
  <c r="G441" i="3"/>
  <c r="G440" i="3"/>
  <c r="G439" i="3"/>
  <c r="G438" i="3"/>
  <c r="G437" i="3"/>
  <c r="G436" i="3"/>
  <c r="G435" i="3"/>
  <c r="G434" i="3"/>
  <c r="F432" i="3"/>
  <c r="G431" i="3"/>
  <c r="G430" i="3"/>
  <c r="G429" i="3"/>
  <c r="G428" i="3"/>
  <c r="G427" i="3"/>
  <c r="G426" i="3"/>
  <c r="G425" i="3"/>
  <c r="G424" i="3"/>
  <c r="G423" i="3"/>
  <c r="G422" i="3"/>
  <c r="G421" i="3"/>
  <c r="G420" i="3"/>
  <c r="F419" i="3"/>
  <c r="F433" i="3" s="1"/>
  <c r="G418" i="3"/>
  <c r="G417" i="3"/>
  <c r="G416" i="3"/>
  <c r="G415" i="3"/>
  <c r="G414" i="3"/>
  <c r="G413" i="3"/>
  <c r="G412" i="3"/>
  <c r="G411" i="3"/>
  <c r="G410" i="3"/>
  <c r="G409" i="3"/>
  <c r="G408" i="3"/>
  <c r="G407" i="3"/>
  <c r="F405" i="3"/>
  <c r="G404" i="3"/>
  <c r="G403" i="3"/>
  <c r="G402" i="3"/>
  <c r="G401" i="3"/>
  <c r="G400" i="3"/>
  <c r="G399" i="3"/>
  <c r="G398" i="3"/>
  <c r="G397" i="3"/>
  <c r="G396" i="3"/>
  <c r="G395" i="3"/>
  <c r="G394" i="3"/>
  <c r="G393" i="3"/>
  <c r="F392" i="3"/>
  <c r="G391" i="3"/>
  <c r="G390" i="3"/>
  <c r="G389" i="3"/>
  <c r="G388" i="3"/>
  <c r="G387" i="3"/>
  <c r="G386" i="3"/>
  <c r="G385" i="3"/>
  <c r="G384" i="3"/>
  <c r="G383" i="3"/>
  <c r="G382" i="3"/>
  <c r="G381" i="3"/>
  <c r="G380" i="3"/>
  <c r="F378" i="3"/>
  <c r="G377" i="3"/>
  <c r="G376" i="3"/>
  <c r="G375" i="3"/>
  <c r="G374" i="3"/>
  <c r="G373" i="3"/>
  <c r="G372" i="3"/>
  <c r="G371" i="3"/>
  <c r="G370" i="3"/>
  <c r="G369" i="3"/>
  <c r="G368" i="3"/>
  <c r="G367" i="3"/>
  <c r="G366" i="3"/>
  <c r="G378" i="3" s="1"/>
  <c r="F365" i="3"/>
  <c r="F379" i="3" s="1"/>
  <c r="G364" i="3"/>
  <c r="G363" i="3"/>
  <c r="G362" i="3"/>
  <c r="G361" i="3"/>
  <c r="G360" i="3"/>
  <c r="G359" i="3"/>
  <c r="G358" i="3"/>
  <c r="G357" i="3"/>
  <c r="G356" i="3"/>
  <c r="G355" i="3"/>
  <c r="G354" i="3"/>
  <c r="G353" i="3"/>
  <c r="F351" i="3"/>
  <c r="G350" i="3"/>
  <c r="G349" i="3"/>
  <c r="G348" i="3"/>
  <c r="G347" i="3"/>
  <c r="G346" i="3"/>
  <c r="G345" i="3"/>
  <c r="G344" i="3"/>
  <c r="G343" i="3"/>
  <c r="G342" i="3"/>
  <c r="G341" i="3"/>
  <c r="G340" i="3"/>
  <c r="G339" i="3"/>
  <c r="G351" i="3" s="1"/>
  <c r="F338" i="3"/>
  <c r="G337" i="3"/>
  <c r="G336" i="3"/>
  <c r="G335" i="3"/>
  <c r="G334" i="3"/>
  <c r="G333" i="3"/>
  <c r="G332" i="3"/>
  <c r="G331" i="3"/>
  <c r="G330" i="3"/>
  <c r="G329" i="3"/>
  <c r="G328" i="3"/>
  <c r="G327" i="3"/>
  <c r="G326" i="3"/>
  <c r="G338" i="3" s="1"/>
  <c r="G352" i="3" s="1"/>
  <c r="F324" i="3"/>
  <c r="G323" i="3"/>
  <c r="G322" i="3"/>
  <c r="G321" i="3"/>
  <c r="G320" i="3"/>
  <c r="G319" i="3"/>
  <c r="G318" i="3"/>
  <c r="G317" i="3"/>
  <c r="G316" i="3"/>
  <c r="G315" i="3"/>
  <c r="G314" i="3"/>
  <c r="G313" i="3"/>
  <c r="G312" i="3"/>
  <c r="F311" i="3"/>
  <c r="G310" i="3"/>
  <c r="G309" i="3"/>
  <c r="G308" i="3"/>
  <c r="G307" i="3"/>
  <c r="G306" i="3"/>
  <c r="G305" i="3"/>
  <c r="G304" i="3"/>
  <c r="G303" i="3"/>
  <c r="G302" i="3"/>
  <c r="G301" i="3"/>
  <c r="G300" i="3"/>
  <c r="G299" i="3"/>
  <c r="G311" i="3" s="1"/>
  <c r="F297" i="3"/>
  <c r="G296" i="3"/>
  <c r="G295" i="3"/>
  <c r="G294" i="3"/>
  <c r="G293" i="3"/>
  <c r="G292" i="3"/>
  <c r="G291" i="3"/>
  <c r="G290" i="3"/>
  <c r="G289" i="3"/>
  <c r="G288" i="3"/>
  <c r="G287" i="3"/>
  <c r="G286" i="3"/>
  <c r="G285" i="3"/>
  <c r="G297" i="3" s="1"/>
  <c r="F284" i="3"/>
  <c r="F298" i="3" s="1"/>
  <c r="G283" i="3"/>
  <c r="G282" i="3"/>
  <c r="G281" i="3"/>
  <c r="G280" i="3"/>
  <c r="G279" i="3"/>
  <c r="G278" i="3"/>
  <c r="G277" i="3"/>
  <c r="G276" i="3"/>
  <c r="G275" i="3"/>
  <c r="G274" i="3"/>
  <c r="G273" i="3"/>
  <c r="G272" i="3"/>
  <c r="F270" i="3"/>
  <c r="G269" i="3"/>
  <c r="G268" i="3"/>
  <c r="G267" i="3"/>
  <c r="G266" i="3"/>
  <c r="G265" i="3"/>
  <c r="G264" i="3"/>
  <c r="G263" i="3"/>
  <c r="G262" i="3"/>
  <c r="G261" i="3"/>
  <c r="G260" i="3"/>
  <c r="G259" i="3"/>
  <c r="G258" i="3"/>
  <c r="F257" i="3"/>
  <c r="G256" i="3"/>
  <c r="G255" i="3"/>
  <c r="G254" i="3"/>
  <c r="G253" i="3"/>
  <c r="G252" i="3"/>
  <c r="G251" i="3"/>
  <c r="G250" i="3"/>
  <c r="G249" i="3"/>
  <c r="G248" i="3"/>
  <c r="G247" i="3"/>
  <c r="G246" i="3"/>
  <c r="G245" i="3"/>
  <c r="G257" i="3" s="1"/>
  <c r="F243" i="3"/>
  <c r="G242" i="3"/>
  <c r="G241" i="3"/>
  <c r="G240" i="3"/>
  <c r="G239" i="3"/>
  <c r="G238" i="3"/>
  <c r="G237" i="3"/>
  <c r="G236" i="3"/>
  <c r="G235" i="3"/>
  <c r="G234" i="3"/>
  <c r="G233" i="3"/>
  <c r="G232" i="3"/>
  <c r="G231" i="3"/>
  <c r="G243" i="3" s="1"/>
  <c r="F230" i="3"/>
  <c r="F244" i="3" s="1"/>
  <c r="G229" i="3"/>
  <c r="G228" i="3"/>
  <c r="G227" i="3"/>
  <c r="G226" i="3"/>
  <c r="G225" i="3"/>
  <c r="G224" i="3"/>
  <c r="G223" i="3"/>
  <c r="G222" i="3"/>
  <c r="G221" i="3"/>
  <c r="G220" i="3"/>
  <c r="G219" i="3"/>
  <c r="G218" i="3"/>
  <c r="F216" i="3"/>
  <c r="G215" i="3"/>
  <c r="G214" i="3"/>
  <c r="G213" i="3"/>
  <c r="G212" i="3"/>
  <c r="G211" i="3"/>
  <c r="G210" i="3"/>
  <c r="G209" i="3"/>
  <c r="G208" i="3"/>
  <c r="G207" i="3"/>
  <c r="G206" i="3"/>
  <c r="G205" i="3"/>
  <c r="G204" i="3"/>
  <c r="G216" i="3" s="1"/>
  <c r="F203" i="3"/>
  <c r="F217" i="3" s="1"/>
  <c r="G202" i="3"/>
  <c r="G201" i="3"/>
  <c r="G200" i="3"/>
  <c r="G199" i="3"/>
  <c r="G198" i="3"/>
  <c r="G197" i="3"/>
  <c r="G196" i="3"/>
  <c r="G195" i="3"/>
  <c r="G194" i="3"/>
  <c r="G193" i="3"/>
  <c r="G192" i="3"/>
  <c r="G191" i="3"/>
  <c r="G203" i="3" s="1"/>
  <c r="G217" i="3" s="1"/>
  <c r="F189" i="3"/>
  <c r="G188" i="3"/>
  <c r="G187" i="3"/>
  <c r="G186" i="3"/>
  <c r="G185" i="3"/>
  <c r="G184" i="3"/>
  <c r="G183" i="3"/>
  <c r="G182" i="3"/>
  <c r="G181" i="3"/>
  <c r="G180" i="3"/>
  <c r="G179" i="3"/>
  <c r="G178" i="3"/>
  <c r="G177" i="3"/>
  <c r="F176" i="3"/>
  <c r="F190" i="3" s="1"/>
  <c r="G175" i="3"/>
  <c r="G174" i="3"/>
  <c r="G173" i="3"/>
  <c r="G172" i="3"/>
  <c r="G171" i="3"/>
  <c r="G170" i="3"/>
  <c r="G169" i="3"/>
  <c r="G168" i="3"/>
  <c r="G167" i="3"/>
  <c r="G166" i="3"/>
  <c r="G165" i="3"/>
  <c r="G164" i="3"/>
  <c r="G176" i="3" s="1"/>
  <c r="F162" i="3"/>
  <c r="G161" i="3"/>
  <c r="G160" i="3"/>
  <c r="G159" i="3"/>
  <c r="G158" i="3"/>
  <c r="G157" i="3"/>
  <c r="G156" i="3"/>
  <c r="G155" i="3"/>
  <c r="G154" i="3"/>
  <c r="G153" i="3"/>
  <c r="G152" i="3"/>
  <c r="G151" i="3"/>
  <c r="G150" i="3"/>
  <c r="F149" i="3"/>
  <c r="F163" i="3" s="1"/>
  <c r="G148" i="3"/>
  <c r="G147" i="3"/>
  <c r="G146" i="3"/>
  <c r="G145" i="3"/>
  <c r="G144" i="3"/>
  <c r="G143" i="3"/>
  <c r="G142" i="3"/>
  <c r="G141" i="3"/>
  <c r="G140" i="3"/>
  <c r="G139" i="3"/>
  <c r="G138" i="3"/>
  <c r="G137" i="3"/>
  <c r="F135" i="3"/>
  <c r="G134" i="3"/>
  <c r="G133" i="3"/>
  <c r="G132" i="3"/>
  <c r="G131" i="3"/>
  <c r="G130" i="3"/>
  <c r="G129" i="3"/>
  <c r="G128" i="3"/>
  <c r="G127" i="3"/>
  <c r="G126" i="3"/>
  <c r="G125" i="3"/>
  <c r="G124" i="3"/>
  <c r="G123" i="3"/>
  <c r="F122" i="3"/>
  <c r="F136" i="3" s="1"/>
  <c r="G121" i="3"/>
  <c r="G120" i="3"/>
  <c r="G119" i="3"/>
  <c r="G118" i="3"/>
  <c r="G117" i="3"/>
  <c r="G116" i="3"/>
  <c r="G115" i="3"/>
  <c r="G114" i="3"/>
  <c r="G113" i="3"/>
  <c r="G112" i="3"/>
  <c r="G111" i="3"/>
  <c r="G110" i="3"/>
  <c r="F108" i="3"/>
  <c r="G107" i="3"/>
  <c r="G106" i="3"/>
  <c r="G105" i="3"/>
  <c r="G104" i="3"/>
  <c r="G103" i="3"/>
  <c r="G102" i="3"/>
  <c r="G101" i="3"/>
  <c r="G100" i="3"/>
  <c r="G99" i="3"/>
  <c r="G98" i="3"/>
  <c r="G97" i="3"/>
  <c r="G96" i="3"/>
  <c r="F95" i="3"/>
  <c r="G94" i="3"/>
  <c r="G93" i="3"/>
  <c r="G92" i="3"/>
  <c r="G91" i="3"/>
  <c r="G90" i="3"/>
  <c r="G89" i="3"/>
  <c r="G88" i="3"/>
  <c r="G87" i="3"/>
  <c r="G86" i="3"/>
  <c r="G85" i="3"/>
  <c r="G84" i="3"/>
  <c r="G83" i="3"/>
  <c r="F81" i="3"/>
  <c r="G80" i="3"/>
  <c r="G79" i="3"/>
  <c r="G78" i="3"/>
  <c r="G77" i="3"/>
  <c r="G76" i="3"/>
  <c r="G75" i="3"/>
  <c r="G74" i="3"/>
  <c r="G73" i="3"/>
  <c r="G72" i="3"/>
  <c r="G71" i="3"/>
  <c r="G70" i="3"/>
  <c r="G69" i="3"/>
  <c r="G81" i="3" s="1"/>
  <c r="F68" i="3"/>
  <c r="F82" i="3" s="1"/>
  <c r="G67" i="3"/>
  <c r="G66" i="3"/>
  <c r="G65" i="3"/>
  <c r="G64" i="3"/>
  <c r="G63" i="3"/>
  <c r="G62" i="3"/>
  <c r="G61" i="3"/>
  <c r="G60" i="3"/>
  <c r="G59" i="3"/>
  <c r="G58" i="3"/>
  <c r="G57" i="3"/>
  <c r="G56" i="3"/>
  <c r="F54" i="3"/>
  <c r="G53" i="3"/>
  <c r="G52" i="3"/>
  <c r="G51" i="3"/>
  <c r="G50" i="3"/>
  <c r="G49" i="3"/>
  <c r="G48" i="3"/>
  <c r="G47" i="3"/>
  <c r="G46" i="3"/>
  <c r="G45" i="3"/>
  <c r="G44" i="3"/>
  <c r="G43" i="3"/>
  <c r="G42" i="3"/>
  <c r="G54" i="3" s="1"/>
  <c r="F41" i="3"/>
  <c r="G40" i="3"/>
  <c r="G39" i="3"/>
  <c r="G38" i="3"/>
  <c r="G37" i="3"/>
  <c r="G36" i="3"/>
  <c r="G35" i="3"/>
  <c r="G34" i="3"/>
  <c r="G33" i="3"/>
  <c r="G32" i="3"/>
  <c r="G31" i="3"/>
  <c r="G30" i="3"/>
  <c r="G29" i="3"/>
  <c r="G41" i="3" s="1"/>
  <c r="G55" i="3" s="1"/>
  <c r="F27" i="3"/>
  <c r="F14" i="3"/>
  <c r="G13" i="3"/>
  <c r="G12" i="3"/>
  <c r="G11" i="3"/>
  <c r="G10" i="3"/>
  <c r="G9" i="3"/>
  <c r="G8" i="3"/>
  <c r="G7" i="3"/>
  <c r="G6" i="3"/>
  <c r="G5" i="3"/>
  <c r="G4" i="3"/>
  <c r="G3" i="3"/>
  <c r="G2" i="3"/>
  <c r="F810" i="4"/>
  <c r="G809" i="4"/>
  <c r="G808" i="4"/>
  <c r="G807" i="4"/>
  <c r="G806" i="4"/>
  <c r="G805" i="4"/>
  <c r="G804" i="4"/>
  <c r="G803" i="4"/>
  <c r="G802" i="4"/>
  <c r="G801" i="4"/>
  <c r="G810" i="4" s="1"/>
  <c r="G797" i="4"/>
  <c r="G811" i="4" s="1"/>
  <c r="F797" i="4"/>
  <c r="F811" i="4" s="1"/>
  <c r="F783" i="4"/>
  <c r="G782" i="4"/>
  <c r="G781" i="4"/>
  <c r="G780" i="4"/>
  <c r="G779" i="4"/>
  <c r="G778" i="4"/>
  <c r="G777" i="4"/>
  <c r="G776" i="4"/>
  <c r="G775" i="4"/>
  <c r="G774" i="4"/>
  <c r="G773" i="4"/>
  <c r="G772" i="4"/>
  <c r="G771" i="4"/>
  <c r="G783" i="4" s="1"/>
  <c r="F770" i="4"/>
  <c r="F784" i="4" s="1"/>
  <c r="G769" i="4"/>
  <c r="G768" i="4"/>
  <c r="G767" i="4"/>
  <c r="G766" i="4"/>
  <c r="G765" i="4"/>
  <c r="G764" i="4"/>
  <c r="G763" i="4"/>
  <c r="G762" i="4"/>
  <c r="G761" i="4"/>
  <c r="G760" i="4"/>
  <c r="G759" i="4"/>
  <c r="G758" i="4"/>
  <c r="F756" i="4"/>
  <c r="G755" i="4"/>
  <c r="G754" i="4"/>
  <c r="G753" i="4"/>
  <c r="G752" i="4"/>
  <c r="G751" i="4"/>
  <c r="G750" i="4"/>
  <c r="G749" i="4"/>
  <c r="G748" i="4"/>
  <c r="G747" i="4"/>
  <c r="G746" i="4"/>
  <c r="G745" i="4"/>
  <c r="G744" i="4"/>
  <c r="G756" i="4" s="1"/>
  <c r="F743" i="4"/>
  <c r="F757" i="4" s="1"/>
  <c r="G742" i="4"/>
  <c r="G741" i="4"/>
  <c r="G740" i="4"/>
  <c r="G739" i="4"/>
  <c r="G738" i="4"/>
  <c r="G737" i="4"/>
  <c r="G736" i="4"/>
  <c r="G735" i="4"/>
  <c r="G734" i="4"/>
  <c r="G733" i="4"/>
  <c r="G732" i="4"/>
  <c r="G731" i="4"/>
  <c r="G743" i="4" s="1"/>
  <c r="G757" i="4" s="1"/>
  <c r="F729" i="4"/>
  <c r="G728" i="4"/>
  <c r="G727" i="4"/>
  <c r="G726" i="4"/>
  <c r="G725" i="4"/>
  <c r="G724" i="4"/>
  <c r="G723" i="4"/>
  <c r="G722" i="4"/>
  <c r="G721" i="4"/>
  <c r="G720" i="4"/>
  <c r="G719" i="4"/>
  <c r="G718" i="4"/>
  <c r="G717" i="4"/>
  <c r="F716" i="4"/>
  <c r="G715" i="4"/>
  <c r="G714" i="4"/>
  <c r="G713" i="4"/>
  <c r="G712" i="4"/>
  <c r="G711" i="4"/>
  <c r="G710" i="4"/>
  <c r="G709" i="4"/>
  <c r="G708" i="4"/>
  <c r="G707" i="4"/>
  <c r="G706" i="4"/>
  <c r="G705" i="4"/>
  <c r="G704" i="4"/>
  <c r="G716" i="4" s="1"/>
  <c r="F702" i="4"/>
  <c r="G701" i="4"/>
  <c r="G700" i="4"/>
  <c r="G699" i="4"/>
  <c r="G698" i="4"/>
  <c r="G697" i="4"/>
  <c r="G696" i="4"/>
  <c r="G695" i="4"/>
  <c r="G694" i="4"/>
  <c r="G693" i="4"/>
  <c r="G692" i="4"/>
  <c r="G691" i="4"/>
  <c r="G690" i="4"/>
  <c r="G702" i="4" s="1"/>
  <c r="F689" i="4"/>
  <c r="F703" i="4" s="1"/>
  <c r="G688" i="4"/>
  <c r="G687" i="4"/>
  <c r="G686" i="4"/>
  <c r="G685" i="4"/>
  <c r="G684" i="4"/>
  <c r="G683" i="4"/>
  <c r="G682" i="4"/>
  <c r="G681" i="4"/>
  <c r="G680" i="4"/>
  <c r="G679" i="4"/>
  <c r="G678" i="4"/>
  <c r="G677" i="4"/>
  <c r="F675" i="4"/>
  <c r="G674" i="4"/>
  <c r="G673" i="4"/>
  <c r="G672" i="4"/>
  <c r="G671" i="4"/>
  <c r="G670" i="4"/>
  <c r="G669" i="4"/>
  <c r="G668" i="4"/>
  <c r="G667" i="4"/>
  <c r="G666" i="4"/>
  <c r="G665" i="4"/>
  <c r="G664" i="4"/>
  <c r="G663" i="4"/>
  <c r="G675" i="4" s="1"/>
  <c r="F662" i="4"/>
  <c r="F676" i="4" s="1"/>
  <c r="G661" i="4"/>
  <c r="G660" i="4"/>
  <c r="G659" i="4"/>
  <c r="G658" i="4"/>
  <c r="G657" i="4"/>
  <c r="G656" i="4"/>
  <c r="G655" i="4"/>
  <c r="G654" i="4"/>
  <c r="G653" i="4"/>
  <c r="G652" i="4"/>
  <c r="G651" i="4"/>
  <c r="G650" i="4"/>
  <c r="G662" i="4" s="1"/>
  <c r="G676" i="4" s="1"/>
  <c r="F648" i="4"/>
  <c r="G647" i="4"/>
  <c r="G646" i="4"/>
  <c r="G645" i="4"/>
  <c r="G644" i="4"/>
  <c r="G643" i="4"/>
  <c r="G642" i="4"/>
  <c r="G641" i="4"/>
  <c r="G640" i="4"/>
  <c r="G639" i="4"/>
  <c r="G638" i="4"/>
  <c r="G637" i="4"/>
  <c r="G636" i="4"/>
  <c r="F635" i="4"/>
  <c r="G634" i="4"/>
  <c r="G633" i="4"/>
  <c r="G632" i="4"/>
  <c r="G631" i="4"/>
  <c r="G630" i="4"/>
  <c r="G629" i="4"/>
  <c r="G628" i="4"/>
  <c r="G627" i="4"/>
  <c r="G626" i="4"/>
  <c r="G625" i="4"/>
  <c r="G624" i="4"/>
  <c r="G623" i="4"/>
  <c r="G635" i="4" s="1"/>
  <c r="F621" i="4"/>
  <c r="G620" i="4"/>
  <c r="G619" i="4"/>
  <c r="G618" i="4"/>
  <c r="G617" i="4"/>
  <c r="G616" i="4"/>
  <c r="G614" i="4"/>
  <c r="G613" i="4"/>
  <c r="G612" i="4"/>
  <c r="G611" i="4"/>
  <c r="G610" i="4"/>
  <c r="G609" i="4"/>
  <c r="G621" i="4" s="1"/>
  <c r="F608" i="4"/>
  <c r="F622" i="4" s="1"/>
  <c r="G607" i="4"/>
  <c r="G606" i="4"/>
  <c r="G605" i="4"/>
  <c r="G604" i="4"/>
  <c r="G603" i="4"/>
  <c r="G602" i="4"/>
  <c r="G601" i="4"/>
  <c r="G600" i="4"/>
  <c r="G599" i="4"/>
  <c r="G598" i="4"/>
  <c r="G597" i="4"/>
  <c r="G596" i="4"/>
  <c r="F594" i="4"/>
  <c r="G593" i="4"/>
  <c r="G592" i="4"/>
  <c r="G591" i="4"/>
  <c r="G590" i="4"/>
  <c r="G589" i="4"/>
  <c r="G588" i="4"/>
  <c r="G587" i="4"/>
  <c r="G586" i="4"/>
  <c r="G585" i="4"/>
  <c r="G584" i="4"/>
  <c r="G583" i="4"/>
  <c r="G582" i="4"/>
  <c r="G594" i="4" s="1"/>
  <c r="F581" i="4"/>
  <c r="F595" i="4" s="1"/>
  <c r="G580" i="4"/>
  <c r="G579" i="4"/>
  <c r="G578" i="4"/>
  <c r="G577" i="4"/>
  <c r="G576" i="4"/>
  <c r="G575" i="4"/>
  <c r="G574" i="4"/>
  <c r="G573" i="4"/>
  <c r="G572" i="4"/>
  <c r="G571" i="4"/>
  <c r="G570" i="4"/>
  <c r="G569" i="4"/>
  <c r="G581" i="4" s="1"/>
  <c r="G595" i="4" s="1"/>
  <c r="F567" i="4"/>
  <c r="G566" i="4"/>
  <c r="G565" i="4"/>
  <c r="G564" i="4"/>
  <c r="G563" i="4"/>
  <c r="G562" i="4"/>
  <c r="G561" i="4"/>
  <c r="G560" i="4"/>
  <c r="G559" i="4"/>
  <c r="G558" i="4"/>
  <c r="G557" i="4"/>
  <c r="G556" i="4"/>
  <c r="G555" i="4"/>
  <c r="F554" i="4"/>
  <c r="G553" i="4"/>
  <c r="G552" i="4"/>
  <c r="G551" i="4"/>
  <c r="G550" i="4"/>
  <c r="G549" i="4"/>
  <c r="G548" i="4"/>
  <c r="G547" i="4"/>
  <c r="G546" i="4"/>
  <c r="G545" i="4"/>
  <c r="G544" i="4"/>
  <c r="G543" i="4"/>
  <c r="G542" i="4"/>
  <c r="G554" i="4" s="1"/>
  <c r="F540" i="4"/>
  <c r="G539" i="4"/>
  <c r="G538" i="4"/>
  <c r="G537" i="4"/>
  <c r="G536" i="4"/>
  <c r="G535" i="4"/>
  <c r="G534" i="4"/>
  <c r="G533" i="4"/>
  <c r="G532" i="4"/>
  <c r="G531" i="4"/>
  <c r="G530" i="4"/>
  <c r="G529" i="4"/>
  <c r="G528" i="4"/>
  <c r="G540" i="4" s="1"/>
  <c r="F527" i="4"/>
  <c r="F541" i="4" s="1"/>
  <c r="G526" i="4"/>
  <c r="G525" i="4"/>
  <c r="G524" i="4"/>
  <c r="G523" i="4"/>
  <c r="G522" i="4"/>
  <c r="G521" i="4"/>
  <c r="G520" i="4"/>
  <c r="G519" i="4"/>
  <c r="G518" i="4"/>
  <c r="G517" i="4"/>
  <c r="G516" i="4"/>
  <c r="G515" i="4"/>
  <c r="F513" i="4"/>
  <c r="G512" i="4"/>
  <c r="G511" i="4"/>
  <c r="G510" i="4"/>
  <c r="G509" i="4"/>
  <c r="G508" i="4"/>
  <c r="G507" i="4"/>
  <c r="G506" i="4"/>
  <c r="G505" i="4"/>
  <c r="G504" i="4"/>
  <c r="G503" i="4"/>
  <c r="G502" i="4"/>
  <c r="G501" i="4"/>
  <c r="G513" i="4" s="1"/>
  <c r="F500" i="4"/>
  <c r="G499" i="4"/>
  <c r="G498" i="4"/>
  <c r="G497" i="4"/>
  <c r="G496" i="4"/>
  <c r="G495" i="4"/>
  <c r="G494" i="4"/>
  <c r="G493" i="4"/>
  <c r="G492" i="4"/>
  <c r="G491" i="4"/>
  <c r="G490" i="4"/>
  <c r="G489" i="4"/>
  <c r="G488" i="4"/>
  <c r="G500" i="4" s="1"/>
  <c r="G514" i="4" s="1"/>
  <c r="F486" i="4"/>
  <c r="G485" i="4"/>
  <c r="G484" i="4"/>
  <c r="G483" i="4"/>
  <c r="G482" i="4"/>
  <c r="G481" i="4"/>
  <c r="G480" i="4"/>
  <c r="G479" i="4"/>
  <c r="G478" i="4"/>
  <c r="G477" i="4"/>
  <c r="G476" i="4"/>
  <c r="G475" i="4"/>
  <c r="G474" i="4"/>
  <c r="G486" i="4" s="1"/>
  <c r="F473" i="4"/>
  <c r="F487" i="4" s="1"/>
  <c r="G472" i="4"/>
  <c r="G471" i="4"/>
  <c r="G470" i="4"/>
  <c r="G469" i="4"/>
  <c r="G468" i="4"/>
  <c r="G467" i="4"/>
  <c r="G466" i="4"/>
  <c r="G465" i="4"/>
  <c r="G464" i="4"/>
  <c r="G463" i="4"/>
  <c r="G462" i="4"/>
  <c r="G461" i="4"/>
  <c r="G473" i="4" s="1"/>
  <c r="G487" i="4" s="1"/>
  <c r="F459" i="4"/>
  <c r="G458" i="4"/>
  <c r="G457" i="4"/>
  <c r="G456" i="4"/>
  <c r="G455" i="4"/>
  <c r="G454" i="4"/>
  <c r="G453" i="4"/>
  <c r="G452" i="4"/>
  <c r="G451" i="4"/>
  <c r="G450" i="4"/>
  <c r="G449" i="4"/>
  <c r="G448" i="4"/>
  <c r="G447" i="4"/>
  <c r="G459" i="4" s="1"/>
  <c r="F446" i="4"/>
  <c r="F460" i="4" s="1"/>
  <c r="G445" i="4"/>
  <c r="G444" i="4"/>
  <c r="G443" i="4"/>
  <c r="G442" i="4"/>
  <c r="G441" i="4"/>
  <c r="G440" i="4"/>
  <c r="G439" i="4"/>
  <c r="G438" i="4"/>
  <c r="G437" i="4"/>
  <c r="G436" i="4"/>
  <c r="G435" i="4"/>
  <c r="G434" i="4"/>
  <c r="G446" i="4" s="1"/>
  <c r="G460" i="4" s="1"/>
  <c r="F432" i="4"/>
  <c r="G431" i="4"/>
  <c r="G430" i="4"/>
  <c r="G429" i="4"/>
  <c r="G428" i="4"/>
  <c r="G427" i="4"/>
  <c r="G426" i="4"/>
  <c r="G425" i="4"/>
  <c r="G424" i="4"/>
  <c r="G423" i="4"/>
  <c r="G422" i="4"/>
  <c r="G421" i="4"/>
  <c r="G420" i="4"/>
  <c r="F419" i="4"/>
  <c r="G418" i="4"/>
  <c r="G417" i="4"/>
  <c r="G416" i="4"/>
  <c r="G415" i="4"/>
  <c r="G414" i="4"/>
  <c r="G413" i="4"/>
  <c r="G412" i="4"/>
  <c r="G411" i="4"/>
  <c r="G410" i="4"/>
  <c r="G409" i="4"/>
  <c r="G408" i="4"/>
  <c r="G407" i="4"/>
  <c r="G419" i="4" s="1"/>
  <c r="F405" i="4"/>
  <c r="G404" i="4"/>
  <c r="G403" i="4"/>
  <c r="G402" i="4"/>
  <c r="G401" i="4"/>
  <c r="G400" i="4"/>
  <c r="G399" i="4"/>
  <c r="G398" i="4"/>
  <c r="G397" i="4"/>
  <c r="G396" i="4"/>
  <c r="G395" i="4"/>
  <c r="G394" i="4"/>
  <c r="G393" i="4"/>
  <c r="G405" i="4" s="1"/>
  <c r="F392" i="4"/>
  <c r="F406" i="4" s="1"/>
  <c r="G391" i="4"/>
  <c r="G390" i="4"/>
  <c r="G389" i="4"/>
  <c r="G388" i="4"/>
  <c r="G387" i="4"/>
  <c r="G386" i="4"/>
  <c r="G385" i="4"/>
  <c r="G384" i="4"/>
  <c r="G383" i="4"/>
  <c r="G382" i="4"/>
  <c r="G381" i="4"/>
  <c r="G380" i="4"/>
  <c r="F378" i="4"/>
  <c r="G377" i="4"/>
  <c r="G376" i="4"/>
  <c r="G375" i="4"/>
  <c r="G374" i="4"/>
  <c r="G373" i="4"/>
  <c r="G372" i="4"/>
  <c r="G371" i="4"/>
  <c r="G370" i="4"/>
  <c r="G369" i="4"/>
  <c r="G368" i="4"/>
  <c r="G367" i="4"/>
  <c r="G366" i="4"/>
  <c r="F365" i="4"/>
  <c r="F379" i="4" s="1"/>
  <c r="G364" i="4"/>
  <c r="G363" i="4"/>
  <c r="G362" i="4"/>
  <c r="G361" i="4"/>
  <c r="G360" i="4"/>
  <c r="G359" i="4"/>
  <c r="G358" i="4"/>
  <c r="G357" i="4"/>
  <c r="G356" i="4"/>
  <c r="G355" i="4"/>
  <c r="G354" i="4"/>
  <c r="G353" i="4"/>
  <c r="G365" i="4" s="1"/>
  <c r="F351" i="4"/>
  <c r="G350" i="4"/>
  <c r="G349" i="4"/>
  <c r="G348" i="4"/>
  <c r="G347" i="4"/>
  <c r="G346" i="4"/>
  <c r="G345" i="4"/>
  <c r="G344" i="4"/>
  <c r="G343" i="4"/>
  <c r="G342" i="4"/>
  <c r="G341" i="4"/>
  <c r="G340" i="4"/>
  <c r="G339" i="4"/>
  <c r="F338" i="4"/>
  <c r="G337" i="4"/>
  <c r="G336" i="4"/>
  <c r="G335" i="4"/>
  <c r="G334" i="4"/>
  <c r="G333" i="4"/>
  <c r="G332" i="4"/>
  <c r="G331" i="4"/>
  <c r="G330" i="4"/>
  <c r="G329" i="4"/>
  <c r="G328" i="4"/>
  <c r="G327" i="4"/>
  <c r="G326" i="4"/>
  <c r="F324" i="4"/>
  <c r="G323" i="4"/>
  <c r="G322" i="4"/>
  <c r="G321" i="4"/>
  <c r="G320" i="4"/>
  <c r="G319" i="4"/>
  <c r="G318" i="4"/>
  <c r="G317" i="4"/>
  <c r="G316" i="4"/>
  <c r="G315" i="4"/>
  <c r="G314" i="4"/>
  <c r="G313" i="4"/>
  <c r="G312" i="4"/>
  <c r="G324" i="4" s="1"/>
  <c r="F311" i="4"/>
  <c r="F325" i="4" s="1"/>
  <c r="G310" i="4"/>
  <c r="G309" i="4"/>
  <c r="G308" i="4"/>
  <c r="G307" i="4"/>
  <c r="G306" i="4"/>
  <c r="G305" i="4"/>
  <c r="G304" i="4"/>
  <c r="G303" i="4"/>
  <c r="G302" i="4"/>
  <c r="G301" i="4"/>
  <c r="G300" i="4"/>
  <c r="G299" i="4"/>
  <c r="F297" i="4"/>
  <c r="G296" i="4"/>
  <c r="G295" i="4"/>
  <c r="G294" i="4"/>
  <c r="G293" i="4"/>
  <c r="G292" i="4"/>
  <c r="G291" i="4"/>
  <c r="G290" i="4"/>
  <c r="G289" i="4"/>
  <c r="G288" i="4"/>
  <c r="G287" i="4"/>
  <c r="G286" i="4"/>
  <c r="G285" i="4"/>
  <c r="G297" i="4" s="1"/>
  <c r="F284" i="4"/>
  <c r="F298" i="4" s="1"/>
  <c r="G283" i="4"/>
  <c r="G282" i="4"/>
  <c r="G281" i="4"/>
  <c r="G280" i="4"/>
  <c r="G279" i="4"/>
  <c r="G278" i="4"/>
  <c r="G277" i="4"/>
  <c r="G276" i="4"/>
  <c r="G275" i="4"/>
  <c r="G274" i="4"/>
  <c r="G273" i="4"/>
  <c r="G272" i="4"/>
  <c r="G284" i="4" s="1"/>
  <c r="G298" i="4" s="1"/>
  <c r="F270" i="4"/>
  <c r="G269" i="4"/>
  <c r="G268" i="4"/>
  <c r="G267" i="4"/>
  <c r="G266" i="4"/>
  <c r="G265" i="4"/>
  <c r="G264" i="4"/>
  <c r="G263" i="4"/>
  <c r="G262" i="4"/>
  <c r="G261" i="4"/>
  <c r="G260" i="4"/>
  <c r="G259" i="4"/>
  <c r="G258" i="4"/>
  <c r="F257" i="4"/>
  <c r="G256" i="4"/>
  <c r="G255" i="4"/>
  <c r="G254" i="4"/>
  <c r="G253" i="4"/>
  <c r="G252" i="4"/>
  <c r="G251" i="4"/>
  <c r="G250" i="4"/>
  <c r="G249" i="4"/>
  <c r="G248" i="4"/>
  <c r="G247" i="4"/>
  <c r="G246" i="4"/>
  <c r="G245" i="4"/>
  <c r="G257" i="4" s="1"/>
  <c r="F243" i="4"/>
  <c r="G242" i="4"/>
  <c r="G241" i="4"/>
  <c r="G240" i="4"/>
  <c r="G239" i="4"/>
  <c r="G238" i="4"/>
  <c r="G237" i="4"/>
  <c r="G236" i="4"/>
  <c r="G235" i="4"/>
  <c r="G234" i="4"/>
  <c r="G233" i="4"/>
  <c r="G232" i="4"/>
  <c r="G231" i="4"/>
  <c r="G243" i="4" s="1"/>
  <c r="F230" i="4"/>
  <c r="F244" i="4" s="1"/>
  <c r="G229" i="4"/>
  <c r="G228" i="4"/>
  <c r="G227" i="4"/>
  <c r="G226" i="4"/>
  <c r="G225" i="4"/>
  <c r="G224" i="4"/>
  <c r="G223" i="4"/>
  <c r="G222" i="4"/>
  <c r="G221" i="4"/>
  <c r="G220" i="4"/>
  <c r="G219" i="4"/>
  <c r="G218" i="4"/>
  <c r="F216" i="4"/>
  <c r="G215" i="4"/>
  <c r="G214" i="4"/>
  <c r="G213" i="4"/>
  <c r="G212" i="4"/>
  <c r="G211" i="4"/>
  <c r="G210" i="4"/>
  <c r="G209" i="4"/>
  <c r="G208" i="4"/>
  <c r="G207" i="4"/>
  <c r="G206" i="4"/>
  <c r="G205" i="4"/>
  <c r="G204" i="4"/>
  <c r="G216" i="4" s="1"/>
  <c r="F203" i="4"/>
  <c r="G202" i="4"/>
  <c r="G201" i="4"/>
  <c r="G200" i="4"/>
  <c r="G199" i="4"/>
  <c r="G198" i="4"/>
  <c r="G197" i="4"/>
  <c r="G196" i="4"/>
  <c r="G195" i="4"/>
  <c r="G194" i="4"/>
  <c r="G193" i="4"/>
  <c r="G192" i="4"/>
  <c r="G191" i="4"/>
  <c r="G203" i="4" s="1"/>
  <c r="G217" i="4" s="1"/>
  <c r="F189" i="4"/>
  <c r="G188" i="4"/>
  <c r="G187" i="4"/>
  <c r="G186" i="4"/>
  <c r="G185" i="4"/>
  <c r="G184" i="4"/>
  <c r="G183" i="4"/>
  <c r="G182" i="4"/>
  <c r="G181" i="4"/>
  <c r="G180" i="4"/>
  <c r="G179" i="4"/>
  <c r="G178" i="4"/>
  <c r="G177" i="4"/>
  <c r="G189" i="4" s="1"/>
  <c r="F176" i="4"/>
  <c r="F190" i="4" s="1"/>
  <c r="G175" i="4"/>
  <c r="G174" i="4"/>
  <c r="G173" i="4"/>
  <c r="G172" i="4"/>
  <c r="G171" i="4"/>
  <c r="G170" i="4"/>
  <c r="G169" i="4"/>
  <c r="G168" i="4"/>
  <c r="G167" i="4"/>
  <c r="G166" i="4"/>
  <c r="G165" i="4"/>
  <c r="G164" i="4"/>
  <c r="G176" i="4" s="1"/>
  <c r="G190" i="4" s="1"/>
  <c r="F162" i="4"/>
  <c r="G161" i="4"/>
  <c r="G160" i="4"/>
  <c r="G159" i="4"/>
  <c r="G158" i="4"/>
  <c r="G157" i="4"/>
  <c r="G156" i="4"/>
  <c r="G155" i="4"/>
  <c r="G154" i="4"/>
  <c r="G153" i="4"/>
  <c r="G152" i="4"/>
  <c r="G151" i="4"/>
  <c r="G150" i="4"/>
  <c r="G162" i="4" s="1"/>
  <c r="F149" i="4"/>
  <c r="F163" i="4" s="1"/>
  <c r="G148" i="4"/>
  <c r="G147" i="4"/>
  <c r="G146" i="4"/>
  <c r="G145" i="4"/>
  <c r="G144" i="4"/>
  <c r="G143" i="4"/>
  <c r="G142" i="4"/>
  <c r="G141" i="4"/>
  <c r="G140" i="4"/>
  <c r="G139" i="4"/>
  <c r="G138" i="4"/>
  <c r="G137" i="4"/>
  <c r="G149" i="4" s="1"/>
  <c r="G163" i="4" s="1"/>
  <c r="F135" i="4"/>
  <c r="G134" i="4"/>
  <c r="G133" i="4"/>
  <c r="G132" i="4"/>
  <c r="G131" i="4"/>
  <c r="G130" i="4"/>
  <c r="G129" i="4"/>
  <c r="G128" i="4"/>
  <c r="G127" i="4"/>
  <c r="G126" i="4"/>
  <c r="G125" i="4"/>
  <c r="G124" i="4"/>
  <c r="G123" i="4"/>
  <c r="F122" i="4"/>
  <c r="G121" i="4"/>
  <c r="G120" i="4"/>
  <c r="G119" i="4"/>
  <c r="G118" i="4"/>
  <c r="G117" i="4"/>
  <c r="G116" i="4"/>
  <c r="G115" i="4"/>
  <c r="G114" i="4"/>
  <c r="G113" i="4"/>
  <c r="G112" i="4"/>
  <c r="G111" i="4"/>
  <c r="G110" i="4"/>
  <c r="G122" i="4" s="1"/>
  <c r="F108" i="4"/>
  <c r="G107" i="4"/>
  <c r="G106" i="4"/>
  <c r="G105" i="4"/>
  <c r="G104" i="4"/>
  <c r="G103" i="4"/>
  <c r="G102" i="4"/>
  <c r="G101" i="4"/>
  <c r="G100" i="4"/>
  <c r="G99" i="4"/>
  <c r="G98" i="4"/>
  <c r="G97" i="4"/>
  <c r="G96" i="4"/>
  <c r="G108" i="4" s="1"/>
  <c r="F95" i="4"/>
  <c r="F109" i="4" s="1"/>
  <c r="G94" i="4"/>
  <c r="G93" i="4"/>
  <c r="G92" i="4"/>
  <c r="G91" i="4"/>
  <c r="G90" i="4"/>
  <c r="G89" i="4"/>
  <c r="G88" i="4"/>
  <c r="G87" i="4"/>
  <c r="G86" i="4"/>
  <c r="G85" i="4"/>
  <c r="G84" i="4"/>
  <c r="G83" i="4"/>
  <c r="F81" i="4"/>
  <c r="G80" i="4"/>
  <c r="G79" i="4"/>
  <c r="G78" i="4"/>
  <c r="G77" i="4"/>
  <c r="G76" i="4"/>
  <c r="G75" i="4"/>
  <c r="G74" i="4"/>
  <c r="G73" i="4"/>
  <c r="G72" i="4"/>
  <c r="G71" i="4"/>
  <c r="G70" i="4"/>
  <c r="G69" i="4"/>
  <c r="F68" i="4"/>
  <c r="F82" i="4" s="1"/>
  <c r="G67" i="4"/>
  <c r="G66" i="4"/>
  <c r="G65" i="4"/>
  <c r="G64" i="4"/>
  <c r="G63" i="4"/>
  <c r="G62" i="4"/>
  <c r="G61" i="4"/>
  <c r="G60" i="4"/>
  <c r="G59" i="4"/>
  <c r="G58" i="4"/>
  <c r="G57" i="4"/>
  <c r="G56" i="4"/>
  <c r="G68" i="4" s="1"/>
  <c r="F54" i="4"/>
  <c r="G53" i="4"/>
  <c r="G52" i="4"/>
  <c r="G51" i="4"/>
  <c r="G50" i="4"/>
  <c r="G49" i="4"/>
  <c r="G48" i="4"/>
  <c r="G47" i="4"/>
  <c r="G46" i="4"/>
  <c r="G45" i="4"/>
  <c r="G44" i="4"/>
  <c r="G43" i="4"/>
  <c r="G42" i="4"/>
  <c r="F41" i="4"/>
  <c r="G40" i="4"/>
  <c r="G39" i="4"/>
  <c r="G38" i="4"/>
  <c r="G37" i="4"/>
  <c r="G36" i="4"/>
  <c r="G35" i="4"/>
  <c r="G34" i="4"/>
  <c r="G33" i="4"/>
  <c r="G32" i="4"/>
  <c r="G31" i="4"/>
  <c r="G30" i="4"/>
  <c r="G29" i="4"/>
  <c r="F27" i="4"/>
  <c r="G15" i="4"/>
  <c r="G27" i="4" s="1"/>
  <c r="F14" i="4"/>
  <c r="F28" i="4" s="1"/>
  <c r="G8" i="4"/>
  <c r="G7" i="4"/>
  <c r="G6" i="4"/>
  <c r="G5" i="4"/>
  <c r="G4" i="4"/>
  <c r="G3" i="4"/>
  <c r="G2" i="4"/>
  <c r="F810" i="5"/>
  <c r="G809" i="5"/>
  <c r="G808" i="5"/>
  <c r="G807" i="5"/>
  <c r="G806" i="5"/>
  <c r="G805" i="5"/>
  <c r="G804" i="5"/>
  <c r="G803" i="5"/>
  <c r="G802" i="5"/>
  <c r="G801" i="5"/>
  <c r="G810" i="5" s="1"/>
  <c r="G797" i="5"/>
  <c r="G811" i="5" s="1"/>
  <c r="F797" i="5"/>
  <c r="F811" i="5" s="1"/>
  <c r="F783" i="5"/>
  <c r="G782" i="5"/>
  <c r="G781" i="5"/>
  <c r="G780" i="5"/>
  <c r="G779" i="5"/>
  <c r="G778" i="5"/>
  <c r="G777" i="5"/>
  <c r="G776" i="5"/>
  <c r="G775" i="5"/>
  <c r="G774" i="5"/>
  <c r="G773" i="5"/>
  <c r="G772" i="5"/>
  <c r="G771" i="5"/>
  <c r="F770" i="5"/>
  <c r="G769" i="5"/>
  <c r="G768" i="5"/>
  <c r="G767" i="5"/>
  <c r="G766" i="5"/>
  <c r="G765" i="5"/>
  <c r="G764" i="5"/>
  <c r="G763" i="5"/>
  <c r="G762" i="5"/>
  <c r="G761" i="5"/>
  <c r="G760" i="5"/>
  <c r="G759" i="5"/>
  <c r="G758" i="5"/>
  <c r="F756" i="5"/>
  <c r="G755" i="5"/>
  <c r="G754" i="5"/>
  <c r="G753" i="5"/>
  <c r="G752" i="5"/>
  <c r="G751" i="5"/>
  <c r="G750" i="5"/>
  <c r="G749" i="5"/>
  <c r="G748" i="5"/>
  <c r="G747" i="5"/>
  <c r="G746" i="5"/>
  <c r="G745" i="5"/>
  <c r="G744" i="5"/>
  <c r="G756" i="5" s="1"/>
  <c r="F743" i="5"/>
  <c r="F757" i="5" s="1"/>
  <c r="G742" i="5"/>
  <c r="G741" i="5"/>
  <c r="G740" i="5"/>
  <c r="G739" i="5"/>
  <c r="G738" i="5"/>
  <c r="G737" i="5"/>
  <c r="G736" i="5"/>
  <c r="G735" i="5"/>
  <c r="G734" i="5"/>
  <c r="G733" i="5"/>
  <c r="G732" i="5"/>
  <c r="G731" i="5"/>
  <c r="F729" i="5"/>
  <c r="G728" i="5"/>
  <c r="G727" i="5"/>
  <c r="G726" i="5"/>
  <c r="G725" i="5"/>
  <c r="G724" i="5"/>
  <c r="G723" i="5"/>
  <c r="G722" i="5"/>
  <c r="G721" i="5"/>
  <c r="G720" i="5"/>
  <c r="G719" i="5"/>
  <c r="G718" i="5"/>
  <c r="G717" i="5"/>
  <c r="F716" i="5"/>
  <c r="F730" i="5" s="1"/>
  <c r="G715" i="5"/>
  <c r="G714" i="5"/>
  <c r="G713" i="5"/>
  <c r="G712" i="5"/>
  <c r="G711" i="5"/>
  <c r="G710" i="5"/>
  <c r="G709" i="5"/>
  <c r="G708" i="5"/>
  <c r="G707" i="5"/>
  <c r="G706" i="5"/>
  <c r="G705" i="5"/>
  <c r="G704" i="5"/>
  <c r="G716" i="5" s="1"/>
  <c r="F702" i="5"/>
  <c r="G701" i="5"/>
  <c r="G700" i="5"/>
  <c r="G699" i="5"/>
  <c r="G698" i="5"/>
  <c r="G697" i="5"/>
  <c r="G696" i="5"/>
  <c r="G695" i="5"/>
  <c r="G694" i="5"/>
  <c r="G693" i="5"/>
  <c r="G692" i="5"/>
  <c r="G691" i="5"/>
  <c r="G690" i="5"/>
  <c r="F689" i="5"/>
  <c r="G688" i="5"/>
  <c r="G687" i="5"/>
  <c r="G686" i="5"/>
  <c r="G685" i="5"/>
  <c r="G684" i="5"/>
  <c r="G683" i="5"/>
  <c r="G682" i="5"/>
  <c r="G681" i="5"/>
  <c r="G680" i="5"/>
  <c r="G679" i="5"/>
  <c r="G678" i="5"/>
  <c r="G677" i="5"/>
  <c r="F675" i="5"/>
  <c r="G674" i="5"/>
  <c r="G673" i="5"/>
  <c r="G672" i="5"/>
  <c r="G671" i="5"/>
  <c r="G670" i="5"/>
  <c r="G669" i="5"/>
  <c r="G668" i="5"/>
  <c r="G667" i="5"/>
  <c r="G666" i="5"/>
  <c r="G665" i="5"/>
  <c r="G664" i="5"/>
  <c r="G663" i="5"/>
  <c r="G675" i="5" s="1"/>
  <c r="F662" i="5"/>
  <c r="F676" i="5" s="1"/>
  <c r="G661" i="5"/>
  <c r="G660" i="5"/>
  <c r="G659" i="5"/>
  <c r="G658" i="5"/>
  <c r="G657" i="5"/>
  <c r="G656" i="5"/>
  <c r="G655" i="5"/>
  <c r="G654" i="5"/>
  <c r="G653" i="5"/>
  <c r="G652" i="5"/>
  <c r="G651" i="5"/>
  <c r="G650" i="5"/>
  <c r="F648" i="5"/>
  <c r="G647" i="5"/>
  <c r="G646" i="5"/>
  <c r="G645" i="5"/>
  <c r="G644" i="5"/>
  <c r="G643" i="5"/>
  <c r="G642" i="5"/>
  <c r="G641" i="5"/>
  <c r="G640" i="5"/>
  <c r="G639" i="5"/>
  <c r="G638" i="5"/>
  <c r="G637" i="5"/>
  <c r="G636" i="5"/>
  <c r="F635" i="5"/>
  <c r="G634" i="5"/>
  <c r="G633" i="5"/>
  <c r="G632" i="5"/>
  <c r="G631" i="5"/>
  <c r="G630" i="5"/>
  <c r="G629" i="5"/>
  <c r="G628" i="5"/>
  <c r="G627" i="5"/>
  <c r="G626" i="5"/>
  <c r="G625" i="5"/>
  <c r="G624" i="5"/>
  <c r="G623" i="5"/>
  <c r="G635" i="5" s="1"/>
  <c r="F621" i="5"/>
  <c r="G620" i="5"/>
  <c r="G619" i="5"/>
  <c r="G618" i="5"/>
  <c r="G617" i="5"/>
  <c r="G616" i="5"/>
  <c r="G614" i="5"/>
  <c r="G613" i="5"/>
  <c r="G612" i="5"/>
  <c r="G611" i="5"/>
  <c r="G610" i="5"/>
  <c r="G609" i="5"/>
  <c r="G621" i="5" s="1"/>
  <c r="F608" i="5"/>
  <c r="F622" i="5" s="1"/>
  <c r="G607" i="5"/>
  <c r="G606" i="5"/>
  <c r="G605" i="5"/>
  <c r="G604" i="5"/>
  <c r="G603" i="5"/>
  <c r="G602" i="5"/>
  <c r="G601" i="5"/>
  <c r="G600" i="5"/>
  <c r="G599" i="5"/>
  <c r="G598" i="5"/>
  <c r="G597" i="5"/>
  <c r="G596" i="5"/>
  <c r="F594" i="5"/>
  <c r="G593" i="5"/>
  <c r="G592" i="5"/>
  <c r="G591" i="5"/>
  <c r="G590" i="5"/>
  <c r="G589" i="5"/>
  <c r="G588" i="5"/>
  <c r="G587" i="5"/>
  <c r="G586" i="5"/>
  <c r="G585" i="5"/>
  <c r="G584" i="5"/>
  <c r="G583" i="5"/>
  <c r="G582" i="5"/>
  <c r="G594" i="5" s="1"/>
  <c r="F581" i="5"/>
  <c r="F595" i="5" s="1"/>
  <c r="G580" i="5"/>
  <c r="G579" i="5"/>
  <c r="G578" i="5"/>
  <c r="G577" i="5"/>
  <c r="G576" i="5"/>
  <c r="G575" i="5"/>
  <c r="G574" i="5"/>
  <c r="G573" i="5"/>
  <c r="G572" i="5"/>
  <c r="G571" i="5"/>
  <c r="G570" i="5"/>
  <c r="G569" i="5"/>
  <c r="G581" i="5" s="1"/>
  <c r="G595" i="5" s="1"/>
  <c r="F567" i="5"/>
  <c r="G566" i="5"/>
  <c r="G565" i="5"/>
  <c r="G564" i="5"/>
  <c r="G563" i="5"/>
  <c r="G562" i="5"/>
  <c r="G561" i="5"/>
  <c r="G560" i="5"/>
  <c r="G559" i="5"/>
  <c r="G558" i="5"/>
  <c r="G557" i="5"/>
  <c r="G556" i="5"/>
  <c r="G555" i="5"/>
  <c r="F554" i="5"/>
  <c r="G553" i="5"/>
  <c r="G552" i="5"/>
  <c r="G551" i="5"/>
  <c r="G550" i="5"/>
  <c r="G549" i="5"/>
  <c r="G548" i="5"/>
  <c r="G547" i="5"/>
  <c r="G546" i="5"/>
  <c r="G545" i="5"/>
  <c r="G544" i="5"/>
  <c r="G543" i="5"/>
  <c r="G542" i="5"/>
  <c r="G554" i="5" s="1"/>
  <c r="F540" i="5"/>
  <c r="G539" i="5"/>
  <c r="G538" i="5"/>
  <c r="G537" i="5"/>
  <c r="G536" i="5"/>
  <c r="G535" i="5"/>
  <c r="G534" i="5"/>
  <c r="G533" i="5"/>
  <c r="G532" i="5"/>
  <c r="G531" i="5"/>
  <c r="G530" i="5"/>
  <c r="G529" i="5"/>
  <c r="G528" i="5"/>
  <c r="G540" i="5" s="1"/>
  <c r="F527" i="5"/>
  <c r="F541" i="5" s="1"/>
  <c r="G526" i="5"/>
  <c r="G525" i="5"/>
  <c r="G524" i="5"/>
  <c r="G523" i="5"/>
  <c r="G522" i="5"/>
  <c r="G521" i="5"/>
  <c r="G520" i="5"/>
  <c r="G519" i="5"/>
  <c r="G518" i="5"/>
  <c r="G517" i="5"/>
  <c r="G516" i="5"/>
  <c r="G515" i="5"/>
  <c r="F513" i="5"/>
  <c r="G512" i="5"/>
  <c r="G511" i="5"/>
  <c r="G510" i="5"/>
  <c r="G509" i="5"/>
  <c r="G508" i="5"/>
  <c r="G507" i="5"/>
  <c r="G506" i="5"/>
  <c r="G505" i="5"/>
  <c r="G504" i="5"/>
  <c r="G503" i="5"/>
  <c r="G502" i="5"/>
  <c r="G501" i="5"/>
  <c r="G513" i="5" s="1"/>
  <c r="F500" i="5"/>
  <c r="G499" i="5"/>
  <c r="G498" i="5"/>
  <c r="G497" i="5"/>
  <c r="G496" i="5"/>
  <c r="G495" i="5"/>
  <c r="G494" i="5"/>
  <c r="G493" i="5"/>
  <c r="G492" i="5"/>
  <c r="G491" i="5"/>
  <c r="G490" i="5"/>
  <c r="G489" i="5"/>
  <c r="G488" i="5"/>
  <c r="G500" i="5" s="1"/>
  <c r="G514" i="5" s="1"/>
  <c r="F486" i="5"/>
  <c r="G485" i="5"/>
  <c r="G484" i="5"/>
  <c r="G483" i="5"/>
  <c r="G482" i="5"/>
  <c r="G481" i="5"/>
  <c r="G480" i="5"/>
  <c r="G479" i="5"/>
  <c r="G478" i="5"/>
  <c r="G477" i="5"/>
  <c r="G476" i="5"/>
  <c r="G475" i="5"/>
  <c r="G474" i="5"/>
  <c r="F473" i="5"/>
  <c r="G472" i="5"/>
  <c r="G471" i="5"/>
  <c r="G470" i="5"/>
  <c r="G469" i="5"/>
  <c r="G468" i="5"/>
  <c r="G467" i="5"/>
  <c r="G466" i="5"/>
  <c r="G465" i="5"/>
  <c r="G464" i="5"/>
  <c r="G463" i="5"/>
  <c r="G462" i="5"/>
  <c r="G461" i="5"/>
  <c r="G473" i="5" s="1"/>
  <c r="F459" i="5"/>
  <c r="G458" i="5"/>
  <c r="G457" i="5"/>
  <c r="G456" i="5"/>
  <c r="G455" i="5"/>
  <c r="G454" i="5"/>
  <c r="G453" i="5"/>
  <c r="G452" i="5"/>
  <c r="G451" i="5"/>
  <c r="G450" i="5"/>
  <c r="G449" i="5"/>
  <c r="G448" i="5"/>
  <c r="G447" i="5"/>
  <c r="G459" i="5" s="1"/>
  <c r="F446" i="5"/>
  <c r="F460" i="5" s="1"/>
  <c r="G445" i="5"/>
  <c r="G444" i="5"/>
  <c r="G443" i="5"/>
  <c r="G442" i="5"/>
  <c r="G441" i="5"/>
  <c r="G440" i="5"/>
  <c r="G439" i="5"/>
  <c r="G438" i="5"/>
  <c r="G437" i="5"/>
  <c r="G436" i="5"/>
  <c r="G435" i="5"/>
  <c r="G434" i="5"/>
  <c r="F432" i="5"/>
  <c r="G431" i="5"/>
  <c r="G430" i="5"/>
  <c r="G429" i="5"/>
  <c r="G428" i="5"/>
  <c r="G427" i="5"/>
  <c r="G426" i="5"/>
  <c r="G425" i="5"/>
  <c r="G424" i="5"/>
  <c r="G423" i="5"/>
  <c r="G422" i="5"/>
  <c r="G421" i="5"/>
  <c r="G420" i="5"/>
  <c r="F419" i="5"/>
  <c r="F433" i="5" s="1"/>
  <c r="G418" i="5"/>
  <c r="G417" i="5"/>
  <c r="G416" i="5"/>
  <c r="G415" i="5"/>
  <c r="G414" i="5"/>
  <c r="G413" i="5"/>
  <c r="G412" i="5"/>
  <c r="G411" i="5"/>
  <c r="G410" i="5"/>
  <c r="G409" i="5"/>
  <c r="G408" i="5"/>
  <c r="G407" i="5"/>
  <c r="G419" i="5" s="1"/>
  <c r="F405" i="5"/>
  <c r="G404" i="5"/>
  <c r="G403" i="5"/>
  <c r="G402" i="5"/>
  <c r="G401" i="5"/>
  <c r="G400" i="5"/>
  <c r="G399" i="5"/>
  <c r="G398" i="5"/>
  <c r="G397" i="5"/>
  <c r="G396" i="5"/>
  <c r="G395" i="5"/>
  <c r="G394" i="5"/>
  <c r="G393" i="5"/>
  <c r="F392" i="5"/>
  <c r="G391" i="5"/>
  <c r="G390" i="5"/>
  <c r="G389" i="5"/>
  <c r="G388" i="5"/>
  <c r="G387" i="5"/>
  <c r="G386" i="5"/>
  <c r="G385" i="5"/>
  <c r="G384" i="5"/>
  <c r="G383" i="5"/>
  <c r="G382" i="5"/>
  <c r="G381" i="5"/>
  <c r="G380" i="5"/>
  <c r="F378" i="5"/>
  <c r="G377" i="5"/>
  <c r="G376" i="5"/>
  <c r="G375" i="5"/>
  <c r="G374" i="5"/>
  <c r="G373" i="5"/>
  <c r="G372" i="5"/>
  <c r="G371" i="5"/>
  <c r="G370" i="5"/>
  <c r="G369" i="5"/>
  <c r="G368" i="5"/>
  <c r="G367" i="5"/>
  <c r="G366" i="5"/>
  <c r="G378" i="5" s="1"/>
  <c r="F365" i="5"/>
  <c r="F379" i="5" s="1"/>
  <c r="G364" i="5"/>
  <c r="G363" i="5"/>
  <c r="G362" i="5"/>
  <c r="G361" i="5"/>
  <c r="G360" i="5"/>
  <c r="G359" i="5"/>
  <c r="G358" i="5"/>
  <c r="G357" i="5"/>
  <c r="G356" i="5"/>
  <c r="G355" i="5"/>
  <c r="G354" i="5"/>
  <c r="G353" i="5"/>
  <c r="F351" i="5"/>
  <c r="G350" i="5"/>
  <c r="G349" i="5"/>
  <c r="G348" i="5"/>
  <c r="G347" i="5"/>
  <c r="G346" i="5"/>
  <c r="G345" i="5"/>
  <c r="G344" i="5"/>
  <c r="G343" i="5"/>
  <c r="G342" i="5"/>
  <c r="G341" i="5"/>
  <c r="G340" i="5"/>
  <c r="G339" i="5"/>
  <c r="F338" i="5"/>
  <c r="G337" i="5"/>
  <c r="G336" i="5"/>
  <c r="G335" i="5"/>
  <c r="G334" i="5"/>
  <c r="G333" i="5"/>
  <c r="G332" i="5"/>
  <c r="G331" i="5"/>
  <c r="G330" i="5"/>
  <c r="G329" i="5"/>
  <c r="G328" i="5"/>
  <c r="G327" i="5"/>
  <c r="G326" i="5"/>
  <c r="G338" i="5" s="1"/>
  <c r="F324" i="5"/>
  <c r="G323" i="5"/>
  <c r="G322" i="5"/>
  <c r="G321" i="5"/>
  <c r="G320" i="5"/>
  <c r="G319" i="5"/>
  <c r="G318" i="5"/>
  <c r="G317" i="5"/>
  <c r="G316" i="5"/>
  <c r="G315" i="5"/>
  <c r="G314" i="5"/>
  <c r="G313" i="5"/>
  <c r="G312" i="5"/>
  <c r="G324" i="5" s="1"/>
  <c r="F311" i="5"/>
  <c r="G310" i="5"/>
  <c r="G309" i="5"/>
  <c r="G308" i="5"/>
  <c r="G307" i="5"/>
  <c r="G306" i="5"/>
  <c r="G305" i="5"/>
  <c r="G304" i="5"/>
  <c r="G303" i="5"/>
  <c r="G302" i="5"/>
  <c r="G301" i="5"/>
  <c r="G300" i="5"/>
  <c r="G299" i="5"/>
  <c r="F297" i="5"/>
  <c r="G296" i="5"/>
  <c r="G295" i="5"/>
  <c r="G294" i="5"/>
  <c r="G293" i="5"/>
  <c r="G292" i="5"/>
  <c r="G291" i="5"/>
  <c r="G290" i="5"/>
  <c r="G289" i="5"/>
  <c r="G288" i="5"/>
  <c r="G287" i="5"/>
  <c r="G286" i="5"/>
  <c r="G285" i="5"/>
  <c r="G297" i="5" s="1"/>
  <c r="F284" i="5"/>
  <c r="F298" i="5" s="1"/>
  <c r="G283" i="5"/>
  <c r="G282" i="5"/>
  <c r="G281" i="5"/>
  <c r="G280" i="5"/>
  <c r="G279" i="5"/>
  <c r="G278" i="5"/>
  <c r="G277" i="5"/>
  <c r="G276" i="5"/>
  <c r="G275" i="5"/>
  <c r="G274" i="5"/>
  <c r="G273" i="5"/>
  <c r="G272" i="5"/>
  <c r="G284" i="5" s="1"/>
  <c r="G298" i="5" s="1"/>
  <c r="F270" i="5"/>
  <c r="G269" i="5"/>
  <c r="G268" i="5"/>
  <c r="G267" i="5"/>
  <c r="G266" i="5"/>
  <c r="G265" i="5"/>
  <c r="G264" i="5"/>
  <c r="G263" i="5"/>
  <c r="G262" i="5"/>
  <c r="G261" i="5"/>
  <c r="G260" i="5"/>
  <c r="G259" i="5"/>
  <c r="G258" i="5"/>
  <c r="F257" i="5"/>
  <c r="G256" i="5"/>
  <c r="G255" i="5"/>
  <c r="G254" i="5"/>
  <c r="G253" i="5"/>
  <c r="G252" i="5"/>
  <c r="G251" i="5"/>
  <c r="G250" i="5"/>
  <c r="G249" i="5"/>
  <c r="G248" i="5"/>
  <c r="G247" i="5"/>
  <c r="G246" i="5"/>
  <c r="G245" i="5"/>
  <c r="G257" i="5" s="1"/>
  <c r="F243" i="5"/>
  <c r="G242" i="5"/>
  <c r="G241" i="5"/>
  <c r="G240" i="5"/>
  <c r="G239" i="5"/>
  <c r="G238" i="5"/>
  <c r="G237" i="5"/>
  <c r="G236" i="5"/>
  <c r="G235" i="5"/>
  <c r="G234" i="5"/>
  <c r="G233" i="5"/>
  <c r="G232" i="5"/>
  <c r="G231" i="5"/>
  <c r="G243" i="5" s="1"/>
  <c r="F230" i="5"/>
  <c r="F244" i="5" s="1"/>
  <c r="G229" i="5"/>
  <c r="G228" i="5"/>
  <c r="G227" i="5"/>
  <c r="G226" i="5"/>
  <c r="G225" i="5"/>
  <c r="G224" i="5"/>
  <c r="G223" i="5"/>
  <c r="G222" i="5"/>
  <c r="G221" i="5"/>
  <c r="G220" i="5"/>
  <c r="G219" i="5"/>
  <c r="G218" i="5"/>
  <c r="F216" i="5"/>
  <c r="G215" i="5"/>
  <c r="G214" i="5"/>
  <c r="G213" i="5"/>
  <c r="G212" i="5"/>
  <c r="G211" i="5"/>
  <c r="G210" i="5"/>
  <c r="G209" i="5"/>
  <c r="G208" i="5"/>
  <c r="G207" i="5"/>
  <c r="G206" i="5"/>
  <c r="G205" i="5"/>
  <c r="G204" i="5"/>
  <c r="G216" i="5" s="1"/>
  <c r="F203" i="5"/>
  <c r="G202" i="5"/>
  <c r="G201" i="5"/>
  <c r="G200" i="5"/>
  <c r="G199" i="5"/>
  <c r="G198" i="5"/>
  <c r="G197" i="5"/>
  <c r="G196" i="5"/>
  <c r="G195" i="5"/>
  <c r="G194" i="5"/>
  <c r="G193" i="5"/>
  <c r="G192" i="5"/>
  <c r="G191" i="5"/>
  <c r="G203" i="5" s="1"/>
  <c r="G217" i="5" s="1"/>
  <c r="F189" i="5"/>
  <c r="G188" i="5"/>
  <c r="G187" i="5"/>
  <c r="G186" i="5"/>
  <c r="G185" i="5"/>
  <c r="G184" i="5"/>
  <c r="G183" i="5"/>
  <c r="G182" i="5"/>
  <c r="G180" i="5"/>
  <c r="G179" i="5"/>
  <c r="G178" i="5"/>
  <c r="G177" i="5"/>
  <c r="F176" i="5"/>
  <c r="F190" i="5" s="1"/>
  <c r="G175" i="5"/>
  <c r="G174" i="5"/>
  <c r="G173" i="5"/>
  <c r="G172" i="5"/>
  <c r="G171" i="5"/>
  <c r="G170" i="5"/>
  <c r="G169" i="5"/>
  <c r="G168" i="5"/>
  <c r="G167" i="5"/>
  <c r="G166" i="5"/>
  <c r="G165" i="5"/>
  <c r="G164" i="5"/>
  <c r="G176" i="5" s="1"/>
  <c r="F162" i="5"/>
  <c r="G161" i="5"/>
  <c r="G160" i="5"/>
  <c r="G159" i="5"/>
  <c r="G158" i="5"/>
  <c r="G157" i="5"/>
  <c r="G156" i="5"/>
  <c r="G155" i="5"/>
  <c r="G154" i="5"/>
  <c r="G153" i="5"/>
  <c r="G152" i="5"/>
  <c r="G151" i="5"/>
  <c r="G150" i="5"/>
  <c r="G162" i="5" s="1"/>
  <c r="F149" i="5"/>
  <c r="F163" i="5" s="1"/>
  <c r="G148" i="5"/>
  <c r="G147" i="5"/>
  <c r="G146" i="5"/>
  <c r="G145" i="5"/>
  <c r="G144" i="5"/>
  <c r="G143" i="5"/>
  <c r="G142" i="5"/>
  <c r="G141" i="5"/>
  <c r="G140" i="5"/>
  <c r="G139" i="5"/>
  <c r="G138" i="5"/>
  <c r="G137" i="5"/>
  <c r="F135" i="5"/>
  <c r="G134" i="5"/>
  <c r="G133" i="5"/>
  <c r="G132" i="5"/>
  <c r="G131" i="5"/>
  <c r="G130" i="5"/>
  <c r="G129" i="5"/>
  <c r="G128" i="5"/>
  <c r="G127" i="5"/>
  <c r="G126" i="5"/>
  <c r="G125" i="5"/>
  <c r="G124" i="5"/>
  <c r="G123" i="5"/>
  <c r="F122" i="5"/>
  <c r="F136" i="5" s="1"/>
  <c r="G121" i="5"/>
  <c r="G120" i="5"/>
  <c r="G119" i="5"/>
  <c r="G118" i="5"/>
  <c r="G117" i="5"/>
  <c r="G116" i="5"/>
  <c r="G115" i="5"/>
  <c r="G114" i="5"/>
  <c r="G113" i="5"/>
  <c r="G112" i="5"/>
  <c r="G111" i="5"/>
  <c r="G110" i="5"/>
  <c r="G122" i="5" s="1"/>
  <c r="F108" i="5"/>
  <c r="G107" i="5"/>
  <c r="G106" i="5"/>
  <c r="G105" i="5"/>
  <c r="G104" i="5"/>
  <c r="G103" i="5"/>
  <c r="G102" i="5"/>
  <c r="G101" i="5"/>
  <c r="G100" i="5"/>
  <c r="G99" i="5"/>
  <c r="G98" i="5"/>
  <c r="G97" i="5"/>
  <c r="G96" i="5"/>
  <c r="F95" i="5"/>
  <c r="G94" i="5"/>
  <c r="G93" i="5"/>
  <c r="G92" i="5"/>
  <c r="G91" i="5"/>
  <c r="G90" i="5"/>
  <c r="G89" i="5"/>
  <c r="G88" i="5"/>
  <c r="G87" i="5"/>
  <c r="G86" i="5"/>
  <c r="G85" i="5"/>
  <c r="G84" i="5"/>
  <c r="G83" i="5"/>
  <c r="F81" i="5"/>
  <c r="G80" i="5"/>
  <c r="G79" i="5"/>
  <c r="G78" i="5"/>
  <c r="G77" i="5"/>
  <c r="G76" i="5"/>
  <c r="G75" i="5"/>
  <c r="G74" i="5"/>
  <c r="G73" i="5"/>
  <c r="G72" i="5"/>
  <c r="G71" i="5"/>
  <c r="G70" i="5"/>
  <c r="G69" i="5"/>
  <c r="G81" i="5" s="1"/>
  <c r="F68" i="5"/>
  <c r="F82" i="5" s="1"/>
  <c r="G67" i="5"/>
  <c r="G66" i="5"/>
  <c r="G65" i="5"/>
  <c r="G64" i="5"/>
  <c r="G63" i="5"/>
  <c r="G62" i="5"/>
  <c r="G61" i="5"/>
  <c r="G60" i="5"/>
  <c r="G59" i="5"/>
  <c r="G58" i="5"/>
  <c r="G57" i="5"/>
  <c r="G56" i="5"/>
  <c r="F54" i="5"/>
  <c r="G53" i="5"/>
  <c r="G52" i="5"/>
  <c r="G51" i="5"/>
  <c r="G50" i="5"/>
  <c r="G49" i="5"/>
  <c r="G48" i="5"/>
  <c r="G47" i="5"/>
  <c r="G46" i="5"/>
  <c r="G45" i="5"/>
  <c r="G44" i="5"/>
  <c r="G43" i="5"/>
  <c r="G42" i="5"/>
  <c r="F41" i="5"/>
  <c r="G40" i="5"/>
  <c r="G39" i="5"/>
  <c r="G38" i="5"/>
  <c r="G37" i="5"/>
  <c r="G36" i="5"/>
  <c r="G35" i="5"/>
  <c r="G34" i="5"/>
  <c r="G33" i="5"/>
  <c r="G32" i="5"/>
  <c r="G31" i="5"/>
  <c r="G30" i="5"/>
  <c r="G29" i="5"/>
  <c r="G41" i="5" s="1"/>
  <c r="F27" i="5"/>
  <c r="G26" i="5"/>
  <c r="G25" i="5"/>
  <c r="G24" i="5"/>
  <c r="G23" i="5"/>
  <c r="G22" i="5"/>
  <c r="G21" i="5"/>
  <c r="G20" i="5"/>
  <c r="G19" i="5"/>
  <c r="G18" i="5"/>
  <c r="G17" i="5"/>
  <c r="G16" i="5"/>
  <c r="G15" i="5"/>
  <c r="G27" i="5" s="1"/>
  <c r="F14" i="5"/>
  <c r="G13" i="5"/>
  <c r="G12" i="5"/>
  <c r="G11" i="5"/>
  <c r="G10" i="5"/>
  <c r="G9" i="5"/>
  <c r="G8" i="5"/>
  <c r="G7" i="5"/>
  <c r="G6" i="5"/>
  <c r="G5" i="5"/>
  <c r="G4" i="5"/>
  <c r="G3" i="5"/>
  <c r="G2" i="5"/>
  <c r="E810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E797" i="3"/>
  <c r="E811" i="3" s="1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E783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E770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E756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E743" i="3"/>
  <c r="E757" i="3" s="1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E729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E716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E702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E689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E675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E662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E648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E635" i="3"/>
  <c r="E649" i="3" s="1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E621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E608" i="3"/>
  <c r="E622" i="3" s="1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E594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E581" i="3"/>
  <c r="E595" i="3" s="1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E567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E554" i="3"/>
  <c r="E568" i="3" s="1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E540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E527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E513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E500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E486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E473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E459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E446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E432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E419" i="3"/>
  <c r="E433" i="3" s="1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E405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E392" i="3"/>
  <c r="E406" i="3" s="1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E378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E365" i="3"/>
  <c r="E379" i="3" s="1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E351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E338" i="3"/>
  <c r="E352" i="3" s="1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E324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E311" i="3"/>
  <c r="E325" i="3" s="1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E297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E284" i="3"/>
  <c r="E298" i="3" s="1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E270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E257" i="3"/>
  <c r="E271" i="3" s="1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E243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E230" i="3"/>
  <c r="E244" i="3" s="1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E216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E203" i="3"/>
  <c r="E217" i="3" s="1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E189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E176" i="3"/>
  <c r="E190" i="3" s="1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E162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E149" i="3"/>
  <c r="E163" i="3" s="1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E135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E122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E108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E95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E81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E68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E54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E41" i="3"/>
  <c r="E55" i="3" s="1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E810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E797" i="4"/>
  <c r="E811" i="4" s="1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E783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E770" i="4"/>
  <c r="E784" i="4" s="1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E756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E743" i="4"/>
  <c r="E757" i="4" s="1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E729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E716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E702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E689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E675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E662" i="4"/>
  <c r="E676" i="4" s="1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E648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E635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E621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E608" i="4"/>
  <c r="E622" i="4" s="1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E594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E581" i="4"/>
  <c r="E595" i="4" s="1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E567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E554" i="4"/>
  <c r="E568" i="4" s="1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E540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E527" i="4"/>
  <c r="E541" i="4" s="1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E513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E500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E486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E473" i="4"/>
  <c r="E487" i="4" s="1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E459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E446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E432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E419" i="4"/>
  <c r="E433" i="4" s="1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E405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E392" i="4"/>
  <c r="E406" i="4" s="1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E378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E365" i="4"/>
  <c r="E379" i="4" s="1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E351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E338" i="4"/>
  <c r="E352" i="4" s="1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E324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E311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E297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E284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E270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E257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E243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E230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E216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E203" i="4"/>
  <c r="E217" i="4" s="1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E189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E176" i="4"/>
  <c r="E190" i="4" s="1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E162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E149" i="4"/>
  <c r="E163" i="4" s="1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E135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E122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E108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E95" i="4"/>
  <c r="E109" i="4" s="1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E81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E68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E54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E4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E810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E797" i="5"/>
  <c r="E811" i="5" s="1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E783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E770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E756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E743" i="5"/>
  <c r="E757" i="5" s="1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E729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E716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E702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E689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E675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E662" i="5"/>
  <c r="E676" i="5" s="1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E648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E635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E621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E608" i="5"/>
  <c r="E622" i="5" s="1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E594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E581" i="5"/>
  <c r="E595" i="5" s="1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E567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E554" i="5"/>
  <c r="E568" i="5" s="1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E540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E527" i="5"/>
  <c r="E541" i="5" s="1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E513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E500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E486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E473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E459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E446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E432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E419" i="5"/>
  <c r="E433" i="5" s="1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E405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E392" i="5"/>
  <c r="E406" i="5" s="1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E378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E365" i="5"/>
  <c r="E379" i="5" s="1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E351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E338" i="5"/>
  <c r="E352" i="5" s="1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E324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E311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E297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E284" i="5"/>
  <c r="E298" i="5" s="1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E270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E257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E243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E230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E216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E203" i="5"/>
  <c r="E217" i="5" s="1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E189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E176" i="5"/>
  <c r="E190" i="5" s="1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E162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E149" i="5"/>
  <c r="E163" i="5" s="1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E135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E122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E108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E95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E81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E68" i="5"/>
  <c r="E82" i="5" s="1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E54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E41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O811" i="5"/>
  <c r="M809" i="5"/>
  <c r="M808" i="5"/>
  <c r="M807" i="5"/>
  <c r="M806" i="5"/>
  <c r="M805" i="5"/>
  <c r="M804" i="5"/>
  <c r="M803" i="5"/>
  <c r="M802" i="5"/>
  <c r="M801" i="5"/>
  <c r="M800" i="5"/>
  <c r="M799" i="5"/>
  <c r="M798" i="5"/>
  <c r="M796" i="5"/>
  <c r="M795" i="5"/>
  <c r="M794" i="5"/>
  <c r="M793" i="5"/>
  <c r="M792" i="5"/>
  <c r="M791" i="5"/>
  <c r="M790" i="5"/>
  <c r="M789" i="5"/>
  <c r="M788" i="5"/>
  <c r="M787" i="5"/>
  <c r="M786" i="5"/>
  <c r="M785" i="5"/>
  <c r="O784" i="5"/>
  <c r="M782" i="5"/>
  <c r="M781" i="5"/>
  <c r="M780" i="5"/>
  <c r="M779" i="5"/>
  <c r="M778" i="5"/>
  <c r="M777" i="5"/>
  <c r="M776" i="5"/>
  <c r="M775" i="5"/>
  <c r="M774" i="5"/>
  <c r="M773" i="5"/>
  <c r="M772" i="5"/>
  <c r="M771" i="5"/>
  <c r="M769" i="5"/>
  <c r="M768" i="5"/>
  <c r="M767" i="5"/>
  <c r="M766" i="5"/>
  <c r="M765" i="5"/>
  <c r="M764" i="5"/>
  <c r="M763" i="5"/>
  <c r="M762" i="5"/>
  <c r="M761" i="5"/>
  <c r="M760" i="5"/>
  <c r="M759" i="5"/>
  <c r="M758" i="5"/>
  <c r="O757" i="5"/>
  <c r="M755" i="5"/>
  <c r="M754" i="5"/>
  <c r="M753" i="5"/>
  <c r="M752" i="5"/>
  <c r="M751" i="5"/>
  <c r="M750" i="5"/>
  <c r="M749" i="5"/>
  <c r="M748" i="5"/>
  <c r="M747" i="5"/>
  <c r="M746" i="5"/>
  <c r="M745" i="5"/>
  <c r="M744" i="5"/>
  <c r="M742" i="5"/>
  <c r="M741" i="5"/>
  <c r="M740" i="5"/>
  <c r="M739" i="5"/>
  <c r="M738" i="5"/>
  <c r="M737" i="5"/>
  <c r="M736" i="5"/>
  <c r="M735" i="5"/>
  <c r="M734" i="5"/>
  <c r="M733" i="5"/>
  <c r="M732" i="5"/>
  <c r="M731" i="5"/>
  <c r="O730" i="5"/>
  <c r="M728" i="5"/>
  <c r="M727" i="5"/>
  <c r="M726" i="5"/>
  <c r="M725" i="5"/>
  <c r="M724" i="5"/>
  <c r="M723" i="5"/>
  <c r="M722" i="5"/>
  <c r="M721" i="5"/>
  <c r="M720" i="5"/>
  <c r="M719" i="5"/>
  <c r="M718" i="5"/>
  <c r="M717" i="5"/>
  <c r="M715" i="5"/>
  <c r="M714" i="5"/>
  <c r="M713" i="5"/>
  <c r="M712" i="5"/>
  <c r="M711" i="5"/>
  <c r="M710" i="5"/>
  <c r="M709" i="5"/>
  <c r="M708" i="5"/>
  <c r="M707" i="5"/>
  <c r="M706" i="5"/>
  <c r="M705" i="5"/>
  <c r="M704" i="5"/>
  <c r="O703" i="5"/>
  <c r="M701" i="5"/>
  <c r="M700" i="5"/>
  <c r="M699" i="5"/>
  <c r="M698" i="5"/>
  <c r="M697" i="5"/>
  <c r="M696" i="5"/>
  <c r="M695" i="5"/>
  <c r="M694" i="5"/>
  <c r="M693" i="5"/>
  <c r="M692" i="5"/>
  <c r="M691" i="5"/>
  <c r="M690" i="5"/>
  <c r="M688" i="5"/>
  <c r="M687" i="5"/>
  <c r="M686" i="5"/>
  <c r="M685" i="5"/>
  <c r="M684" i="5"/>
  <c r="M683" i="5"/>
  <c r="M682" i="5"/>
  <c r="M681" i="5"/>
  <c r="M680" i="5"/>
  <c r="M679" i="5"/>
  <c r="M678" i="5"/>
  <c r="M677" i="5"/>
  <c r="O676" i="5"/>
  <c r="M674" i="5"/>
  <c r="M673" i="5"/>
  <c r="M672" i="5"/>
  <c r="M671" i="5"/>
  <c r="M670" i="5"/>
  <c r="M669" i="5"/>
  <c r="M668" i="5"/>
  <c r="M667" i="5"/>
  <c r="M666" i="5"/>
  <c r="M665" i="5"/>
  <c r="M664" i="5"/>
  <c r="M663" i="5"/>
  <c r="M661" i="5"/>
  <c r="M660" i="5"/>
  <c r="M659" i="5"/>
  <c r="M658" i="5"/>
  <c r="M657" i="5"/>
  <c r="M656" i="5"/>
  <c r="M655" i="5"/>
  <c r="M654" i="5"/>
  <c r="M653" i="5"/>
  <c r="M652" i="5"/>
  <c r="M651" i="5"/>
  <c r="M650" i="5"/>
  <c r="O649" i="5"/>
  <c r="M647" i="5"/>
  <c r="M646" i="5"/>
  <c r="M645" i="5"/>
  <c r="M644" i="5"/>
  <c r="M643" i="5"/>
  <c r="M642" i="5"/>
  <c r="M641" i="5"/>
  <c r="M640" i="5"/>
  <c r="M639" i="5"/>
  <c r="M638" i="5"/>
  <c r="M637" i="5"/>
  <c r="M636" i="5"/>
  <c r="M634" i="5"/>
  <c r="M633" i="5"/>
  <c r="M632" i="5"/>
  <c r="M631" i="5"/>
  <c r="M630" i="5"/>
  <c r="M629" i="5"/>
  <c r="M628" i="5"/>
  <c r="M627" i="5"/>
  <c r="M626" i="5"/>
  <c r="M625" i="5"/>
  <c r="M624" i="5"/>
  <c r="M623" i="5"/>
  <c r="O622" i="5"/>
  <c r="M620" i="5"/>
  <c r="M619" i="5"/>
  <c r="M618" i="5"/>
  <c r="M617" i="5"/>
  <c r="M616" i="5"/>
  <c r="M615" i="5"/>
  <c r="M614" i="5"/>
  <c r="M613" i="5"/>
  <c r="M612" i="5"/>
  <c r="M611" i="5"/>
  <c r="M610" i="5"/>
  <c r="M609" i="5"/>
  <c r="M607" i="5"/>
  <c r="M606" i="5"/>
  <c r="M605" i="5"/>
  <c r="M604" i="5"/>
  <c r="M603" i="5"/>
  <c r="M602" i="5"/>
  <c r="M601" i="5"/>
  <c r="M600" i="5"/>
  <c r="M599" i="5"/>
  <c r="M598" i="5"/>
  <c r="M597" i="5"/>
  <c r="M596" i="5"/>
  <c r="O595" i="5"/>
  <c r="M593" i="5"/>
  <c r="M592" i="5"/>
  <c r="M591" i="5"/>
  <c r="M590" i="5"/>
  <c r="M589" i="5"/>
  <c r="M588" i="5"/>
  <c r="M587" i="5"/>
  <c r="M586" i="5"/>
  <c r="M585" i="5"/>
  <c r="M584" i="5"/>
  <c r="M583" i="5"/>
  <c r="M582" i="5"/>
  <c r="M580" i="5"/>
  <c r="M579" i="5"/>
  <c r="M578" i="5"/>
  <c r="M577" i="5"/>
  <c r="M576" i="5"/>
  <c r="M575" i="5"/>
  <c r="M574" i="5"/>
  <c r="M573" i="5"/>
  <c r="M572" i="5"/>
  <c r="M571" i="5"/>
  <c r="M570" i="5"/>
  <c r="M569" i="5"/>
  <c r="O568" i="5"/>
  <c r="E24" i="1" s="1"/>
  <c r="M566" i="5"/>
  <c r="M565" i="5"/>
  <c r="M564" i="5"/>
  <c r="M563" i="5"/>
  <c r="M562" i="5"/>
  <c r="M561" i="5"/>
  <c r="M560" i="5"/>
  <c r="M559" i="5"/>
  <c r="M558" i="5"/>
  <c r="M557" i="5"/>
  <c r="M556" i="5"/>
  <c r="M555" i="5"/>
  <c r="M553" i="5"/>
  <c r="M552" i="5"/>
  <c r="M551" i="5"/>
  <c r="M550" i="5"/>
  <c r="M549" i="5"/>
  <c r="M548" i="5"/>
  <c r="M547" i="5"/>
  <c r="M546" i="5"/>
  <c r="M545" i="5"/>
  <c r="M544" i="5"/>
  <c r="M543" i="5"/>
  <c r="M542" i="5"/>
  <c r="O541" i="5"/>
  <c r="M539" i="5"/>
  <c r="M538" i="5"/>
  <c r="M537" i="5"/>
  <c r="M536" i="5"/>
  <c r="M535" i="5"/>
  <c r="M534" i="5"/>
  <c r="M533" i="5"/>
  <c r="M532" i="5"/>
  <c r="M531" i="5"/>
  <c r="M530" i="5"/>
  <c r="M529" i="5"/>
  <c r="M528" i="5"/>
  <c r="M526" i="5"/>
  <c r="M525" i="5"/>
  <c r="M524" i="5"/>
  <c r="M523" i="5"/>
  <c r="M522" i="5"/>
  <c r="M521" i="5"/>
  <c r="M520" i="5"/>
  <c r="M519" i="5"/>
  <c r="M518" i="5"/>
  <c r="M517" i="5"/>
  <c r="M516" i="5"/>
  <c r="M515" i="5"/>
  <c r="O514" i="5"/>
  <c r="M512" i="5"/>
  <c r="M511" i="5"/>
  <c r="M510" i="5"/>
  <c r="M509" i="5"/>
  <c r="M508" i="5"/>
  <c r="M507" i="5"/>
  <c r="M506" i="5"/>
  <c r="M505" i="5"/>
  <c r="M504" i="5"/>
  <c r="M503" i="5"/>
  <c r="M502" i="5"/>
  <c r="M501" i="5"/>
  <c r="M499" i="5"/>
  <c r="M498" i="5"/>
  <c r="M497" i="5"/>
  <c r="M496" i="5"/>
  <c r="M495" i="5"/>
  <c r="M494" i="5"/>
  <c r="M493" i="5"/>
  <c r="M492" i="5"/>
  <c r="M491" i="5"/>
  <c r="M490" i="5"/>
  <c r="M489" i="5"/>
  <c r="M488" i="5"/>
  <c r="O487" i="5"/>
  <c r="M485" i="5"/>
  <c r="M484" i="5"/>
  <c r="M483" i="5"/>
  <c r="M482" i="5"/>
  <c r="M481" i="5"/>
  <c r="M480" i="5"/>
  <c r="M479" i="5"/>
  <c r="M478" i="5"/>
  <c r="M477" i="5"/>
  <c r="M476" i="5"/>
  <c r="M475" i="5"/>
  <c r="M474" i="5"/>
  <c r="M472" i="5"/>
  <c r="M471" i="5"/>
  <c r="M470" i="5"/>
  <c r="M469" i="5"/>
  <c r="M468" i="5"/>
  <c r="M467" i="5"/>
  <c r="M466" i="5"/>
  <c r="M465" i="5"/>
  <c r="M464" i="5"/>
  <c r="M463" i="5"/>
  <c r="M462" i="5"/>
  <c r="M461" i="5"/>
  <c r="O460" i="5"/>
  <c r="M458" i="5"/>
  <c r="M457" i="5"/>
  <c r="M456" i="5"/>
  <c r="M455" i="5"/>
  <c r="M454" i="5"/>
  <c r="M453" i="5"/>
  <c r="M452" i="5"/>
  <c r="M451" i="5"/>
  <c r="M450" i="5"/>
  <c r="M449" i="5"/>
  <c r="M448" i="5"/>
  <c r="M447" i="5"/>
  <c r="M445" i="5"/>
  <c r="M444" i="5"/>
  <c r="M443" i="5"/>
  <c r="M442" i="5"/>
  <c r="M441" i="5"/>
  <c r="M440" i="5"/>
  <c r="M439" i="5"/>
  <c r="M438" i="5"/>
  <c r="M437" i="5"/>
  <c r="M436" i="5"/>
  <c r="M435" i="5"/>
  <c r="M434" i="5"/>
  <c r="O433" i="5"/>
  <c r="M431" i="5"/>
  <c r="M430" i="5"/>
  <c r="M429" i="5"/>
  <c r="M428" i="5"/>
  <c r="M427" i="5"/>
  <c r="M426" i="5"/>
  <c r="M425" i="5"/>
  <c r="M424" i="5"/>
  <c r="M423" i="5"/>
  <c r="M422" i="5"/>
  <c r="M421" i="5"/>
  <c r="M420" i="5"/>
  <c r="M418" i="5"/>
  <c r="M417" i="5"/>
  <c r="M416" i="5"/>
  <c r="M415" i="5"/>
  <c r="M414" i="5"/>
  <c r="M413" i="5"/>
  <c r="M412" i="5"/>
  <c r="M411" i="5"/>
  <c r="M410" i="5"/>
  <c r="M409" i="5"/>
  <c r="M408" i="5"/>
  <c r="M407" i="5"/>
  <c r="O406" i="5"/>
  <c r="M404" i="5"/>
  <c r="M403" i="5"/>
  <c r="M402" i="5"/>
  <c r="M401" i="5"/>
  <c r="M400" i="5"/>
  <c r="M399" i="5"/>
  <c r="M398" i="5"/>
  <c r="M397" i="5"/>
  <c r="M396" i="5"/>
  <c r="M395" i="5"/>
  <c r="M394" i="5"/>
  <c r="M393" i="5"/>
  <c r="M391" i="5"/>
  <c r="M390" i="5"/>
  <c r="M389" i="5"/>
  <c r="M388" i="5"/>
  <c r="M387" i="5"/>
  <c r="M386" i="5"/>
  <c r="M385" i="5"/>
  <c r="M384" i="5"/>
  <c r="M383" i="5"/>
  <c r="M382" i="5"/>
  <c r="M381" i="5"/>
  <c r="M380" i="5"/>
  <c r="O379" i="5"/>
  <c r="E17" i="1" s="1"/>
  <c r="M377" i="5"/>
  <c r="M376" i="5"/>
  <c r="M375" i="5"/>
  <c r="M374" i="5"/>
  <c r="M373" i="5"/>
  <c r="M372" i="5"/>
  <c r="M371" i="5"/>
  <c r="M370" i="5"/>
  <c r="M369" i="5"/>
  <c r="M368" i="5"/>
  <c r="M367" i="5"/>
  <c r="M366" i="5"/>
  <c r="M364" i="5"/>
  <c r="M363" i="5"/>
  <c r="M362" i="5"/>
  <c r="M361" i="5"/>
  <c r="M360" i="5"/>
  <c r="M359" i="5"/>
  <c r="M358" i="5"/>
  <c r="M357" i="5"/>
  <c r="M356" i="5"/>
  <c r="M355" i="5"/>
  <c r="M354" i="5"/>
  <c r="M353" i="5"/>
  <c r="O352" i="5"/>
  <c r="E16" i="1" s="1"/>
  <c r="M350" i="5"/>
  <c r="M349" i="5"/>
  <c r="M348" i="5"/>
  <c r="M347" i="5"/>
  <c r="M346" i="5"/>
  <c r="M345" i="5"/>
  <c r="M344" i="5"/>
  <c r="M343" i="5"/>
  <c r="M342" i="5"/>
  <c r="M341" i="5"/>
  <c r="M340" i="5"/>
  <c r="M339" i="5"/>
  <c r="M337" i="5"/>
  <c r="M336" i="5"/>
  <c r="M335" i="5"/>
  <c r="M334" i="5"/>
  <c r="M333" i="5"/>
  <c r="M332" i="5"/>
  <c r="M331" i="5"/>
  <c r="M330" i="5"/>
  <c r="M329" i="5"/>
  <c r="M328" i="5"/>
  <c r="M327" i="5"/>
  <c r="M326" i="5"/>
  <c r="O325" i="5"/>
  <c r="M323" i="5"/>
  <c r="M322" i="5"/>
  <c r="M321" i="5"/>
  <c r="M320" i="5"/>
  <c r="M319" i="5"/>
  <c r="M318" i="5"/>
  <c r="M317" i="5"/>
  <c r="M316" i="5"/>
  <c r="M315" i="5"/>
  <c r="M314" i="5"/>
  <c r="M313" i="5"/>
  <c r="M312" i="5"/>
  <c r="M310" i="5"/>
  <c r="M309" i="5"/>
  <c r="M308" i="5"/>
  <c r="M307" i="5"/>
  <c r="M306" i="5"/>
  <c r="M305" i="5"/>
  <c r="M304" i="5"/>
  <c r="M303" i="5"/>
  <c r="M302" i="5"/>
  <c r="M301" i="5"/>
  <c r="M300" i="5"/>
  <c r="M299" i="5"/>
  <c r="O298" i="5"/>
  <c r="M296" i="5"/>
  <c r="M295" i="5"/>
  <c r="M294" i="5"/>
  <c r="M293" i="5"/>
  <c r="M292" i="5"/>
  <c r="M291" i="5"/>
  <c r="M290" i="5"/>
  <c r="M289" i="5"/>
  <c r="M288" i="5"/>
  <c r="M287" i="5"/>
  <c r="M286" i="5"/>
  <c r="M285" i="5"/>
  <c r="M283" i="5"/>
  <c r="M282" i="5"/>
  <c r="M281" i="5"/>
  <c r="M280" i="5"/>
  <c r="M279" i="5"/>
  <c r="M278" i="5"/>
  <c r="M277" i="5"/>
  <c r="M276" i="5"/>
  <c r="M275" i="5"/>
  <c r="M274" i="5"/>
  <c r="M273" i="5"/>
  <c r="M272" i="5"/>
  <c r="O271" i="5"/>
  <c r="E13" i="1" s="1"/>
  <c r="M269" i="5"/>
  <c r="M268" i="5"/>
  <c r="M267" i="5"/>
  <c r="M266" i="5"/>
  <c r="M265" i="5"/>
  <c r="M264" i="5"/>
  <c r="M263" i="5"/>
  <c r="M262" i="5"/>
  <c r="M261" i="5"/>
  <c r="M260" i="5"/>
  <c r="M259" i="5"/>
  <c r="M258" i="5"/>
  <c r="M256" i="5"/>
  <c r="M255" i="5"/>
  <c r="M254" i="5"/>
  <c r="M253" i="5"/>
  <c r="M252" i="5"/>
  <c r="M251" i="5"/>
  <c r="M250" i="5"/>
  <c r="M249" i="5"/>
  <c r="M248" i="5"/>
  <c r="M247" i="5"/>
  <c r="M246" i="5"/>
  <c r="M245" i="5"/>
  <c r="O244" i="5"/>
  <c r="E12" i="1" s="1"/>
  <c r="M242" i="5"/>
  <c r="M241" i="5"/>
  <c r="M240" i="5"/>
  <c r="M239" i="5"/>
  <c r="M238" i="5"/>
  <c r="M237" i="5"/>
  <c r="M236" i="5"/>
  <c r="M235" i="5"/>
  <c r="M234" i="5"/>
  <c r="M233" i="5"/>
  <c r="M232" i="5"/>
  <c r="M231" i="5"/>
  <c r="M229" i="5"/>
  <c r="M228" i="5"/>
  <c r="M227" i="5"/>
  <c r="M226" i="5"/>
  <c r="M225" i="5"/>
  <c r="M224" i="5"/>
  <c r="M223" i="5"/>
  <c r="M222" i="5"/>
  <c r="M221" i="5"/>
  <c r="M220" i="5"/>
  <c r="M219" i="5"/>
  <c r="M218" i="5"/>
  <c r="O217" i="5"/>
  <c r="E11" i="1" s="1"/>
  <c r="M215" i="5"/>
  <c r="M214" i="5"/>
  <c r="M213" i="5"/>
  <c r="M212" i="5"/>
  <c r="M211" i="5"/>
  <c r="M210" i="5"/>
  <c r="M209" i="5"/>
  <c r="M208" i="5"/>
  <c r="M207" i="5"/>
  <c r="M206" i="5"/>
  <c r="M205" i="5"/>
  <c r="M204" i="5"/>
  <c r="M202" i="5"/>
  <c r="M201" i="5"/>
  <c r="M200" i="5"/>
  <c r="M199" i="5"/>
  <c r="M198" i="5"/>
  <c r="M197" i="5"/>
  <c r="M196" i="5"/>
  <c r="M195" i="5"/>
  <c r="M194" i="5"/>
  <c r="M193" i="5"/>
  <c r="M192" i="5"/>
  <c r="M191" i="5"/>
  <c r="O190" i="5"/>
  <c r="M188" i="5"/>
  <c r="M187" i="5"/>
  <c r="M186" i="5"/>
  <c r="M185" i="5"/>
  <c r="M184" i="5"/>
  <c r="M183" i="5"/>
  <c r="M182" i="5"/>
  <c r="M181" i="5"/>
  <c r="M180" i="5"/>
  <c r="M179" i="5"/>
  <c r="M178" i="5"/>
  <c r="M177" i="5"/>
  <c r="M175" i="5"/>
  <c r="M174" i="5"/>
  <c r="M173" i="5"/>
  <c r="M172" i="5"/>
  <c r="M171" i="5"/>
  <c r="M170" i="5"/>
  <c r="M169" i="5"/>
  <c r="M168" i="5"/>
  <c r="M167" i="5"/>
  <c r="M165" i="5"/>
  <c r="M164" i="5"/>
  <c r="O163" i="5"/>
  <c r="M161" i="5"/>
  <c r="M160" i="5"/>
  <c r="M159" i="5"/>
  <c r="M158" i="5"/>
  <c r="M157" i="5"/>
  <c r="M156" i="5"/>
  <c r="M155" i="5"/>
  <c r="M154" i="5"/>
  <c r="M153" i="5"/>
  <c r="M152" i="5"/>
  <c r="M151" i="5"/>
  <c r="M150" i="5"/>
  <c r="M148" i="5"/>
  <c r="M147" i="5"/>
  <c r="M146" i="5"/>
  <c r="M145" i="5"/>
  <c r="M144" i="5"/>
  <c r="M143" i="5"/>
  <c r="M142" i="5"/>
  <c r="M141" i="5"/>
  <c r="M140" i="5"/>
  <c r="M139" i="5"/>
  <c r="M138" i="5"/>
  <c r="M137" i="5"/>
  <c r="O136" i="5"/>
  <c r="M134" i="5"/>
  <c r="M133" i="5"/>
  <c r="M132" i="5"/>
  <c r="M131" i="5"/>
  <c r="M130" i="5"/>
  <c r="M129" i="5"/>
  <c r="M128" i="5"/>
  <c r="M127" i="5"/>
  <c r="M126" i="5"/>
  <c r="M125" i="5"/>
  <c r="M124" i="5"/>
  <c r="M123" i="5"/>
  <c r="M121" i="5"/>
  <c r="M120" i="5"/>
  <c r="M119" i="5"/>
  <c r="M118" i="5"/>
  <c r="M117" i="5"/>
  <c r="M116" i="5"/>
  <c r="M115" i="5"/>
  <c r="M114" i="5"/>
  <c r="M113" i="5"/>
  <c r="M112" i="5"/>
  <c r="M111" i="5"/>
  <c r="M110" i="5"/>
  <c r="O109" i="5"/>
  <c r="E7" i="1" s="1"/>
  <c r="M107" i="5"/>
  <c r="M106" i="5"/>
  <c r="M105" i="5"/>
  <c r="M104" i="5"/>
  <c r="M103" i="5"/>
  <c r="M102" i="5"/>
  <c r="M101" i="5"/>
  <c r="M100" i="5"/>
  <c r="M99" i="5"/>
  <c r="M98" i="5"/>
  <c r="M97" i="5"/>
  <c r="M96" i="5"/>
  <c r="M94" i="5"/>
  <c r="M93" i="5"/>
  <c r="M92" i="5"/>
  <c r="M91" i="5"/>
  <c r="M90" i="5"/>
  <c r="M89" i="5"/>
  <c r="M88" i="5"/>
  <c r="M87" i="5"/>
  <c r="M86" i="5"/>
  <c r="M85" i="5"/>
  <c r="M84" i="5"/>
  <c r="M83" i="5"/>
  <c r="O82" i="5"/>
  <c r="E6" i="1" s="1"/>
  <c r="M80" i="5"/>
  <c r="M79" i="5"/>
  <c r="M78" i="5"/>
  <c r="M77" i="5"/>
  <c r="M76" i="5"/>
  <c r="M75" i="5"/>
  <c r="M74" i="5"/>
  <c r="M73" i="5"/>
  <c r="M72" i="5"/>
  <c r="M71" i="5"/>
  <c r="M70" i="5"/>
  <c r="M69" i="5"/>
  <c r="M67" i="5"/>
  <c r="M66" i="5"/>
  <c r="M65" i="5"/>
  <c r="M64" i="5"/>
  <c r="M63" i="5"/>
  <c r="M62" i="5"/>
  <c r="M61" i="5"/>
  <c r="M60" i="5"/>
  <c r="M59" i="5"/>
  <c r="M58" i="5"/>
  <c r="M57" i="5"/>
  <c r="M56" i="5"/>
  <c r="O55" i="5"/>
  <c r="M53" i="5"/>
  <c r="M52" i="5"/>
  <c r="M51" i="5"/>
  <c r="M50" i="5"/>
  <c r="M49" i="5"/>
  <c r="M48" i="5"/>
  <c r="M47" i="5"/>
  <c r="M46" i="5"/>
  <c r="M45" i="5"/>
  <c r="M44" i="5"/>
  <c r="M43" i="5"/>
  <c r="M42" i="5"/>
  <c r="M40" i="5"/>
  <c r="M39" i="5"/>
  <c r="M38" i="5"/>
  <c r="M37" i="5"/>
  <c r="M36" i="5"/>
  <c r="M35" i="5"/>
  <c r="M34" i="5"/>
  <c r="M33" i="5"/>
  <c r="M32" i="5"/>
  <c r="M31" i="5"/>
  <c r="M30" i="5"/>
  <c r="M29" i="5"/>
  <c r="O28" i="5"/>
  <c r="M25" i="5"/>
  <c r="M13" i="5"/>
  <c r="M12" i="5"/>
  <c r="M11" i="5"/>
  <c r="M10" i="5"/>
  <c r="M9" i="5"/>
  <c r="M8" i="5"/>
  <c r="M7" i="5"/>
  <c r="M6" i="5"/>
  <c r="M5" i="5"/>
  <c r="M4" i="5"/>
  <c r="M3" i="5"/>
  <c r="M2" i="5"/>
  <c r="O811" i="4"/>
  <c r="M809" i="4"/>
  <c r="M808" i="4"/>
  <c r="M807" i="4"/>
  <c r="M806" i="4"/>
  <c r="M805" i="4"/>
  <c r="M804" i="4"/>
  <c r="M803" i="4"/>
  <c r="M802" i="4"/>
  <c r="M801" i="4"/>
  <c r="M800" i="4"/>
  <c r="M799" i="4"/>
  <c r="M798" i="4"/>
  <c r="M796" i="4"/>
  <c r="M795" i="4"/>
  <c r="M794" i="4"/>
  <c r="M793" i="4"/>
  <c r="M792" i="4"/>
  <c r="M791" i="4"/>
  <c r="M790" i="4"/>
  <c r="M789" i="4"/>
  <c r="M788" i="4"/>
  <c r="M787" i="4"/>
  <c r="M786" i="4"/>
  <c r="M785" i="4"/>
  <c r="O784" i="4"/>
  <c r="M782" i="4"/>
  <c r="M781" i="4"/>
  <c r="M780" i="4"/>
  <c r="M779" i="4"/>
  <c r="M778" i="4"/>
  <c r="M777" i="4"/>
  <c r="M776" i="4"/>
  <c r="M775" i="4"/>
  <c r="M774" i="4"/>
  <c r="M773" i="4"/>
  <c r="M772" i="4"/>
  <c r="M771" i="4"/>
  <c r="M769" i="4"/>
  <c r="M768" i="4"/>
  <c r="M767" i="4"/>
  <c r="M766" i="4"/>
  <c r="M765" i="4"/>
  <c r="M764" i="4"/>
  <c r="M763" i="4"/>
  <c r="M762" i="4"/>
  <c r="M761" i="4"/>
  <c r="M760" i="4"/>
  <c r="M759" i="4"/>
  <c r="M758" i="4"/>
  <c r="O757" i="4"/>
  <c r="M755" i="4"/>
  <c r="M754" i="4"/>
  <c r="M753" i="4"/>
  <c r="M752" i="4"/>
  <c r="M751" i="4"/>
  <c r="M750" i="4"/>
  <c r="M749" i="4"/>
  <c r="M748" i="4"/>
  <c r="M747" i="4"/>
  <c r="M746" i="4"/>
  <c r="M745" i="4"/>
  <c r="M744" i="4"/>
  <c r="M742" i="4"/>
  <c r="M741" i="4"/>
  <c r="M740" i="4"/>
  <c r="M739" i="4"/>
  <c r="M738" i="4"/>
  <c r="M737" i="4"/>
  <c r="M736" i="4"/>
  <c r="M735" i="4"/>
  <c r="M734" i="4"/>
  <c r="M733" i="4"/>
  <c r="M732" i="4"/>
  <c r="M731" i="4"/>
  <c r="O730" i="4"/>
  <c r="D30" i="1" s="1"/>
  <c r="M728" i="4"/>
  <c r="M727" i="4"/>
  <c r="M726" i="4"/>
  <c r="M725" i="4"/>
  <c r="M724" i="4"/>
  <c r="M723" i="4"/>
  <c r="M722" i="4"/>
  <c r="M721" i="4"/>
  <c r="M720" i="4"/>
  <c r="M719" i="4"/>
  <c r="M718" i="4"/>
  <c r="M717" i="4"/>
  <c r="M715" i="4"/>
  <c r="M714" i="4"/>
  <c r="M713" i="4"/>
  <c r="M712" i="4"/>
  <c r="M711" i="4"/>
  <c r="M710" i="4"/>
  <c r="M709" i="4"/>
  <c r="M708" i="4"/>
  <c r="M707" i="4"/>
  <c r="M706" i="4"/>
  <c r="M705" i="4"/>
  <c r="M704" i="4"/>
  <c r="O703" i="4"/>
  <c r="D29" i="1" s="1"/>
  <c r="M701" i="4"/>
  <c r="M700" i="4"/>
  <c r="M699" i="4"/>
  <c r="M698" i="4"/>
  <c r="M697" i="4"/>
  <c r="M696" i="4"/>
  <c r="M695" i="4"/>
  <c r="M694" i="4"/>
  <c r="M693" i="4"/>
  <c r="M692" i="4"/>
  <c r="M691" i="4"/>
  <c r="M690" i="4"/>
  <c r="M688" i="4"/>
  <c r="M687" i="4"/>
  <c r="M686" i="4"/>
  <c r="M685" i="4"/>
  <c r="M684" i="4"/>
  <c r="M683" i="4"/>
  <c r="M682" i="4"/>
  <c r="M681" i="4"/>
  <c r="M680" i="4"/>
  <c r="M679" i="4"/>
  <c r="M678" i="4"/>
  <c r="M677" i="4"/>
  <c r="O676" i="4"/>
  <c r="D28" i="1" s="1"/>
  <c r="M674" i="4"/>
  <c r="M673" i="4"/>
  <c r="M672" i="4"/>
  <c r="M671" i="4"/>
  <c r="M670" i="4"/>
  <c r="M669" i="4"/>
  <c r="M668" i="4"/>
  <c r="M667" i="4"/>
  <c r="M666" i="4"/>
  <c r="M665" i="4"/>
  <c r="M664" i="4"/>
  <c r="M663" i="4"/>
  <c r="M661" i="4"/>
  <c r="M660" i="4"/>
  <c r="M659" i="4"/>
  <c r="M658" i="4"/>
  <c r="M657" i="4"/>
  <c r="M656" i="4"/>
  <c r="M655" i="4"/>
  <c r="M654" i="4"/>
  <c r="M653" i="4"/>
  <c r="M652" i="4"/>
  <c r="M651" i="4"/>
  <c r="M650" i="4"/>
  <c r="O649" i="4"/>
  <c r="D27" i="1" s="1"/>
  <c r="M647" i="4"/>
  <c r="M646" i="4"/>
  <c r="M645" i="4"/>
  <c r="M644" i="4"/>
  <c r="M643" i="4"/>
  <c r="M642" i="4"/>
  <c r="M641" i="4"/>
  <c r="M640" i="4"/>
  <c r="M639" i="4"/>
  <c r="M638" i="4"/>
  <c r="M637" i="4"/>
  <c r="M636" i="4"/>
  <c r="M634" i="4"/>
  <c r="M633" i="4"/>
  <c r="M632" i="4"/>
  <c r="M631" i="4"/>
  <c r="M630" i="4"/>
  <c r="M629" i="4"/>
  <c r="M628" i="4"/>
  <c r="M627" i="4"/>
  <c r="M626" i="4"/>
  <c r="M625" i="4"/>
  <c r="M624" i="4"/>
  <c r="M623" i="4"/>
  <c r="O622" i="4"/>
  <c r="D26" i="1" s="1"/>
  <c r="M620" i="4"/>
  <c r="M619" i="4"/>
  <c r="M618" i="4"/>
  <c r="M617" i="4"/>
  <c r="M616" i="4"/>
  <c r="M615" i="4"/>
  <c r="M614" i="4"/>
  <c r="M613" i="4"/>
  <c r="M612" i="4"/>
  <c r="M611" i="4"/>
  <c r="M610" i="4"/>
  <c r="M609" i="4"/>
  <c r="M607" i="4"/>
  <c r="M606" i="4"/>
  <c r="M605" i="4"/>
  <c r="M604" i="4"/>
  <c r="M603" i="4"/>
  <c r="M602" i="4"/>
  <c r="M601" i="4"/>
  <c r="M600" i="4"/>
  <c r="M599" i="4"/>
  <c r="M598" i="4"/>
  <c r="M597" i="4"/>
  <c r="M596" i="4"/>
  <c r="O595" i="4"/>
  <c r="M593" i="4"/>
  <c r="M592" i="4"/>
  <c r="M591" i="4"/>
  <c r="M590" i="4"/>
  <c r="M589" i="4"/>
  <c r="M588" i="4"/>
  <c r="M587" i="4"/>
  <c r="M586" i="4"/>
  <c r="M585" i="4"/>
  <c r="M584" i="4"/>
  <c r="M583" i="4"/>
  <c r="M582" i="4"/>
  <c r="M580" i="4"/>
  <c r="M579" i="4"/>
  <c r="M578" i="4"/>
  <c r="M577" i="4"/>
  <c r="M576" i="4"/>
  <c r="M575" i="4"/>
  <c r="M574" i="4"/>
  <c r="M573" i="4"/>
  <c r="M572" i="4"/>
  <c r="M571" i="4"/>
  <c r="M570" i="4"/>
  <c r="M569" i="4"/>
  <c r="O568" i="4"/>
  <c r="M566" i="4"/>
  <c r="M565" i="4"/>
  <c r="M564" i="4"/>
  <c r="M563" i="4"/>
  <c r="M562" i="4"/>
  <c r="M561" i="4"/>
  <c r="M560" i="4"/>
  <c r="M559" i="4"/>
  <c r="M558" i="4"/>
  <c r="M557" i="4"/>
  <c r="M556" i="4"/>
  <c r="M555" i="4"/>
  <c r="M553" i="4"/>
  <c r="M552" i="4"/>
  <c r="M551" i="4"/>
  <c r="M550" i="4"/>
  <c r="M549" i="4"/>
  <c r="M548" i="4"/>
  <c r="M547" i="4"/>
  <c r="M546" i="4"/>
  <c r="M545" i="4"/>
  <c r="M544" i="4"/>
  <c r="M543" i="4"/>
  <c r="M542" i="4"/>
  <c r="O541" i="4"/>
  <c r="D23" i="1" s="1"/>
  <c r="M539" i="4"/>
  <c r="M538" i="4"/>
  <c r="M537" i="4"/>
  <c r="M536" i="4"/>
  <c r="M535" i="4"/>
  <c r="M534" i="4"/>
  <c r="M533" i="4"/>
  <c r="M532" i="4"/>
  <c r="M531" i="4"/>
  <c r="M530" i="4"/>
  <c r="M529" i="4"/>
  <c r="M528" i="4"/>
  <c r="M526" i="4"/>
  <c r="M525" i="4"/>
  <c r="M524" i="4"/>
  <c r="M523" i="4"/>
  <c r="M522" i="4"/>
  <c r="M521" i="4"/>
  <c r="M520" i="4"/>
  <c r="M519" i="4"/>
  <c r="M518" i="4"/>
  <c r="M517" i="4"/>
  <c r="M516" i="4"/>
  <c r="M515" i="4"/>
  <c r="O514" i="4"/>
  <c r="D22" i="1" s="1"/>
  <c r="M512" i="4"/>
  <c r="M511" i="4"/>
  <c r="M510" i="4"/>
  <c r="M509" i="4"/>
  <c r="M508" i="4"/>
  <c r="M507" i="4"/>
  <c r="M506" i="4"/>
  <c r="M505" i="4"/>
  <c r="M504" i="4"/>
  <c r="M503" i="4"/>
  <c r="M502" i="4"/>
  <c r="M501" i="4"/>
  <c r="M499" i="4"/>
  <c r="M498" i="4"/>
  <c r="M497" i="4"/>
  <c r="M496" i="4"/>
  <c r="M495" i="4"/>
  <c r="M494" i="4"/>
  <c r="M493" i="4"/>
  <c r="M492" i="4"/>
  <c r="M491" i="4"/>
  <c r="M490" i="4"/>
  <c r="M489" i="4"/>
  <c r="M488" i="4"/>
  <c r="O487" i="4"/>
  <c r="M485" i="4"/>
  <c r="M484" i="4"/>
  <c r="M483" i="4"/>
  <c r="M482" i="4"/>
  <c r="M481" i="4"/>
  <c r="M480" i="4"/>
  <c r="M479" i="4"/>
  <c r="M478" i="4"/>
  <c r="M477" i="4"/>
  <c r="M476" i="4"/>
  <c r="M475" i="4"/>
  <c r="M474" i="4"/>
  <c r="M472" i="4"/>
  <c r="M471" i="4"/>
  <c r="M470" i="4"/>
  <c r="M469" i="4"/>
  <c r="M468" i="4"/>
  <c r="M467" i="4"/>
  <c r="M466" i="4"/>
  <c r="M465" i="4"/>
  <c r="M464" i="4"/>
  <c r="M463" i="4"/>
  <c r="M462" i="4"/>
  <c r="M461" i="4"/>
  <c r="O460" i="4"/>
  <c r="D20" i="1" s="1"/>
  <c r="M458" i="4"/>
  <c r="M457" i="4"/>
  <c r="M456" i="4"/>
  <c r="M455" i="4"/>
  <c r="M454" i="4"/>
  <c r="M453" i="4"/>
  <c r="M452" i="4"/>
  <c r="M451" i="4"/>
  <c r="M450" i="4"/>
  <c r="M449" i="4"/>
  <c r="M448" i="4"/>
  <c r="M447" i="4"/>
  <c r="M445" i="4"/>
  <c r="M444" i="4"/>
  <c r="M443" i="4"/>
  <c r="M442" i="4"/>
  <c r="M441" i="4"/>
  <c r="M440" i="4"/>
  <c r="M439" i="4"/>
  <c r="M438" i="4"/>
  <c r="M437" i="4"/>
  <c r="M436" i="4"/>
  <c r="M435" i="4"/>
  <c r="M434" i="4"/>
  <c r="O433" i="4"/>
  <c r="M431" i="4"/>
  <c r="M430" i="4"/>
  <c r="M429" i="4"/>
  <c r="M428" i="4"/>
  <c r="M427" i="4"/>
  <c r="M426" i="4"/>
  <c r="M425" i="4"/>
  <c r="M424" i="4"/>
  <c r="M423" i="4"/>
  <c r="M422" i="4"/>
  <c r="M421" i="4"/>
  <c r="M420" i="4"/>
  <c r="M418" i="4"/>
  <c r="M417" i="4"/>
  <c r="M416" i="4"/>
  <c r="M415" i="4"/>
  <c r="M414" i="4"/>
  <c r="M413" i="4"/>
  <c r="M412" i="4"/>
  <c r="M411" i="4"/>
  <c r="M410" i="4"/>
  <c r="M409" i="4"/>
  <c r="M408" i="4"/>
  <c r="M407" i="4"/>
  <c r="O406" i="4"/>
  <c r="M404" i="4"/>
  <c r="M403" i="4"/>
  <c r="M402" i="4"/>
  <c r="M401" i="4"/>
  <c r="M400" i="4"/>
  <c r="M399" i="4"/>
  <c r="M398" i="4"/>
  <c r="M397" i="4"/>
  <c r="M396" i="4"/>
  <c r="M395" i="4"/>
  <c r="M394" i="4"/>
  <c r="M393" i="4"/>
  <c r="M391" i="4"/>
  <c r="M390" i="4"/>
  <c r="M389" i="4"/>
  <c r="M388" i="4"/>
  <c r="M387" i="4"/>
  <c r="M386" i="4"/>
  <c r="M385" i="4"/>
  <c r="M384" i="4"/>
  <c r="M383" i="4"/>
  <c r="M382" i="4"/>
  <c r="M381" i="4"/>
  <c r="M380" i="4"/>
  <c r="O379" i="4"/>
  <c r="M377" i="4"/>
  <c r="M376" i="4"/>
  <c r="M375" i="4"/>
  <c r="M374" i="4"/>
  <c r="M373" i="4"/>
  <c r="M372" i="4"/>
  <c r="M371" i="4"/>
  <c r="M370" i="4"/>
  <c r="M369" i="4"/>
  <c r="M368" i="4"/>
  <c r="M367" i="4"/>
  <c r="M366" i="4"/>
  <c r="M364" i="4"/>
  <c r="M363" i="4"/>
  <c r="M362" i="4"/>
  <c r="M361" i="4"/>
  <c r="M360" i="4"/>
  <c r="M359" i="4"/>
  <c r="M358" i="4"/>
  <c r="M357" i="4"/>
  <c r="M356" i="4"/>
  <c r="M355" i="4"/>
  <c r="M354" i="4"/>
  <c r="M353" i="4"/>
  <c r="O352" i="4"/>
  <c r="D16" i="1" s="1"/>
  <c r="M350" i="4"/>
  <c r="M349" i="4"/>
  <c r="M348" i="4"/>
  <c r="M347" i="4"/>
  <c r="M346" i="4"/>
  <c r="M345" i="4"/>
  <c r="M344" i="4"/>
  <c r="M343" i="4"/>
  <c r="M342" i="4"/>
  <c r="M341" i="4"/>
  <c r="M340" i="4"/>
  <c r="M339" i="4"/>
  <c r="M337" i="4"/>
  <c r="M336" i="4"/>
  <c r="M335" i="4"/>
  <c r="M334" i="4"/>
  <c r="M333" i="4"/>
  <c r="M332" i="4"/>
  <c r="M331" i="4"/>
  <c r="M330" i="4"/>
  <c r="M329" i="4"/>
  <c r="M328" i="4"/>
  <c r="M327" i="4"/>
  <c r="M326" i="4"/>
  <c r="O325" i="4"/>
  <c r="M323" i="4"/>
  <c r="M322" i="4"/>
  <c r="M321" i="4"/>
  <c r="M320" i="4"/>
  <c r="M319" i="4"/>
  <c r="M318" i="4"/>
  <c r="M317" i="4"/>
  <c r="M316" i="4"/>
  <c r="M315" i="4"/>
  <c r="M314" i="4"/>
  <c r="M313" i="4"/>
  <c r="M312" i="4"/>
  <c r="M310" i="4"/>
  <c r="M309" i="4"/>
  <c r="M308" i="4"/>
  <c r="M307" i="4"/>
  <c r="M306" i="4"/>
  <c r="M305" i="4"/>
  <c r="M304" i="4"/>
  <c r="M303" i="4"/>
  <c r="M302" i="4"/>
  <c r="M301" i="4"/>
  <c r="M300" i="4"/>
  <c r="M299" i="4"/>
  <c r="O298" i="4"/>
  <c r="M296" i="4"/>
  <c r="M295" i="4"/>
  <c r="M294" i="4"/>
  <c r="M293" i="4"/>
  <c r="M292" i="4"/>
  <c r="M291" i="4"/>
  <c r="M290" i="4"/>
  <c r="M289" i="4"/>
  <c r="M288" i="4"/>
  <c r="M287" i="4"/>
  <c r="M286" i="4"/>
  <c r="M285" i="4"/>
  <c r="M283" i="4"/>
  <c r="M282" i="4"/>
  <c r="M281" i="4"/>
  <c r="M280" i="4"/>
  <c r="M279" i="4"/>
  <c r="M278" i="4"/>
  <c r="M277" i="4"/>
  <c r="M276" i="4"/>
  <c r="M275" i="4"/>
  <c r="M274" i="4"/>
  <c r="M273" i="4"/>
  <c r="M272" i="4"/>
  <c r="O271" i="4"/>
  <c r="M269" i="4"/>
  <c r="M268" i="4"/>
  <c r="M267" i="4"/>
  <c r="M266" i="4"/>
  <c r="M265" i="4"/>
  <c r="M264" i="4"/>
  <c r="M263" i="4"/>
  <c r="M262" i="4"/>
  <c r="M261" i="4"/>
  <c r="M260" i="4"/>
  <c r="M259" i="4"/>
  <c r="M258" i="4"/>
  <c r="M256" i="4"/>
  <c r="M255" i="4"/>
  <c r="M254" i="4"/>
  <c r="M253" i="4"/>
  <c r="M252" i="4"/>
  <c r="M251" i="4"/>
  <c r="M250" i="4"/>
  <c r="M249" i="4"/>
  <c r="M248" i="4"/>
  <c r="M247" i="4"/>
  <c r="M246" i="4"/>
  <c r="M245" i="4"/>
  <c r="O244" i="4"/>
  <c r="D12" i="1" s="1"/>
  <c r="M242" i="4"/>
  <c r="M241" i="4"/>
  <c r="M240" i="4"/>
  <c r="M239" i="4"/>
  <c r="M238" i="4"/>
  <c r="M237" i="4"/>
  <c r="M236" i="4"/>
  <c r="M235" i="4"/>
  <c r="M234" i="4"/>
  <c r="M233" i="4"/>
  <c r="M232" i="4"/>
  <c r="M231" i="4"/>
  <c r="M229" i="4"/>
  <c r="M228" i="4"/>
  <c r="M227" i="4"/>
  <c r="M226" i="4"/>
  <c r="M225" i="4"/>
  <c r="M224" i="4"/>
  <c r="M223" i="4"/>
  <c r="M222" i="4"/>
  <c r="M221" i="4"/>
  <c r="M220" i="4"/>
  <c r="M219" i="4"/>
  <c r="M218" i="4"/>
  <c r="O217" i="4"/>
  <c r="D11" i="1" s="1"/>
  <c r="M215" i="4"/>
  <c r="M214" i="4"/>
  <c r="M213" i="4"/>
  <c r="M212" i="4"/>
  <c r="M211" i="4"/>
  <c r="M210" i="4"/>
  <c r="M209" i="4"/>
  <c r="M208" i="4"/>
  <c r="M207" i="4"/>
  <c r="M206" i="4"/>
  <c r="M205" i="4"/>
  <c r="M204" i="4"/>
  <c r="M202" i="4"/>
  <c r="M201" i="4"/>
  <c r="M200" i="4"/>
  <c r="M199" i="4"/>
  <c r="M198" i="4"/>
  <c r="M197" i="4"/>
  <c r="M196" i="4"/>
  <c r="M195" i="4"/>
  <c r="M194" i="4"/>
  <c r="M193" i="4"/>
  <c r="M192" i="4"/>
  <c r="M191" i="4"/>
  <c r="O190" i="4"/>
  <c r="M188" i="4"/>
  <c r="M187" i="4"/>
  <c r="M186" i="4"/>
  <c r="M185" i="4"/>
  <c r="M184" i="4"/>
  <c r="M183" i="4"/>
  <c r="M182" i="4"/>
  <c r="M181" i="4"/>
  <c r="M180" i="4"/>
  <c r="M179" i="4"/>
  <c r="M178" i="4"/>
  <c r="M177" i="4"/>
  <c r="M175" i="4"/>
  <c r="M174" i="4"/>
  <c r="M173" i="4"/>
  <c r="M172" i="4"/>
  <c r="M171" i="4"/>
  <c r="M170" i="4"/>
  <c r="M169" i="4"/>
  <c r="M168" i="4"/>
  <c r="M167" i="4"/>
  <c r="M166" i="4"/>
  <c r="M165" i="4"/>
  <c r="M164" i="4"/>
  <c r="O163" i="4"/>
  <c r="M161" i="4"/>
  <c r="M160" i="4"/>
  <c r="M159" i="4"/>
  <c r="M158" i="4"/>
  <c r="M157" i="4"/>
  <c r="M156" i="4"/>
  <c r="M155" i="4"/>
  <c r="M154" i="4"/>
  <c r="M153" i="4"/>
  <c r="M152" i="4"/>
  <c r="M151" i="4"/>
  <c r="M150" i="4"/>
  <c r="M148" i="4"/>
  <c r="M147" i="4"/>
  <c r="M146" i="4"/>
  <c r="M145" i="4"/>
  <c r="M144" i="4"/>
  <c r="M143" i="4"/>
  <c r="M142" i="4"/>
  <c r="M141" i="4"/>
  <c r="M140" i="4"/>
  <c r="M139" i="4"/>
  <c r="M138" i="4"/>
  <c r="M137" i="4"/>
  <c r="O136" i="4"/>
  <c r="M134" i="4"/>
  <c r="M133" i="4"/>
  <c r="M132" i="4"/>
  <c r="M131" i="4"/>
  <c r="M130" i="4"/>
  <c r="M129" i="4"/>
  <c r="M128" i="4"/>
  <c r="M127" i="4"/>
  <c r="M126" i="4"/>
  <c r="M124" i="4"/>
  <c r="M123" i="4"/>
  <c r="M121" i="4"/>
  <c r="M120" i="4"/>
  <c r="M119" i="4"/>
  <c r="M118" i="4"/>
  <c r="M117" i="4"/>
  <c r="M116" i="4"/>
  <c r="M115" i="4"/>
  <c r="M114" i="4"/>
  <c r="M113" i="4"/>
  <c r="M112" i="4"/>
  <c r="M111" i="4"/>
  <c r="M110" i="4"/>
  <c r="O109" i="4"/>
  <c r="M107" i="4"/>
  <c r="M106" i="4"/>
  <c r="M105" i="4"/>
  <c r="M104" i="4"/>
  <c r="M103" i="4"/>
  <c r="M102" i="4"/>
  <c r="M101" i="4"/>
  <c r="M100" i="4"/>
  <c r="M99" i="4"/>
  <c r="M98" i="4"/>
  <c r="M97" i="4"/>
  <c r="M96" i="4"/>
  <c r="M94" i="4"/>
  <c r="M93" i="4"/>
  <c r="M92" i="4"/>
  <c r="M91" i="4"/>
  <c r="M90" i="4"/>
  <c r="M89" i="4"/>
  <c r="M88" i="4"/>
  <c r="M87" i="4"/>
  <c r="M86" i="4"/>
  <c r="M85" i="4"/>
  <c r="M84" i="4"/>
  <c r="M83" i="4"/>
  <c r="O82" i="4"/>
  <c r="M80" i="4"/>
  <c r="M79" i="4"/>
  <c r="M78" i="4"/>
  <c r="M77" i="4"/>
  <c r="M76" i="4"/>
  <c r="M75" i="4"/>
  <c r="M74" i="4"/>
  <c r="M73" i="4"/>
  <c r="M72" i="4"/>
  <c r="M71" i="4"/>
  <c r="M70" i="4"/>
  <c r="M69" i="4"/>
  <c r="M67" i="4"/>
  <c r="M66" i="4"/>
  <c r="M65" i="4"/>
  <c r="M64" i="4"/>
  <c r="M63" i="4"/>
  <c r="M62" i="4"/>
  <c r="M61" i="4"/>
  <c r="M60" i="4"/>
  <c r="M59" i="4"/>
  <c r="M56" i="4"/>
  <c r="O55" i="4"/>
  <c r="M42" i="4"/>
  <c r="M40" i="4"/>
  <c r="M39" i="4"/>
  <c r="M38" i="4"/>
  <c r="M37" i="4"/>
  <c r="M36" i="4"/>
  <c r="M35" i="4"/>
  <c r="M34" i="4"/>
  <c r="M33" i="4"/>
  <c r="M32" i="4"/>
  <c r="M31" i="4"/>
  <c r="M30" i="4"/>
  <c r="M29" i="4"/>
  <c r="D4" i="1"/>
  <c r="M26" i="4"/>
  <c r="M13" i="4"/>
  <c r="M12" i="4"/>
  <c r="M11" i="4"/>
  <c r="M10" i="4"/>
  <c r="M9" i="4"/>
  <c r="M8" i="4"/>
  <c r="M7" i="4"/>
  <c r="M6" i="4"/>
  <c r="M5" i="4"/>
  <c r="M4" i="4"/>
  <c r="M3" i="4"/>
  <c r="M2" i="4"/>
  <c r="O811" i="3"/>
  <c r="C33" i="1" s="1"/>
  <c r="M809" i="3"/>
  <c r="M808" i="3"/>
  <c r="M807" i="3"/>
  <c r="M806" i="3"/>
  <c r="M805" i="3"/>
  <c r="M804" i="3"/>
  <c r="M803" i="3"/>
  <c r="M802" i="3"/>
  <c r="M801" i="3"/>
  <c r="M800" i="3"/>
  <c r="M799" i="3"/>
  <c r="M798" i="3"/>
  <c r="M796" i="3"/>
  <c r="M795" i="3"/>
  <c r="M794" i="3"/>
  <c r="M793" i="3"/>
  <c r="M792" i="3"/>
  <c r="M791" i="3"/>
  <c r="M790" i="3"/>
  <c r="M789" i="3"/>
  <c r="M788" i="3"/>
  <c r="M787" i="3"/>
  <c r="M786" i="3"/>
  <c r="M785" i="3"/>
  <c r="O784" i="3"/>
  <c r="C32" i="1" s="1"/>
  <c r="M782" i="3"/>
  <c r="M781" i="3"/>
  <c r="M780" i="3"/>
  <c r="M779" i="3"/>
  <c r="M778" i="3"/>
  <c r="M777" i="3"/>
  <c r="M776" i="3"/>
  <c r="M775" i="3"/>
  <c r="M774" i="3"/>
  <c r="M773" i="3"/>
  <c r="M772" i="3"/>
  <c r="M771" i="3"/>
  <c r="M769" i="3"/>
  <c r="M768" i="3"/>
  <c r="M767" i="3"/>
  <c r="M766" i="3"/>
  <c r="M765" i="3"/>
  <c r="M764" i="3"/>
  <c r="M763" i="3"/>
  <c r="M762" i="3"/>
  <c r="M761" i="3"/>
  <c r="M760" i="3"/>
  <c r="M759" i="3"/>
  <c r="M758" i="3"/>
  <c r="O757" i="3"/>
  <c r="M755" i="3"/>
  <c r="M754" i="3"/>
  <c r="M753" i="3"/>
  <c r="M752" i="3"/>
  <c r="M751" i="3"/>
  <c r="M750" i="3"/>
  <c r="M749" i="3"/>
  <c r="M748" i="3"/>
  <c r="M747" i="3"/>
  <c r="M746" i="3"/>
  <c r="M745" i="3"/>
  <c r="M744" i="3"/>
  <c r="M742" i="3"/>
  <c r="M741" i="3"/>
  <c r="M740" i="3"/>
  <c r="M739" i="3"/>
  <c r="M738" i="3"/>
  <c r="M737" i="3"/>
  <c r="M736" i="3"/>
  <c r="M735" i="3"/>
  <c r="M734" i="3"/>
  <c r="M733" i="3"/>
  <c r="M732" i="3"/>
  <c r="M731" i="3"/>
  <c r="O730" i="3"/>
  <c r="C30" i="1" s="1"/>
  <c r="M728" i="3"/>
  <c r="M727" i="3"/>
  <c r="M726" i="3"/>
  <c r="M725" i="3"/>
  <c r="M724" i="3"/>
  <c r="M723" i="3"/>
  <c r="M722" i="3"/>
  <c r="M721" i="3"/>
  <c r="M720" i="3"/>
  <c r="M719" i="3"/>
  <c r="M718" i="3"/>
  <c r="M717" i="3"/>
  <c r="M715" i="3"/>
  <c r="M714" i="3"/>
  <c r="M713" i="3"/>
  <c r="M712" i="3"/>
  <c r="M711" i="3"/>
  <c r="M710" i="3"/>
  <c r="M709" i="3"/>
  <c r="M708" i="3"/>
  <c r="M707" i="3"/>
  <c r="M706" i="3"/>
  <c r="M705" i="3"/>
  <c r="M704" i="3"/>
  <c r="O703" i="3"/>
  <c r="C29" i="1" s="1"/>
  <c r="M701" i="3"/>
  <c r="M700" i="3"/>
  <c r="M699" i="3"/>
  <c r="M698" i="3"/>
  <c r="M697" i="3"/>
  <c r="M696" i="3"/>
  <c r="M695" i="3"/>
  <c r="M694" i="3"/>
  <c r="M693" i="3"/>
  <c r="M692" i="3"/>
  <c r="M691" i="3"/>
  <c r="M690" i="3"/>
  <c r="M688" i="3"/>
  <c r="M687" i="3"/>
  <c r="M686" i="3"/>
  <c r="M685" i="3"/>
  <c r="M684" i="3"/>
  <c r="M683" i="3"/>
  <c r="M682" i="3"/>
  <c r="M681" i="3"/>
  <c r="M680" i="3"/>
  <c r="M679" i="3"/>
  <c r="M678" i="3"/>
  <c r="M677" i="3"/>
  <c r="O676" i="3"/>
  <c r="C28" i="1" s="1"/>
  <c r="M674" i="3"/>
  <c r="M673" i="3"/>
  <c r="M672" i="3"/>
  <c r="M671" i="3"/>
  <c r="M670" i="3"/>
  <c r="M669" i="3"/>
  <c r="M668" i="3"/>
  <c r="M667" i="3"/>
  <c r="M666" i="3"/>
  <c r="M665" i="3"/>
  <c r="M664" i="3"/>
  <c r="M663" i="3"/>
  <c r="M661" i="3"/>
  <c r="M660" i="3"/>
  <c r="M659" i="3"/>
  <c r="M658" i="3"/>
  <c r="M657" i="3"/>
  <c r="M656" i="3"/>
  <c r="M655" i="3"/>
  <c r="M654" i="3"/>
  <c r="M653" i="3"/>
  <c r="M652" i="3"/>
  <c r="M651" i="3"/>
  <c r="M650" i="3"/>
  <c r="O649" i="3"/>
  <c r="M647" i="3"/>
  <c r="M646" i="3"/>
  <c r="M645" i="3"/>
  <c r="M644" i="3"/>
  <c r="M643" i="3"/>
  <c r="M642" i="3"/>
  <c r="M641" i="3"/>
  <c r="M640" i="3"/>
  <c r="M639" i="3"/>
  <c r="M638" i="3"/>
  <c r="M637" i="3"/>
  <c r="M636" i="3"/>
  <c r="M634" i="3"/>
  <c r="M633" i="3"/>
  <c r="M632" i="3"/>
  <c r="M631" i="3"/>
  <c r="M630" i="3"/>
  <c r="M629" i="3"/>
  <c r="M628" i="3"/>
  <c r="M627" i="3"/>
  <c r="M626" i="3"/>
  <c r="M625" i="3"/>
  <c r="M624" i="3"/>
  <c r="M623" i="3"/>
  <c r="O622" i="3"/>
  <c r="M620" i="3"/>
  <c r="M619" i="3"/>
  <c r="M618" i="3"/>
  <c r="M617" i="3"/>
  <c r="M616" i="3"/>
  <c r="M615" i="3"/>
  <c r="M614" i="3"/>
  <c r="M613" i="3"/>
  <c r="M612" i="3"/>
  <c r="M611" i="3"/>
  <c r="M610" i="3"/>
  <c r="M609" i="3"/>
  <c r="M607" i="3"/>
  <c r="M606" i="3"/>
  <c r="M605" i="3"/>
  <c r="M604" i="3"/>
  <c r="M603" i="3"/>
  <c r="M602" i="3"/>
  <c r="M601" i="3"/>
  <c r="M600" i="3"/>
  <c r="M599" i="3"/>
  <c r="M598" i="3"/>
  <c r="M597" i="3"/>
  <c r="M596" i="3"/>
  <c r="O595" i="3"/>
  <c r="M593" i="3"/>
  <c r="M592" i="3"/>
  <c r="M591" i="3"/>
  <c r="M590" i="3"/>
  <c r="M589" i="3"/>
  <c r="M588" i="3"/>
  <c r="M587" i="3"/>
  <c r="M586" i="3"/>
  <c r="M585" i="3"/>
  <c r="M584" i="3"/>
  <c r="M583" i="3"/>
  <c r="M582" i="3"/>
  <c r="M580" i="3"/>
  <c r="M579" i="3"/>
  <c r="M578" i="3"/>
  <c r="M577" i="3"/>
  <c r="M576" i="3"/>
  <c r="M575" i="3"/>
  <c r="M574" i="3"/>
  <c r="M573" i="3"/>
  <c r="M572" i="3"/>
  <c r="M571" i="3"/>
  <c r="M570" i="3"/>
  <c r="M569" i="3"/>
  <c r="O568" i="3"/>
  <c r="C24" i="1" s="1"/>
  <c r="M566" i="3"/>
  <c r="M565" i="3"/>
  <c r="M564" i="3"/>
  <c r="M563" i="3"/>
  <c r="M562" i="3"/>
  <c r="M561" i="3"/>
  <c r="M560" i="3"/>
  <c r="M559" i="3"/>
  <c r="M558" i="3"/>
  <c r="M557" i="3"/>
  <c r="M556" i="3"/>
  <c r="M555" i="3"/>
  <c r="M553" i="3"/>
  <c r="M552" i="3"/>
  <c r="M551" i="3"/>
  <c r="M550" i="3"/>
  <c r="M549" i="3"/>
  <c r="M548" i="3"/>
  <c r="M547" i="3"/>
  <c r="M546" i="3"/>
  <c r="M545" i="3"/>
  <c r="M544" i="3"/>
  <c r="M543" i="3"/>
  <c r="M542" i="3"/>
  <c r="O541" i="3"/>
  <c r="C23" i="1" s="1"/>
  <c r="M539" i="3"/>
  <c r="M538" i="3"/>
  <c r="M537" i="3"/>
  <c r="M536" i="3"/>
  <c r="M535" i="3"/>
  <c r="M534" i="3"/>
  <c r="M533" i="3"/>
  <c r="M532" i="3"/>
  <c r="M531" i="3"/>
  <c r="M530" i="3"/>
  <c r="M529" i="3"/>
  <c r="M528" i="3"/>
  <c r="M526" i="3"/>
  <c r="M525" i="3"/>
  <c r="M524" i="3"/>
  <c r="M523" i="3"/>
  <c r="M522" i="3"/>
  <c r="M521" i="3"/>
  <c r="M520" i="3"/>
  <c r="M519" i="3"/>
  <c r="M518" i="3"/>
  <c r="M517" i="3"/>
  <c r="M516" i="3"/>
  <c r="M515" i="3"/>
  <c r="O514" i="3"/>
  <c r="C22" i="1" s="1"/>
  <c r="M512" i="3"/>
  <c r="M511" i="3"/>
  <c r="M510" i="3"/>
  <c r="M509" i="3"/>
  <c r="M508" i="3"/>
  <c r="M507" i="3"/>
  <c r="M506" i="3"/>
  <c r="M505" i="3"/>
  <c r="M504" i="3"/>
  <c r="M503" i="3"/>
  <c r="M502" i="3"/>
  <c r="M501" i="3"/>
  <c r="M499" i="3"/>
  <c r="M498" i="3"/>
  <c r="M497" i="3"/>
  <c r="M496" i="3"/>
  <c r="M495" i="3"/>
  <c r="M494" i="3"/>
  <c r="M493" i="3"/>
  <c r="M492" i="3"/>
  <c r="M491" i="3"/>
  <c r="M490" i="3"/>
  <c r="M489" i="3"/>
  <c r="M488" i="3"/>
  <c r="O487" i="3"/>
  <c r="M485" i="3"/>
  <c r="M484" i="3"/>
  <c r="M483" i="3"/>
  <c r="M482" i="3"/>
  <c r="M481" i="3"/>
  <c r="M480" i="3"/>
  <c r="M479" i="3"/>
  <c r="M478" i="3"/>
  <c r="M477" i="3"/>
  <c r="M476" i="3"/>
  <c r="M475" i="3"/>
  <c r="M474" i="3"/>
  <c r="M472" i="3"/>
  <c r="M471" i="3"/>
  <c r="M470" i="3"/>
  <c r="M469" i="3"/>
  <c r="M468" i="3"/>
  <c r="M467" i="3"/>
  <c r="M466" i="3"/>
  <c r="M465" i="3"/>
  <c r="M464" i="3"/>
  <c r="M463" i="3"/>
  <c r="M462" i="3"/>
  <c r="M461" i="3"/>
  <c r="O460" i="3"/>
  <c r="M458" i="3"/>
  <c r="M457" i="3"/>
  <c r="M456" i="3"/>
  <c r="M455" i="3"/>
  <c r="M454" i="3"/>
  <c r="M453" i="3"/>
  <c r="M452" i="3"/>
  <c r="M451" i="3"/>
  <c r="M450" i="3"/>
  <c r="M449" i="3"/>
  <c r="M448" i="3"/>
  <c r="M447" i="3"/>
  <c r="M445" i="3"/>
  <c r="M444" i="3"/>
  <c r="M443" i="3"/>
  <c r="M442" i="3"/>
  <c r="M441" i="3"/>
  <c r="M440" i="3"/>
  <c r="M439" i="3"/>
  <c r="M438" i="3"/>
  <c r="M437" i="3"/>
  <c r="M436" i="3"/>
  <c r="M435" i="3"/>
  <c r="M434" i="3"/>
  <c r="O433" i="3"/>
  <c r="M431" i="3"/>
  <c r="M430" i="3"/>
  <c r="M429" i="3"/>
  <c r="M428" i="3"/>
  <c r="M427" i="3"/>
  <c r="M426" i="3"/>
  <c r="M425" i="3"/>
  <c r="M424" i="3"/>
  <c r="M423" i="3"/>
  <c r="M422" i="3"/>
  <c r="M421" i="3"/>
  <c r="M420" i="3"/>
  <c r="M418" i="3"/>
  <c r="M417" i="3"/>
  <c r="M416" i="3"/>
  <c r="M415" i="3"/>
  <c r="M414" i="3"/>
  <c r="M413" i="3"/>
  <c r="M412" i="3"/>
  <c r="M411" i="3"/>
  <c r="M410" i="3"/>
  <c r="M409" i="3"/>
  <c r="M408" i="3"/>
  <c r="M407" i="3"/>
  <c r="O406" i="3"/>
  <c r="M404" i="3"/>
  <c r="M403" i="3"/>
  <c r="M402" i="3"/>
  <c r="M401" i="3"/>
  <c r="M400" i="3"/>
  <c r="M399" i="3"/>
  <c r="M398" i="3"/>
  <c r="M397" i="3"/>
  <c r="M396" i="3"/>
  <c r="M395" i="3"/>
  <c r="M394" i="3"/>
  <c r="M393" i="3"/>
  <c r="M391" i="3"/>
  <c r="M390" i="3"/>
  <c r="M389" i="3"/>
  <c r="M388" i="3"/>
  <c r="M387" i="3"/>
  <c r="M386" i="3"/>
  <c r="M385" i="3"/>
  <c r="M384" i="3"/>
  <c r="M383" i="3"/>
  <c r="M382" i="3"/>
  <c r="M381" i="3"/>
  <c r="M380" i="3"/>
  <c r="O379" i="3"/>
  <c r="C17" i="1" s="1"/>
  <c r="M377" i="3"/>
  <c r="M376" i="3"/>
  <c r="M375" i="3"/>
  <c r="M374" i="3"/>
  <c r="M373" i="3"/>
  <c r="M372" i="3"/>
  <c r="M371" i="3"/>
  <c r="M370" i="3"/>
  <c r="M369" i="3"/>
  <c r="M368" i="3"/>
  <c r="M367" i="3"/>
  <c r="M366" i="3"/>
  <c r="M364" i="3"/>
  <c r="M363" i="3"/>
  <c r="M362" i="3"/>
  <c r="M361" i="3"/>
  <c r="M360" i="3"/>
  <c r="M359" i="3"/>
  <c r="M358" i="3"/>
  <c r="M357" i="3"/>
  <c r="M356" i="3"/>
  <c r="M355" i="3"/>
  <c r="M354" i="3"/>
  <c r="M353" i="3"/>
  <c r="O352" i="3"/>
  <c r="M350" i="3"/>
  <c r="M349" i="3"/>
  <c r="M348" i="3"/>
  <c r="M347" i="3"/>
  <c r="M346" i="3"/>
  <c r="M345" i="3"/>
  <c r="M344" i="3"/>
  <c r="M343" i="3"/>
  <c r="M342" i="3"/>
  <c r="M341" i="3"/>
  <c r="M340" i="3"/>
  <c r="M339" i="3"/>
  <c r="M337" i="3"/>
  <c r="M336" i="3"/>
  <c r="M335" i="3"/>
  <c r="M334" i="3"/>
  <c r="M333" i="3"/>
  <c r="M332" i="3"/>
  <c r="M331" i="3"/>
  <c r="M330" i="3"/>
  <c r="M329" i="3"/>
  <c r="M328" i="3"/>
  <c r="M327" i="3"/>
  <c r="M326" i="3"/>
  <c r="O325" i="3"/>
  <c r="C15" i="1" s="1"/>
  <c r="M323" i="3"/>
  <c r="M322" i="3"/>
  <c r="M321" i="3"/>
  <c r="M320" i="3"/>
  <c r="M319" i="3"/>
  <c r="M318" i="3"/>
  <c r="M317" i="3"/>
  <c r="M316" i="3"/>
  <c r="M315" i="3"/>
  <c r="M314" i="3"/>
  <c r="M313" i="3"/>
  <c r="M312" i="3"/>
  <c r="M310" i="3"/>
  <c r="M309" i="3"/>
  <c r="M308" i="3"/>
  <c r="M307" i="3"/>
  <c r="M306" i="3"/>
  <c r="M305" i="3"/>
  <c r="M304" i="3"/>
  <c r="M303" i="3"/>
  <c r="M302" i="3"/>
  <c r="M301" i="3"/>
  <c r="M300" i="3"/>
  <c r="M299" i="3"/>
  <c r="O298" i="3"/>
  <c r="C14" i="1" s="1"/>
  <c r="M296" i="3"/>
  <c r="M295" i="3"/>
  <c r="M294" i="3"/>
  <c r="M293" i="3"/>
  <c r="M292" i="3"/>
  <c r="M291" i="3"/>
  <c r="M290" i="3"/>
  <c r="M289" i="3"/>
  <c r="M288" i="3"/>
  <c r="M287" i="3"/>
  <c r="M286" i="3"/>
  <c r="M285" i="3"/>
  <c r="M283" i="3"/>
  <c r="M282" i="3"/>
  <c r="M281" i="3"/>
  <c r="M280" i="3"/>
  <c r="M279" i="3"/>
  <c r="M278" i="3"/>
  <c r="M277" i="3"/>
  <c r="M276" i="3"/>
  <c r="M275" i="3"/>
  <c r="M274" i="3"/>
  <c r="M273" i="3"/>
  <c r="M272" i="3"/>
  <c r="O271" i="3"/>
  <c r="M269" i="3"/>
  <c r="M268" i="3"/>
  <c r="M267" i="3"/>
  <c r="M266" i="3"/>
  <c r="M265" i="3"/>
  <c r="M264" i="3"/>
  <c r="M263" i="3"/>
  <c r="M262" i="3"/>
  <c r="M261" i="3"/>
  <c r="M260" i="3"/>
  <c r="M259" i="3"/>
  <c r="M258" i="3"/>
  <c r="M256" i="3"/>
  <c r="M255" i="3"/>
  <c r="M254" i="3"/>
  <c r="M253" i="3"/>
  <c r="M252" i="3"/>
  <c r="M251" i="3"/>
  <c r="M250" i="3"/>
  <c r="M249" i="3"/>
  <c r="M248" i="3"/>
  <c r="M247" i="3"/>
  <c r="M246" i="3"/>
  <c r="M245" i="3"/>
  <c r="O244" i="3"/>
  <c r="M242" i="3"/>
  <c r="M241" i="3"/>
  <c r="M240" i="3"/>
  <c r="M239" i="3"/>
  <c r="M238" i="3"/>
  <c r="M237" i="3"/>
  <c r="M236" i="3"/>
  <c r="M235" i="3"/>
  <c r="M234" i="3"/>
  <c r="M233" i="3"/>
  <c r="M232" i="3"/>
  <c r="M231" i="3"/>
  <c r="M229" i="3"/>
  <c r="M228" i="3"/>
  <c r="M227" i="3"/>
  <c r="M226" i="3"/>
  <c r="M225" i="3"/>
  <c r="M224" i="3"/>
  <c r="M223" i="3"/>
  <c r="M222" i="3"/>
  <c r="M221" i="3"/>
  <c r="M220" i="3"/>
  <c r="M219" i="3"/>
  <c r="M218" i="3"/>
  <c r="O217" i="3"/>
  <c r="C11" i="1" s="1"/>
  <c r="M215" i="3"/>
  <c r="M214" i="3"/>
  <c r="M213" i="3"/>
  <c r="M212" i="3"/>
  <c r="M211" i="3"/>
  <c r="M210" i="3"/>
  <c r="M209" i="3"/>
  <c r="M208" i="3"/>
  <c r="M207" i="3"/>
  <c r="M206" i="3"/>
  <c r="M205" i="3"/>
  <c r="M204" i="3"/>
  <c r="M202" i="3"/>
  <c r="M201" i="3"/>
  <c r="M200" i="3"/>
  <c r="M199" i="3"/>
  <c r="M198" i="3"/>
  <c r="M197" i="3"/>
  <c r="M196" i="3"/>
  <c r="M195" i="3"/>
  <c r="M194" i="3"/>
  <c r="M193" i="3"/>
  <c r="M192" i="3"/>
  <c r="M191" i="3"/>
  <c r="O190" i="3"/>
  <c r="C10" i="1" s="1"/>
  <c r="M188" i="3"/>
  <c r="M187" i="3"/>
  <c r="M186" i="3"/>
  <c r="M185" i="3"/>
  <c r="M184" i="3"/>
  <c r="M183" i="3"/>
  <c r="M182" i="3"/>
  <c r="M181" i="3"/>
  <c r="M180" i="3"/>
  <c r="M179" i="3"/>
  <c r="M178" i="3"/>
  <c r="M177" i="3"/>
  <c r="M175" i="3"/>
  <c r="M174" i="3"/>
  <c r="M173" i="3"/>
  <c r="M172" i="3"/>
  <c r="M171" i="3"/>
  <c r="M170" i="3"/>
  <c r="M169" i="3"/>
  <c r="M168" i="3"/>
  <c r="M167" i="3"/>
  <c r="M166" i="3"/>
  <c r="M165" i="3"/>
  <c r="M164" i="3"/>
  <c r="O163" i="3"/>
  <c r="C9" i="1" s="1"/>
  <c r="M161" i="3"/>
  <c r="M160" i="3"/>
  <c r="M159" i="3"/>
  <c r="M158" i="3"/>
  <c r="M157" i="3"/>
  <c r="M156" i="3"/>
  <c r="M155" i="3"/>
  <c r="M154" i="3"/>
  <c r="M153" i="3"/>
  <c r="M152" i="3"/>
  <c r="M151" i="3"/>
  <c r="M150" i="3"/>
  <c r="M148" i="3"/>
  <c r="M147" i="3"/>
  <c r="M146" i="3"/>
  <c r="M145" i="3"/>
  <c r="M144" i="3"/>
  <c r="M143" i="3"/>
  <c r="M142" i="3"/>
  <c r="M141" i="3"/>
  <c r="M140" i="3"/>
  <c r="M139" i="3"/>
  <c r="M138" i="3"/>
  <c r="M137" i="3"/>
  <c r="O136" i="3"/>
  <c r="M134" i="3"/>
  <c r="M133" i="3"/>
  <c r="M132" i="3"/>
  <c r="M131" i="3"/>
  <c r="M130" i="3"/>
  <c r="M129" i="3"/>
  <c r="M128" i="3"/>
  <c r="M127" i="3"/>
  <c r="M126" i="3"/>
  <c r="M125" i="3"/>
  <c r="M124" i="3"/>
  <c r="M123" i="3"/>
  <c r="M121" i="3"/>
  <c r="M120" i="3"/>
  <c r="M119" i="3"/>
  <c r="M118" i="3"/>
  <c r="M117" i="3"/>
  <c r="M116" i="3"/>
  <c r="M115" i="3"/>
  <c r="M114" i="3"/>
  <c r="M113" i="3"/>
  <c r="M112" i="3"/>
  <c r="M111" i="3"/>
  <c r="M110" i="3"/>
  <c r="C7" i="1"/>
  <c r="M107" i="3"/>
  <c r="M106" i="3"/>
  <c r="M105" i="3"/>
  <c r="M104" i="3"/>
  <c r="M103" i="3"/>
  <c r="M102" i="3"/>
  <c r="M101" i="3"/>
  <c r="M100" i="3"/>
  <c r="M99" i="3"/>
  <c r="M98" i="3"/>
  <c r="M97" i="3"/>
  <c r="M96" i="3"/>
  <c r="M94" i="3"/>
  <c r="M93" i="3"/>
  <c r="M92" i="3"/>
  <c r="M91" i="3"/>
  <c r="M90" i="3"/>
  <c r="M89" i="3"/>
  <c r="M88" i="3"/>
  <c r="M87" i="3"/>
  <c r="M86" i="3"/>
  <c r="M85" i="3"/>
  <c r="M84" i="3"/>
  <c r="M83" i="3"/>
  <c r="O82" i="3"/>
  <c r="C6" i="1" s="1"/>
  <c r="M80" i="3"/>
  <c r="M79" i="3"/>
  <c r="M78" i="3"/>
  <c r="M77" i="3"/>
  <c r="M76" i="3"/>
  <c r="M75" i="3"/>
  <c r="M74" i="3"/>
  <c r="M73" i="3"/>
  <c r="M72" i="3"/>
  <c r="M71" i="3"/>
  <c r="M70" i="3"/>
  <c r="M69" i="3"/>
  <c r="M67" i="3"/>
  <c r="M66" i="3"/>
  <c r="M65" i="3"/>
  <c r="M64" i="3"/>
  <c r="M63" i="3"/>
  <c r="M62" i="3"/>
  <c r="M61" i="3"/>
  <c r="M60" i="3"/>
  <c r="M59" i="3"/>
  <c r="M58" i="3"/>
  <c r="M57" i="3"/>
  <c r="M56" i="3"/>
  <c r="O55" i="3"/>
  <c r="M53" i="3"/>
  <c r="M40" i="3"/>
  <c r="M39" i="3"/>
  <c r="M38" i="3"/>
  <c r="M37" i="3"/>
  <c r="M36" i="3"/>
  <c r="M35" i="3"/>
  <c r="M34" i="3"/>
  <c r="M33" i="3"/>
  <c r="M32" i="3"/>
  <c r="M31" i="3"/>
  <c r="M30" i="3"/>
  <c r="M29" i="3"/>
  <c r="O28" i="3"/>
  <c r="C4" i="1" s="1"/>
  <c r="M26" i="3"/>
  <c r="M25" i="3"/>
  <c r="M24" i="3"/>
  <c r="M23" i="3"/>
  <c r="M22" i="3"/>
  <c r="M21" i="3"/>
  <c r="M20" i="3"/>
  <c r="M19" i="3"/>
  <c r="M18" i="3"/>
  <c r="M17" i="3"/>
  <c r="M16" i="3"/>
  <c r="M15" i="3"/>
  <c r="M13" i="3"/>
  <c r="M12" i="3"/>
  <c r="M11" i="3"/>
  <c r="M10" i="3"/>
  <c r="M9" i="3"/>
  <c r="M8" i="3"/>
  <c r="M7" i="3"/>
  <c r="M6" i="3"/>
  <c r="M5" i="3"/>
  <c r="M4" i="3"/>
  <c r="M3" i="3"/>
  <c r="F34" i="1"/>
  <c r="E34" i="1"/>
  <c r="D34" i="1"/>
  <c r="C34" i="1"/>
  <c r="E33" i="1"/>
  <c r="D33" i="1"/>
  <c r="E32" i="1"/>
  <c r="D32" i="1"/>
  <c r="E31" i="1"/>
  <c r="D31" i="1"/>
  <c r="C31" i="1"/>
  <c r="E30" i="1"/>
  <c r="E29" i="1"/>
  <c r="E28" i="1"/>
  <c r="E27" i="1"/>
  <c r="C27" i="1"/>
  <c r="E26" i="1"/>
  <c r="C26" i="1"/>
  <c r="E25" i="1"/>
  <c r="D25" i="1"/>
  <c r="C25" i="1"/>
  <c r="D24" i="1"/>
  <c r="E23" i="1"/>
  <c r="E22" i="1"/>
  <c r="E21" i="1"/>
  <c r="D21" i="1"/>
  <c r="C21" i="1"/>
  <c r="E20" i="1"/>
  <c r="C20" i="1"/>
  <c r="E19" i="1"/>
  <c r="D19" i="1"/>
  <c r="C19" i="1"/>
  <c r="E18" i="1"/>
  <c r="D18" i="1"/>
  <c r="C18" i="1"/>
  <c r="D17" i="1"/>
  <c r="C16" i="1"/>
  <c r="E15" i="1"/>
  <c r="D15" i="1"/>
  <c r="E14" i="1"/>
  <c r="D14" i="1"/>
  <c r="D13" i="1"/>
  <c r="C13" i="1"/>
  <c r="C12" i="1"/>
  <c r="E10" i="1"/>
  <c r="D10" i="1"/>
  <c r="E9" i="1"/>
  <c r="D9" i="1"/>
  <c r="E8" i="1"/>
  <c r="D8" i="1"/>
  <c r="C8" i="1"/>
  <c r="D7" i="1"/>
  <c r="D6" i="1"/>
  <c r="E5" i="1"/>
  <c r="D5" i="1"/>
  <c r="C5" i="1"/>
  <c r="E4" i="1"/>
  <c r="O811" i="6"/>
  <c r="F33" i="1" s="1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F811" i="6" s="1"/>
  <c r="E797" i="6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32" i="1" s="1"/>
  <c r="G32" i="1" s="1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F784" i="6" s="1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30" i="1" s="1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G729" i="6" s="1"/>
  <c r="F716" i="6"/>
  <c r="F730" i="6" s="1"/>
  <c r="E716" i="6"/>
  <c r="E730" i="6" s="1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G716" i="6" s="1"/>
  <c r="O703" i="6"/>
  <c r="F29" i="1" s="1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28" i="1" s="1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E676" i="6" s="1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27" i="1" s="1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O622" i="6"/>
  <c r="F26" i="1" s="1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E622" i="6" s="1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O595" i="6"/>
  <c r="F25" i="1" s="1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G594" i="6" s="1"/>
  <c r="F581" i="6"/>
  <c r="F595" i="6" s="1"/>
  <c r="E581" i="6"/>
  <c r="E595" i="6" s="1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24" i="1" s="1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M555" i="6"/>
  <c r="G555" i="6"/>
  <c r="F554" i="6"/>
  <c r="F568" i="6" s="1"/>
  <c r="E554" i="6"/>
  <c r="E568" i="6" s="1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23" i="1" s="1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22" i="1" s="1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G500" i="6" s="1"/>
  <c r="O487" i="6"/>
  <c r="F21" i="1" s="1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O460" i="6"/>
  <c r="F20" i="1" s="1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G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G446" i="6" s="1"/>
  <c r="O433" i="6"/>
  <c r="F19" i="1" s="1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F433" i="6" s="1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18" i="1" s="1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17" i="1" s="1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G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15" i="1" s="1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F325" i="6" s="1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14" i="1" s="1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G297" i="6" s="1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F257" i="6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G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F244" i="6" s="1"/>
  <c r="E230" i="6"/>
  <c r="E244" i="6" s="1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11" i="1" s="1"/>
  <c r="G11" i="1" s="1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F217" i="6" s="1"/>
  <c r="E203" i="6"/>
  <c r="E217" i="6" s="1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0" i="1" s="1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F190" i="6" s="1"/>
  <c r="E176" i="6"/>
  <c r="E190" i="6" s="1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G176" i="6" s="1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F149" i="6"/>
  <c r="E149" i="6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G149" i="6" s="1"/>
  <c r="O136" i="6"/>
  <c r="F8" i="1" s="1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E136" i="6" s="1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7" i="1" s="1"/>
  <c r="F108" i="6"/>
  <c r="E108" i="6"/>
  <c r="M107" i="6"/>
  <c r="M106" i="6"/>
  <c r="M105" i="6"/>
  <c r="M104" i="6"/>
  <c r="M103" i="6"/>
  <c r="M102" i="6"/>
  <c r="M101" i="6"/>
  <c r="M100" i="6"/>
  <c r="M99" i="6"/>
  <c r="M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F109" i="6" s="1"/>
  <c r="E95" i="6"/>
  <c r="E109" i="6" s="1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G95" i="6" s="1"/>
  <c r="O82" i="6"/>
  <c r="F6" i="1" s="1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G81" i="6" s="1"/>
  <c r="F68" i="6"/>
  <c r="E68" i="6"/>
  <c r="E82" i="6" s="1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G68" i="6" s="1"/>
  <c r="O55" i="6"/>
  <c r="F5" i="1" s="1"/>
  <c r="G5" i="1" s="1"/>
  <c r="F54" i="6"/>
  <c r="E54" i="6"/>
  <c r="G53" i="6"/>
  <c r="G52" i="6"/>
  <c r="G51" i="6"/>
  <c r="G50" i="6"/>
  <c r="G49" i="6"/>
  <c r="G48" i="6"/>
  <c r="G47" i="6"/>
  <c r="G46" i="6"/>
  <c r="G45" i="6"/>
  <c r="G44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G42" i="6"/>
  <c r="F41" i="6"/>
  <c r="F55" i="6" s="1"/>
  <c r="E41" i="6"/>
  <c r="E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G27" i="6" s="1"/>
  <c r="F14" i="6"/>
  <c r="F28" i="6" s="1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G14" i="6" s="1"/>
  <c r="G28" i="6" s="1"/>
  <c r="F136" i="6" l="1"/>
  <c r="E163" i="6"/>
  <c r="G230" i="6"/>
  <c r="G243" i="6"/>
  <c r="G270" i="6"/>
  <c r="F271" i="6"/>
  <c r="E352" i="6"/>
  <c r="G378" i="6"/>
  <c r="G459" i="6"/>
  <c r="E460" i="6"/>
  <c r="F460" i="6"/>
  <c r="G473" i="6"/>
  <c r="E541" i="6"/>
  <c r="G554" i="6"/>
  <c r="G567" i="6"/>
  <c r="G581" i="6"/>
  <c r="G595" i="6" s="1"/>
  <c r="G621" i="6"/>
  <c r="E757" i="6"/>
  <c r="G770" i="6"/>
  <c r="G783" i="6"/>
  <c r="G9" i="1"/>
  <c r="G13" i="1"/>
  <c r="G18" i="1"/>
  <c r="G19" i="1"/>
  <c r="G20" i="1"/>
  <c r="G24" i="1"/>
  <c r="G31" i="1"/>
  <c r="G6" i="1"/>
  <c r="G22" i="1"/>
  <c r="E109" i="5"/>
  <c r="E136" i="5"/>
  <c r="E244" i="5"/>
  <c r="E271" i="5"/>
  <c r="E325" i="5"/>
  <c r="E460" i="5"/>
  <c r="E487" i="5"/>
  <c r="E514" i="5"/>
  <c r="E649" i="5"/>
  <c r="E703" i="5"/>
  <c r="E730" i="5"/>
  <c r="G54" i="5"/>
  <c r="G55" i="5" s="1"/>
  <c r="G68" i="5"/>
  <c r="G95" i="5"/>
  <c r="G108" i="5"/>
  <c r="F109" i="5"/>
  <c r="G135" i="5"/>
  <c r="G149" i="5"/>
  <c r="G163" i="5" s="1"/>
  <c r="G189" i="5"/>
  <c r="F217" i="5"/>
  <c r="G230" i="5"/>
  <c r="G244" i="5" s="1"/>
  <c r="G270" i="5"/>
  <c r="F271" i="5"/>
  <c r="G311" i="5"/>
  <c r="G325" i="5" s="1"/>
  <c r="F325" i="5"/>
  <c r="G351" i="5"/>
  <c r="F352" i="5"/>
  <c r="G365" i="5"/>
  <c r="G392" i="5"/>
  <c r="G405" i="5"/>
  <c r="F406" i="5"/>
  <c r="G432" i="5"/>
  <c r="G433" i="5" s="1"/>
  <c r="G446" i="5"/>
  <c r="G460" i="5" s="1"/>
  <c r="G486" i="5"/>
  <c r="F487" i="5"/>
  <c r="F514" i="5"/>
  <c r="G527" i="5"/>
  <c r="G567" i="5"/>
  <c r="F568" i="5"/>
  <c r="G608" i="5"/>
  <c r="G622" i="5" s="1"/>
  <c r="G648" i="5"/>
  <c r="F649" i="5"/>
  <c r="G662" i="5"/>
  <c r="G676" i="5" s="1"/>
  <c r="G689" i="5"/>
  <c r="G702" i="5"/>
  <c r="F703" i="5"/>
  <c r="G729" i="5"/>
  <c r="G730" i="5" s="1"/>
  <c r="G743" i="5"/>
  <c r="G757" i="5" s="1"/>
  <c r="G770" i="5"/>
  <c r="G783" i="5"/>
  <c r="F784" i="5"/>
  <c r="E55" i="5"/>
  <c r="F55" i="5"/>
  <c r="G10" i="1"/>
  <c r="G14" i="1"/>
  <c r="G34" i="1"/>
  <c r="G16" i="1"/>
  <c r="G17" i="1"/>
  <c r="E55" i="4"/>
  <c r="E82" i="4"/>
  <c r="E136" i="4"/>
  <c r="E244" i="4"/>
  <c r="E271" i="4"/>
  <c r="E298" i="4"/>
  <c r="E325" i="4"/>
  <c r="E460" i="4"/>
  <c r="E514" i="4"/>
  <c r="E649" i="4"/>
  <c r="E703" i="4"/>
  <c r="E730" i="4"/>
  <c r="G41" i="4"/>
  <c r="G54" i="4"/>
  <c r="F55" i="4"/>
  <c r="G81" i="4"/>
  <c r="G82" i="4" s="1"/>
  <c r="G95" i="4"/>
  <c r="G109" i="4" s="1"/>
  <c r="G135" i="4"/>
  <c r="G136" i="4" s="1"/>
  <c r="F136" i="4"/>
  <c r="F217" i="4"/>
  <c r="G230" i="4"/>
  <c r="G244" i="4" s="1"/>
  <c r="G270" i="4"/>
  <c r="G271" i="4" s="1"/>
  <c r="F271" i="4"/>
  <c r="G311" i="4"/>
  <c r="G325" i="4" s="1"/>
  <c r="G338" i="4"/>
  <c r="G351" i="4"/>
  <c r="F352" i="4"/>
  <c r="G378" i="4"/>
  <c r="G379" i="4" s="1"/>
  <c r="G392" i="4"/>
  <c r="G432" i="4"/>
  <c r="F433" i="4"/>
  <c r="F514" i="4"/>
  <c r="G527" i="4"/>
  <c r="G541" i="4" s="1"/>
  <c r="G567" i="4"/>
  <c r="F568" i="4"/>
  <c r="G608" i="4"/>
  <c r="G622" i="4" s="1"/>
  <c r="G648" i="4"/>
  <c r="G649" i="4" s="1"/>
  <c r="F649" i="4"/>
  <c r="G689" i="4"/>
  <c r="G729" i="4"/>
  <c r="F730" i="4"/>
  <c r="G770" i="4"/>
  <c r="G784" i="4" s="1"/>
  <c r="G14" i="5"/>
  <c r="G28" i="5" s="1"/>
  <c r="F28" i="5"/>
  <c r="G14" i="4"/>
  <c r="G28" i="4" s="1"/>
  <c r="E82" i="3"/>
  <c r="E109" i="3"/>
  <c r="E136" i="3"/>
  <c r="E460" i="3"/>
  <c r="E487" i="3"/>
  <c r="E514" i="3"/>
  <c r="E676" i="3"/>
  <c r="E703" i="3"/>
  <c r="E730" i="3"/>
  <c r="E784" i="3"/>
  <c r="F55" i="3"/>
  <c r="G68" i="3"/>
  <c r="G82" i="3" s="1"/>
  <c r="G95" i="3"/>
  <c r="G108" i="3"/>
  <c r="F109" i="3"/>
  <c r="G122" i="3"/>
  <c r="G135" i="3"/>
  <c r="G149" i="3"/>
  <c r="G162" i="3"/>
  <c r="G189" i="3"/>
  <c r="G190" i="3" s="1"/>
  <c r="G230" i="3"/>
  <c r="G244" i="3" s="1"/>
  <c r="G270" i="3"/>
  <c r="F271" i="3"/>
  <c r="G284" i="3"/>
  <c r="G324" i="3"/>
  <c r="G325" i="3" s="1"/>
  <c r="F325" i="3"/>
  <c r="F352" i="3"/>
  <c r="G365" i="3"/>
  <c r="G379" i="3" s="1"/>
  <c r="G392" i="3"/>
  <c r="G405" i="3"/>
  <c r="F406" i="3"/>
  <c r="G419" i="3"/>
  <c r="G432" i="3"/>
  <c r="G446" i="3"/>
  <c r="G459" i="3"/>
  <c r="G486" i="3"/>
  <c r="G487" i="3" s="1"/>
  <c r="G527" i="3"/>
  <c r="G567" i="3"/>
  <c r="F568" i="3"/>
  <c r="G581" i="3"/>
  <c r="G595" i="3" s="1"/>
  <c r="G621" i="3"/>
  <c r="G622" i="3" s="1"/>
  <c r="F649" i="3"/>
  <c r="G662" i="3"/>
  <c r="G702" i="3"/>
  <c r="F703" i="3"/>
  <c r="G743" i="3"/>
  <c r="G757" i="3" s="1"/>
  <c r="F757" i="3"/>
  <c r="G783" i="3"/>
  <c r="G810" i="3"/>
  <c r="G811" i="3" s="1"/>
  <c r="G14" i="3"/>
  <c r="G28" i="3" s="1"/>
  <c r="F28" i="3"/>
  <c r="G784" i="3"/>
  <c r="G271" i="3"/>
  <c r="G541" i="3"/>
  <c r="G406" i="3"/>
  <c r="G703" i="3"/>
  <c r="G568" i="3"/>
  <c r="G676" i="3"/>
  <c r="G109" i="3"/>
  <c r="G136" i="3"/>
  <c r="G298" i="3"/>
  <c r="G406" i="4"/>
  <c r="G433" i="4"/>
  <c r="G568" i="4"/>
  <c r="G730" i="4"/>
  <c r="G703" i="4"/>
  <c r="G55" i="4"/>
  <c r="G487" i="5"/>
  <c r="G649" i="5"/>
  <c r="G109" i="5"/>
  <c r="G136" i="5"/>
  <c r="G271" i="5"/>
  <c r="G82" i="5"/>
  <c r="G406" i="5"/>
  <c r="G568" i="5"/>
  <c r="G352" i="5"/>
  <c r="G541" i="5"/>
  <c r="G379" i="5"/>
  <c r="G703" i="5"/>
  <c r="G190" i="5"/>
  <c r="E541" i="3"/>
  <c r="E784" i="5"/>
  <c r="M554" i="4"/>
  <c r="M621" i="4"/>
  <c r="M594" i="4"/>
  <c r="M14" i="3"/>
  <c r="M756" i="4"/>
  <c r="M405" i="5"/>
  <c r="M27" i="4"/>
  <c r="M297" i="3"/>
  <c r="M135" i="5"/>
  <c r="M162" i="4"/>
  <c r="M230" i="5"/>
  <c r="M743" i="3"/>
  <c r="M81" i="4"/>
  <c r="M419" i="6"/>
  <c r="M459" i="6"/>
  <c r="M702" i="6"/>
  <c r="M797" i="6"/>
  <c r="M135" i="3"/>
  <c r="M95" i="6"/>
  <c r="M324" i="3"/>
  <c r="M527" i="5"/>
  <c r="M122" i="6"/>
  <c r="M797" i="5"/>
  <c r="M95" i="4"/>
  <c r="M176" i="6"/>
  <c r="M230" i="6"/>
  <c r="M270" i="6"/>
  <c r="M554" i="6"/>
  <c r="M783" i="6"/>
  <c r="M68" i="4"/>
  <c r="M41" i="5"/>
  <c r="M365" i="3"/>
  <c r="M756" i="5"/>
  <c r="M54" i="4"/>
  <c r="M689" i="5"/>
  <c r="M500" i="3"/>
  <c r="M635" i="6"/>
  <c r="M122" i="4"/>
  <c r="M540" i="3"/>
  <c r="M68" i="5"/>
  <c r="M338" i="5"/>
  <c r="M513" i="4"/>
  <c r="M527" i="4"/>
  <c r="M567" i="5"/>
  <c r="M378" i="6"/>
  <c r="M216" i="3"/>
  <c r="M716" i="5"/>
  <c r="M702" i="3"/>
  <c r="M473" i="4"/>
  <c r="M648" i="5"/>
  <c r="M41" i="3"/>
  <c r="M108" i="3"/>
  <c r="M675" i="3"/>
  <c r="M270" i="5"/>
  <c r="M311" i="5"/>
  <c r="M608" i="4"/>
  <c r="M189" i="5"/>
  <c r="M392" i="6"/>
  <c r="M473" i="6"/>
  <c r="M54" i="3"/>
  <c r="M230" i="3"/>
  <c r="M527" i="6"/>
  <c r="M338" i="6"/>
  <c r="M783" i="3"/>
  <c r="M149" i="6"/>
  <c r="M729" i="6"/>
  <c r="M770" i="6"/>
  <c r="M162" i="3"/>
  <c r="M797" i="3"/>
  <c r="M378" i="5"/>
  <c r="M716" i="3"/>
  <c r="M243" i="3"/>
  <c r="M405" i="4"/>
  <c r="M432" i="6"/>
  <c r="M14" i="6"/>
  <c r="M27" i="5"/>
  <c r="M419" i="3"/>
  <c r="M446" i="3"/>
  <c r="G784" i="6"/>
  <c r="M297" i="6"/>
  <c r="G135" i="6"/>
  <c r="G392" i="6"/>
  <c r="M392" i="3"/>
  <c r="M162" i="6"/>
  <c r="M41" i="6"/>
  <c r="M216" i="6"/>
  <c r="G460" i="6"/>
  <c r="M311" i="3"/>
  <c r="M621" i="3"/>
  <c r="D35" i="1"/>
  <c r="G4" i="1"/>
  <c r="M203" i="4"/>
  <c r="M203" i="5"/>
  <c r="M243" i="5"/>
  <c r="G162" i="6"/>
  <c r="G189" i="6"/>
  <c r="M189" i="3"/>
  <c r="G54" i="6"/>
  <c r="M189" i="6"/>
  <c r="M41" i="4"/>
  <c r="M675" i="5"/>
  <c r="M54" i="6"/>
  <c r="G311" i="6"/>
  <c r="G33" i="1"/>
  <c r="M284" i="4"/>
  <c r="F163" i="6"/>
  <c r="M621" i="6"/>
  <c r="G8" i="1"/>
  <c r="G25" i="1"/>
  <c r="M513" i="3"/>
  <c r="M554" i="3"/>
  <c r="M257" i="4"/>
  <c r="M648" i="4"/>
  <c r="M176" i="5"/>
  <c r="M95" i="5"/>
  <c r="G82" i="6"/>
  <c r="M135" i="6"/>
  <c r="G338" i="6"/>
  <c r="M648" i="3"/>
  <c r="M540" i="6"/>
  <c r="M459" i="4"/>
  <c r="M500" i="6"/>
  <c r="M770" i="3"/>
  <c r="G730" i="6"/>
  <c r="M716" i="6"/>
  <c r="G216" i="6"/>
  <c r="M338" i="3"/>
  <c r="M743" i="4"/>
  <c r="M702" i="5"/>
  <c r="G190" i="6"/>
  <c r="G689" i="6"/>
  <c r="G163" i="6"/>
  <c r="G662" i="6"/>
  <c r="E811" i="6"/>
  <c r="M297" i="4"/>
  <c r="M675" i="4"/>
  <c r="M486" i="5"/>
  <c r="M743" i="5"/>
  <c r="M594" i="6"/>
  <c r="M27" i="3"/>
  <c r="M729" i="3"/>
  <c r="M135" i="4"/>
  <c r="G27" i="1"/>
  <c r="M513" i="6"/>
  <c r="G635" i="6"/>
  <c r="C35" i="1"/>
  <c r="M729" i="4"/>
  <c r="M149" i="5"/>
  <c r="M257" i="6"/>
  <c r="G743" i="6"/>
  <c r="M810" i="6"/>
  <c r="M203" i="3"/>
  <c r="M405" i="3"/>
  <c r="M230" i="4"/>
  <c r="M54" i="5"/>
  <c r="M122" i="5"/>
  <c r="M486" i="6"/>
  <c r="G756" i="6"/>
  <c r="M581" i="4"/>
  <c r="M797" i="4"/>
  <c r="M446" i="5"/>
  <c r="G608" i="6"/>
  <c r="G622" i="6" s="1"/>
  <c r="G675" i="6"/>
  <c r="M756" i="6"/>
  <c r="G23" i="1"/>
  <c r="M702" i="4"/>
  <c r="M540" i="5"/>
  <c r="M594" i="5"/>
  <c r="M81" i="6"/>
  <c r="M108" i="6"/>
  <c r="G432" i="6"/>
  <c r="G486" i="6"/>
  <c r="G487" i="6" s="1"/>
  <c r="G405" i="6"/>
  <c r="G648" i="6"/>
  <c r="F703" i="6"/>
  <c r="M594" i="3"/>
  <c r="M108" i="4"/>
  <c r="M392" i="5"/>
  <c r="M419" i="5"/>
  <c r="M648" i="6"/>
  <c r="M770" i="4"/>
  <c r="M176" i="3"/>
  <c r="M351" i="3"/>
  <c r="M378" i="4"/>
  <c r="M81" i="5"/>
  <c r="M216" i="5"/>
  <c r="M365" i="5"/>
  <c r="M608" i="5"/>
  <c r="G513" i="6"/>
  <c r="G514" i="6" s="1"/>
  <c r="M68" i="3"/>
  <c r="M297" i="5"/>
  <c r="M513" i="5"/>
  <c r="M675" i="6"/>
  <c r="G21" i="1"/>
  <c r="M95" i="3"/>
  <c r="M405" i="6"/>
  <c r="G324" i="6"/>
  <c r="G7" i="1"/>
  <c r="G15" i="1"/>
  <c r="M486" i="4"/>
  <c r="M108" i="5"/>
  <c r="M68" i="6"/>
  <c r="M689" i="3"/>
  <c r="G28" i="1"/>
  <c r="M27" i="6"/>
  <c r="M446" i="6"/>
  <c r="M378" i="3"/>
  <c r="M581" i="5"/>
  <c r="M270" i="3"/>
  <c r="M662" i="4"/>
  <c r="G257" i="6"/>
  <c r="G271" i="6" s="1"/>
  <c r="G365" i="6"/>
  <c r="G379" i="6" s="1"/>
  <c r="G527" i="6"/>
  <c r="M608" i="6"/>
  <c r="M81" i="3"/>
  <c r="M432" i="3"/>
  <c r="M527" i="3"/>
  <c r="M540" i="4"/>
  <c r="G26" i="1"/>
  <c r="M14" i="5"/>
  <c r="M257" i="5"/>
  <c r="M365" i="6"/>
  <c r="M149" i="3"/>
  <c r="M432" i="4"/>
  <c r="M810" i="5"/>
  <c r="G203" i="6"/>
  <c r="G702" i="6"/>
  <c r="M743" i="6"/>
  <c r="M473" i="3"/>
  <c r="M810" i="3"/>
  <c r="M216" i="4"/>
  <c r="M689" i="4"/>
  <c r="M473" i="5"/>
  <c r="M203" i="6"/>
  <c r="E35" i="1"/>
  <c r="M608" i="3"/>
  <c r="M338" i="4"/>
  <c r="M567" i="4"/>
  <c r="M783" i="4"/>
  <c r="M324" i="5"/>
  <c r="F35" i="1"/>
  <c r="M257" i="3"/>
  <c r="G29" i="1"/>
  <c r="G30" i="1"/>
  <c r="M432" i="5"/>
  <c r="F82" i="6"/>
  <c r="M662" i="6"/>
  <c r="M270" i="4"/>
  <c r="M284" i="5"/>
  <c r="M284" i="6"/>
  <c r="M567" i="3"/>
  <c r="M635" i="3"/>
  <c r="M459" i="5"/>
  <c r="M500" i="5"/>
  <c r="G122" i="6"/>
  <c r="M243" i="6"/>
  <c r="G351" i="6"/>
  <c r="M176" i="4"/>
  <c r="M311" i="4"/>
  <c r="M446" i="4"/>
  <c r="M770" i="5"/>
  <c r="M311" i="6"/>
  <c r="M351" i="6"/>
  <c r="G540" i="6"/>
  <c r="M581" i="6"/>
  <c r="M459" i="3"/>
  <c r="M419" i="4"/>
  <c r="M500" i="4"/>
  <c r="G108" i="6"/>
  <c r="G109" i="6" s="1"/>
  <c r="G284" i="6"/>
  <c r="G298" i="6" s="1"/>
  <c r="M662" i="5"/>
  <c r="F514" i="6"/>
  <c r="M581" i="3"/>
  <c r="M756" i="3"/>
  <c r="M810" i="4"/>
  <c r="G41" i="6"/>
  <c r="G55" i="6" s="1"/>
  <c r="M567" i="6"/>
  <c r="M365" i="4"/>
  <c r="G419" i="6"/>
  <c r="M122" i="3"/>
  <c r="M621" i="5"/>
  <c r="M324" i="6"/>
  <c r="M689" i="6"/>
  <c r="G810" i="6"/>
  <c r="G811" i="6" s="1"/>
  <c r="M729" i="5"/>
  <c r="M783" i="5"/>
  <c r="M351" i="5"/>
  <c r="M486" i="3"/>
  <c r="M662" i="3"/>
  <c r="M14" i="4"/>
  <c r="M162" i="5"/>
  <c r="M284" i="3"/>
  <c r="M189" i="4"/>
  <c r="M243" i="4"/>
  <c r="M351" i="4"/>
  <c r="M554" i="5"/>
  <c r="M716" i="4"/>
  <c r="M635" i="5"/>
  <c r="M149" i="4"/>
  <c r="M324" i="4"/>
  <c r="M392" i="4"/>
  <c r="M635" i="4"/>
  <c r="G541" i="6" l="1"/>
  <c r="G757" i="6"/>
  <c r="G406" i="6"/>
  <c r="G568" i="6"/>
  <c r="G244" i="6"/>
  <c r="G784" i="5"/>
  <c r="G352" i="4"/>
  <c r="G460" i="3"/>
  <c r="G433" i="3"/>
  <c r="G163" i="3"/>
  <c r="M28" i="5"/>
  <c r="M244" i="5"/>
  <c r="M244" i="3"/>
  <c r="M406" i="5"/>
  <c r="M271" i="6"/>
  <c r="M703" i="3"/>
  <c r="M244" i="6"/>
  <c r="M190" i="6"/>
  <c r="M811" i="3"/>
  <c r="M28" i="6"/>
  <c r="M325" i="5"/>
  <c r="M676" i="3"/>
  <c r="M217" i="6"/>
  <c r="M217" i="3"/>
  <c r="M136" i="4"/>
  <c r="M703" i="5"/>
  <c r="M163" i="4"/>
  <c r="M82" i="4"/>
  <c r="M487" i="4"/>
  <c r="M595" i="4"/>
  <c r="M379" i="5"/>
  <c r="M28" i="3"/>
  <c r="M730" i="5"/>
  <c r="M568" i="6"/>
  <c r="M622" i="4"/>
  <c r="M649" i="5"/>
  <c r="M757" i="4"/>
  <c r="M136" i="3"/>
  <c r="M568" i="4"/>
  <c r="M190" i="3"/>
  <c r="M541" i="5"/>
  <c r="M811" i="6"/>
  <c r="M271" i="5"/>
  <c r="M541" i="6"/>
  <c r="M325" i="3"/>
  <c r="M55" i="5"/>
  <c r="M433" i="6"/>
  <c r="M217" i="5"/>
  <c r="M730" i="3"/>
  <c r="M703" i="6"/>
  <c r="M784" i="6"/>
  <c r="M649" i="4"/>
  <c r="M109" i="4"/>
  <c r="M163" i="6"/>
  <c r="M541" i="4"/>
  <c r="M406" i="4"/>
  <c r="M703" i="4"/>
  <c r="M730" i="4"/>
  <c r="M433" i="4"/>
  <c r="M217" i="4"/>
  <c r="M649" i="6"/>
  <c r="M352" i="5"/>
  <c r="M433" i="3"/>
  <c r="M136" i="6"/>
  <c r="M514" i="3"/>
  <c r="M757" i="3"/>
  <c r="M649" i="3"/>
  <c r="M352" i="4"/>
  <c r="M136" i="5"/>
  <c r="M352" i="3"/>
  <c r="M163" i="3"/>
  <c r="M757" i="5"/>
  <c r="M109" i="5"/>
  <c r="M109" i="6"/>
  <c r="M55" i="3"/>
  <c r="M379" i="3"/>
  <c r="M298" i="3"/>
  <c r="M460" i="4"/>
  <c r="M460" i="6"/>
  <c r="M28" i="4"/>
  <c r="M325" i="4"/>
  <c r="M487" i="3"/>
  <c r="M757" i="6"/>
  <c r="M82" i="5"/>
  <c r="M460" i="3"/>
  <c r="M595" i="6"/>
  <c r="M811" i="5"/>
  <c r="M298" i="5"/>
  <c r="M352" i="6"/>
  <c r="M514" i="4"/>
  <c r="M163" i="5"/>
  <c r="M784" i="3"/>
  <c r="M595" i="3"/>
  <c r="M406" i="6"/>
  <c r="M541" i="3"/>
  <c r="M514" i="5"/>
  <c r="M622" i="6"/>
  <c r="M730" i="6"/>
  <c r="M55" i="4"/>
  <c r="M190" i="5"/>
  <c r="M568" i="5"/>
  <c r="M595" i="5"/>
  <c r="M676" i="5"/>
  <c r="M676" i="6"/>
  <c r="M109" i="3"/>
  <c r="M487" i="6"/>
  <c r="M379" i="6"/>
  <c r="G217" i="6"/>
  <c r="M298" i="4"/>
  <c r="M325" i="6"/>
  <c r="G325" i="6"/>
  <c r="G649" i="6"/>
  <c r="M433" i="5"/>
  <c r="G433" i="6"/>
  <c r="M487" i="5"/>
  <c r="M55" i="6"/>
  <c r="M298" i="6"/>
  <c r="G676" i="6"/>
  <c r="M784" i="4"/>
  <c r="M784" i="5"/>
  <c r="M622" i="3"/>
  <c r="M244" i="4"/>
  <c r="M271" i="4"/>
  <c r="G35" i="1"/>
  <c r="M676" i="4"/>
  <c r="M460" i="5"/>
  <c r="M811" i="4"/>
  <c r="G703" i="6"/>
  <c r="M514" i="6"/>
  <c r="M190" i="4"/>
  <c r="M271" i="3"/>
  <c r="M82" i="3"/>
  <c r="M379" i="4"/>
  <c r="M82" i="6"/>
  <c r="M622" i="5"/>
  <c r="G352" i="6"/>
  <c r="M568" i="3"/>
  <c r="G136" i="6"/>
  <c r="M406" i="3"/>
</calcChain>
</file>

<file path=xl/sharedStrings.xml><?xml version="1.0" encoding="utf-8"?>
<sst xmlns="http://schemas.openxmlformats.org/spreadsheetml/2006/main" count="3989" uniqueCount="276">
  <si>
    <t>📊  RESUMO — TOTALIZADOR DA BALANÇA  |  JULHO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</si>
  <si>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</si>
  <si>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</si>
  <si>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</si>
  <si>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</si>
  <si>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</si>
  <si>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</si>
  <si>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</si>
  <si>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</si>
  <si>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</si>
  <si>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</si>
  <si>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</si>
  <si>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</si>
  <si>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</si>
  <si>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</si>
  <si>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</si>
  <si>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</si>
  <si>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</si>
  <si>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</si>
  <si>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</si>
  <si>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</si>
  <si>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</si>
  <si>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</si>
  <si>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</si>
  <si>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</si>
  <si>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</si>
  <si>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</si>
  <si>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</si>
  <si>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</si>
  <si>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</si>
  <si>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</si>
  <si>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</si>
  <si>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</si>
  <si>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</si>
  <si>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</si>
  <si>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</si>
  <si>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</si>
  <si>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</si>
  <si>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</si>
  <si>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</si>
  <si>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</si>
  <si>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</si>
  <si>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</si>
  <si>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</si>
  <si>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</si>
  <si>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</si>
  <si>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</si>
  <si>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</si>
  <si>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</si>
  <si>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</si>
  <si>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</si>
  <si>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</si>
  <si>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</si>
  <si>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</si>
  <si>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</si>
  <si>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</si>
  <si>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</si>
  <si>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</si>
  <si>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</si>
  <si>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</si>
  <si>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</si>
  <si>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</si>
  <si>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</si>
  <si>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</si>
  <si>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</si>
  <si>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</si>
  <si>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</si>
  <si>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</si>
  <si>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</si>
  <si>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</si>
  <si>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</si>
  <si>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</si>
  <si>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</si>
  <si>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</si>
  <si>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</si>
  <si>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</si>
  <si>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</si>
  <si>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</si>
  <si>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</si>
  <si>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</si>
  <si>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</si>
  <si>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manuteçao programada ,serviço de solda na tubulaçao da agua das alimentçoes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</si>
  <si>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</si>
  <si>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</si>
  <si>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</si>
  <si>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</si>
  <si>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</si>
  <si>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</si>
  <si>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</si>
  <si>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</si>
  <si>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</si>
  <si>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</si>
  <si>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</si>
  <si>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</si>
  <si>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</si>
  <si>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</si>
  <si>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</si>
  <si>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</si>
  <si>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</si>
  <si>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</si>
  <si>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</si>
  <si>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</si>
  <si>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</si>
  <si>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</si>
  <si>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</si>
  <si>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</si>
  <si>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</si>
  <si>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</si>
  <si>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</si>
  <si>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</si>
  <si>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</si>
  <si>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</si>
  <si>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</si>
  <si>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</si>
  <si>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</si>
  <si>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</si>
  <si>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</si>
  <si>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</si>
  <si>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</si>
  <si>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</si>
  <si>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</si>
  <si>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</si>
  <si>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</si>
  <si>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</si>
  <si>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</si>
  <si>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</si>
  <si>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</si>
  <si>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</si>
  <si>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</si>
  <si>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</si>
  <si>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</si>
  <si>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</si>
  <si>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</si>
  <si>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</si>
  <si>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</si>
  <si>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</si>
  <si>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</si>
  <si>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</si>
  <si>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</si>
  <si>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</si>
  <si>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</si>
  <si>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</si>
  <si>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</si>
  <si>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</si>
  <si>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</si>
  <si>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</si>
  <si>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</si>
  <si>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</si>
  <si>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</si>
  <si>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</si>
  <si>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</si>
  <si>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</si>
  <si>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</si>
  <si>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</si>
  <si>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</si>
  <si>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</si>
  <si>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</si>
  <si>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</si>
  <si>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</si>
  <si>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</si>
  <si>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</si>
  <si>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</si>
  <si>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</si>
  <si>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</si>
  <si>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</si>
  <si>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</si>
  <si>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</si>
  <si>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</si>
  <si>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</si>
  <si>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</si>
  <si>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</si>
  <si>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</si>
  <si>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</si>
  <si>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</si>
  <si>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</si>
  <si>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</si>
  <si>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</si>
  <si>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</si>
  <si>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</si>
  <si>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</si>
  <si>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</si>
  <si>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</si>
  <si>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</si>
  <si>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</si>
  <si>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</si>
  <si>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</si>
  <si>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</si>
  <si>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</si>
  <si>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</si>
  <si>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</si>
  <si>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foramento de moinho</t>
  </si>
  <si>
    <t>Acoplamento solto</t>
  </si>
  <si>
    <t>Parafuso do acoplamento solto</t>
  </si>
  <si>
    <t>Borracha da correia alimentadora fora do lugar</t>
  </si>
  <si>
    <t>emenda da tc 02</t>
  </si>
  <si>
    <t>Recolocação de parafuso</t>
  </si>
  <si>
    <t>Revisão geral</t>
  </si>
  <si>
    <t>Ajuste na bica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</si>
  <si>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</si>
  <si>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</si>
  <si>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</si>
  <si>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</si>
  <si>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</si>
  <si>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</si>
  <si>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</si>
  <si>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</si>
  <si>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</si>
  <si>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</si>
  <si>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baixo teor</t>
  </si>
  <si>
    <t>PC 19</t>
  </si>
  <si>
    <t>limpeza na tc 2</t>
  </si>
  <si>
    <t>☀  TURNO DIURNO</t>
  </si>
  <si>
    <t>Totalizador da balança  ➜</t>
  </si>
  <si>
    <t>🌙  TURNO NOTURNO</t>
  </si>
  <si>
    <t>TOTAL GLOBAL DO DIA</t>
  </si>
  <si>
    <t>Totalizador global  ➜</t>
  </si>
  <si>
    <t>fechamento de grelha</t>
  </si>
  <si>
    <t>troca de pino, virada das facas</t>
  </si>
  <si>
    <t>apertar parafuso do mancal</t>
  </si>
  <si>
    <t>pc 19 em manutenção, escavadeira alimentando britagem</t>
  </si>
  <si>
    <t>quebrou os pinos da facas,troca de facas</t>
  </si>
  <si>
    <t>PC 17</t>
  </si>
  <si>
    <t>martelo soltou, troca de martelo, aperto de parafuso do mancal, manutenção bomba de rejeito</t>
  </si>
  <si>
    <t>obs: trocar parafuso do mancal</t>
  </si>
  <si>
    <t>centrifrica 7 parada pra reparo eletrico</t>
  </si>
  <si>
    <t>troca do martelo do moinhio 01,manuteçâo no alimentado</t>
  </si>
  <si>
    <t>troca de grelha,solda na chapa</t>
  </si>
  <si>
    <t>sendo trocado rolamento do moinho 1 , operando apenas MM2</t>
  </si>
  <si>
    <t>mm1 e mm2 operando</t>
  </si>
  <si>
    <t>balata soltou</t>
  </si>
  <si>
    <t>troca de grelha</t>
  </si>
  <si>
    <t>passado graxa</t>
  </si>
  <si>
    <t>troca de balata</t>
  </si>
  <si>
    <t>balata solta</t>
  </si>
  <si>
    <t>02:00 PC19 furou pneu, caminhão basculante jogando e escavadeira empurrando o material</t>
  </si>
  <si>
    <t>arrebetou balata,troca de martelo moinho 1</t>
  </si>
  <si>
    <t>troca de martelo moinho 2</t>
  </si>
  <si>
    <t>22:00 alimentação baixa, pouco material britado</t>
  </si>
  <si>
    <t>01:30 rolamento do moinho 2 estourou, operando apenas moinho 1</t>
  </si>
  <si>
    <t>manutenção no rolamento mm2, caindo material na manutenção</t>
  </si>
  <si>
    <t>manutenção no rolamento mm2</t>
  </si>
  <si>
    <t>troca de martelo mm1</t>
  </si>
  <si>
    <t>solda na grelha</t>
  </si>
  <si>
    <t>solda na tampa do moinho</t>
  </si>
  <si>
    <t>troca de grelha e martelo, manutenção bomba de rejeito</t>
  </si>
  <si>
    <t>material processado Blend rabo de bica com baixo teor</t>
  </si>
  <si>
    <t>troca de martelo</t>
  </si>
  <si>
    <t>material processando blend  rabo de bica com alto teor</t>
  </si>
  <si>
    <t>17;51</t>
  </si>
  <si>
    <t>reposição de grelha</t>
  </si>
  <si>
    <t>00:020:00</t>
  </si>
  <si>
    <t>martelo pegando no revestimento</t>
  </si>
  <si>
    <t>TROCA DE GRELHA</t>
  </si>
  <si>
    <t>manutençao no rolamento do moinho 4</t>
  </si>
  <si>
    <t>OBS: APENAS MM 05 EM OPERACÃO</t>
  </si>
  <si>
    <t>bola 4 entupido, acoplamento do bola 3 solto, troca de martelo</t>
  </si>
  <si>
    <t>martelo quebrou</t>
  </si>
  <si>
    <t>11;29</t>
  </si>
  <si>
    <t>orelha do martelo quebrou,troca de grelha e aperto no parafuso do mancal</t>
  </si>
  <si>
    <t>solda na grelha, troca de martelo</t>
  </si>
  <si>
    <t>troca de martelo, manutenção no acoplamento do MB3</t>
  </si>
  <si>
    <t xml:space="preserve">troca de martelo   </t>
  </si>
  <si>
    <t>troca de martelo moinho 4 e 5</t>
  </si>
  <si>
    <t>troca de grelha,aperto de parafuso</t>
  </si>
  <si>
    <t>aperto no parafuso do mancal,solda na chapa</t>
  </si>
  <si>
    <t>tc3 patinando</t>
  </si>
  <si>
    <t>desobstrução do hidrociclone</t>
  </si>
  <si>
    <t xml:space="preserve">solda na grelha </t>
  </si>
  <si>
    <t>troca de martelo, 22:00 alimentação baixa, pouco material britado</t>
  </si>
  <si>
    <t>troca de martelo moinho 4</t>
  </si>
  <si>
    <t>furo na turbulaçâo,colocar graxeta na bomba de polpa 03</t>
  </si>
  <si>
    <t>moinho 4 com novo martelo;para teste</t>
  </si>
  <si>
    <t xml:space="preserve">forramento do moinho </t>
  </si>
  <si>
    <t>martelo novo</t>
  </si>
  <si>
    <t>solda na bica</t>
  </si>
  <si>
    <t>18;08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</si>
</sst>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4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9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03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64" fontId="5" fillId="8" borderId="2" xfId="0" applyNumberFormat="1" applyFont="1" applyFill="1" applyBorder="1" applyAlignment="1" applyProtection="1">
      <alignment horizontal="center" vertical="center"/>
      <protection locked="0"/>
    </xf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G9" sqref="G9"/>
    </sheetView>
  </sheetViews>
  <sheetFormatPr defaultColWidth="8.5703125" defaultRowHeight="14.45"/>
  <cols>
    <col min="2" max="2" width="17.42578125" style="71" customWidth="1"/>
    <col min="3" max="3" width="21.42578125" customWidth="1"/>
    <col min="4" max="6" width="16" hidden="1" customWidth="1"/>
    <col min="7" max="7" width="34" customWidth="1"/>
  </cols>
  <sheetData>
    <row r="1" spans="1:7" ht="31.5" customHeight="1">
      <c r="A1" s="97" t="s">
        <v>0</v>
      </c>
      <c r="B1" s="97"/>
      <c r="C1" s="97"/>
      <c r="D1" s="97"/>
      <c r="E1" s="97"/>
      <c r="F1" s="97"/>
      <c r="G1" s="97"/>
    </row>
    <row r="2" spans="1:7" ht="24.75" customHeight="1">
      <c r="A2" s="98"/>
      <c r="B2" s="98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2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3">
        <v>46204</v>
      </c>
      <c r="C4" s="8">
        <f>IFERROR(Britador!O28,"")</f>
        <v>2672480</v>
      </c>
      <c r="D4" s="8">
        <f>IFERROR('Linha 1'!O28,"")</f>
        <v>1020460</v>
      </c>
      <c r="E4" s="8">
        <f>IFERROR('Linha 2'!O28,"")</f>
        <v>601030</v>
      </c>
      <c r="F4" s="8">
        <f>IFERROR('Linha 3'!O28,"")</f>
        <v>529300</v>
      </c>
      <c r="G4" s="9">
        <f t="shared" ref="G4:G34" si="0">IFERROR(D4+E4+F4,"")</f>
        <v>2150790</v>
      </c>
    </row>
    <row r="5" spans="1:7" ht="15.75" customHeight="1">
      <c r="A5" s="10">
        <v>2</v>
      </c>
      <c r="B5" s="74">
        <v>46205</v>
      </c>
      <c r="C5" s="11">
        <f>IFERROR(Britador!O55,"")</f>
        <v>1067910</v>
      </c>
      <c r="D5" s="11">
        <f>IFERROR('Linha 1'!O55,"")</f>
        <v>628100</v>
      </c>
      <c r="E5" s="11">
        <f>IFERROR('Linha 2'!O55,"")</f>
        <v>329880</v>
      </c>
      <c r="F5" s="11">
        <f>IFERROR('Linha 3'!O55,"")</f>
        <v>778900</v>
      </c>
      <c r="G5" s="12">
        <f t="shared" si="0"/>
        <v>1736880</v>
      </c>
    </row>
    <row r="6" spans="1:7" ht="15.75" customHeight="1">
      <c r="A6" s="7">
        <v>3</v>
      </c>
      <c r="B6" s="73">
        <v>46206</v>
      </c>
      <c r="C6" s="8">
        <f>IFERROR(Britador!O82,"")</f>
        <v>2831180</v>
      </c>
      <c r="D6" s="8">
        <f>IFERROR('Linha 1'!O82,"")</f>
        <v>787860</v>
      </c>
      <c r="E6" s="8">
        <f>IFERROR('Linha 2'!O82,"")</f>
        <v>837780</v>
      </c>
      <c r="F6" s="8">
        <f>IFERROR('Linha 3'!O82,"")</f>
        <v>1328490</v>
      </c>
      <c r="G6" s="9">
        <f t="shared" si="0"/>
        <v>2954130</v>
      </c>
    </row>
    <row r="7" spans="1:7" ht="15.75" customHeight="1">
      <c r="A7" s="10">
        <v>4</v>
      </c>
      <c r="B7" s="74">
        <v>46207</v>
      </c>
      <c r="C7" s="11">
        <f>IFERROR(Britador!O109,"")</f>
        <v>3404450</v>
      </c>
      <c r="D7" s="11">
        <f>IFERROR('Linha 1'!O109,"")</f>
        <v>1664690</v>
      </c>
      <c r="E7" s="11">
        <f>IFERROR('Linha 2'!O109,"")</f>
        <v>577520</v>
      </c>
      <c r="F7" s="11">
        <f>IFERROR('Linha 3'!O109,"")</f>
        <v>1335500</v>
      </c>
      <c r="G7" s="12">
        <f t="shared" si="0"/>
        <v>3577710</v>
      </c>
    </row>
    <row r="8" spans="1:7" ht="15.75" customHeight="1">
      <c r="A8" s="7">
        <v>5</v>
      </c>
      <c r="B8" s="73">
        <v>46208</v>
      </c>
      <c r="C8" s="8">
        <f>IFERROR(Britador!O136,"")</f>
        <v>2487750</v>
      </c>
      <c r="D8" s="8">
        <f>IFERROR('Linha 1'!O136,"")</f>
        <v>1663740</v>
      </c>
      <c r="E8" s="8">
        <f>IFERROR('Linha 2'!O136,"")</f>
        <v>432380</v>
      </c>
      <c r="F8" s="8">
        <f>IFERROR('Linha 3'!O136,"")</f>
        <v>1003740</v>
      </c>
      <c r="G8" s="9">
        <f t="shared" si="0"/>
        <v>3099860</v>
      </c>
    </row>
    <row r="9" spans="1:7" ht="15.75" customHeight="1">
      <c r="A9" s="10">
        <v>6</v>
      </c>
      <c r="B9" s="74">
        <v>46209</v>
      </c>
      <c r="C9" s="11">
        <f>IFERROR(Britador!O163,"")</f>
        <v>2667300</v>
      </c>
      <c r="D9" s="11">
        <f>IFERROR('Linha 1'!O163,"")</f>
        <v>1474080</v>
      </c>
      <c r="E9" s="11">
        <f>IFERROR('Linha 2'!O163,"")</f>
        <v>921800</v>
      </c>
      <c r="F9" s="11">
        <f>IFERROR('Linha 3'!O163,"")</f>
        <v>1755660</v>
      </c>
      <c r="G9" s="12">
        <f t="shared" si="0"/>
        <v>4151540</v>
      </c>
    </row>
    <row r="10" spans="1:7" ht="15.75" customHeight="1">
      <c r="A10" s="7">
        <v>7</v>
      </c>
      <c r="B10" s="73">
        <v>46210</v>
      </c>
      <c r="C10" s="8">
        <f>IFERROR(Britador!O190,"")</f>
        <v>4302240</v>
      </c>
      <c r="D10" s="8">
        <f>IFERROR('Linha 1'!O190,"")</f>
        <v>0</v>
      </c>
      <c r="E10" s="8">
        <f>IFERROR('Linha 2'!O190,"")</f>
        <v>938160</v>
      </c>
      <c r="F10" s="8">
        <f>IFERROR('Linha 3'!O190,"")</f>
        <v>1473950</v>
      </c>
      <c r="G10" s="9">
        <f t="shared" si="0"/>
        <v>2412110</v>
      </c>
    </row>
    <row r="11" spans="1:7" ht="15.75" customHeight="1">
      <c r="A11" s="10">
        <v>8</v>
      </c>
      <c r="B11" s="74">
        <v>46211</v>
      </c>
      <c r="C11" s="11">
        <f>IFERROR(Britador!O217,"")</f>
        <v>3908370</v>
      </c>
      <c r="D11" s="11">
        <f>IFERROR('Linha 1'!O217,"")</f>
        <v>648410</v>
      </c>
      <c r="E11" s="11">
        <f>IFERROR('Linha 2'!O217,"")</f>
        <v>793270</v>
      </c>
      <c r="F11" s="11">
        <f>IFERROR('Linha 3'!O217,"")</f>
        <v>1735070</v>
      </c>
      <c r="G11" s="12">
        <f t="shared" si="0"/>
        <v>3176750</v>
      </c>
    </row>
    <row r="12" spans="1:7" ht="15.75" customHeight="1">
      <c r="A12" s="7">
        <v>9</v>
      </c>
      <c r="B12" s="73">
        <v>46212</v>
      </c>
      <c r="C12" s="8">
        <f>IFERROR(Britador!O244,"")</f>
        <v>0</v>
      </c>
      <c r="D12" s="8">
        <f>IFERROR('Linha 1'!O244,"")</f>
        <v>0</v>
      </c>
      <c r="E12" s="8">
        <f>IFERROR('Linha 2'!O244,"")</f>
        <v>0</v>
      </c>
      <c r="F12" s="8">
        <f>IFERROR('Linha 3'!O244,"")</f>
        <v>0</v>
      </c>
      <c r="G12" s="9">
        <f t="shared" si="0"/>
        <v>0</v>
      </c>
    </row>
    <row r="13" spans="1:7" ht="15.75" customHeight="1">
      <c r="A13" s="10">
        <v>10</v>
      </c>
      <c r="B13" s="74">
        <v>46213</v>
      </c>
      <c r="C13" s="11">
        <f>IFERROR(Britador!O271,"")</f>
        <v>0</v>
      </c>
      <c r="D13" s="11">
        <f>IFERROR('Linha 1'!O271,"")</f>
        <v>0</v>
      </c>
      <c r="E13" s="11">
        <f>IFERROR('Linha 2'!O271,"")</f>
        <v>0</v>
      </c>
      <c r="F13" s="11">
        <f>IFERROR('Linha 3'!O271,"")</f>
        <v>0</v>
      </c>
      <c r="G13" s="12">
        <f t="shared" si="0"/>
        <v>0</v>
      </c>
    </row>
    <row r="14" spans="1:7" ht="15.75" customHeight="1">
      <c r="A14" s="7">
        <v>11</v>
      </c>
      <c r="B14" s="73">
        <v>46214</v>
      </c>
      <c r="C14" s="8">
        <f>IFERROR(Britador!O298,"")</f>
        <v>0</v>
      </c>
      <c r="D14" s="8">
        <f>IFERROR('Linha 1'!O298,"")</f>
        <v>0</v>
      </c>
      <c r="E14" s="8">
        <f>IFERROR('Linha 2'!O298,"")</f>
        <v>0</v>
      </c>
      <c r="F14" s="8">
        <f>IFERROR('Linha 3'!O298,"")</f>
        <v>0</v>
      </c>
      <c r="G14" s="9">
        <f t="shared" si="0"/>
        <v>0</v>
      </c>
    </row>
    <row r="15" spans="1:7" ht="15.75" customHeight="1">
      <c r="A15" s="10">
        <v>12</v>
      </c>
      <c r="B15" s="74">
        <v>46215</v>
      </c>
      <c r="C15" s="11">
        <f>IFERROR(Britador!O325,"")</f>
        <v>0</v>
      </c>
      <c r="D15" s="11">
        <f>IFERROR('Linha 1'!O325,"")</f>
        <v>0</v>
      </c>
      <c r="E15" s="11">
        <f>IFERROR('Linha 2'!O325,"")</f>
        <v>0</v>
      </c>
      <c r="F15" s="11">
        <f>IFERROR('Linha 3'!O325,"")</f>
        <v>0</v>
      </c>
      <c r="G15" s="12">
        <f t="shared" si="0"/>
        <v>0</v>
      </c>
    </row>
    <row r="16" spans="1:7" ht="15.75" customHeight="1">
      <c r="A16" s="7">
        <v>13</v>
      </c>
      <c r="B16" s="73">
        <v>46216</v>
      </c>
      <c r="C16" s="8">
        <f>IFERROR(Britador!O352,"")</f>
        <v>0</v>
      </c>
      <c r="D16" s="8">
        <f>IFERROR('Linha 1'!O352,"")</f>
        <v>0</v>
      </c>
      <c r="E16" s="8">
        <f>IFERROR('Linha 2'!O352,"")</f>
        <v>0</v>
      </c>
      <c r="F16" s="8">
        <f>IFERROR('Linha 3'!O352,"")</f>
        <v>0</v>
      </c>
      <c r="G16" s="9">
        <f t="shared" si="0"/>
        <v>0</v>
      </c>
    </row>
    <row r="17" spans="1:7" ht="15.75" customHeight="1">
      <c r="A17" s="10">
        <v>14</v>
      </c>
      <c r="B17" s="74">
        <v>46217</v>
      </c>
      <c r="C17" s="11">
        <f>IFERROR(Britador!O379,"")</f>
        <v>0</v>
      </c>
      <c r="D17" s="11">
        <f>IFERROR('Linha 1'!O379,"")</f>
        <v>0</v>
      </c>
      <c r="E17" s="11">
        <f>IFERROR('Linha 2'!O379,"")</f>
        <v>0</v>
      </c>
      <c r="F17" s="11">
        <f>IFERROR('Linha 3'!O379,"")</f>
        <v>0</v>
      </c>
      <c r="G17" s="12">
        <f t="shared" si="0"/>
        <v>0</v>
      </c>
    </row>
    <row r="18" spans="1:7" ht="15.75" customHeight="1">
      <c r="A18" s="7">
        <v>15</v>
      </c>
      <c r="B18" s="73">
        <v>46218</v>
      </c>
      <c r="C18" s="8">
        <f>IFERROR(Britador!O406,"")</f>
        <v>0</v>
      </c>
      <c r="D18" s="8">
        <f>IFERROR('Linha 1'!O406,"")</f>
        <v>0</v>
      </c>
      <c r="E18" s="8">
        <f>IFERROR('Linha 2'!O406,"")</f>
        <v>0</v>
      </c>
      <c r="F18" s="8">
        <f>IFERROR('Linha 3'!O406,"")</f>
        <v>0</v>
      </c>
      <c r="G18" s="9">
        <f t="shared" si="0"/>
        <v>0</v>
      </c>
    </row>
    <row r="19" spans="1:7" ht="15.75" customHeight="1">
      <c r="A19" s="10">
        <v>16</v>
      </c>
      <c r="B19" s="74">
        <v>46219</v>
      </c>
      <c r="C19" s="11">
        <f>IFERROR(Britador!O433,"")</f>
        <v>0</v>
      </c>
      <c r="D19" s="11">
        <f>IFERROR('Linha 1'!O433,"")</f>
        <v>0</v>
      </c>
      <c r="E19" s="11">
        <f>IFERROR('Linha 2'!O433,"")</f>
        <v>0</v>
      </c>
      <c r="F19" s="11">
        <f>IFERROR('Linha 3'!O433,"")</f>
        <v>0</v>
      </c>
      <c r="G19" s="12">
        <f t="shared" si="0"/>
        <v>0</v>
      </c>
    </row>
    <row r="20" spans="1:7" ht="15.75" customHeight="1">
      <c r="A20" s="7">
        <v>17</v>
      </c>
      <c r="B20" s="73">
        <v>46220</v>
      </c>
      <c r="C20" s="8">
        <f>IFERROR(Britador!O460,"")</f>
        <v>0</v>
      </c>
      <c r="D20" s="8">
        <f>IFERROR('Linha 1'!O460,"")</f>
        <v>0</v>
      </c>
      <c r="E20" s="8">
        <f>IFERROR('Linha 2'!O460,"")</f>
        <v>0</v>
      </c>
      <c r="F20" s="8">
        <f>IFERROR('Linha 3'!O460,"")</f>
        <v>0</v>
      </c>
      <c r="G20" s="9">
        <f t="shared" si="0"/>
        <v>0</v>
      </c>
    </row>
    <row r="21" spans="1:7" ht="15.75" customHeight="1">
      <c r="A21" s="10">
        <v>18</v>
      </c>
      <c r="B21" s="74">
        <v>46221</v>
      </c>
      <c r="C21" s="11">
        <f>IFERROR(Britador!O487,"")</f>
        <v>0</v>
      </c>
      <c r="D21" s="11">
        <f>IFERROR('Linha 1'!O487,"")</f>
        <v>0</v>
      </c>
      <c r="E21" s="11">
        <f>IFERROR('Linha 2'!O487,"")</f>
        <v>0</v>
      </c>
      <c r="F21" s="11">
        <f>IFERROR('Linha 3'!O487,"")</f>
        <v>0</v>
      </c>
      <c r="G21" s="12">
        <f t="shared" si="0"/>
        <v>0</v>
      </c>
    </row>
    <row r="22" spans="1:7" ht="15.75" customHeight="1">
      <c r="A22" s="7">
        <v>19</v>
      </c>
      <c r="B22" s="73">
        <v>46222</v>
      </c>
      <c r="C22" s="8">
        <f>IFERROR(Britador!O514,"")</f>
        <v>0</v>
      </c>
      <c r="D22" s="8">
        <f>IFERROR('Linha 1'!O514,"")</f>
        <v>0</v>
      </c>
      <c r="E22" s="8">
        <f>IFERROR('Linha 2'!O514,"")</f>
        <v>0</v>
      </c>
      <c r="F22" s="8">
        <f>IFERROR('Linha 3'!O514,"")</f>
        <v>0</v>
      </c>
      <c r="G22" s="9">
        <f t="shared" si="0"/>
        <v>0</v>
      </c>
    </row>
    <row r="23" spans="1:7" ht="15.75" customHeight="1">
      <c r="A23" s="10">
        <v>20</v>
      </c>
      <c r="B23" s="74">
        <v>46223</v>
      </c>
      <c r="C23" s="11">
        <f>IFERROR(Britador!O541,"")</f>
        <v>0</v>
      </c>
      <c r="D23" s="11">
        <f>IFERROR('Linha 1'!O541,"")</f>
        <v>0</v>
      </c>
      <c r="E23" s="11">
        <f>IFERROR('Linha 2'!O541,"")</f>
        <v>0</v>
      </c>
      <c r="F23" s="11">
        <f>IFERROR('Linha 3'!O541,"")</f>
        <v>0</v>
      </c>
      <c r="G23" s="12">
        <f t="shared" si="0"/>
        <v>0</v>
      </c>
    </row>
    <row r="24" spans="1:7" ht="15.75" customHeight="1">
      <c r="A24" s="7">
        <v>21</v>
      </c>
      <c r="B24" s="73">
        <v>46224</v>
      </c>
      <c r="C24" s="8">
        <f>IFERROR(Britador!O568,"")</f>
        <v>0</v>
      </c>
      <c r="D24" s="8">
        <f>IFERROR('Linha 1'!O568,"")</f>
        <v>0</v>
      </c>
      <c r="E24" s="8">
        <f>IFERROR('Linha 2'!O568,"")</f>
        <v>0</v>
      </c>
      <c r="F24" s="8">
        <f>IFERROR('Linha 3'!O568,"")</f>
        <v>0</v>
      </c>
      <c r="G24" s="9">
        <f t="shared" si="0"/>
        <v>0</v>
      </c>
    </row>
    <row r="25" spans="1:7" ht="15.75" customHeight="1">
      <c r="A25" s="10">
        <v>22</v>
      </c>
      <c r="B25" s="74">
        <v>46225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3">
        <v>46226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4">
        <v>46227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3">
        <v>46228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4">
        <v>46229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3">
        <v>46230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4">
        <v>46231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3">
        <v>46232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4">
        <v>46233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4">
        <v>46234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99" t="s">
        <v>9</v>
      </c>
      <c r="B35" s="99"/>
      <c r="C35" s="13">
        <f>IFERROR(SUM(C4:C34),"")</f>
        <v>23341680</v>
      </c>
      <c r="D35" s="13">
        <f>IFERROR(SUM(D4:D34),"")</f>
        <v>7887340</v>
      </c>
      <c r="E35" s="13">
        <f>IFERROR(SUM(E4:E34),"")</f>
        <v>5431820</v>
      </c>
      <c r="F35" s="13">
        <f>IFERROR(SUM(F4:F34),"")</f>
        <v>9940610</v>
      </c>
      <c r="G35" s="13">
        <f>IFERROR(SUM(G4:G34),"")</f>
        <v>23259770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E1" zoomScale="85" zoomScaleNormal="85" workbookViewId="0">
      <selection activeCell="I16" sqref="I16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00" t="s">
        <v>10</v>
      </c>
      <c r="B1" s="100"/>
      <c r="C1" s="100"/>
      <c r="D1" s="100"/>
      <c r="E1" s="100"/>
      <c r="F1" s="100"/>
      <c r="G1" s="100"/>
      <c r="H1" s="101"/>
      <c r="I1" s="102" t="s">
        <v>11</v>
      </c>
      <c r="J1" s="102"/>
      <c r="K1" s="102"/>
      <c r="L1" s="102"/>
      <c r="M1" s="102"/>
    </row>
    <row r="2" spans="1:13" ht="4.5" customHeight="1">
      <c r="H2" s="101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01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01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01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01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01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01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01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01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01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01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01"/>
      <c r="I13" s="17" t="s">
        <v>81</v>
      </c>
      <c r="J13" s="17" t="s">
        <v>82</v>
      </c>
      <c r="K13" s="17" t="s">
        <v>83</v>
      </c>
      <c r="L13" s="17" t="s">
        <v>84</v>
      </c>
      <c r="M13" s="17" t="s">
        <v>85</v>
      </c>
    </row>
    <row r="14" spans="1:13" ht="15.75" customHeight="1">
      <c r="A14" s="16"/>
      <c r="C14" s="16"/>
      <c r="E14" s="16"/>
      <c r="G14" s="16" t="s">
        <v>86</v>
      </c>
      <c r="H14" s="101"/>
      <c r="I14" s="16" t="s">
        <v>87</v>
      </c>
      <c r="J14" s="16" t="s">
        <v>88</v>
      </c>
      <c r="K14" s="16" t="s">
        <v>89</v>
      </c>
      <c r="L14" s="16" t="s">
        <v>90</v>
      </c>
      <c r="M14" s="16" t="s">
        <v>91</v>
      </c>
    </row>
    <row r="15" spans="1:13" ht="15.75" customHeight="1">
      <c r="A15" s="17"/>
      <c r="C15" s="17"/>
      <c r="E15" s="17"/>
      <c r="G15" s="17" t="s">
        <v>92</v>
      </c>
      <c r="H15" s="101"/>
      <c r="I15" s="17" t="s">
        <v>93</v>
      </c>
      <c r="J15" s="17" t="s">
        <v>94</v>
      </c>
      <c r="K15" s="17" t="s">
        <v>95</v>
      </c>
      <c r="L15" s="17" t="s">
        <v>96</v>
      </c>
      <c r="M15" s="17" t="s">
        <v>97</v>
      </c>
    </row>
    <row r="16" spans="1:13" ht="15.75" customHeight="1">
      <c r="A16" s="16"/>
      <c r="C16" s="16"/>
      <c r="E16" s="16"/>
      <c r="G16" s="16" t="s">
        <v>98</v>
      </c>
      <c r="H16" s="101"/>
      <c r="I16" s="16"/>
      <c r="J16" s="16" t="s">
        <v>99</v>
      </c>
      <c r="K16" s="16" t="s">
        <v>100</v>
      </c>
      <c r="L16" s="16" t="s">
        <v>101</v>
      </c>
      <c r="M16" s="16" t="s">
        <v>102</v>
      </c>
    </row>
    <row r="17" spans="1:13" ht="15.75" customHeight="1">
      <c r="A17" s="17"/>
      <c r="C17" s="17"/>
      <c r="E17" s="17"/>
      <c r="G17" s="17" t="s">
        <v>103</v>
      </c>
      <c r="H17" s="101"/>
      <c r="I17" s="17"/>
      <c r="J17" s="17" t="s">
        <v>104</v>
      </c>
      <c r="K17" s="17" t="s">
        <v>105</v>
      </c>
      <c r="L17" s="17" t="s">
        <v>106</v>
      </c>
      <c r="M17" s="17" t="s">
        <v>107</v>
      </c>
    </row>
    <row r="18" spans="1:13" ht="15.75" customHeight="1">
      <c r="A18" s="16"/>
      <c r="C18" s="16"/>
      <c r="E18" s="16"/>
      <c r="G18" s="16" t="s">
        <v>108</v>
      </c>
      <c r="H18" s="101"/>
      <c r="I18" s="16"/>
      <c r="J18" s="16"/>
      <c r="K18" s="16" t="s">
        <v>109</v>
      </c>
      <c r="L18" s="16" t="s">
        <v>110</v>
      </c>
      <c r="M18" s="16" t="s">
        <v>111</v>
      </c>
    </row>
    <row r="19" spans="1:13" ht="15.75" customHeight="1">
      <c r="A19" s="17"/>
      <c r="C19" s="17"/>
      <c r="E19" s="17"/>
      <c r="G19" s="17" t="s">
        <v>112</v>
      </c>
      <c r="H19" s="101"/>
      <c r="I19" s="17"/>
      <c r="J19" s="17"/>
      <c r="K19" s="17" t="s">
        <v>113</v>
      </c>
      <c r="L19" s="17"/>
      <c r="M19" s="17" t="s">
        <v>114</v>
      </c>
    </row>
    <row r="20" spans="1:13" ht="15.75" customHeight="1">
      <c r="A20" s="16"/>
      <c r="C20" s="16"/>
      <c r="E20" s="16"/>
      <c r="G20" s="16" t="s">
        <v>115</v>
      </c>
      <c r="H20" s="101"/>
      <c r="I20" s="16"/>
      <c r="J20" s="16"/>
      <c r="K20" s="16" t="s">
        <v>116</v>
      </c>
      <c r="L20" s="16"/>
      <c r="M20" s="16" t="s">
        <v>117</v>
      </c>
    </row>
    <row r="21" spans="1:13" ht="15.75" customHeight="1">
      <c r="A21" s="17"/>
      <c r="C21" s="17"/>
      <c r="E21" s="17"/>
      <c r="G21" s="17" t="s">
        <v>118</v>
      </c>
      <c r="H21" s="101"/>
      <c r="I21" s="17"/>
      <c r="J21" s="17"/>
      <c r="K21" s="17" t="s">
        <v>119</v>
      </c>
      <c r="L21" s="17"/>
      <c r="M21" s="17" t="s">
        <v>120</v>
      </c>
    </row>
    <row r="22" spans="1:13" ht="15.75" customHeight="1">
      <c r="A22" s="16"/>
      <c r="C22" s="16"/>
      <c r="E22" s="16"/>
      <c r="G22" s="16" t="s">
        <v>121</v>
      </c>
      <c r="H22" s="101"/>
      <c r="I22" s="16"/>
      <c r="J22" s="16"/>
      <c r="K22" s="16" t="s">
        <v>122</v>
      </c>
      <c r="L22" s="16"/>
      <c r="M22" s="16" t="s">
        <v>123</v>
      </c>
    </row>
    <row r="23" spans="1:13" ht="15.75" customHeight="1">
      <c r="A23" s="17"/>
      <c r="C23" s="17"/>
      <c r="E23" s="17"/>
      <c r="G23" s="17" t="s">
        <v>124</v>
      </c>
      <c r="H23" s="101"/>
      <c r="I23" s="17"/>
      <c r="J23" s="17"/>
      <c r="K23" s="17" t="s">
        <v>125</v>
      </c>
      <c r="L23" s="17"/>
      <c r="M23" s="17" t="s">
        <v>126</v>
      </c>
    </row>
    <row r="24" spans="1:13" ht="15.75" customHeight="1">
      <c r="A24" s="16"/>
      <c r="C24" s="16"/>
      <c r="E24" s="16"/>
      <c r="G24" s="16" t="s">
        <v>127</v>
      </c>
      <c r="H24" s="101"/>
      <c r="I24" s="16"/>
      <c r="J24" s="16"/>
      <c r="K24" s="16" t="s">
        <v>128</v>
      </c>
      <c r="L24" s="16"/>
      <c r="M24" s="16" t="s">
        <v>129</v>
      </c>
    </row>
    <row r="25" spans="1:13" ht="15.75" customHeight="1">
      <c r="A25" s="17"/>
      <c r="C25" s="17"/>
      <c r="E25" s="17"/>
      <c r="G25" s="17" t="s">
        <v>130</v>
      </c>
      <c r="H25" s="101"/>
      <c r="I25" s="17"/>
      <c r="J25" s="17"/>
      <c r="K25" s="17" t="s">
        <v>131</v>
      </c>
      <c r="L25" s="17"/>
      <c r="M25" s="17" t="s">
        <v>132</v>
      </c>
    </row>
    <row r="26" spans="1:13" ht="15.75" customHeight="1">
      <c r="A26" s="16"/>
      <c r="C26" s="16"/>
      <c r="E26" s="16"/>
      <c r="G26" s="16" t="s">
        <v>133</v>
      </c>
      <c r="H26" s="101"/>
      <c r="I26" s="16"/>
      <c r="J26" s="16"/>
      <c r="K26" s="16" t="s">
        <v>134</v>
      </c>
      <c r="L26" s="16"/>
      <c r="M26" s="16"/>
    </row>
    <row r="27" spans="1:13" ht="15.75" customHeight="1">
      <c r="A27" s="17"/>
      <c r="C27" s="17"/>
      <c r="E27" s="17"/>
      <c r="G27" s="17" t="s">
        <v>135</v>
      </c>
      <c r="H27" s="101"/>
      <c r="I27" s="17"/>
      <c r="J27" s="17"/>
      <c r="K27" s="17" t="s">
        <v>126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136</v>
      </c>
      <c r="H28" s="101"/>
      <c r="I28" s="16"/>
      <c r="J28" s="16"/>
      <c r="K28" s="16" t="s">
        <v>129</v>
      </c>
      <c r="L28" s="16"/>
      <c r="M28" s="16" t="s">
        <v>137</v>
      </c>
    </row>
    <row r="29" spans="1:13" ht="15.75" customHeight="1">
      <c r="A29" s="17"/>
      <c r="C29" s="17"/>
      <c r="E29" s="17"/>
      <c r="G29" s="17" t="s">
        <v>138</v>
      </c>
      <c r="H29" s="101"/>
      <c r="I29" s="17"/>
      <c r="J29" s="17"/>
      <c r="K29" s="17" t="s">
        <v>139</v>
      </c>
      <c r="L29" s="17"/>
      <c r="M29" s="17" t="s">
        <v>140</v>
      </c>
    </row>
    <row r="30" spans="1:13" ht="15.75" customHeight="1">
      <c r="A30" s="16"/>
      <c r="C30" s="16"/>
      <c r="E30" s="16"/>
      <c r="G30" s="16" t="s">
        <v>141</v>
      </c>
      <c r="H30" s="101"/>
      <c r="I30" s="16"/>
      <c r="J30" s="16"/>
      <c r="K30" s="16" t="s">
        <v>142</v>
      </c>
      <c r="L30" s="16"/>
      <c r="M30" s="16" t="s">
        <v>143</v>
      </c>
    </row>
    <row r="31" spans="1:13" ht="15.75" customHeight="1">
      <c r="A31" s="17"/>
      <c r="C31" s="17"/>
      <c r="E31" s="17"/>
      <c r="G31" s="17" t="s">
        <v>144</v>
      </c>
      <c r="H31" s="101"/>
      <c r="I31" s="17"/>
      <c r="J31" s="17"/>
      <c r="K31" s="18" t="s">
        <v>145</v>
      </c>
      <c r="L31" s="17"/>
      <c r="M31" s="17" t="s">
        <v>146</v>
      </c>
    </row>
    <row r="32" spans="1:13" ht="15.75" customHeight="1">
      <c r="A32" s="16"/>
      <c r="C32" s="16"/>
      <c r="E32" s="16"/>
      <c r="G32" s="16" t="s">
        <v>147</v>
      </c>
      <c r="H32" s="101"/>
      <c r="I32" s="16"/>
      <c r="J32" s="16"/>
      <c r="K32" s="16" t="s">
        <v>148</v>
      </c>
      <c r="L32" s="16"/>
      <c r="M32" t="s">
        <v>149</v>
      </c>
    </row>
    <row r="33" spans="1:13" ht="15.75" customHeight="1">
      <c r="A33" s="17"/>
      <c r="C33" s="17"/>
      <c r="E33" s="17"/>
      <c r="G33" s="17" t="s">
        <v>150</v>
      </c>
      <c r="H33" s="101"/>
      <c r="I33" s="17"/>
      <c r="J33" s="17"/>
      <c r="K33" s="18" t="s">
        <v>151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152</v>
      </c>
      <c r="H34" s="101"/>
      <c r="I34" s="16"/>
      <c r="J34" s="16"/>
      <c r="K34" s="16" t="s">
        <v>79</v>
      </c>
      <c r="L34" s="16"/>
      <c r="M34" s="16" t="s">
        <v>153</v>
      </c>
    </row>
    <row r="35" spans="1:13" ht="15.75" customHeight="1">
      <c r="A35" s="17"/>
      <c r="C35" s="17"/>
      <c r="E35" s="17"/>
      <c r="G35" s="17" t="s">
        <v>154</v>
      </c>
      <c r="H35" s="101"/>
      <c r="I35" s="17"/>
      <c r="J35" s="17"/>
      <c r="K35" s="17" t="s">
        <v>155</v>
      </c>
      <c r="L35" s="17"/>
      <c r="M35" s="17" t="s">
        <v>156</v>
      </c>
    </row>
    <row r="36" spans="1:13" ht="15.75" customHeight="1">
      <c r="A36" s="16"/>
      <c r="C36" s="16"/>
      <c r="E36" s="16"/>
      <c r="G36" s="16" t="s">
        <v>157</v>
      </c>
      <c r="H36" s="101"/>
      <c r="I36" s="16"/>
      <c r="J36" s="16"/>
      <c r="K36" s="16" t="s">
        <v>158</v>
      </c>
      <c r="L36" s="16"/>
      <c r="M36" s="16" t="s">
        <v>159</v>
      </c>
    </row>
    <row r="37" spans="1:13" ht="15.75" customHeight="1">
      <c r="A37" s="17"/>
      <c r="C37" s="17"/>
      <c r="E37" s="17"/>
      <c r="G37" s="17" t="s">
        <v>160</v>
      </c>
      <c r="H37" s="101"/>
      <c r="I37" s="17"/>
      <c r="J37" s="17"/>
      <c r="K37" s="17" t="s">
        <v>161</v>
      </c>
      <c r="L37" s="17"/>
      <c r="M37" s="17" t="s">
        <v>162</v>
      </c>
    </row>
    <row r="38" spans="1:13" ht="15.75" customHeight="1">
      <c r="A38" s="16"/>
      <c r="C38" s="16"/>
      <c r="E38" s="16"/>
      <c r="G38" s="16"/>
      <c r="H38" s="101"/>
      <c r="I38" s="16"/>
      <c r="J38" s="16"/>
      <c r="K38" s="16" t="s">
        <v>163</v>
      </c>
      <c r="L38" s="16"/>
      <c r="M38" s="16" t="s">
        <v>164</v>
      </c>
    </row>
    <row r="39" spans="1:13" ht="15.75" customHeight="1">
      <c r="A39" s="17"/>
      <c r="C39" s="17"/>
      <c r="E39" s="17"/>
      <c r="G39" s="17"/>
      <c r="H39" s="101"/>
      <c r="I39" s="17"/>
      <c r="J39" s="17"/>
      <c r="K39" s="17" t="s">
        <v>165</v>
      </c>
      <c r="L39" s="17"/>
      <c r="M39" s="17" t="s">
        <v>166</v>
      </c>
    </row>
    <row r="40" spans="1:13" ht="15.75" customHeight="1">
      <c r="A40" s="16"/>
      <c r="C40" s="16"/>
      <c r="E40" s="16"/>
      <c r="G40" s="16"/>
      <c r="H40" s="101"/>
      <c r="I40" s="16"/>
      <c r="J40" s="16"/>
      <c r="K40" s="16" t="s">
        <v>167</v>
      </c>
      <c r="L40" s="16"/>
      <c r="M40" s="16" t="s">
        <v>168</v>
      </c>
    </row>
    <row r="41" spans="1:13" ht="15.75" customHeight="1">
      <c r="A41" s="17"/>
      <c r="C41" s="17"/>
      <c r="E41" s="17"/>
      <c r="G41" s="17"/>
      <c r="H41" s="101"/>
      <c r="I41" s="17"/>
      <c r="J41" s="17"/>
      <c r="K41" s="17" t="s">
        <v>169</v>
      </c>
      <c r="L41" s="17"/>
      <c r="M41" s="17" t="s">
        <v>170</v>
      </c>
    </row>
    <row r="42" spans="1:13" ht="15.75" customHeight="1">
      <c r="A42" s="16"/>
      <c r="C42" s="16"/>
      <c r="E42" s="16"/>
      <c r="G42" s="16"/>
      <c r="H42" s="101"/>
      <c r="I42" s="16"/>
      <c r="J42" s="16"/>
      <c r="K42" s="16" t="s">
        <v>171</v>
      </c>
      <c r="L42" s="16"/>
      <c r="M42" s="16" t="s">
        <v>172</v>
      </c>
    </row>
    <row r="43" spans="1:13" ht="15.75" customHeight="1">
      <c r="A43" s="17"/>
      <c r="C43" s="17"/>
      <c r="E43" s="17"/>
      <c r="G43" s="17"/>
      <c r="H43" s="101"/>
      <c r="I43" s="17"/>
      <c r="J43" s="17"/>
      <c r="K43" s="17" t="s">
        <v>173</v>
      </c>
      <c r="L43" s="17"/>
      <c r="M43" s="17" t="s">
        <v>174</v>
      </c>
    </row>
    <row r="44" spans="1:13" ht="15.75" customHeight="1">
      <c r="A44" s="16"/>
      <c r="C44" s="16"/>
      <c r="E44" s="16"/>
      <c r="G44" s="16"/>
      <c r="H44" s="101"/>
      <c r="I44" s="16"/>
      <c r="J44" s="16"/>
      <c r="K44" s="16" t="s">
        <v>175</v>
      </c>
      <c r="L44" s="16"/>
      <c r="M44" s="16" t="s">
        <v>176</v>
      </c>
    </row>
    <row r="45" spans="1:13" ht="15.75" customHeight="1">
      <c r="A45" s="17"/>
      <c r="C45" s="17"/>
      <c r="E45" s="17"/>
      <c r="G45" s="17"/>
      <c r="H45" s="101"/>
      <c r="I45" s="17"/>
      <c r="J45" s="17"/>
      <c r="K45" s="17"/>
      <c r="L45" s="17"/>
      <c r="M45" s="17" t="s">
        <v>177</v>
      </c>
    </row>
    <row r="46" spans="1:13" ht="15.75" customHeight="1">
      <c r="A46" s="16"/>
      <c r="C46" s="16"/>
      <c r="E46" s="16"/>
      <c r="G46" s="16"/>
      <c r="H46" s="101"/>
      <c r="I46" s="16"/>
      <c r="J46" s="16"/>
      <c r="K46" s="16" t="s">
        <v>178</v>
      </c>
      <c r="L46" s="16"/>
      <c r="M46" s="16" t="s">
        <v>179</v>
      </c>
    </row>
    <row r="47" spans="1:13" ht="15.75" customHeight="1">
      <c r="A47" s="17"/>
      <c r="C47" s="17"/>
      <c r="E47" s="17"/>
      <c r="G47" s="17"/>
      <c r="H47" s="101"/>
      <c r="I47" s="17"/>
      <c r="J47" s="17"/>
      <c r="K47" s="17" t="s">
        <v>180</v>
      </c>
      <c r="L47" s="17"/>
      <c r="M47" s="17" t="s">
        <v>181</v>
      </c>
    </row>
    <row r="48" spans="1:13" ht="15.75" customHeight="1">
      <c r="A48" s="16"/>
      <c r="C48" s="16"/>
      <c r="E48" s="16"/>
      <c r="G48" s="16"/>
      <c r="H48" s="101"/>
      <c r="I48" s="16"/>
      <c r="J48" s="16"/>
      <c r="K48" s="16" t="s">
        <v>182</v>
      </c>
      <c r="L48" s="16"/>
      <c r="M48" s="16" t="s">
        <v>183</v>
      </c>
    </row>
    <row r="49" spans="1:13" ht="18" customHeight="1">
      <c r="H49" s="101"/>
      <c r="I49" s="17"/>
      <c r="J49" s="17"/>
      <c r="K49" s="17" t="s">
        <v>184</v>
      </c>
      <c r="L49" s="17"/>
      <c r="M49" s="17" t="s">
        <v>185</v>
      </c>
    </row>
    <row r="50" spans="1:13" ht="21" customHeight="1">
      <c r="A50" s="19" t="s">
        <v>186</v>
      </c>
      <c r="B50" s="19"/>
      <c r="C50" s="19"/>
      <c r="D50" s="19"/>
      <c r="E50" s="19"/>
      <c r="F50" s="19"/>
      <c r="G50" s="19"/>
      <c r="H50" s="101"/>
      <c r="I50" s="16"/>
      <c r="J50" s="16"/>
      <c r="K50" s="16" t="s">
        <v>187</v>
      </c>
      <c r="L50" s="16"/>
      <c r="M50" s="16" t="s">
        <v>188</v>
      </c>
    </row>
    <row r="51" spans="1:13" ht="24" customHeight="1">
      <c r="H51" s="101"/>
      <c r="I51" s="17"/>
      <c r="J51" s="17"/>
      <c r="K51" s="17" t="s">
        <v>189</v>
      </c>
      <c r="L51" s="17"/>
      <c r="M51" s="17" t="s">
        <v>190</v>
      </c>
    </row>
    <row r="52" spans="1:13" ht="24" customHeight="1">
      <c r="H52" s="101"/>
      <c r="I52" s="16"/>
      <c r="J52" s="16"/>
      <c r="K52" s="16" t="s">
        <v>191</v>
      </c>
      <c r="L52" s="16"/>
      <c r="M52" s="16"/>
    </row>
    <row r="53" spans="1:13" ht="36" customHeight="1">
      <c r="H53" s="101"/>
      <c r="I53" s="17"/>
      <c r="J53" s="17"/>
      <c r="K53" s="17" t="s">
        <v>192</v>
      </c>
      <c r="L53" s="17"/>
      <c r="M53" s="17"/>
    </row>
    <row r="54" spans="1:13" ht="15" customHeight="1">
      <c r="H54" s="101"/>
      <c r="I54" s="16"/>
      <c r="J54" s="16"/>
      <c r="K54" s="16" t="s">
        <v>193</v>
      </c>
      <c r="L54" s="16"/>
      <c r="M54" s="16"/>
    </row>
    <row r="55" spans="1:13" ht="15" customHeight="1">
      <c r="H55" s="101"/>
      <c r="I55" s="17"/>
      <c r="J55" s="17"/>
      <c r="K55" s="17" t="s">
        <v>194</v>
      </c>
      <c r="L55" s="17"/>
      <c r="M55" s="17"/>
    </row>
    <row r="56" spans="1:13" ht="15" customHeight="1">
      <c r="H56" s="101"/>
      <c r="I56" s="16"/>
      <c r="J56" s="16"/>
      <c r="K56" s="16" t="s">
        <v>195</v>
      </c>
      <c r="L56" s="16"/>
      <c r="M56" s="16"/>
    </row>
    <row r="57" spans="1:13" ht="15" customHeight="1">
      <c r="H57" s="101"/>
      <c r="I57" s="17"/>
      <c r="J57" s="17"/>
      <c r="K57" s="17" t="s">
        <v>50</v>
      </c>
      <c r="L57" s="17"/>
      <c r="M57" s="17"/>
    </row>
    <row r="58" spans="1:13" ht="15" customHeight="1">
      <c r="H58" s="101"/>
      <c r="I58" s="16"/>
      <c r="J58" s="16"/>
      <c r="K58" s="16" t="s">
        <v>196</v>
      </c>
      <c r="L58" s="16"/>
      <c r="M58" s="16"/>
    </row>
    <row r="59" spans="1:13" ht="15" customHeight="1">
      <c r="H59" s="101"/>
      <c r="I59" s="17"/>
      <c r="J59" s="17"/>
      <c r="K59" s="17" t="s">
        <v>197</v>
      </c>
      <c r="L59" s="17"/>
      <c r="M59" s="17"/>
    </row>
    <row r="60" spans="1:13" ht="15" customHeight="1">
      <c r="H60" s="101"/>
      <c r="I60" s="16"/>
      <c r="J60" s="16"/>
      <c r="K60" s="87" t="s">
        <v>104</v>
      </c>
      <c r="L60" s="16"/>
      <c r="M60" s="16"/>
    </row>
    <row r="61" spans="1:13" ht="15" customHeight="1">
      <c r="H61" s="101"/>
      <c r="I61" s="17"/>
      <c r="J61" s="17"/>
      <c r="K61" s="17"/>
      <c r="L61" s="17"/>
      <c r="M61" s="17"/>
    </row>
    <row r="62" spans="1:13" ht="15" customHeight="1">
      <c r="H62" s="101"/>
      <c r="I62" s="16"/>
      <c r="J62" s="16"/>
      <c r="K62" s="16"/>
      <c r="L62" s="16"/>
      <c r="M62" s="16"/>
    </row>
    <row r="63" spans="1:13" ht="15" customHeight="1">
      <c r="H63" s="101"/>
      <c r="I63" s="17"/>
      <c r="J63" s="17"/>
      <c r="K63" s="17"/>
      <c r="L63" s="17"/>
      <c r="M63" s="17"/>
    </row>
    <row r="64" spans="1:13" ht="15" customHeight="1">
      <c r="H64" s="101"/>
      <c r="I64" s="16"/>
      <c r="J64" s="16"/>
      <c r="K64" s="16"/>
      <c r="L64" s="16"/>
      <c r="M64" s="16"/>
    </row>
    <row r="65" spans="8:13" ht="15" customHeight="1">
      <c r="H65" s="101"/>
      <c r="I65" s="17"/>
      <c r="J65" s="17"/>
      <c r="K65" s="17"/>
      <c r="L65" s="17"/>
      <c r="M65" s="17"/>
    </row>
    <row r="66" spans="8:13" ht="15" customHeight="1">
      <c r="H66" s="101"/>
      <c r="I66" s="16"/>
      <c r="J66" s="16"/>
      <c r="K66" s="16"/>
      <c r="L66" s="16"/>
      <c r="M66" s="16"/>
    </row>
    <row r="67" spans="8:13" ht="15" customHeight="1">
      <c r="H67" s="101"/>
      <c r="I67" s="17"/>
      <c r="J67" s="17"/>
      <c r="K67" s="17"/>
      <c r="L67" s="17"/>
      <c r="M67" s="17"/>
    </row>
    <row r="68" spans="8:13" ht="15" customHeight="1">
      <c r="H68" s="101"/>
      <c r="I68" s="16"/>
      <c r="J68" s="16"/>
      <c r="K68" s="16"/>
      <c r="L68" s="16"/>
      <c r="M68" s="16"/>
    </row>
    <row r="69" spans="8:13" ht="15" customHeight="1">
      <c r="H69" s="101"/>
      <c r="I69" s="17"/>
      <c r="J69" s="17"/>
      <c r="K69" s="17"/>
      <c r="L69" s="17"/>
      <c r="M69" s="17"/>
    </row>
    <row r="70" spans="8:13" ht="15" customHeight="1">
      <c r="H70" s="101"/>
      <c r="I70" s="16"/>
      <c r="J70" s="16"/>
      <c r="K70" s="16"/>
      <c r="L70" s="16"/>
      <c r="M70" s="16"/>
    </row>
    <row r="71" spans="8:13" ht="15" customHeight="1">
      <c r="H71" s="101"/>
      <c r="I71" s="17"/>
      <c r="J71" s="17"/>
      <c r="K71" s="17"/>
      <c r="L71" s="17"/>
      <c r="M71" s="17"/>
    </row>
    <row r="72" spans="8:13" ht="15" customHeight="1">
      <c r="H72" s="101"/>
      <c r="I72" s="16"/>
      <c r="J72" s="16"/>
      <c r="K72" s="16"/>
      <c r="L72" s="16"/>
      <c r="M72" s="16"/>
    </row>
    <row r="73" spans="8:13" ht="15" customHeight="1">
      <c r="H73" s="101"/>
      <c r="I73" s="17"/>
      <c r="J73" s="17"/>
      <c r="K73" s="17"/>
      <c r="L73" s="17"/>
      <c r="M73" s="17"/>
    </row>
    <row r="74" spans="8:13" ht="15" customHeight="1">
      <c r="H74" s="101"/>
      <c r="I74" s="16"/>
      <c r="J74" s="16"/>
      <c r="K74" s="16"/>
      <c r="L74" s="16"/>
      <c r="M74" s="16"/>
    </row>
    <row r="75" spans="8:13" ht="15" customHeight="1">
      <c r="H75" s="101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11"/>
  <sheetViews>
    <sheetView showGridLines="0" zoomScale="60" zoomScaleNormal="60" workbookViewId="0">
      <pane ySplit="1" topLeftCell="A197" activePane="bottomLeft" state="frozen"/>
      <selection pane="bottomLeft" activeCell="F229" sqref="F229"/>
    </sheetView>
  </sheetViews>
  <sheetFormatPr defaultColWidth="8.5703125" defaultRowHeight="14.45"/>
  <cols>
    <col min="1" max="1" width="13" style="71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50.42578125" style="20" customWidth="1"/>
    <col min="15" max="15" width="14" customWidth="1"/>
  </cols>
  <sheetData>
    <row r="1" spans="1:15" ht="37.5" customHeight="1">
      <c r="A1" s="68" t="s">
        <v>7</v>
      </c>
      <c r="B1" s="23" t="s">
        <v>198</v>
      </c>
      <c r="C1" s="23" t="s">
        <v>12</v>
      </c>
      <c r="D1" s="22" t="s">
        <v>13</v>
      </c>
      <c r="E1" s="22" t="s">
        <v>199</v>
      </c>
      <c r="F1" s="23" t="s">
        <v>200</v>
      </c>
      <c r="G1" s="23" t="s">
        <v>201</v>
      </c>
      <c r="H1" s="23" t="s">
        <v>14</v>
      </c>
      <c r="I1" s="23" t="s">
        <v>15</v>
      </c>
      <c r="J1" s="23" t="s">
        <v>202</v>
      </c>
      <c r="K1" s="23" t="s">
        <v>203</v>
      </c>
      <c r="L1" s="23" t="s">
        <v>204</v>
      </c>
      <c r="M1" s="24" t="s">
        <v>205</v>
      </c>
      <c r="N1" s="23" t="s">
        <v>206</v>
      </c>
      <c r="O1" s="23" t="s">
        <v>207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20" t="s">
        <v>208</v>
      </c>
      <c r="E2" s="59" t="s">
        <v>209</v>
      </c>
      <c r="F2" s="27">
        <v>0</v>
      </c>
      <c r="G2" s="28">
        <f t="shared" ref="G2:G13" si="0">IF(F2="","",IF(E2="PC 17",F2*4.2,IF(E2="PC 19",F2*5,"")))</f>
        <v>0</v>
      </c>
      <c r="H2" s="26" t="s">
        <v>19</v>
      </c>
      <c r="I2" s="26" t="s">
        <v>23</v>
      </c>
      <c r="J2" s="26" t="s">
        <v>106</v>
      </c>
      <c r="K2" s="29">
        <v>0.29166666666666669</v>
      </c>
      <c r="L2" s="29">
        <v>0.37152777777777779</v>
      </c>
      <c r="M2" s="30">
        <f ca="1">IFERROR(IF(K2="","",IF(L2="",MOD(NOW()-K2,1),IF(L2&gt;=K2,L2-K2,L2+1-K2))),"")</f>
        <v>7.9861111111111105E-2</v>
      </c>
      <c r="N2" s="27" t="s">
        <v>210</v>
      </c>
      <c r="O2" s="31"/>
    </row>
    <row r="3" spans="1:15" ht="15" customHeight="1">
      <c r="A3" s="70">
        <v>46204</v>
      </c>
      <c r="B3" s="32">
        <f t="shared" ref="B3:B13" si="1">B2+TIME(0,60,0)</f>
        <v>0.37499999999999967</v>
      </c>
      <c r="C3" s="26" t="s">
        <v>29</v>
      </c>
      <c r="D3" s="59" t="s">
        <v>30</v>
      </c>
      <c r="E3" s="59" t="s">
        <v>209</v>
      </c>
      <c r="F3" s="27">
        <v>0</v>
      </c>
      <c r="G3" s="34">
        <f t="shared" si="0"/>
        <v>0</v>
      </c>
      <c r="H3" s="33" t="s">
        <v>20</v>
      </c>
      <c r="I3" s="33" t="s">
        <v>23</v>
      </c>
      <c r="J3" s="33" t="s">
        <v>140</v>
      </c>
      <c r="K3" s="29">
        <v>0.40694444444444444</v>
      </c>
      <c r="L3" s="29">
        <v>0.4548611111111111</v>
      </c>
      <c r="M3" s="35">
        <f t="shared" ref="M2:M13" ca="1" si="2">IFERROR(IF(K3="","",IF(L3="",MOD(NOW()-K3,1),IF(L3&gt;=K3,L3-K3,L3+1-K3))),"")</f>
        <v>4.7916666666666663E-2</v>
      </c>
      <c r="N3" s="27"/>
      <c r="O3" s="31"/>
    </row>
    <row r="4" spans="1:15" ht="15" customHeight="1">
      <c r="A4" s="69">
        <v>46204</v>
      </c>
      <c r="B4" s="25">
        <f t="shared" si="1"/>
        <v>0.41666666666666635</v>
      </c>
      <c r="C4" s="26" t="s">
        <v>29</v>
      </c>
      <c r="D4" s="59" t="s">
        <v>30</v>
      </c>
      <c r="E4" s="59" t="s">
        <v>209</v>
      </c>
      <c r="F4" s="27">
        <v>0</v>
      </c>
      <c r="G4" s="28">
        <f t="shared" si="0"/>
        <v>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70">
        <v>46204</v>
      </c>
      <c r="B5" s="32">
        <f t="shared" si="1"/>
        <v>0.45833333333333304</v>
      </c>
      <c r="C5" s="26" t="s">
        <v>29</v>
      </c>
      <c r="D5" s="59" t="s">
        <v>30</v>
      </c>
      <c r="E5" s="59" t="s">
        <v>209</v>
      </c>
      <c r="F5" s="27">
        <v>25</v>
      </c>
      <c r="G5" s="34">
        <f t="shared" si="0"/>
        <v>125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9">
        <v>46204</v>
      </c>
      <c r="B6" s="25">
        <f t="shared" si="1"/>
        <v>0.49999999999999972</v>
      </c>
      <c r="C6" s="26" t="s">
        <v>29</v>
      </c>
      <c r="D6" s="59" t="s">
        <v>30</v>
      </c>
      <c r="E6" s="59" t="s">
        <v>209</v>
      </c>
      <c r="F6" s="27">
        <v>50</v>
      </c>
      <c r="G6" s="28">
        <f t="shared" si="0"/>
        <v>250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70">
        <v>46204</v>
      </c>
      <c r="B7" s="32">
        <f t="shared" si="1"/>
        <v>0.54166666666666641</v>
      </c>
      <c r="C7" s="26" t="s">
        <v>29</v>
      </c>
      <c r="D7" s="59" t="s">
        <v>30</v>
      </c>
      <c r="E7" s="59" t="s">
        <v>209</v>
      </c>
      <c r="F7" s="27">
        <v>28</v>
      </c>
      <c r="G7" s="34">
        <f t="shared" si="0"/>
        <v>140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9">
        <v>46204</v>
      </c>
      <c r="B8" s="25">
        <f t="shared" si="1"/>
        <v>0.58333333333333304</v>
      </c>
      <c r="C8" s="26" t="s">
        <v>29</v>
      </c>
      <c r="D8" s="59" t="s">
        <v>30</v>
      </c>
      <c r="E8" s="59" t="s">
        <v>209</v>
      </c>
      <c r="F8" s="27">
        <v>32</v>
      </c>
      <c r="G8" s="28">
        <f t="shared" si="0"/>
        <v>160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70">
        <v>46204</v>
      </c>
      <c r="B9" s="32">
        <f t="shared" si="1"/>
        <v>0.62499999999999967</v>
      </c>
      <c r="C9" s="26" t="s">
        <v>29</v>
      </c>
      <c r="D9" s="59" t="s">
        <v>30</v>
      </c>
      <c r="E9" s="59" t="s">
        <v>209</v>
      </c>
      <c r="F9" s="27">
        <v>27</v>
      </c>
      <c r="G9" s="34">
        <f t="shared" si="0"/>
        <v>135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9">
        <v>46204</v>
      </c>
      <c r="B10" s="25">
        <f t="shared" si="1"/>
        <v>0.6666666666666663</v>
      </c>
      <c r="C10" s="26" t="s">
        <v>29</v>
      </c>
      <c r="D10" s="59" t="s">
        <v>30</v>
      </c>
      <c r="E10" s="59" t="s">
        <v>209</v>
      </c>
      <c r="F10" s="27">
        <v>40</v>
      </c>
      <c r="G10" s="28">
        <f t="shared" si="0"/>
        <v>200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70">
        <v>46204</v>
      </c>
      <c r="B11" s="32">
        <f t="shared" si="1"/>
        <v>0.70833333333333293</v>
      </c>
      <c r="C11" s="26" t="s">
        <v>29</v>
      </c>
      <c r="D11" s="59" t="s">
        <v>30</v>
      </c>
      <c r="E11" s="59" t="s">
        <v>209</v>
      </c>
      <c r="F11" s="27">
        <v>30</v>
      </c>
      <c r="G11" s="34">
        <f t="shared" si="0"/>
        <v>150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9">
        <v>46204</v>
      </c>
      <c r="B12" s="25">
        <f t="shared" si="1"/>
        <v>0.74999999999999956</v>
      </c>
      <c r="C12" s="26" t="s">
        <v>29</v>
      </c>
      <c r="D12" s="59" t="s">
        <v>30</v>
      </c>
      <c r="E12" s="59" t="s">
        <v>209</v>
      </c>
      <c r="F12" s="27">
        <v>30</v>
      </c>
      <c r="G12" s="28">
        <f t="shared" si="0"/>
        <v>150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70">
        <v>46204</v>
      </c>
      <c r="B13" s="32">
        <f t="shared" si="1"/>
        <v>0.79166666666666619</v>
      </c>
      <c r="C13" s="26" t="s">
        <v>29</v>
      </c>
      <c r="D13" s="59" t="s">
        <v>30</v>
      </c>
      <c r="E13" s="59" t="s">
        <v>209</v>
      </c>
      <c r="F13" s="27">
        <v>10</v>
      </c>
      <c r="G13" s="34">
        <f t="shared" si="0"/>
        <v>50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91" t="s">
        <v>211</v>
      </c>
      <c r="B14" s="92"/>
      <c r="C14" s="92"/>
      <c r="D14" s="92"/>
      <c r="E14" s="93"/>
      <c r="F14" s="36">
        <f>SUM(F2:F13)</f>
        <v>272</v>
      </c>
      <c r="G14" s="36">
        <f>SUM(G2:G13)</f>
        <v>1360</v>
      </c>
      <c r="H14" s="37"/>
      <c r="I14" s="37"/>
      <c r="J14" s="37"/>
      <c r="K14" s="37"/>
      <c r="L14" s="37"/>
      <c r="M14" s="38">
        <f ca="1">IFERROR(SUM(M2:M13),"")</f>
        <v>0.12777777777777777</v>
      </c>
      <c r="N14" s="36" t="s">
        <v>212</v>
      </c>
      <c r="O14" s="39">
        <v>1489420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209</v>
      </c>
      <c r="F15" s="27">
        <v>12</v>
      </c>
      <c r="G15" s="34">
        <f t="shared" ref="G15:G26" si="3">IF(F15="","",IF(E15="PC 17",F15*4.2,IF(E15="PC 19",F15*5,"")))</f>
        <v>60</v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209</v>
      </c>
      <c r="F16" s="27">
        <v>15</v>
      </c>
      <c r="G16" s="34">
        <f t="shared" si="3"/>
        <v>75</v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209</v>
      </c>
      <c r="F17" s="27">
        <v>17</v>
      </c>
      <c r="G17" s="34">
        <f t="shared" si="3"/>
        <v>85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209</v>
      </c>
      <c r="F18" s="27">
        <v>26</v>
      </c>
      <c r="G18" s="34">
        <f t="shared" si="3"/>
        <v>130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209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209</v>
      </c>
      <c r="F20" s="27">
        <v>25</v>
      </c>
      <c r="G20" s="34">
        <f t="shared" si="3"/>
        <v>125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209</v>
      </c>
      <c r="F21" s="27">
        <v>23</v>
      </c>
      <c r="G21" s="34">
        <f t="shared" si="3"/>
        <v>115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209</v>
      </c>
      <c r="F22" s="27">
        <v>26</v>
      </c>
      <c r="G22" s="34">
        <f t="shared" si="3"/>
        <v>130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209</v>
      </c>
      <c r="F23" s="27">
        <v>19</v>
      </c>
      <c r="G23" s="34">
        <f t="shared" si="3"/>
        <v>95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209</v>
      </c>
      <c r="F24" s="27">
        <v>21</v>
      </c>
      <c r="G24" s="34">
        <f t="shared" si="3"/>
        <v>105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209</v>
      </c>
      <c r="F25" s="27">
        <v>25</v>
      </c>
      <c r="G25" s="34">
        <f t="shared" si="3"/>
        <v>125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209</v>
      </c>
      <c r="F26" s="27">
        <v>8</v>
      </c>
      <c r="G26" s="34">
        <f t="shared" si="3"/>
        <v>40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91" t="s">
        <v>213</v>
      </c>
      <c r="B27" s="92"/>
      <c r="C27" s="92"/>
      <c r="D27" s="92"/>
      <c r="E27" s="93"/>
      <c r="F27" s="36">
        <f>SUM(F15:F26)</f>
        <v>235</v>
      </c>
      <c r="G27" s="36">
        <f>SUM(G15:G26)</f>
        <v>1175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212</v>
      </c>
      <c r="O27" s="39">
        <v>1183060</v>
      </c>
    </row>
    <row r="28" spans="1:15" ht="18" customHeight="1">
      <c r="A28" s="94" t="s">
        <v>214</v>
      </c>
      <c r="B28" s="95"/>
      <c r="C28" s="95"/>
      <c r="D28" s="95"/>
      <c r="E28" s="96"/>
      <c r="F28" s="40">
        <f>F14+F27</f>
        <v>507</v>
      </c>
      <c r="G28" s="40">
        <f>G14+G27</f>
        <v>2535</v>
      </c>
      <c r="H28" s="41"/>
      <c r="I28" s="41"/>
      <c r="J28" s="41"/>
      <c r="K28" s="41"/>
      <c r="L28" s="41"/>
      <c r="M28" s="42">
        <f ca="1">IFERROR(M14+M27,"")</f>
        <v>0.12777777777777777</v>
      </c>
      <c r="N28" s="40" t="s">
        <v>215</v>
      </c>
      <c r="O28" s="43">
        <f>IFERROR(O14+O27,"")</f>
        <v>2672480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209</v>
      </c>
      <c r="F29" s="27">
        <v>11</v>
      </c>
      <c r="G29" s="28">
        <f t="shared" ref="G29:G40" si="6">IF(F29="","",IF(E29="PC 17",F29*4.2,IF(E29="PC 19",F29*5,"")))</f>
        <v>55</v>
      </c>
      <c r="H29" s="33" t="s">
        <v>19</v>
      </c>
      <c r="I29" s="33" t="s">
        <v>31</v>
      </c>
      <c r="J29" s="33" t="s">
        <v>50</v>
      </c>
      <c r="K29" s="29">
        <v>0.32083333333333336</v>
      </c>
      <c r="L29" s="29">
        <v>0.36805555555555558</v>
      </c>
      <c r="M29" s="35">
        <f t="shared" ref="M29:M40" ca="1" si="7">IFERROR(IF(K29="","",IF(L29="",MOD(NOW()-K29,1),IF(L29&gt;=K29,L29-K29,L29+1-K29))),"")</f>
        <v>4.7222222222222221E-2</v>
      </c>
      <c r="N29" s="27"/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209</v>
      </c>
      <c r="F30" s="27">
        <v>10</v>
      </c>
      <c r="G30" s="34">
        <f t="shared" si="6"/>
        <v>50</v>
      </c>
      <c r="H30" s="26" t="s">
        <v>18</v>
      </c>
      <c r="I30" s="26" t="s">
        <v>23</v>
      </c>
      <c r="J30" s="26" t="s">
        <v>180</v>
      </c>
      <c r="K30" s="29">
        <v>0.37916666666666665</v>
      </c>
      <c r="L30" s="29">
        <v>0.79166666666666663</v>
      </c>
      <c r="M30" s="30">
        <f t="shared" ca="1" si="7"/>
        <v>0.41249999999999998</v>
      </c>
      <c r="N30" s="27" t="s">
        <v>216</v>
      </c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209</v>
      </c>
      <c r="F31" s="27">
        <v>0</v>
      </c>
      <c r="G31" s="28">
        <f t="shared" si="6"/>
        <v>0</v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209</v>
      </c>
      <c r="F32" s="27">
        <v>0</v>
      </c>
      <c r="G32" s="34">
        <f t="shared" si="6"/>
        <v>0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209</v>
      </c>
      <c r="F33" s="27">
        <v>0</v>
      </c>
      <c r="G33" s="28">
        <f t="shared" si="6"/>
        <v>0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209</v>
      </c>
      <c r="F34" s="27">
        <v>0</v>
      </c>
      <c r="G34" s="34">
        <f t="shared" si="6"/>
        <v>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209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209</v>
      </c>
      <c r="F36" s="27">
        <v>0</v>
      </c>
      <c r="G36" s="34">
        <f t="shared" si="6"/>
        <v>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209</v>
      </c>
      <c r="F37" s="27">
        <v>0</v>
      </c>
      <c r="G37" s="28">
        <f t="shared" si="6"/>
        <v>0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209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209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209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1" t="s">
        <v>211</v>
      </c>
      <c r="B41" s="92"/>
      <c r="C41" s="92"/>
      <c r="D41" s="92"/>
      <c r="E41" s="93">
        <f>SUM(E29:E40)</f>
        <v>0</v>
      </c>
      <c r="F41" s="36">
        <f>SUM(F29:F40)</f>
        <v>21</v>
      </c>
      <c r="G41" s="36">
        <f>SUM(G29:G40)</f>
        <v>105</v>
      </c>
      <c r="H41" s="37"/>
      <c r="I41" s="37"/>
      <c r="J41" s="37"/>
      <c r="K41" s="37"/>
      <c r="L41" s="37"/>
      <c r="M41" s="38">
        <f ca="1">IFERROR(SUM(M29:M40),"")</f>
        <v>0.4597222222222222</v>
      </c>
      <c r="N41" s="36" t="s">
        <v>212</v>
      </c>
      <c r="O41" s="39">
        <v>108620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209</v>
      </c>
      <c r="F42" s="27">
        <v>0</v>
      </c>
      <c r="G42" s="34">
        <f t="shared" ref="G42:G53" si="9">IF(F42="","",IF(E42="PC 17",F42*4.2,IF(E42="PC 19",F42*5,"")))</f>
        <v>0</v>
      </c>
      <c r="H42" s="26"/>
      <c r="I42" s="26"/>
      <c r="J42" s="26"/>
      <c r="K42" s="29">
        <v>0.79166666666666663</v>
      </c>
      <c r="L42" s="29">
        <v>0.875</v>
      </c>
      <c r="M42" s="30">
        <f t="shared" ref="M42:M53" ca="1" si="10">IFERROR(IF(K42="","",IF(L42="",MOD(NOW()-K42,1),IF(L42&gt;=K42,L42-K42,L42+1-K42))),"")</f>
        <v>8.333333333333337E-2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209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28</v>
      </c>
      <c r="K43" s="29">
        <v>3.125E-2</v>
      </c>
      <c r="L43" s="29">
        <v>5.4166666666666669E-2</v>
      </c>
      <c r="M43" s="35">
        <f t="shared" ca="1" si="10"/>
        <v>2.2916666666666669E-2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209</v>
      </c>
      <c r="F44" s="27">
        <v>13</v>
      </c>
      <c r="G44" s="34">
        <f t="shared" si="9"/>
        <v>65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209</v>
      </c>
      <c r="F45" s="27">
        <v>25</v>
      </c>
      <c r="G45" s="28">
        <f t="shared" si="9"/>
        <v>125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209</v>
      </c>
      <c r="F46" s="27">
        <v>33</v>
      </c>
      <c r="G46" s="34">
        <f t="shared" si="9"/>
        <v>165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209</v>
      </c>
      <c r="F47" s="27">
        <v>16</v>
      </c>
      <c r="G47" s="28">
        <f t="shared" si="9"/>
        <v>80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209</v>
      </c>
      <c r="F48" s="27">
        <v>10</v>
      </c>
      <c r="G48" s="34">
        <f t="shared" si="9"/>
        <v>50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209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209</v>
      </c>
      <c r="F50" s="27">
        <v>29</v>
      </c>
      <c r="G50" s="34">
        <f t="shared" si="9"/>
        <v>145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209</v>
      </c>
      <c r="F51" s="27">
        <v>30</v>
      </c>
      <c r="G51" s="28">
        <f t="shared" si="9"/>
        <v>150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209</v>
      </c>
      <c r="F52" s="27">
        <v>35</v>
      </c>
      <c r="G52" s="34">
        <f t="shared" si="9"/>
        <v>175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209</v>
      </c>
      <c r="F53" s="27">
        <v>12</v>
      </c>
      <c r="G53" s="28">
        <f t="shared" si="9"/>
        <v>60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1" t="s">
        <v>213</v>
      </c>
      <c r="B54" s="92"/>
      <c r="C54" s="92"/>
      <c r="D54" s="92"/>
      <c r="E54" s="93">
        <f>SUM(E42:E53)</f>
        <v>0</v>
      </c>
      <c r="F54" s="36">
        <f>SUM(F42:F53)</f>
        <v>203</v>
      </c>
      <c r="G54" s="36">
        <f>SUM(G42:G53)</f>
        <v>1015</v>
      </c>
      <c r="H54" s="37"/>
      <c r="I54" s="37"/>
      <c r="J54" s="37"/>
      <c r="K54" s="37"/>
      <c r="L54" s="37"/>
      <c r="M54" s="38">
        <f ca="1">IFERROR(SUM(M42:M53),"")</f>
        <v>0.10625000000000004</v>
      </c>
      <c r="N54" s="36" t="s">
        <v>212</v>
      </c>
      <c r="O54" s="39">
        <v>959290</v>
      </c>
    </row>
    <row r="55" spans="1:15" ht="18" customHeight="1">
      <c r="A55" s="94" t="s">
        <v>214</v>
      </c>
      <c r="B55" s="95"/>
      <c r="C55" s="95"/>
      <c r="D55" s="95"/>
      <c r="E55" s="96">
        <f>E41+E54</f>
        <v>0</v>
      </c>
      <c r="F55" s="40">
        <f>F41+F54</f>
        <v>224</v>
      </c>
      <c r="G55" s="40">
        <f>G41+G54</f>
        <v>1120</v>
      </c>
      <c r="H55" s="41"/>
      <c r="I55" s="41"/>
      <c r="J55" s="41"/>
      <c r="K55" s="41"/>
      <c r="L55" s="41"/>
      <c r="M55" s="42">
        <f ca="1">IFERROR(M41+M54,"")</f>
        <v>0.56597222222222221</v>
      </c>
      <c r="N55" s="40" t="s">
        <v>215</v>
      </c>
      <c r="O55" s="43">
        <f>IFERROR(O41+O54,"")</f>
        <v>1067910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209</v>
      </c>
      <c r="F56" s="27">
        <v>12</v>
      </c>
      <c r="G56" s="28">
        <f t="shared" ref="G56:G67" si="12">IF(F56="","",IF(E56="PC 17",F56*4.2,IF(E56="PC 19",F56*5,"")))</f>
        <v>60</v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209</v>
      </c>
      <c r="F57" s="27">
        <v>45</v>
      </c>
      <c r="G57" s="34">
        <f t="shared" si="12"/>
        <v>225</v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209</v>
      </c>
      <c r="F58" s="27">
        <v>40</v>
      </c>
      <c r="G58" s="28">
        <f t="shared" si="12"/>
        <v>200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209</v>
      </c>
      <c r="F59" s="27">
        <v>30</v>
      </c>
      <c r="G59" s="34">
        <f t="shared" si="12"/>
        <v>150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209</v>
      </c>
      <c r="F60" s="27">
        <v>30</v>
      </c>
      <c r="G60" s="28">
        <f t="shared" si="12"/>
        <v>150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209</v>
      </c>
      <c r="F61" s="27">
        <v>28</v>
      </c>
      <c r="G61" s="34">
        <f t="shared" si="12"/>
        <v>140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209</v>
      </c>
      <c r="F62" s="27">
        <v>32</v>
      </c>
      <c r="G62" s="28">
        <f t="shared" si="12"/>
        <v>160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209</v>
      </c>
      <c r="F63" s="27">
        <v>35</v>
      </c>
      <c r="G63" s="34">
        <f t="shared" si="12"/>
        <v>175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209</v>
      </c>
      <c r="F64" s="27">
        <v>35</v>
      </c>
      <c r="G64" s="28">
        <f t="shared" si="12"/>
        <v>175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209</v>
      </c>
      <c r="F65" s="27">
        <v>35</v>
      </c>
      <c r="G65" s="34">
        <f t="shared" si="12"/>
        <v>175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209</v>
      </c>
      <c r="F66" s="27">
        <v>30</v>
      </c>
      <c r="G66" s="28">
        <f t="shared" si="12"/>
        <v>150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209</v>
      </c>
      <c r="F67" s="27">
        <v>17</v>
      </c>
      <c r="G67" s="34">
        <f t="shared" si="12"/>
        <v>85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1" t="s">
        <v>211</v>
      </c>
      <c r="B68" s="92"/>
      <c r="C68" s="92"/>
      <c r="D68" s="92"/>
      <c r="E68" s="93">
        <f>SUM(E56:E67)</f>
        <v>0</v>
      </c>
      <c r="F68" s="36">
        <f>SUM(F56:F67)</f>
        <v>369</v>
      </c>
      <c r="G68" s="36">
        <f>SUM(G56:G67)</f>
        <v>1845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212</v>
      </c>
      <c r="O68" s="39">
        <v>1953130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209</v>
      </c>
      <c r="F69" s="27">
        <v>30</v>
      </c>
      <c r="G69" s="34">
        <f t="shared" ref="G69:G80" si="15">IF(F69="","",IF(E69="PC 17",F69*4.2,IF(E69="PC 19",F69*5,"")))</f>
        <v>150</v>
      </c>
      <c r="H69" s="33" t="s">
        <v>20</v>
      </c>
      <c r="I69" s="33" t="s">
        <v>23</v>
      </c>
      <c r="J69" s="33" t="s">
        <v>177</v>
      </c>
      <c r="K69" s="29">
        <v>0.98611111111111116</v>
      </c>
      <c r="L69" s="29">
        <v>1.9444444444444445E-2</v>
      </c>
      <c r="M69" s="35">
        <f t="shared" ref="M69:M80" ca="1" si="16">IFERROR(IF(K69="","",IF(L69="",MOD(NOW()-K69,1),IF(L69&gt;=K69,L69-K69,L69+1-K69))),"")</f>
        <v>3.3333333333333215E-2</v>
      </c>
      <c r="N69" s="27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209</v>
      </c>
      <c r="F70" s="27">
        <v>12</v>
      </c>
      <c r="G70" s="28">
        <f t="shared" si="15"/>
        <v>60</v>
      </c>
      <c r="H70" s="26" t="s">
        <v>20</v>
      </c>
      <c r="I70" s="26" t="s">
        <v>23</v>
      </c>
      <c r="J70" s="26" t="s">
        <v>129</v>
      </c>
      <c r="K70" s="29">
        <v>0.1388888888888889</v>
      </c>
      <c r="L70" s="29">
        <v>0.22222222222222221</v>
      </c>
      <c r="M70" s="30">
        <f t="shared" ca="1" si="16"/>
        <v>8.3333333333333315E-2</v>
      </c>
      <c r="N70" s="27" t="s">
        <v>217</v>
      </c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209</v>
      </c>
      <c r="F71" s="27">
        <v>13</v>
      </c>
      <c r="G71" s="34">
        <f t="shared" si="15"/>
        <v>65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209</v>
      </c>
      <c r="F72" s="27">
        <v>23</v>
      </c>
      <c r="G72" s="28">
        <f t="shared" si="15"/>
        <v>115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209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209</v>
      </c>
      <c r="F74" s="27">
        <v>30</v>
      </c>
      <c r="G74" s="28">
        <f t="shared" si="15"/>
        <v>150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209</v>
      </c>
      <c r="F75" s="27">
        <v>40</v>
      </c>
      <c r="G75" s="34">
        <f t="shared" si="15"/>
        <v>200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209</v>
      </c>
      <c r="F76" s="27">
        <v>20</v>
      </c>
      <c r="G76" s="28">
        <f t="shared" si="15"/>
        <v>100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209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209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22</v>
      </c>
      <c r="E79" s="62" t="s">
        <v>209</v>
      </c>
      <c r="F79" s="27">
        <v>26</v>
      </c>
      <c r="G79" s="34">
        <f t="shared" si="15"/>
        <v>130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209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1" t="s">
        <v>213</v>
      </c>
      <c r="B81" s="92"/>
      <c r="C81" s="92"/>
      <c r="D81" s="92"/>
      <c r="E81" s="93">
        <f>SUM(E69:E80)</f>
        <v>0</v>
      </c>
      <c r="F81" s="36">
        <f>SUM(F69:F80)</f>
        <v>194</v>
      </c>
      <c r="G81" s="36">
        <f>SUM(G69:G80)</f>
        <v>970</v>
      </c>
      <c r="H81" s="37"/>
      <c r="I81" s="37"/>
      <c r="J81" s="37"/>
      <c r="K81" s="37"/>
      <c r="L81" s="37"/>
      <c r="M81" s="38">
        <f ca="1">IFERROR(SUM(M69:M80),"")</f>
        <v>0.11666666666666653</v>
      </c>
      <c r="N81" s="36" t="s">
        <v>212</v>
      </c>
      <c r="O81" s="39">
        <v>878050</v>
      </c>
    </row>
    <row r="82" spans="1:15" ht="18" customHeight="1">
      <c r="A82" s="94" t="s">
        <v>214</v>
      </c>
      <c r="B82" s="95"/>
      <c r="C82" s="95"/>
      <c r="D82" s="95"/>
      <c r="E82" s="96">
        <f>E68+E81</f>
        <v>0</v>
      </c>
      <c r="F82" s="40">
        <f>F68+F81</f>
        <v>563</v>
      </c>
      <c r="G82" s="40">
        <f>G68+G81</f>
        <v>2815</v>
      </c>
      <c r="H82" s="41"/>
      <c r="I82" s="41"/>
      <c r="J82" s="41"/>
      <c r="K82" s="41"/>
      <c r="L82" s="41"/>
      <c r="M82" s="42">
        <f ca="1">IFERROR(M68+M81,"")</f>
        <v>0.11666666666666653</v>
      </c>
      <c r="N82" s="40" t="s">
        <v>215</v>
      </c>
      <c r="O82" s="43">
        <f>IFERROR(O68+O81,"")</f>
        <v>2831180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209</v>
      </c>
      <c r="F83" s="27">
        <v>25</v>
      </c>
      <c r="G83" s="28">
        <f t="shared" ref="G83:G94" si="18">IF(F83="","",IF(E83="PC 17",F83*4.2,IF(E83="PC 19",F83*5,"")))</f>
        <v>125</v>
      </c>
      <c r="H83" s="33" t="s">
        <v>18</v>
      </c>
      <c r="I83" s="33"/>
      <c r="J83" s="33" t="s">
        <v>163</v>
      </c>
      <c r="K83" s="29">
        <v>0.29722222222222222</v>
      </c>
      <c r="L83" s="29">
        <v>0.31319444444444444</v>
      </c>
      <c r="M83" s="35">
        <f t="shared" ref="M83:M94" ca="1" si="19">IFERROR(IF(K83="","",IF(L83="",MOD(NOW()-K83,1),IF(L83&gt;=K83,L83-K83,L83+1-K83))),"")</f>
        <v>1.5972222222222221E-2</v>
      </c>
      <c r="N83" s="27" t="s">
        <v>218</v>
      </c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209</v>
      </c>
      <c r="F84" s="27">
        <v>25</v>
      </c>
      <c r="G84" s="34">
        <f t="shared" si="18"/>
        <v>125</v>
      </c>
      <c r="H84" s="26" t="s">
        <v>19</v>
      </c>
      <c r="I84" s="26" t="s">
        <v>23</v>
      </c>
      <c r="J84" s="26" t="s">
        <v>50</v>
      </c>
      <c r="K84" s="29">
        <v>0.37291666666666667</v>
      </c>
      <c r="L84" s="29">
        <v>0.41944444444444445</v>
      </c>
      <c r="M84" s="30">
        <f t="shared" ca="1" si="19"/>
        <v>4.6527777777777779E-2</v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209</v>
      </c>
      <c r="F85" s="27">
        <v>0</v>
      </c>
      <c r="G85" s="28">
        <f t="shared" si="18"/>
        <v>0</v>
      </c>
      <c r="H85" s="33" t="s">
        <v>20</v>
      </c>
      <c r="I85" s="33" t="s">
        <v>141</v>
      </c>
      <c r="J85" s="33" t="s">
        <v>126</v>
      </c>
      <c r="K85" s="29">
        <v>0.48402777777777778</v>
      </c>
      <c r="L85" s="29">
        <v>0.53333333333333333</v>
      </c>
      <c r="M85" s="35">
        <f t="shared" ca="1" si="19"/>
        <v>4.9305555555555547E-2</v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209</v>
      </c>
      <c r="F86" s="27">
        <v>15</v>
      </c>
      <c r="G86" s="34">
        <f t="shared" si="18"/>
        <v>75</v>
      </c>
      <c r="H86" s="26" t="s">
        <v>18</v>
      </c>
      <c r="I86" s="26" t="s">
        <v>23</v>
      </c>
      <c r="J86" s="26" t="s">
        <v>189</v>
      </c>
      <c r="K86" s="29">
        <v>0.60624999999999996</v>
      </c>
      <c r="L86" s="29">
        <v>0.66041666666666665</v>
      </c>
      <c r="M86" s="30">
        <f t="shared" ca="1" si="19"/>
        <v>5.4166666666666696E-2</v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209</v>
      </c>
      <c r="F87" s="27">
        <v>17</v>
      </c>
      <c r="G87" s="28">
        <f t="shared" si="18"/>
        <v>85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209</v>
      </c>
      <c r="F88" s="27">
        <v>24</v>
      </c>
      <c r="G88" s="34">
        <f t="shared" si="18"/>
        <v>120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209</v>
      </c>
      <c r="F89" s="27">
        <v>15</v>
      </c>
      <c r="G89" s="28">
        <f t="shared" si="18"/>
        <v>75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209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209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22</v>
      </c>
      <c r="E92" s="59" t="s">
        <v>209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22</v>
      </c>
      <c r="E93" s="59" t="s">
        <v>209</v>
      </c>
      <c r="F93" s="27">
        <v>23</v>
      </c>
      <c r="G93" s="28">
        <f t="shared" si="18"/>
        <v>115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22</v>
      </c>
      <c r="E94" s="59" t="s">
        <v>209</v>
      </c>
      <c r="F94" s="27">
        <v>22</v>
      </c>
      <c r="G94" s="34">
        <f t="shared" si="18"/>
        <v>110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1" t="s">
        <v>211</v>
      </c>
      <c r="B95" s="92"/>
      <c r="C95" s="92"/>
      <c r="D95" s="92"/>
      <c r="E95" s="93">
        <f>SUM(E83:E94)</f>
        <v>0</v>
      </c>
      <c r="F95" s="36">
        <f>SUM(F83:F94)</f>
        <v>166</v>
      </c>
      <c r="G95" s="36">
        <f>SUM(G83:G94)</f>
        <v>830</v>
      </c>
      <c r="H95" s="37"/>
      <c r="I95" s="37"/>
      <c r="J95" s="37"/>
      <c r="K95" s="37"/>
      <c r="L95" s="37"/>
      <c r="M95" s="38">
        <f ca="1">IFERROR(SUM(M83:M94),"")</f>
        <v>0.16597222222222224</v>
      </c>
      <c r="N95" s="36" t="s">
        <v>212</v>
      </c>
      <c r="O95" s="39">
        <v>1704450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 t="s">
        <v>219</v>
      </c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1" t="s">
        <v>213</v>
      </c>
      <c r="B108" s="92"/>
      <c r="C108" s="92"/>
      <c r="D108" s="92"/>
      <c r="E108" s="93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212</v>
      </c>
      <c r="O108" s="39">
        <v>1700000</v>
      </c>
    </row>
    <row r="109" spans="1:15" ht="18" customHeight="1">
      <c r="A109" s="94" t="s">
        <v>214</v>
      </c>
      <c r="B109" s="95"/>
      <c r="C109" s="95"/>
      <c r="D109" s="95"/>
      <c r="E109" s="96">
        <f>E95+E108</f>
        <v>0</v>
      </c>
      <c r="F109" s="40">
        <f>F95+F108</f>
        <v>166</v>
      </c>
      <c r="G109" s="40">
        <f>G95+G108</f>
        <v>830</v>
      </c>
      <c r="H109" s="41"/>
      <c r="I109" s="41"/>
      <c r="J109" s="41"/>
      <c r="K109" s="41"/>
      <c r="L109" s="41"/>
      <c r="M109" s="42">
        <f ca="1">IFERROR(M95+M108,"")</f>
        <v>0.16597222222222224</v>
      </c>
      <c r="N109" s="40" t="s">
        <v>215</v>
      </c>
      <c r="O109" s="43">
        <f>IFERROR(O95+O108,"")</f>
        <v>3404450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209</v>
      </c>
      <c r="F110" s="27">
        <v>20</v>
      </c>
      <c r="G110" s="28">
        <f t="shared" ref="G110:G121" si="24">IF(F110="","",IF(E110="PC 17",F110*4.2,IF(E110="PC 19",F110*5,"")))</f>
        <v>100</v>
      </c>
      <c r="H110" s="26" t="s">
        <v>18</v>
      </c>
      <c r="I110" s="26" t="s">
        <v>23</v>
      </c>
      <c r="J110" s="26" t="s">
        <v>194</v>
      </c>
      <c r="K110" s="29">
        <v>0.46875</v>
      </c>
      <c r="L110" s="29">
        <v>0.4826388888888889</v>
      </c>
      <c r="M110" s="30">
        <f t="shared" ref="M110:M121" ca="1" si="25">IFERROR(IF(K110="","",IF(L110="",MOD(NOW()-K110,1),IF(L110&gt;=K110,L110-K110,L110+1-K110))),"")</f>
        <v>1.3888888888888895E-2</v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209</v>
      </c>
      <c r="F111" s="27">
        <v>30</v>
      </c>
      <c r="G111" s="34">
        <f t="shared" si="24"/>
        <v>150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209</v>
      </c>
      <c r="F112" s="27">
        <v>40</v>
      </c>
      <c r="G112" s="28">
        <f t="shared" si="24"/>
        <v>200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209</v>
      </c>
      <c r="F113" s="27">
        <v>40</v>
      </c>
      <c r="G113" s="34">
        <f t="shared" si="24"/>
        <v>200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209</v>
      </c>
      <c r="F114" s="27">
        <v>20</v>
      </c>
      <c r="G114" s="28">
        <f t="shared" si="24"/>
        <v>100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209</v>
      </c>
      <c r="F115" s="27">
        <v>30</v>
      </c>
      <c r="G115" s="34">
        <f t="shared" si="24"/>
        <v>150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209</v>
      </c>
      <c r="F116" s="27">
        <v>15</v>
      </c>
      <c r="G116" s="28">
        <f t="shared" si="24"/>
        <v>75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209</v>
      </c>
      <c r="F117" s="27">
        <v>6</v>
      </c>
      <c r="G117" s="34">
        <f t="shared" si="24"/>
        <v>30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209</v>
      </c>
      <c r="F118" s="27">
        <v>32</v>
      </c>
      <c r="G118" s="28">
        <f t="shared" si="24"/>
        <v>160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209</v>
      </c>
      <c r="F119" s="27">
        <v>24</v>
      </c>
      <c r="G119" s="34">
        <f t="shared" si="24"/>
        <v>120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209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209</v>
      </c>
      <c r="F121" s="27">
        <v>10</v>
      </c>
      <c r="G121" s="34">
        <f t="shared" si="24"/>
        <v>50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1" t="s">
        <v>211</v>
      </c>
      <c r="B122" s="92"/>
      <c r="C122" s="92"/>
      <c r="D122" s="92"/>
      <c r="E122" s="93">
        <f>SUM(E110:E121)</f>
        <v>0</v>
      </c>
      <c r="F122" s="36">
        <f>SUM(F110:F121)</f>
        <v>267</v>
      </c>
      <c r="G122" s="36">
        <f>SUM(G110:G121)</f>
        <v>1335</v>
      </c>
      <c r="H122" s="37"/>
      <c r="I122" s="37"/>
      <c r="J122" s="37"/>
      <c r="K122" s="37"/>
      <c r="L122" s="37"/>
      <c r="M122" s="38">
        <f ca="1">IFERROR(SUM(M110:M121),"")</f>
        <v>1.3888888888888895E-2</v>
      </c>
      <c r="N122" s="36" t="s">
        <v>212</v>
      </c>
      <c r="O122" s="39">
        <v>1625420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/>
      <c r="F123" s="27"/>
      <c r="G123" s="34" t="str">
        <f t="shared" ref="G123:G134" si="27">IF(F123="","",IF(E123="PC 17",F123*4.2,IF(E123="PC 19",F123*5,"")))</f>
        <v/>
      </c>
      <c r="H123" s="33" t="s">
        <v>20</v>
      </c>
      <c r="I123" s="33" t="s">
        <v>23</v>
      </c>
      <c r="J123" s="33" t="s">
        <v>183</v>
      </c>
      <c r="K123" s="29">
        <v>0.86805555555555558</v>
      </c>
      <c r="L123" s="29">
        <v>0.89583333333333337</v>
      </c>
      <c r="M123" s="35">
        <f t="shared" ref="M123:M134" ca="1" si="28">IFERROR(IF(K123="","",IF(L123="",MOD(NOW()-K123,1),IF(L123&gt;=K123,L123-K123,L123+1-K123))),"")</f>
        <v>2.777777777777779E-2</v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209</v>
      </c>
      <c r="F124" s="27">
        <v>4</v>
      </c>
      <c r="G124" s="28">
        <f t="shared" si="27"/>
        <v>20</v>
      </c>
      <c r="H124" s="26" t="s">
        <v>20</v>
      </c>
      <c r="I124" s="26" t="s">
        <v>23</v>
      </c>
      <c r="J124" s="26" t="s">
        <v>185</v>
      </c>
      <c r="K124" s="29">
        <v>0.13194444444444445</v>
      </c>
      <c r="L124" s="29">
        <v>0.20833333333333334</v>
      </c>
      <c r="M124" s="30">
        <f t="shared" ca="1" si="28"/>
        <v>7.6388888888888895E-2</v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1" t="s">
        <v>213</v>
      </c>
      <c r="B135" s="92"/>
      <c r="C135" s="92"/>
      <c r="D135" s="92"/>
      <c r="E135" s="93">
        <f>SUM(E123:E134)</f>
        <v>0</v>
      </c>
      <c r="F135" s="36">
        <f>SUM(F123:F134)</f>
        <v>4</v>
      </c>
      <c r="G135" s="36">
        <f>SUM(G123:G134)</f>
        <v>20</v>
      </c>
      <c r="H135" s="37"/>
      <c r="I135" s="37"/>
      <c r="J135" s="37"/>
      <c r="K135" s="37"/>
      <c r="L135" s="37"/>
      <c r="M135" s="38">
        <f ca="1">IFERROR(SUM(M123:M134),"")</f>
        <v>0.10416666666666669</v>
      </c>
      <c r="N135" s="36" t="s">
        <v>212</v>
      </c>
      <c r="O135" s="39">
        <v>862330</v>
      </c>
    </row>
    <row r="136" spans="1:15" ht="18" customHeight="1">
      <c r="A136" s="94" t="s">
        <v>214</v>
      </c>
      <c r="B136" s="95"/>
      <c r="C136" s="95"/>
      <c r="D136" s="95"/>
      <c r="E136" s="96">
        <f>E122+E135</f>
        <v>0</v>
      </c>
      <c r="F136" s="40">
        <f>F122+F135</f>
        <v>271</v>
      </c>
      <c r="G136" s="40">
        <f>G122+G135</f>
        <v>1355</v>
      </c>
      <c r="H136" s="41"/>
      <c r="I136" s="41"/>
      <c r="J136" s="41"/>
      <c r="K136" s="41"/>
      <c r="L136" s="41"/>
      <c r="M136" s="42">
        <f ca="1">IFERROR(M122+M135,"")</f>
        <v>0.11805555555555558</v>
      </c>
      <c r="N136" s="40" t="s">
        <v>215</v>
      </c>
      <c r="O136" s="43">
        <f>IFERROR(O122+O135,"")</f>
        <v>2487750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209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20</v>
      </c>
      <c r="I137" s="33" t="s">
        <v>23</v>
      </c>
      <c r="J137" s="33" t="s">
        <v>183</v>
      </c>
      <c r="K137" s="29">
        <v>0.29166666666666669</v>
      </c>
      <c r="L137" s="29">
        <v>0.3263888888888889</v>
      </c>
      <c r="M137" s="35">
        <f t="shared" ref="M137:M148" ca="1" si="31">IFERROR(IF(K137="","",IF(L137="",MOD(NOW()-K137,1),IF(L137&gt;=K137,L137-K137,L137+1-K137))),"")</f>
        <v>3.472222222222221E-2</v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209</v>
      </c>
      <c r="F138" s="27">
        <v>22</v>
      </c>
      <c r="G138" s="28">
        <f t="shared" si="30"/>
        <v>110</v>
      </c>
      <c r="H138" s="26" t="s">
        <v>19</v>
      </c>
      <c r="I138" s="26" t="s">
        <v>23</v>
      </c>
      <c r="J138" s="26" t="s">
        <v>67</v>
      </c>
      <c r="K138" s="29">
        <v>0.5493055555555556</v>
      </c>
      <c r="L138" s="29">
        <v>0.57638888888888884</v>
      </c>
      <c r="M138" s="30">
        <f t="shared" ca="1" si="31"/>
        <v>2.7083333333333237E-2</v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209</v>
      </c>
      <c r="F139" s="27">
        <v>8</v>
      </c>
      <c r="G139" s="34">
        <f t="shared" si="30"/>
        <v>40</v>
      </c>
      <c r="H139" s="33" t="s">
        <v>19</v>
      </c>
      <c r="I139" s="33" t="s">
        <v>23</v>
      </c>
      <c r="J139" s="33" t="s">
        <v>106</v>
      </c>
      <c r="K139" s="29">
        <v>0.58333333333333337</v>
      </c>
      <c r="L139" s="29">
        <v>0.60416666666666663</v>
      </c>
      <c r="M139" s="35">
        <f t="shared" ca="1" si="31"/>
        <v>2.0833333333333259E-2</v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209</v>
      </c>
      <c r="F140" s="27">
        <v>6</v>
      </c>
      <c r="G140" s="28">
        <f t="shared" si="30"/>
        <v>30</v>
      </c>
      <c r="H140" s="26" t="s">
        <v>19</v>
      </c>
      <c r="I140" s="26" t="s">
        <v>23</v>
      </c>
      <c r="J140" s="26" t="s">
        <v>50</v>
      </c>
      <c r="K140" s="29">
        <v>0.5493055555555556</v>
      </c>
      <c r="L140" s="29">
        <v>0.68333333333333335</v>
      </c>
      <c r="M140" s="30">
        <f t="shared" ca="1" si="31"/>
        <v>0.13402777777777775</v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209</v>
      </c>
      <c r="F141" s="27">
        <v>7</v>
      </c>
      <c r="G141" s="34">
        <f t="shared" si="30"/>
        <v>35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209</v>
      </c>
      <c r="F142" s="27">
        <v>6</v>
      </c>
      <c r="G142" s="28">
        <f t="shared" si="30"/>
        <v>30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209</v>
      </c>
      <c r="F143" s="27">
        <v>4</v>
      </c>
      <c r="G143" s="34">
        <f t="shared" si="30"/>
        <v>20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209</v>
      </c>
      <c r="F144" s="27">
        <v>0</v>
      </c>
      <c r="G144" s="28">
        <f t="shared" si="30"/>
        <v>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209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209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209</v>
      </c>
      <c r="F147" s="27">
        <v>11</v>
      </c>
      <c r="G147" s="34">
        <f t="shared" si="30"/>
        <v>55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209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1" t="s">
        <v>211</v>
      </c>
      <c r="B149" s="92"/>
      <c r="C149" s="92"/>
      <c r="D149" s="92"/>
      <c r="E149" s="93">
        <f>SUM(E137:E148)</f>
        <v>0</v>
      </c>
      <c r="F149" s="36">
        <f>SUM(F137:F148)</f>
        <v>79</v>
      </c>
      <c r="G149" s="36">
        <f>SUM(G137:G148)</f>
        <v>395</v>
      </c>
      <c r="H149" s="37"/>
      <c r="I149" s="37"/>
      <c r="J149" s="37"/>
      <c r="K149" s="37"/>
      <c r="L149" s="37"/>
      <c r="M149" s="38">
        <f ca="1">IFERROR(SUM(M137:M148),"")</f>
        <v>0.21666666666666645</v>
      </c>
      <c r="N149" s="36" t="s">
        <v>212</v>
      </c>
      <c r="O149" s="44">
        <v>1121220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209</v>
      </c>
      <c r="F150" s="27">
        <v>20</v>
      </c>
      <c r="G150" s="28">
        <f t="shared" ref="G150:G161" si="33">IF(F150="","",IF(E150="PC 17",F150*4.2,IF(E150="PC 19",F150*5,"")))</f>
        <v>100</v>
      </c>
      <c r="H150" s="26" t="s">
        <v>18</v>
      </c>
      <c r="I150" s="26" t="s">
        <v>23</v>
      </c>
      <c r="J150" s="26" t="s">
        <v>161</v>
      </c>
      <c r="K150" s="29">
        <v>0.15138888888888888</v>
      </c>
      <c r="L150" s="29">
        <v>0.15486111111111112</v>
      </c>
      <c r="M150" s="30">
        <f t="shared" ref="M150:M161" ca="1" si="34">IFERROR(IF(K150="","",IF(L150="",MOD(NOW()-K150,1),IF(L150&gt;=K150,L150-K150,L150+1-K150))),"")</f>
        <v>3.4722222222222376E-3</v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209</v>
      </c>
      <c r="F151" s="27">
        <v>10</v>
      </c>
      <c r="G151" s="34">
        <f t="shared" si="33"/>
        <v>50</v>
      </c>
      <c r="H151" s="33" t="s">
        <v>20</v>
      </c>
      <c r="I151" s="33" t="s">
        <v>23</v>
      </c>
      <c r="J151" s="33" t="s">
        <v>140</v>
      </c>
      <c r="K151" s="29">
        <v>0.19097222222222221</v>
      </c>
      <c r="L151" s="29">
        <v>0.20833333333333334</v>
      </c>
      <c r="M151" s="35">
        <f t="shared" ca="1" si="34"/>
        <v>1.7361111111111133E-2</v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209</v>
      </c>
      <c r="F152" s="27">
        <v>23</v>
      </c>
      <c r="G152" s="28">
        <f t="shared" si="33"/>
        <v>115</v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209</v>
      </c>
      <c r="F153" s="27">
        <v>40</v>
      </c>
      <c r="G153" s="34">
        <f t="shared" si="33"/>
        <v>200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209</v>
      </c>
      <c r="F154" s="27">
        <v>30</v>
      </c>
      <c r="G154" s="28">
        <f t="shared" si="33"/>
        <v>150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209</v>
      </c>
      <c r="F155" s="27">
        <v>32</v>
      </c>
      <c r="G155" s="34">
        <f t="shared" si="33"/>
        <v>160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209</v>
      </c>
      <c r="F156" s="27">
        <v>35</v>
      </c>
      <c r="G156" s="28">
        <f t="shared" si="33"/>
        <v>175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209</v>
      </c>
      <c r="F157" s="27">
        <v>34</v>
      </c>
      <c r="G157" s="34">
        <f t="shared" si="33"/>
        <v>170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209</v>
      </c>
      <c r="F158" s="27">
        <v>27</v>
      </c>
      <c r="G158" s="28">
        <f t="shared" si="33"/>
        <v>135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209</v>
      </c>
      <c r="F159" s="27">
        <v>28</v>
      </c>
      <c r="G159" s="34">
        <f t="shared" si="33"/>
        <v>140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209</v>
      </c>
      <c r="F160" s="27">
        <v>23</v>
      </c>
      <c r="G160" s="28">
        <f t="shared" si="33"/>
        <v>115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209</v>
      </c>
      <c r="F161" s="27">
        <v>14</v>
      </c>
      <c r="G161" s="34">
        <f t="shared" si="33"/>
        <v>70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1" t="s">
        <v>213</v>
      </c>
      <c r="B162" s="92"/>
      <c r="C162" s="92"/>
      <c r="D162" s="92"/>
      <c r="E162" s="93">
        <f>SUM(E150:E161)</f>
        <v>0</v>
      </c>
      <c r="F162" s="36">
        <f>SUM(F150:F161)</f>
        <v>316</v>
      </c>
      <c r="G162" s="36">
        <f>SUM(G150:G161)</f>
        <v>1580</v>
      </c>
      <c r="H162" s="37"/>
      <c r="I162" s="37"/>
      <c r="J162" s="37"/>
      <c r="K162" s="37"/>
      <c r="L162" s="37"/>
      <c r="M162" s="38">
        <f ca="1">IFERROR(SUM(M150:M161),"")</f>
        <v>2.083333333333337E-2</v>
      </c>
      <c r="N162" s="36" t="s">
        <v>212</v>
      </c>
      <c r="O162" s="44">
        <v>1546080</v>
      </c>
    </row>
    <row r="163" spans="1:15" ht="18" customHeight="1">
      <c r="A163" s="94" t="s">
        <v>214</v>
      </c>
      <c r="B163" s="95"/>
      <c r="C163" s="95"/>
      <c r="D163" s="95"/>
      <c r="E163" s="96">
        <f>E149+E162</f>
        <v>0</v>
      </c>
      <c r="F163" s="40">
        <f>F149+F162</f>
        <v>395</v>
      </c>
      <c r="G163" s="40">
        <f>G149+G162</f>
        <v>1975</v>
      </c>
      <c r="H163" s="41"/>
      <c r="I163" s="41"/>
      <c r="J163" s="41"/>
      <c r="K163" s="41"/>
      <c r="L163" s="41"/>
      <c r="M163" s="42">
        <f ca="1">IFERROR(M149+M162,"")</f>
        <v>0.23749999999999982</v>
      </c>
      <c r="N163" s="40" t="s">
        <v>215</v>
      </c>
      <c r="O163" s="43">
        <f>IFERROR(O149+O162,"")</f>
        <v>2667300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22</v>
      </c>
      <c r="E164" s="59" t="s">
        <v>209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18</v>
      </c>
      <c r="I164" s="26" t="s">
        <v>23</v>
      </c>
      <c r="J164" s="26" t="s">
        <v>125</v>
      </c>
      <c r="K164" s="29">
        <v>0.29166666666666669</v>
      </c>
      <c r="L164" s="29">
        <v>0.38611111111111113</v>
      </c>
      <c r="M164" s="30">
        <f t="shared" ref="M164:M175" ca="1" si="37">IFERROR(IF(K164="","",IF(L164="",MOD(NOW()-K164,1),IF(L164&gt;=K164,L164-K164,L164+1-K164))),"")</f>
        <v>9.4444444444444442E-2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59" t="s">
        <v>209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209</v>
      </c>
      <c r="F166" s="27">
        <v>25</v>
      </c>
      <c r="G166" s="28">
        <f t="shared" si="36"/>
        <v>125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59" t="s">
        <v>209</v>
      </c>
      <c r="F167" s="27">
        <v>51</v>
      </c>
      <c r="G167" s="34">
        <f t="shared" si="36"/>
        <v>255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209</v>
      </c>
      <c r="F168" s="27">
        <v>61</v>
      </c>
      <c r="G168" s="28">
        <f t="shared" si="36"/>
        <v>305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59" t="s">
        <v>209</v>
      </c>
      <c r="F169" s="27">
        <v>35</v>
      </c>
      <c r="G169" s="34">
        <f t="shared" si="36"/>
        <v>175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209</v>
      </c>
      <c r="F170" s="27">
        <v>30</v>
      </c>
      <c r="G170" s="28">
        <f t="shared" si="36"/>
        <v>150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59" t="s">
        <v>209</v>
      </c>
      <c r="F171" s="27">
        <v>35</v>
      </c>
      <c r="G171" s="34">
        <f t="shared" si="36"/>
        <v>175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209</v>
      </c>
      <c r="F172" s="27">
        <v>28</v>
      </c>
      <c r="G172" s="28">
        <f t="shared" si="36"/>
        <v>140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59" t="s">
        <v>209</v>
      </c>
      <c r="F173" s="27">
        <v>30</v>
      </c>
      <c r="G173" s="34">
        <f t="shared" si="36"/>
        <v>150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209</v>
      </c>
      <c r="F174" s="27">
        <v>35</v>
      </c>
      <c r="G174" s="28">
        <f t="shared" si="36"/>
        <v>175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59" t="s">
        <v>209</v>
      </c>
      <c r="F175" s="27">
        <v>15</v>
      </c>
      <c r="G175" s="34">
        <f t="shared" si="36"/>
        <v>75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1" t="s">
        <v>211</v>
      </c>
      <c r="B176" s="92"/>
      <c r="C176" s="92"/>
      <c r="D176" s="92"/>
      <c r="E176" s="93">
        <f>SUM(E164:E175)</f>
        <v>0</v>
      </c>
      <c r="F176" s="36">
        <f>SUM(F164:F175)</f>
        <v>345</v>
      </c>
      <c r="G176" s="36">
        <f>SUM(G164:G175)</f>
        <v>1725</v>
      </c>
      <c r="H176" s="37"/>
      <c r="I176" s="37"/>
      <c r="J176" s="37"/>
      <c r="K176" s="37"/>
      <c r="L176" s="37"/>
      <c r="M176" s="38">
        <f ca="1">IFERROR(SUM(M164:M175),"")</f>
        <v>9.4444444444444442E-2</v>
      </c>
      <c r="N176" s="36" t="s">
        <v>212</v>
      </c>
      <c r="O176" s="39">
        <v>1946430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209</v>
      </c>
      <c r="F177" s="27">
        <v>50</v>
      </c>
      <c r="G177" s="34">
        <f t="shared" ref="G177:G188" si="39">IF(F177="","",IF(E177="PC 17",F177*4.2,IF(E177="PC 19",F177*5,"")))</f>
        <v>250</v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209</v>
      </c>
      <c r="F178" s="27">
        <v>19</v>
      </c>
      <c r="G178" s="28">
        <f t="shared" si="39"/>
        <v>95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209</v>
      </c>
      <c r="F179" s="27">
        <v>33</v>
      </c>
      <c r="G179" s="34">
        <f t="shared" si="39"/>
        <v>165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209</v>
      </c>
      <c r="F180" s="27">
        <v>38</v>
      </c>
      <c r="G180" s="28">
        <f t="shared" si="39"/>
        <v>190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209</v>
      </c>
      <c r="F181" s="27">
        <v>34</v>
      </c>
      <c r="G181" s="34">
        <f t="shared" si="39"/>
        <v>170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209</v>
      </c>
      <c r="F182" s="27">
        <v>35</v>
      </c>
      <c r="G182" s="28">
        <f t="shared" si="39"/>
        <v>175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209</v>
      </c>
      <c r="F183" s="27">
        <v>36</v>
      </c>
      <c r="G183" s="34">
        <f t="shared" si="39"/>
        <v>180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209</v>
      </c>
      <c r="F184" s="27">
        <v>30</v>
      </c>
      <c r="G184" s="28">
        <f t="shared" si="39"/>
        <v>150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209</v>
      </c>
      <c r="F185" s="27">
        <v>40</v>
      </c>
      <c r="G185" s="34">
        <f t="shared" si="39"/>
        <v>200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209</v>
      </c>
      <c r="F186" s="27">
        <v>16</v>
      </c>
      <c r="G186" s="28">
        <f t="shared" si="39"/>
        <v>80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30</v>
      </c>
      <c r="E187" s="62" t="s">
        <v>209</v>
      </c>
      <c r="F187" s="27">
        <v>46</v>
      </c>
      <c r="G187" s="34">
        <f t="shared" si="39"/>
        <v>230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30</v>
      </c>
      <c r="E188" s="62" t="s">
        <v>209</v>
      </c>
      <c r="F188" s="27">
        <v>10</v>
      </c>
      <c r="G188" s="28">
        <f t="shared" si="39"/>
        <v>50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1" t="s">
        <v>213</v>
      </c>
      <c r="B189" s="92"/>
      <c r="C189" s="92"/>
      <c r="D189" s="92"/>
      <c r="E189" s="93">
        <f>SUM(E177:E188)</f>
        <v>0</v>
      </c>
      <c r="F189" s="36">
        <f>SUM(F177:F188)</f>
        <v>387</v>
      </c>
      <c r="G189" s="36">
        <f>SUM(G177:G188)</f>
        <v>1935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212</v>
      </c>
      <c r="O189" s="39">
        <v>2355810</v>
      </c>
    </row>
    <row r="190" spans="1:15" ht="18" customHeight="1">
      <c r="A190" s="94" t="s">
        <v>214</v>
      </c>
      <c r="B190" s="95"/>
      <c r="C190" s="95"/>
      <c r="D190" s="95"/>
      <c r="E190" s="96">
        <f>E176+E189</f>
        <v>0</v>
      </c>
      <c r="F190" s="40">
        <f>F176+F189</f>
        <v>732</v>
      </c>
      <c r="G190" s="40">
        <f>G176+G189</f>
        <v>3660</v>
      </c>
      <c r="H190" s="41"/>
      <c r="I190" s="41"/>
      <c r="J190" s="41"/>
      <c r="K190" s="41"/>
      <c r="L190" s="41"/>
      <c r="M190" s="42">
        <f ca="1">IFERROR(M176+M189,"")</f>
        <v>9.4444444444444442E-2</v>
      </c>
      <c r="N190" s="40" t="s">
        <v>215</v>
      </c>
      <c r="O190" s="43">
        <f>IFERROR(O176+O189,"")</f>
        <v>4302240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30</v>
      </c>
      <c r="E191" s="62" t="s">
        <v>209</v>
      </c>
      <c r="F191" s="27">
        <v>14</v>
      </c>
      <c r="G191" s="34">
        <f t="shared" ref="G191:G202" si="42">IF(F191="","",IF(E191="PC 17",F191*4.2,IF(E191="PC 19",F191*5,"")))</f>
        <v>70</v>
      </c>
      <c r="H191" s="33" t="s">
        <v>19</v>
      </c>
      <c r="I191" s="33" t="s">
        <v>23</v>
      </c>
      <c r="J191" s="33" t="s">
        <v>67</v>
      </c>
      <c r="K191" s="29">
        <v>0.5083333333333333</v>
      </c>
      <c r="L191" s="29">
        <v>0.52152777777777781</v>
      </c>
      <c r="M191" s="35">
        <f t="shared" ref="M191:M202" ca="1" si="43">IFERROR(IF(K191="","",IF(L191="",MOD(NOW()-K191,1),IF(L191&gt;=K191,L191-K191,L191+1-K191))),"")</f>
        <v>1.3194444444444509E-2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30</v>
      </c>
      <c r="E192" s="62" t="s">
        <v>209</v>
      </c>
      <c r="F192" s="27">
        <v>35</v>
      </c>
      <c r="G192" s="28">
        <f t="shared" si="42"/>
        <v>175</v>
      </c>
      <c r="H192" s="26" t="s">
        <v>17</v>
      </c>
      <c r="I192" s="26" t="s">
        <v>23</v>
      </c>
      <c r="J192" s="26" t="s">
        <v>99</v>
      </c>
      <c r="K192" s="29">
        <v>0.66041666666666665</v>
      </c>
      <c r="L192" s="29">
        <v>0.67083333333333328</v>
      </c>
      <c r="M192" s="30">
        <f t="shared" ca="1" si="43"/>
        <v>1.041666666666663E-2</v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30</v>
      </c>
      <c r="E193" s="62" t="s">
        <v>209</v>
      </c>
      <c r="F193" s="27">
        <v>25</v>
      </c>
      <c r="G193" s="34">
        <f t="shared" si="42"/>
        <v>125</v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30</v>
      </c>
      <c r="E194" s="62" t="s">
        <v>209</v>
      </c>
      <c r="F194" s="27">
        <v>25</v>
      </c>
      <c r="G194" s="28">
        <f t="shared" si="42"/>
        <v>125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30</v>
      </c>
      <c r="E195" s="62" t="s">
        <v>209</v>
      </c>
      <c r="F195" s="27">
        <v>25</v>
      </c>
      <c r="G195" s="34">
        <f t="shared" si="42"/>
        <v>125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30</v>
      </c>
      <c r="E196" s="62" t="s">
        <v>209</v>
      </c>
      <c r="F196" s="27">
        <v>21</v>
      </c>
      <c r="G196" s="28">
        <f t="shared" si="42"/>
        <v>105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30</v>
      </c>
      <c r="E197" s="62" t="s">
        <v>209</v>
      </c>
      <c r="F197" s="27">
        <v>35</v>
      </c>
      <c r="G197" s="34">
        <f t="shared" si="42"/>
        <v>175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30</v>
      </c>
      <c r="E198" s="62" t="s">
        <v>209</v>
      </c>
      <c r="F198" s="27">
        <v>35</v>
      </c>
      <c r="G198" s="28">
        <f t="shared" si="42"/>
        <v>175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30</v>
      </c>
      <c r="E199" s="62" t="s">
        <v>209</v>
      </c>
      <c r="F199" s="27">
        <v>35</v>
      </c>
      <c r="G199" s="34">
        <f t="shared" si="42"/>
        <v>175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30</v>
      </c>
      <c r="E200" s="62" t="s">
        <v>209</v>
      </c>
      <c r="F200" s="27">
        <v>30</v>
      </c>
      <c r="G200" s="28">
        <f t="shared" si="42"/>
        <v>150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30</v>
      </c>
      <c r="E201" s="62" t="s">
        <v>209</v>
      </c>
      <c r="F201" s="27">
        <v>30</v>
      </c>
      <c r="G201" s="34">
        <f t="shared" si="42"/>
        <v>150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30</v>
      </c>
      <c r="E202" s="62" t="s">
        <v>209</v>
      </c>
      <c r="F202" s="27">
        <v>20</v>
      </c>
      <c r="G202" s="28">
        <f t="shared" si="42"/>
        <v>100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1" t="s">
        <v>211</v>
      </c>
      <c r="B203" s="92"/>
      <c r="C203" s="92"/>
      <c r="D203" s="92"/>
      <c r="E203" s="93">
        <f>SUM(E191:E202)</f>
        <v>0</v>
      </c>
      <c r="F203" s="36">
        <f>SUM(F191:F202)</f>
        <v>330</v>
      </c>
      <c r="G203" s="36">
        <f>SUM(G191:G202)</f>
        <v>1650</v>
      </c>
      <c r="H203" s="37"/>
      <c r="I203" s="37"/>
      <c r="J203" s="37"/>
      <c r="K203" s="37"/>
      <c r="L203" s="37"/>
      <c r="M203" s="38">
        <f ca="1">IFERROR(SUM(M191:M202),"")</f>
        <v>2.3611111111111138E-2</v>
      </c>
      <c r="N203" s="36" t="s">
        <v>212</v>
      </c>
      <c r="O203" s="45">
        <v>1895110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209</v>
      </c>
      <c r="F204" s="27">
        <v>40</v>
      </c>
      <c r="G204" s="28">
        <f t="shared" ref="G204:G215" si="45">IF(F204="","",IF(E204="PC 17",F204*4.2,IF(E204="PC 19",F204*5,"")))</f>
        <v>200</v>
      </c>
      <c r="H204" s="26" t="s">
        <v>16</v>
      </c>
      <c r="I204" s="26" t="s">
        <v>23</v>
      </c>
      <c r="J204" s="26" t="s">
        <v>93</v>
      </c>
      <c r="K204" s="29">
        <v>0.95277777777777772</v>
      </c>
      <c r="L204" s="29">
        <v>0.97430555555555554</v>
      </c>
      <c r="M204" s="30">
        <f t="shared" ref="M204:M215" ca="1" si="46">IFERROR(IF(K204="","",IF(L204="",MOD(NOW()-K204,1),IF(L204&gt;=K204,L204-K204,L204+1-K204))),"")</f>
        <v>2.1527777777777812E-2</v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209</v>
      </c>
      <c r="F205" s="27">
        <v>26</v>
      </c>
      <c r="G205" s="34">
        <f t="shared" si="45"/>
        <v>130</v>
      </c>
      <c r="H205" s="33" t="s">
        <v>18</v>
      </c>
      <c r="I205" s="33" t="s">
        <v>23</v>
      </c>
      <c r="J205" s="33" t="s">
        <v>151</v>
      </c>
      <c r="K205" s="29">
        <v>0.1388888888888889</v>
      </c>
      <c r="L205" s="29">
        <v>0.16041666666666668</v>
      </c>
      <c r="M205" s="35">
        <f t="shared" ca="1" si="46"/>
        <v>2.1527777777777785E-2</v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209</v>
      </c>
      <c r="F206" s="27">
        <v>25</v>
      </c>
      <c r="G206" s="28">
        <f t="shared" si="45"/>
        <v>125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209</v>
      </c>
      <c r="F207" s="27">
        <v>20</v>
      </c>
      <c r="G207" s="34">
        <f t="shared" si="45"/>
        <v>100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209</v>
      </c>
      <c r="F208" s="27">
        <v>35</v>
      </c>
      <c r="G208" s="28">
        <f t="shared" si="45"/>
        <v>175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209</v>
      </c>
      <c r="F209" s="27">
        <v>23</v>
      </c>
      <c r="G209" s="34">
        <f t="shared" si="45"/>
        <v>115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209</v>
      </c>
      <c r="F210" s="27">
        <v>39</v>
      </c>
      <c r="G210" s="28">
        <f t="shared" si="45"/>
        <v>195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209</v>
      </c>
      <c r="F211" s="27">
        <v>38</v>
      </c>
      <c r="G211" s="34">
        <f t="shared" si="45"/>
        <v>190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209</v>
      </c>
      <c r="F212" s="27">
        <v>17</v>
      </c>
      <c r="G212" s="28">
        <f t="shared" si="45"/>
        <v>85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209</v>
      </c>
      <c r="F213" s="27">
        <v>40</v>
      </c>
      <c r="G213" s="34">
        <f t="shared" si="45"/>
        <v>200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209</v>
      </c>
      <c r="F214" s="27">
        <v>25</v>
      </c>
      <c r="G214" s="28">
        <f t="shared" si="45"/>
        <v>125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209</v>
      </c>
      <c r="F215" s="27">
        <v>15</v>
      </c>
      <c r="G215" s="34">
        <f t="shared" si="45"/>
        <v>75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1" t="s">
        <v>213</v>
      </c>
      <c r="B216" s="92"/>
      <c r="C216" s="92"/>
      <c r="D216" s="92"/>
      <c r="E216" s="93">
        <f>SUM(E204:E215)</f>
        <v>0</v>
      </c>
      <c r="F216" s="36">
        <f>SUM(F204:F215)</f>
        <v>343</v>
      </c>
      <c r="G216" s="36">
        <f>SUM(G204:G215)</f>
        <v>1715</v>
      </c>
      <c r="H216" s="37"/>
      <c r="I216" s="37"/>
      <c r="J216" s="37"/>
      <c r="K216" s="37"/>
      <c r="L216" s="37"/>
      <c r="M216" s="38">
        <f ca="1">IFERROR(SUM(M204:M215),"")</f>
        <v>4.3055555555555597E-2</v>
      </c>
      <c r="N216" s="36" t="s">
        <v>212</v>
      </c>
      <c r="O216" s="45">
        <v>2013260</v>
      </c>
    </row>
    <row r="217" spans="1:15" ht="18" customHeight="1">
      <c r="A217" s="94" t="s">
        <v>214</v>
      </c>
      <c r="B217" s="95"/>
      <c r="C217" s="95"/>
      <c r="D217" s="95"/>
      <c r="E217" s="96">
        <f>E203+E216</f>
        <v>0</v>
      </c>
      <c r="F217" s="40">
        <f>F203+F216</f>
        <v>673</v>
      </c>
      <c r="G217" s="40">
        <f>G203+G216</f>
        <v>3365</v>
      </c>
      <c r="H217" s="41"/>
      <c r="I217" s="41"/>
      <c r="J217" s="41"/>
      <c r="K217" s="41"/>
      <c r="L217" s="41"/>
      <c r="M217" s="42">
        <f ca="1">IFERROR(M203+M216,"")</f>
        <v>6.6666666666666735E-2</v>
      </c>
      <c r="N217" s="40" t="s">
        <v>215</v>
      </c>
      <c r="O217" s="48">
        <f>IFERROR(O203+O216,"")</f>
        <v>3908370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209</v>
      </c>
      <c r="F218" s="27">
        <v>8</v>
      </c>
      <c r="G218" s="28">
        <f t="shared" ref="G218:G229" si="48">IF(F218="","",IF(E218="PC 17",F218*4.2,IF(E218="PC 19",F218*5,"")))</f>
        <v>40</v>
      </c>
      <c r="H218" s="26" t="s">
        <v>19</v>
      </c>
      <c r="I218" s="26" t="s">
        <v>23</v>
      </c>
      <c r="J218" s="26" t="s">
        <v>106</v>
      </c>
      <c r="K218" s="29">
        <v>0.41597222222222224</v>
      </c>
      <c r="L218" s="29">
        <v>0.49444444444444446</v>
      </c>
      <c r="M218" s="30">
        <f t="shared" ref="M218:M229" ca="1" si="49">IFERROR(IF(K218="","",IF(L218="",MOD(NOW()-K218,1),IF(L218&gt;=K218,L218-K218,L218+1-K218))),"")</f>
        <v>7.8472222222222221E-2</v>
      </c>
      <c r="N218" s="46" t="s">
        <v>220</v>
      </c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209</v>
      </c>
      <c r="F219" s="27">
        <v>25</v>
      </c>
      <c r="G219" s="34">
        <f t="shared" si="48"/>
        <v>125</v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209</v>
      </c>
      <c r="F220" s="27">
        <v>25</v>
      </c>
      <c r="G220" s="28">
        <f t="shared" si="48"/>
        <v>125</v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209</v>
      </c>
      <c r="F221" s="27">
        <v>0</v>
      </c>
      <c r="G221" s="34">
        <f t="shared" si="48"/>
        <v>0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209</v>
      </c>
      <c r="F222" s="27">
        <v>0</v>
      </c>
      <c r="G222" s="28">
        <f t="shared" si="48"/>
        <v>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209</v>
      </c>
      <c r="F223" s="27">
        <v>25</v>
      </c>
      <c r="G223" s="34">
        <f t="shared" si="48"/>
        <v>125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209</v>
      </c>
      <c r="F224" s="27">
        <v>30</v>
      </c>
      <c r="G224" s="28">
        <f t="shared" si="48"/>
        <v>150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209</v>
      </c>
      <c r="F225" s="27">
        <v>40</v>
      </c>
      <c r="G225" s="34">
        <f t="shared" si="48"/>
        <v>200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209</v>
      </c>
      <c r="F226" s="27">
        <v>25</v>
      </c>
      <c r="G226" s="28">
        <f t="shared" si="48"/>
        <v>125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209</v>
      </c>
      <c r="F227" s="27">
        <v>40</v>
      </c>
      <c r="G227" s="34">
        <f t="shared" si="48"/>
        <v>200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209</v>
      </c>
      <c r="F228" s="27">
        <v>20</v>
      </c>
      <c r="G228" s="28">
        <f t="shared" si="48"/>
        <v>100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209</v>
      </c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91" t="s">
        <v>211</v>
      </c>
      <c r="B230" s="92"/>
      <c r="C230" s="92"/>
      <c r="D230" s="92"/>
      <c r="E230" s="93">
        <f>SUM(E218:E229)</f>
        <v>0</v>
      </c>
      <c r="F230" s="36">
        <f>SUM(F218:F229)</f>
        <v>238</v>
      </c>
      <c r="G230" s="36">
        <f>SUM(G218:G229)</f>
        <v>1190</v>
      </c>
      <c r="H230" s="37"/>
      <c r="I230" s="37"/>
      <c r="J230" s="37"/>
      <c r="K230" s="37"/>
      <c r="L230" s="37"/>
      <c r="M230" s="38">
        <f ca="1">IFERROR(SUM(M218:M229),"")</f>
        <v>7.8472222222222221E-2</v>
      </c>
      <c r="N230" s="36" t="s">
        <v>212</v>
      </c>
      <c r="O230" s="39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1" t="s">
        <v>213</v>
      </c>
      <c r="B243" s="92"/>
      <c r="C243" s="92"/>
      <c r="D243" s="92"/>
      <c r="E243" s="93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212</v>
      </c>
      <c r="O243" s="39"/>
    </row>
    <row r="244" spans="1:15" ht="18" customHeight="1">
      <c r="A244" s="94" t="s">
        <v>214</v>
      </c>
      <c r="B244" s="95"/>
      <c r="C244" s="95"/>
      <c r="D244" s="95"/>
      <c r="E244" s="96">
        <f>E230+E243</f>
        <v>0</v>
      </c>
      <c r="F244" s="40">
        <f>F230+F243</f>
        <v>238</v>
      </c>
      <c r="G244" s="40">
        <f>G230+G243</f>
        <v>1190</v>
      </c>
      <c r="H244" s="41"/>
      <c r="I244" s="41"/>
      <c r="J244" s="41"/>
      <c r="K244" s="41"/>
      <c r="L244" s="41"/>
      <c r="M244" s="42">
        <f ca="1">IFERROR(M230+M243,"")</f>
        <v>7.8472222222222221E-2</v>
      </c>
      <c r="N244" s="40" t="s">
        <v>215</v>
      </c>
      <c r="O244" s="48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1" t="s">
        <v>211</v>
      </c>
      <c r="B257" s="92"/>
      <c r="C257" s="92"/>
      <c r="D257" s="92"/>
      <c r="E257" s="93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212</v>
      </c>
      <c r="O257" s="39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1" t="s">
        <v>213</v>
      </c>
      <c r="B270" s="92"/>
      <c r="C270" s="92"/>
      <c r="D270" s="92"/>
      <c r="E270" s="93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212</v>
      </c>
      <c r="O270" s="39"/>
    </row>
    <row r="271" spans="1:15" ht="18" customHeight="1">
      <c r="A271" s="94" t="s">
        <v>214</v>
      </c>
      <c r="B271" s="95"/>
      <c r="C271" s="95"/>
      <c r="D271" s="95"/>
      <c r="E271" s="96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215</v>
      </c>
      <c r="O271" s="48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1" t="s">
        <v>211</v>
      </c>
      <c r="B284" s="92"/>
      <c r="C284" s="92"/>
      <c r="D284" s="92"/>
      <c r="E284" s="93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212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91" t="s">
        <v>213</v>
      </c>
      <c r="B297" s="92"/>
      <c r="C297" s="92"/>
      <c r="D297" s="92"/>
      <c r="E297" s="93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212</v>
      </c>
      <c r="O297" s="39"/>
    </row>
    <row r="298" spans="1:15" ht="18" customHeight="1">
      <c r="A298" s="94" t="s">
        <v>214</v>
      </c>
      <c r="B298" s="95"/>
      <c r="C298" s="95"/>
      <c r="D298" s="95"/>
      <c r="E298" s="96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215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1" t="s">
        <v>211</v>
      </c>
      <c r="B311" s="92"/>
      <c r="C311" s="92"/>
      <c r="D311" s="92"/>
      <c r="E311" s="93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212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1" t="s">
        <v>213</v>
      </c>
      <c r="B324" s="92"/>
      <c r="C324" s="92"/>
      <c r="D324" s="92"/>
      <c r="E324" s="93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212</v>
      </c>
      <c r="O324" s="39"/>
    </row>
    <row r="325" spans="1:15" ht="18" customHeight="1">
      <c r="A325" s="94" t="s">
        <v>214</v>
      </c>
      <c r="B325" s="95"/>
      <c r="C325" s="95"/>
      <c r="D325" s="95"/>
      <c r="E325" s="96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215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1" t="s">
        <v>211</v>
      </c>
      <c r="B338" s="92"/>
      <c r="C338" s="92"/>
      <c r="D338" s="92"/>
      <c r="E338" s="93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212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1" t="s">
        <v>213</v>
      </c>
      <c r="B351" s="92"/>
      <c r="C351" s="92"/>
      <c r="D351" s="92"/>
      <c r="E351" s="93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212</v>
      </c>
      <c r="O351" s="39"/>
    </row>
    <row r="352" spans="1:15" ht="18" customHeight="1">
      <c r="A352" s="94" t="s">
        <v>214</v>
      </c>
      <c r="B352" s="95"/>
      <c r="C352" s="95"/>
      <c r="D352" s="95"/>
      <c r="E352" s="96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215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1" t="s">
        <v>211</v>
      </c>
      <c r="B365" s="92"/>
      <c r="C365" s="92"/>
      <c r="D365" s="92"/>
      <c r="E365" s="93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212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91" t="s">
        <v>213</v>
      </c>
      <c r="B378" s="92"/>
      <c r="C378" s="92"/>
      <c r="D378" s="92"/>
      <c r="E378" s="93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212</v>
      </c>
      <c r="O378" s="39"/>
    </row>
    <row r="379" spans="1:15" ht="18" customHeight="1">
      <c r="A379" s="94" t="s">
        <v>214</v>
      </c>
      <c r="B379" s="95"/>
      <c r="C379" s="95"/>
      <c r="D379" s="95"/>
      <c r="E379" s="96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215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1" t="s">
        <v>211</v>
      </c>
      <c r="B392" s="92"/>
      <c r="C392" s="92"/>
      <c r="D392" s="92"/>
      <c r="E392" s="93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212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1" t="s">
        <v>213</v>
      </c>
      <c r="B405" s="92"/>
      <c r="C405" s="92"/>
      <c r="D405" s="92"/>
      <c r="E405" s="93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212</v>
      </c>
      <c r="O405" s="39"/>
    </row>
    <row r="406" spans="1:15" ht="18" customHeight="1">
      <c r="A406" s="94" t="s">
        <v>214</v>
      </c>
      <c r="B406" s="95"/>
      <c r="C406" s="95"/>
      <c r="D406" s="95"/>
      <c r="E406" s="96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215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1" t="s">
        <v>211</v>
      </c>
      <c r="B419" s="92"/>
      <c r="C419" s="92"/>
      <c r="D419" s="92"/>
      <c r="E419" s="93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212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91" t="s">
        <v>213</v>
      </c>
      <c r="B432" s="92"/>
      <c r="C432" s="92"/>
      <c r="D432" s="92"/>
      <c r="E432" s="93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212</v>
      </c>
      <c r="O432" s="39"/>
    </row>
    <row r="433" spans="1:15" ht="18" customHeight="1">
      <c r="A433" s="94" t="s">
        <v>214</v>
      </c>
      <c r="B433" s="95"/>
      <c r="C433" s="95"/>
      <c r="D433" s="95"/>
      <c r="E433" s="96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215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1" t="s">
        <v>211</v>
      </c>
      <c r="B446" s="92"/>
      <c r="C446" s="92"/>
      <c r="D446" s="92"/>
      <c r="E446" s="93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212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1" t="s">
        <v>213</v>
      </c>
      <c r="B459" s="92"/>
      <c r="C459" s="92"/>
      <c r="D459" s="92"/>
      <c r="E459" s="93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212</v>
      </c>
      <c r="O459" s="39"/>
    </row>
    <row r="460" spans="1:15" ht="18" customHeight="1">
      <c r="A460" s="94" t="s">
        <v>214</v>
      </c>
      <c r="B460" s="95"/>
      <c r="C460" s="95"/>
      <c r="D460" s="95"/>
      <c r="E460" s="96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215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1" t="s">
        <v>211</v>
      </c>
      <c r="B473" s="92"/>
      <c r="C473" s="92"/>
      <c r="D473" s="92"/>
      <c r="E473" s="93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212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1" t="s">
        <v>213</v>
      </c>
      <c r="B486" s="92"/>
      <c r="C486" s="92"/>
      <c r="D486" s="92"/>
      <c r="E486" s="93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212</v>
      </c>
      <c r="O486" s="39"/>
    </row>
    <row r="487" spans="1:15" ht="18" customHeight="1">
      <c r="A487" s="94" t="s">
        <v>214</v>
      </c>
      <c r="B487" s="95"/>
      <c r="C487" s="95"/>
      <c r="D487" s="95"/>
      <c r="E487" s="96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215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1" t="s">
        <v>211</v>
      </c>
      <c r="B500" s="92"/>
      <c r="C500" s="92"/>
      <c r="D500" s="92"/>
      <c r="E500" s="93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212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91" t="s">
        <v>213</v>
      </c>
      <c r="B513" s="92"/>
      <c r="C513" s="92"/>
      <c r="D513" s="92"/>
      <c r="E513" s="93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212</v>
      </c>
      <c r="O513" s="39"/>
    </row>
    <row r="514" spans="1:15" ht="18" customHeight="1">
      <c r="A514" s="94" t="s">
        <v>214</v>
      </c>
      <c r="B514" s="95"/>
      <c r="C514" s="95"/>
      <c r="D514" s="95"/>
      <c r="E514" s="96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215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1" t="s">
        <v>211</v>
      </c>
      <c r="B527" s="92"/>
      <c r="C527" s="92"/>
      <c r="D527" s="92"/>
      <c r="E527" s="93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212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91" t="s">
        <v>213</v>
      </c>
      <c r="B540" s="92"/>
      <c r="C540" s="92"/>
      <c r="D540" s="92"/>
      <c r="E540" s="93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212</v>
      </c>
      <c r="O540" s="39"/>
    </row>
    <row r="541" spans="1:15" ht="18" customHeight="1">
      <c r="A541" s="94" t="s">
        <v>214</v>
      </c>
      <c r="B541" s="95"/>
      <c r="C541" s="95"/>
      <c r="D541" s="95"/>
      <c r="E541" s="96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215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1" t="s">
        <v>211</v>
      </c>
      <c r="B554" s="92"/>
      <c r="C554" s="92"/>
      <c r="D554" s="92"/>
      <c r="E554" s="93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212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1" t="s">
        <v>213</v>
      </c>
      <c r="B567" s="92"/>
      <c r="C567" s="92"/>
      <c r="D567" s="92"/>
      <c r="E567" s="93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212</v>
      </c>
      <c r="O567" s="39"/>
    </row>
    <row r="568" spans="1:15" ht="18" customHeight="1">
      <c r="A568" s="94" t="s">
        <v>214</v>
      </c>
      <c r="B568" s="95"/>
      <c r="C568" s="95"/>
      <c r="D568" s="95"/>
      <c r="E568" s="96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215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1" t="s">
        <v>211</v>
      </c>
      <c r="B581" s="92"/>
      <c r="C581" s="92"/>
      <c r="D581" s="92"/>
      <c r="E581" s="93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212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1" t="s">
        <v>213</v>
      </c>
      <c r="B594" s="92"/>
      <c r="C594" s="92"/>
      <c r="D594" s="92"/>
      <c r="E594" s="93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212</v>
      </c>
      <c r="O594" s="39"/>
    </row>
    <row r="595" spans="1:15" ht="18" customHeight="1">
      <c r="A595" s="94" t="s">
        <v>214</v>
      </c>
      <c r="B595" s="95"/>
      <c r="C595" s="95"/>
      <c r="D595" s="95"/>
      <c r="E595" s="96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215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1" t="s">
        <v>211</v>
      </c>
      <c r="B608" s="92"/>
      <c r="C608" s="92"/>
      <c r="D608" s="92"/>
      <c r="E608" s="93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212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1" t="s">
        <v>213</v>
      </c>
      <c r="B621" s="92"/>
      <c r="C621" s="92"/>
      <c r="D621" s="92"/>
      <c r="E621" s="93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212</v>
      </c>
      <c r="O621" s="39"/>
    </row>
    <row r="622" spans="1:15" ht="18" customHeight="1">
      <c r="A622" s="94" t="s">
        <v>214</v>
      </c>
      <c r="B622" s="95"/>
      <c r="C622" s="95"/>
      <c r="D622" s="95"/>
      <c r="E622" s="96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215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91" t="s">
        <v>211</v>
      </c>
      <c r="B635" s="92"/>
      <c r="C635" s="92"/>
      <c r="D635" s="92"/>
      <c r="E635" s="93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212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1" t="s">
        <v>213</v>
      </c>
      <c r="B648" s="92"/>
      <c r="C648" s="92"/>
      <c r="D648" s="92"/>
      <c r="E648" s="93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212</v>
      </c>
      <c r="O648" s="39"/>
    </row>
    <row r="649" spans="1:15" ht="18" customHeight="1">
      <c r="A649" s="94" t="s">
        <v>214</v>
      </c>
      <c r="B649" s="95"/>
      <c r="C649" s="95"/>
      <c r="D649" s="95"/>
      <c r="E649" s="96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215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1" t="s">
        <v>211</v>
      </c>
      <c r="B662" s="92"/>
      <c r="C662" s="92"/>
      <c r="D662" s="92"/>
      <c r="E662" s="93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212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1" t="s">
        <v>213</v>
      </c>
      <c r="B675" s="92"/>
      <c r="C675" s="92"/>
      <c r="D675" s="92"/>
      <c r="E675" s="93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212</v>
      </c>
      <c r="O675" s="39"/>
    </row>
    <row r="676" spans="1:15" ht="18" customHeight="1">
      <c r="A676" s="94" t="s">
        <v>214</v>
      </c>
      <c r="B676" s="95"/>
      <c r="C676" s="95"/>
      <c r="D676" s="95"/>
      <c r="E676" s="96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215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1" t="s">
        <v>211</v>
      </c>
      <c r="B689" s="92"/>
      <c r="C689" s="92"/>
      <c r="D689" s="92"/>
      <c r="E689" s="93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212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1" t="s">
        <v>213</v>
      </c>
      <c r="B702" s="92"/>
      <c r="C702" s="92"/>
      <c r="D702" s="92"/>
      <c r="E702" s="93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212</v>
      </c>
      <c r="O702" s="39"/>
    </row>
    <row r="703" spans="1:15" ht="18" customHeight="1">
      <c r="A703" s="94" t="s">
        <v>214</v>
      </c>
      <c r="B703" s="95"/>
      <c r="C703" s="95"/>
      <c r="D703" s="95"/>
      <c r="E703" s="96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215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1" t="s">
        <v>211</v>
      </c>
      <c r="B716" s="92"/>
      <c r="C716" s="92"/>
      <c r="D716" s="92"/>
      <c r="E716" s="93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212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1" t="s">
        <v>213</v>
      </c>
      <c r="B729" s="92"/>
      <c r="C729" s="92"/>
      <c r="D729" s="92"/>
      <c r="E729" s="93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212</v>
      </c>
      <c r="O729" s="39"/>
    </row>
    <row r="730" spans="1:15" ht="18" customHeight="1">
      <c r="A730" s="94" t="s">
        <v>214</v>
      </c>
      <c r="B730" s="95"/>
      <c r="C730" s="95"/>
      <c r="D730" s="95"/>
      <c r="E730" s="96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215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1" t="s">
        <v>211</v>
      </c>
      <c r="B743" s="92"/>
      <c r="C743" s="92"/>
      <c r="D743" s="92"/>
      <c r="E743" s="93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212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1" t="s">
        <v>213</v>
      </c>
      <c r="B756" s="92"/>
      <c r="C756" s="92"/>
      <c r="D756" s="92"/>
      <c r="E756" s="93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212</v>
      </c>
      <c r="O756" s="39"/>
    </row>
    <row r="757" spans="1:15" ht="18" customHeight="1">
      <c r="A757" s="94" t="s">
        <v>214</v>
      </c>
      <c r="B757" s="95"/>
      <c r="C757" s="95"/>
      <c r="D757" s="95"/>
      <c r="E757" s="96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215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1" t="s">
        <v>211</v>
      </c>
      <c r="B770" s="92"/>
      <c r="C770" s="92"/>
      <c r="D770" s="92"/>
      <c r="E770" s="93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212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1" t="s">
        <v>213</v>
      </c>
      <c r="B783" s="92"/>
      <c r="C783" s="92"/>
      <c r="D783" s="92"/>
      <c r="E783" s="93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212</v>
      </c>
      <c r="O783" s="39"/>
    </row>
    <row r="784" spans="1:15" ht="18" customHeight="1">
      <c r="A784" s="94" t="s">
        <v>214</v>
      </c>
      <c r="B784" s="95"/>
      <c r="C784" s="95"/>
      <c r="D784" s="95"/>
      <c r="E784" s="96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215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1" t="s">
        <v>211</v>
      </c>
      <c r="B797" s="92"/>
      <c r="C797" s="92"/>
      <c r="D797" s="92"/>
      <c r="E797" s="93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212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1" t="s">
        <v>213</v>
      </c>
      <c r="B810" s="92"/>
      <c r="C810" s="92"/>
      <c r="D810" s="92"/>
      <c r="E810" s="93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212</v>
      </c>
      <c r="O810" s="39"/>
    </row>
    <row r="811" spans="1:15" ht="18" customHeight="1">
      <c r="A811" s="94" t="s">
        <v>214</v>
      </c>
      <c r="B811" s="95"/>
      <c r="C811" s="95"/>
      <c r="D811" s="95"/>
      <c r="E811" s="96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215</v>
      </c>
      <c r="O811" s="43">
        <f>IFERROR(O797+O810,"")</f>
        <v>0</v>
      </c>
    </row>
  </sheetData>
  <mergeCells count="90"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E29:E811" xr:uid="{7188C92F-485A-440E-AF29-C2FC80E6A9F8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11"/>
  <sheetViews>
    <sheetView showGridLines="0" zoomScale="50" zoomScaleNormal="50" workbookViewId="0">
      <pane ySplit="1" topLeftCell="A190" activePane="bottomLeft" state="frozen"/>
      <selection pane="bottomLeft" activeCell="F231" sqref="F231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75.140625" style="20" customWidth="1"/>
    <col min="15" max="15" width="20" customWidth="1"/>
  </cols>
  <sheetData>
    <row r="1" spans="1:15" ht="37.5" customHeight="1">
      <c r="A1" s="68" t="s">
        <v>7</v>
      </c>
      <c r="B1" s="23" t="s">
        <v>198</v>
      </c>
      <c r="C1" s="23" t="s">
        <v>12</v>
      </c>
      <c r="D1" s="22" t="s">
        <v>13</v>
      </c>
      <c r="E1" s="22" t="s">
        <v>199</v>
      </c>
      <c r="F1" s="23" t="s">
        <v>200</v>
      </c>
      <c r="G1" s="23" t="s">
        <v>201</v>
      </c>
      <c r="H1" s="23" t="s">
        <v>14</v>
      </c>
      <c r="I1" s="23" t="s">
        <v>15</v>
      </c>
      <c r="J1" s="23" t="s">
        <v>202</v>
      </c>
      <c r="K1" s="23" t="s">
        <v>203</v>
      </c>
      <c r="L1" s="23" t="s">
        <v>204</v>
      </c>
      <c r="M1" s="24" t="s">
        <v>205</v>
      </c>
      <c r="N1" s="23" t="s">
        <v>206</v>
      </c>
      <c r="O1" s="23" t="s">
        <v>207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221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174</v>
      </c>
      <c r="K2" s="29">
        <v>0.29166666666666669</v>
      </c>
      <c r="L2" s="29">
        <v>0.33333333333333331</v>
      </c>
      <c r="M2" s="35">
        <f t="shared" ref="M2:M13" ca="1" si="1">IFERROR(IF(K2="","",IF(L2="",MOD(NOW()-K2,1),IF(L2&gt;=K2,L2-K2,L2+1-K2))),"")</f>
        <v>4.166666666666663E-2</v>
      </c>
      <c r="N2" s="46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221</v>
      </c>
      <c r="F3" s="27">
        <v>10</v>
      </c>
      <c r="G3" s="34">
        <f t="shared" si="0"/>
        <v>42</v>
      </c>
      <c r="H3" s="33" t="s">
        <v>19</v>
      </c>
      <c r="I3" s="33" t="s">
        <v>154</v>
      </c>
      <c r="J3" s="33" t="s">
        <v>27</v>
      </c>
      <c r="K3" s="29">
        <v>0.44930555555555557</v>
      </c>
      <c r="L3" s="29">
        <v>0.47222222222222221</v>
      </c>
      <c r="M3" s="30">
        <f t="shared" ca="1" si="1"/>
        <v>2.2916666666666641E-2</v>
      </c>
      <c r="N3" s="46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221</v>
      </c>
      <c r="F4" s="27">
        <v>8</v>
      </c>
      <c r="G4" s="28">
        <f t="shared" si="0"/>
        <v>33.6</v>
      </c>
      <c r="H4" s="26" t="s">
        <v>19</v>
      </c>
      <c r="I4" s="26" t="s">
        <v>154</v>
      </c>
      <c r="J4" s="26" t="s">
        <v>27</v>
      </c>
      <c r="K4" s="29">
        <v>0.71736111111111112</v>
      </c>
      <c r="L4" s="29">
        <v>0.74236111111111114</v>
      </c>
      <c r="M4" s="35">
        <f t="shared" ca="1" si="1"/>
        <v>2.5000000000000022E-2</v>
      </c>
      <c r="N4" s="46"/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221</v>
      </c>
      <c r="F5" s="27">
        <v>8</v>
      </c>
      <c r="G5" s="34">
        <f t="shared" si="0"/>
        <v>33.6</v>
      </c>
      <c r="H5" s="33"/>
      <c r="I5" s="33"/>
      <c r="J5" s="33"/>
      <c r="K5" s="29"/>
      <c r="L5" s="29"/>
      <c r="M5" s="30" t="str">
        <f t="shared" ca="1" si="1"/>
        <v/>
      </c>
      <c r="N5" s="46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221</v>
      </c>
      <c r="F6" s="27">
        <v>15</v>
      </c>
      <c r="G6" s="28">
        <f t="shared" si="0"/>
        <v>63</v>
      </c>
      <c r="H6" s="26"/>
      <c r="I6" s="26"/>
      <c r="J6" s="26"/>
      <c r="K6" s="29"/>
      <c r="L6" s="29"/>
      <c r="M6" s="35" t="str">
        <f t="shared" ca="1" si="1"/>
        <v/>
      </c>
      <c r="N6" s="46"/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221</v>
      </c>
      <c r="F7" s="27">
        <v>8</v>
      </c>
      <c r="G7" s="34">
        <f t="shared" si="0"/>
        <v>33.6</v>
      </c>
      <c r="H7" s="33"/>
      <c r="I7" s="33"/>
      <c r="J7" s="33"/>
      <c r="K7" s="29"/>
      <c r="L7" s="29"/>
      <c r="M7" s="30" t="str">
        <f t="shared" ca="1" si="1"/>
        <v/>
      </c>
      <c r="N7" s="46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221</v>
      </c>
      <c r="F8" s="27">
        <v>25</v>
      </c>
      <c r="G8" s="28">
        <f t="shared" si="0"/>
        <v>105</v>
      </c>
      <c r="H8" s="26"/>
      <c r="I8" s="26"/>
      <c r="J8" s="26"/>
      <c r="K8" s="29"/>
      <c r="L8" s="29"/>
      <c r="M8" s="35" t="str">
        <f t="shared" ca="1" si="1"/>
        <v/>
      </c>
      <c r="N8" s="46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221</v>
      </c>
      <c r="F9" s="27">
        <v>24</v>
      </c>
      <c r="G9" s="28">
        <f t="shared" si="0"/>
        <v>100.80000000000001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221</v>
      </c>
      <c r="F10" s="27">
        <v>14</v>
      </c>
      <c r="G10" s="28">
        <f t="shared" si="0"/>
        <v>58.800000000000004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221</v>
      </c>
      <c r="F11" s="27">
        <v>21</v>
      </c>
      <c r="G11" s="28">
        <f t="shared" si="0"/>
        <v>88.2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221</v>
      </c>
      <c r="F12" s="27">
        <v>4</v>
      </c>
      <c r="G12" s="28">
        <f t="shared" si="0"/>
        <v>16.8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221</v>
      </c>
      <c r="F13" s="27">
        <v>11</v>
      </c>
      <c r="G13" s="28">
        <f t="shared" si="0"/>
        <v>46.2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91" t="s">
        <v>211</v>
      </c>
      <c r="B14" s="92"/>
      <c r="C14" s="92"/>
      <c r="D14" s="92"/>
      <c r="E14" s="93"/>
      <c r="F14" s="36">
        <f>SUM(F2:F13)</f>
        <v>148</v>
      </c>
      <c r="G14" s="36">
        <f>SUM(G2:G13)</f>
        <v>621.6</v>
      </c>
      <c r="H14" s="37"/>
      <c r="I14" s="37"/>
      <c r="J14" s="37"/>
      <c r="K14" s="37"/>
      <c r="L14" s="37"/>
      <c r="M14" s="38">
        <f ca="1">IFERROR(SUM(M2:M13),"")</f>
        <v>8.9583333333333293E-2</v>
      </c>
      <c r="N14" s="36" t="s">
        <v>212</v>
      </c>
      <c r="O14" s="78">
        <v>627260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221</v>
      </c>
      <c r="F15" s="27">
        <v>17</v>
      </c>
      <c r="G15" s="34">
        <f t="shared" ref="G15:G26" si="3">IF(F15="","",IF(E15="PC 17",F15*4.2,IF(E15="PC 19",F15*5,"")))</f>
        <v>71.400000000000006</v>
      </c>
      <c r="H15" s="33" t="s">
        <v>18</v>
      </c>
      <c r="I15" s="33" t="s">
        <v>154</v>
      </c>
      <c r="J15" s="33" t="s">
        <v>161</v>
      </c>
      <c r="K15" s="29">
        <v>0.91666666666666663</v>
      </c>
      <c r="L15" s="29">
        <v>5.2777777777777778E-2</v>
      </c>
      <c r="M15" s="35">
        <f t="shared" ref="M15:M26" ca="1" si="4">IFERROR(IF(K15="","",IF(L15="",MOD(NOW()-K15,1),IF(L15&gt;=K15,L15-K15,L15+1-K15))),"")</f>
        <v>0.13611111111111118</v>
      </c>
      <c r="N15" s="46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221</v>
      </c>
      <c r="F16" s="27">
        <v>14</v>
      </c>
      <c r="G16" s="34">
        <f t="shared" si="3"/>
        <v>58.800000000000004</v>
      </c>
      <c r="H16" s="26"/>
      <c r="I16" s="26"/>
      <c r="J16" s="26"/>
      <c r="K16" s="29"/>
      <c r="L16" s="29"/>
      <c r="M16" s="35" t="str">
        <f t="shared" ca="1" si="4"/>
        <v/>
      </c>
      <c r="N16" s="46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221</v>
      </c>
      <c r="F17" s="27">
        <v>14</v>
      </c>
      <c r="G17" s="34">
        <f t="shared" si="3"/>
        <v>58.800000000000004</v>
      </c>
      <c r="H17" s="33"/>
      <c r="I17" s="33"/>
      <c r="J17" s="33"/>
      <c r="K17" s="29"/>
      <c r="L17" s="29"/>
      <c r="M17" s="35" t="str">
        <f t="shared" ca="1" si="4"/>
        <v/>
      </c>
      <c r="N17" s="46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221</v>
      </c>
      <c r="F18" s="27">
        <v>14</v>
      </c>
      <c r="G18" s="34">
        <f t="shared" si="3"/>
        <v>58.800000000000004</v>
      </c>
      <c r="H18" s="26"/>
      <c r="I18" s="26"/>
      <c r="J18" s="26"/>
      <c r="K18" s="29"/>
      <c r="L18" s="29"/>
      <c r="M18" s="35" t="str">
        <f t="shared" ca="1" si="4"/>
        <v/>
      </c>
      <c r="N18" s="46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221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4"/>
        <v/>
      </c>
      <c r="N19" s="46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221</v>
      </c>
      <c r="F20" s="27">
        <v>3</v>
      </c>
      <c r="G20" s="34">
        <f t="shared" si="3"/>
        <v>12.600000000000001</v>
      </c>
      <c r="H20" s="26"/>
      <c r="I20" s="26"/>
      <c r="J20" s="26"/>
      <c r="K20" s="29"/>
      <c r="L20" s="29"/>
      <c r="M20" s="35" t="str">
        <f t="shared" ca="1" si="4"/>
        <v/>
      </c>
      <c r="N20" s="46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221</v>
      </c>
      <c r="F21" s="27">
        <v>3</v>
      </c>
      <c r="G21" s="34">
        <f t="shared" si="3"/>
        <v>12.600000000000001</v>
      </c>
      <c r="H21" s="33"/>
      <c r="I21" s="33"/>
      <c r="J21" s="33"/>
      <c r="K21" s="29"/>
      <c r="L21" s="29"/>
      <c r="M21" s="35" t="str">
        <f t="shared" ca="1" si="4"/>
        <v/>
      </c>
      <c r="N21" s="46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221</v>
      </c>
      <c r="F22" s="27">
        <v>6</v>
      </c>
      <c r="G22" s="34">
        <f t="shared" si="3"/>
        <v>25.200000000000003</v>
      </c>
      <c r="H22" s="26"/>
      <c r="I22" s="26"/>
      <c r="J22" s="26"/>
      <c r="K22" s="29"/>
      <c r="L22" s="29"/>
      <c r="M22" s="35" t="str">
        <f t="shared" ca="1" si="4"/>
        <v/>
      </c>
      <c r="N22" s="46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221</v>
      </c>
      <c r="F23" s="77">
        <v>6</v>
      </c>
      <c r="G23" s="34">
        <f t="shared" si="3"/>
        <v>25.200000000000003</v>
      </c>
      <c r="H23" s="33"/>
      <c r="I23" s="33"/>
      <c r="J23" s="33"/>
      <c r="K23" s="29"/>
      <c r="L23" s="29"/>
      <c r="M23" s="35" t="str">
        <f t="shared" ca="1" si="4"/>
        <v/>
      </c>
      <c r="N23" s="46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221</v>
      </c>
      <c r="F24" s="27">
        <v>4</v>
      </c>
      <c r="G24" s="34">
        <f t="shared" si="3"/>
        <v>16.8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221</v>
      </c>
      <c r="F25" s="27">
        <v>7</v>
      </c>
      <c r="G25" s="34">
        <f t="shared" si="3"/>
        <v>29.400000000000002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221</v>
      </c>
      <c r="F26" s="27">
        <v>0</v>
      </c>
      <c r="G26" s="34">
        <f t="shared" si="3"/>
        <v>0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91" t="s">
        <v>213</v>
      </c>
      <c r="B27" s="92"/>
      <c r="C27" s="92"/>
      <c r="D27" s="92"/>
      <c r="E27" s="93"/>
      <c r="F27" s="36">
        <f>SUM(F15:F26)</f>
        <v>91</v>
      </c>
      <c r="G27" s="36">
        <f>SUM(G15:G26)</f>
        <v>382.20000000000005</v>
      </c>
      <c r="H27" s="37"/>
      <c r="I27" s="37"/>
      <c r="J27" s="37"/>
      <c r="K27" s="37"/>
      <c r="L27" s="37"/>
      <c r="M27" s="38">
        <f ca="1">IFERROR(SUM(M15:M26),"")</f>
        <v>0.13611111111111118</v>
      </c>
      <c r="N27" s="36" t="s">
        <v>212</v>
      </c>
      <c r="O27" s="78">
        <v>393200</v>
      </c>
    </row>
    <row r="28" spans="1:15" ht="18" customHeight="1">
      <c r="A28" s="94" t="s">
        <v>214</v>
      </c>
      <c r="B28" s="95"/>
      <c r="C28" s="95"/>
      <c r="D28" s="95"/>
      <c r="E28" s="96"/>
      <c r="F28" s="40">
        <f>F14+F27</f>
        <v>239</v>
      </c>
      <c r="G28" s="40">
        <f>G14+G27</f>
        <v>1003.8000000000001</v>
      </c>
      <c r="H28" s="41"/>
      <c r="I28" s="41"/>
      <c r="J28" s="41"/>
      <c r="K28" s="41"/>
      <c r="L28" s="41"/>
      <c r="M28" s="42">
        <f ca="1">IFERROR(M14+M27,"")</f>
        <v>0.22569444444444448</v>
      </c>
      <c r="N28" s="40" t="s">
        <v>215</v>
      </c>
      <c r="O28" s="83">
        <f>O14+O27</f>
        <v>1020460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221</v>
      </c>
      <c r="F29" s="27">
        <v>11</v>
      </c>
      <c r="G29" s="28">
        <f t="shared" ref="G29:G40" si="6">IF(F29="","",IF(E29="PC 17",F29*4.2,IF(E29="PC 19",F29*5,"")))</f>
        <v>46.2</v>
      </c>
      <c r="H29" s="33" t="s">
        <v>19</v>
      </c>
      <c r="I29" s="33" t="s">
        <v>31</v>
      </c>
      <c r="J29" s="33" t="s">
        <v>27</v>
      </c>
      <c r="K29" s="29">
        <v>0.30763888888888891</v>
      </c>
      <c r="L29" s="29">
        <v>0.37916666666666665</v>
      </c>
      <c r="M29" s="80">
        <f t="shared" ref="M29:M40" ca="1" si="7">IFERROR(IF(K29="","",IF(L29="",MOD(NOW()-K29,1),IF(L29&gt;=K29,L29-K29,L29+1-K29))),"")</f>
        <v>7.1527777777777746E-2</v>
      </c>
      <c r="N29" s="46" t="s">
        <v>222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221</v>
      </c>
      <c r="F30" s="27">
        <v>0</v>
      </c>
      <c r="G30" s="34">
        <f t="shared" si="6"/>
        <v>0</v>
      </c>
      <c r="H30" s="26" t="s">
        <v>18</v>
      </c>
      <c r="I30" s="26" t="s">
        <v>31</v>
      </c>
      <c r="J30" s="26" t="s">
        <v>189</v>
      </c>
      <c r="K30" s="29">
        <v>0.38472222222222224</v>
      </c>
      <c r="L30" s="29">
        <v>0.40763888888888888</v>
      </c>
      <c r="M30" s="30">
        <f t="shared" ca="1" si="7"/>
        <v>2.2916666666666641E-2</v>
      </c>
      <c r="N30" s="46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221</v>
      </c>
      <c r="F31" s="27">
        <v>9</v>
      </c>
      <c r="G31" s="28">
        <f t="shared" si="6"/>
        <v>37.800000000000004</v>
      </c>
      <c r="H31" s="33" t="s">
        <v>20</v>
      </c>
      <c r="I31" s="33" t="s">
        <v>31</v>
      </c>
      <c r="J31" s="33" t="s">
        <v>162</v>
      </c>
      <c r="K31" s="29">
        <v>0.51388888888888884</v>
      </c>
      <c r="L31" s="29">
        <v>0.54236111111111107</v>
      </c>
      <c r="M31" s="35">
        <f t="shared" ca="1" si="7"/>
        <v>2.8472222222222232E-2</v>
      </c>
      <c r="N31" s="46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221</v>
      </c>
      <c r="F32" s="27">
        <v>0</v>
      </c>
      <c r="G32" s="34">
        <f t="shared" si="6"/>
        <v>0</v>
      </c>
      <c r="H32" s="26" t="s">
        <v>18</v>
      </c>
      <c r="I32" s="26"/>
      <c r="J32" s="26" t="s">
        <v>34</v>
      </c>
      <c r="K32" s="29">
        <v>0.55138888888888893</v>
      </c>
      <c r="L32" s="29">
        <v>0.60833333333333328</v>
      </c>
      <c r="M32" s="30">
        <f t="shared" ca="1" si="7"/>
        <v>5.6944444444444353E-2</v>
      </c>
      <c r="N32" s="46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221</v>
      </c>
      <c r="F33" s="27">
        <v>17</v>
      </c>
      <c r="G33" s="28">
        <f t="shared" si="6"/>
        <v>71.400000000000006</v>
      </c>
      <c r="H33" s="33"/>
      <c r="I33" s="33"/>
      <c r="J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221</v>
      </c>
      <c r="F34" s="27">
        <v>5</v>
      </c>
      <c r="G34" s="34">
        <f t="shared" si="6"/>
        <v>21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221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221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221</v>
      </c>
      <c r="F37" s="27">
        <v>9</v>
      </c>
      <c r="G37" s="28">
        <f t="shared" si="6"/>
        <v>37.800000000000004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221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221</v>
      </c>
      <c r="F39" s="27">
        <v>17</v>
      </c>
      <c r="G39" s="28">
        <f t="shared" si="6"/>
        <v>71.400000000000006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221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91" t="s">
        <v>211</v>
      </c>
      <c r="B41" s="92"/>
      <c r="C41" s="92"/>
      <c r="D41" s="92"/>
      <c r="E41" s="93">
        <f>SUM(E29:E40)</f>
        <v>0</v>
      </c>
      <c r="F41" s="36">
        <f>SUM(F29:F40)</f>
        <v>88</v>
      </c>
      <c r="G41" s="36">
        <f>SUM(G29:G40)</f>
        <v>369.6</v>
      </c>
      <c r="H41" s="37"/>
      <c r="I41" s="37"/>
      <c r="J41" s="37"/>
      <c r="K41" s="37"/>
      <c r="L41" s="37"/>
      <c r="M41" s="38">
        <f ca="1">IFERROR(SUM(M29:M40),"")</f>
        <v>0.17986111111111097</v>
      </c>
      <c r="N41" s="36" t="s">
        <v>212</v>
      </c>
      <c r="O41" s="85">
        <v>351740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221</v>
      </c>
      <c r="F42" s="27">
        <v>5</v>
      </c>
      <c r="G42" s="34">
        <f t="shared" ref="G42:G53" si="9">IF(F42="","",IF(E42="PC 17",F42*4.2,IF(E42="PC 19",F42*5,"")))</f>
        <v>21</v>
      </c>
      <c r="H42" s="26" t="s">
        <v>19</v>
      </c>
      <c r="I42" s="26" t="s">
        <v>39</v>
      </c>
      <c r="J42" s="26" t="s">
        <v>50</v>
      </c>
      <c r="K42" s="29">
        <v>0.92708333333333337</v>
      </c>
      <c r="L42" s="29">
        <v>0.98611111111111116</v>
      </c>
      <c r="M42" s="30">
        <f ca="1">IFERROR(IF(K42="","",IF(L42="",MOD(NOW()-K42,1),IF(L42&gt;=K42,L42-K42,L42+1-K42))),"")</f>
        <v>5.902777777777779E-2</v>
      </c>
      <c r="N42" s="46"/>
      <c r="O42" s="31"/>
    </row>
    <row r="43" spans="1:15" ht="15" customHeight="1">
      <c r="A43" s="69">
        <v>46205</v>
      </c>
      <c r="B43" s="25">
        <f t="shared" ref="B43:B53" si="10">B42+TIME(0,60,0)</f>
        <v>0.87499999999999967</v>
      </c>
      <c r="C43" s="33" t="s">
        <v>45</v>
      </c>
      <c r="D43" s="62" t="s">
        <v>30</v>
      </c>
      <c r="E43" s="62" t="s">
        <v>221</v>
      </c>
      <c r="F43" s="27">
        <v>10</v>
      </c>
      <c r="G43" s="28">
        <f t="shared" si="9"/>
        <v>42</v>
      </c>
      <c r="H43" s="33" t="s">
        <v>19</v>
      </c>
      <c r="I43" s="33" t="s">
        <v>39</v>
      </c>
      <c r="J43" s="33" t="s">
        <v>27</v>
      </c>
      <c r="K43" s="29">
        <v>3.125E-2</v>
      </c>
      <c r="L43" s="29">
        <v>5.1388888888888887E-2</v>
      </c>
      <c r="M43" s="30">
        <f t="shared" ref="M43:M53" ca="1" si="11">IFERROR(IF(K43="","",IF(L43="",MOD(NOW()-K43,1),IF(L43&gt;=K43,L43-K43,L43+1-K43))),"")</f>
        <v>2.0138888888888887E-2</v>
      </c>
      <c r="N43" s="46"/>
      <c r="O43" s="31"/>
    </row>
    <row r="44" spans="1:15" ht="15" customHeight="1">
      <c r="A44" s="70">
        <v>46205</v>
      </c>
      <c r="B44" s="32">
        <f t="shared" si="10"/>
        <v>0.9166666666666663</v>
      </c>
      <c r="C44" s="33" t="s">
        <v>45</v>
      </c>
      <c r="D44" s="62" t="s">
        <v>30</v>
      </c>
      <c r="E44" s="62" t="s">
        <v>221</v>
      </c>
      <c r="F44" s="27">
        <v>10</v>
      </c>
      <c r="G44" s="34">
        <f t="shared" si="9"/>
        <v>42</v>
      </c>
      <c r="H44" s="26" t="s">
        <v>18</v>
      </c>
      <c r="I44" s="26" t="s">
        <v>39</v>
      </c>
      <c r="J44" s="26" t="s">
        <v>100</v>
      </c>
      <c r="K44" s="29">
        <v>0.25</v>
      </c>
      <c r="L44" s="29">
        <v>0.29166666666666669</v>
      </c>
      <c r="M44" s="30">
        <f ca="1">IFERROR(IF(K44="","",IF(L44="",MOD(NOW()-K44,1),IF(L44&gt;=K44,L44-K44,L44+1-K44))),"")</f>
        <v>4.1666666666666685E-2</v>
      </c>
      <c r="N44" s="46" t="s">
        <v>223</v>
      </c>
      <c r="O44" s="31"/>
    </row>
    <row r="45" spans="1:15" ht="15" customHeight="1">
      <c r="A45" s="69">
        <v>46205</v>
      </c>
      <c r="B45" s="25">
        <f t="shared" si="10"/>
        <v>0.95833333333333293</v>
      </c>
      <c r="C45" s="33" t="s">
        <v>45</v>
      </c>
      <c r="D45" s="62" t="s">
        <v>30</v>
      </c>
      <c r="E45" s="62" t="s">
        <v>221</v>
      </c>
      <c r="F45" s="27">
        <v>0</v>
      </c>
      <c r="G45" s="28">
        <f t="shared" si="9"/>
        <v>0</v>
      </c>
      <c r="H45" s="33" t="s">
        <v>20</v>
      </c>
      <c r="I45" s="33" t="s">
        <v>154</v>
      </c>
      <c r="J45" s="33" t="s">
        <v>28</v>
      </c>
      <c r="K45" s="29">
        <v>6.0416666666666667E-2</v>
      </c>
      <c r="L45" s="29">
        <v>0.10416666666666667</v>
      </c>
      <c r="M45" s="30">
        <f t="shared" ca="1" si="11"/>
        <v>4.3750000000000004E-2</v>
      </c>
      <c r="N45" s="46"/>
      <c r="O45" s="31"/>
    </row>
    <row r="46" spans="1:15" ht="15" customHeight="1">
      <c r="A46" s="70">
        <v>46205</v>
      </c>
      <c r="B46" s="32">
        <f t="shared" si="10"/>
        <v>0.99999999999999956</v>
      </c>
      <c r="C46" s="33" t="s">
        <v>45</v>
      </c>
      <c r="D46" s="62" t="s">
        <v>30</v>
      </c>
      <c r="E46" s="62" t="s">
        <v>221</v>
      </c>
      <c r="F46" s="27">
        <v>6</v>
      </c>
      <c r="G46" s="34">
        <f t="shared" si="9"/>
        <v>25.200000000000003</v>
      </c>
      <c r="H46" s="26"/>
      <c r="I46" s="26"/>
      <c r="J46" s="26"/>
      <c r="K46" s="29"/>
      <c r="L46" s="29"/>
      <c r="M46" s="30" t="str">
        <f t="shared" ca="1" si="11"/>
        <v/>
      </c>
      <c r="N46" s="46"/>
      <c r="O46" s="31"/>
    </row>
    <row r="47" spans="1:15" ht="15" customHeight="1">
      <c r="A47" s="69">
        <v>46205</v>
      </c>
      <c r="B47" s="25">
        <f t="shared" si="10"/>
        <v>1.0416666666666663</v>
      </c>
      <c r="C47" s="33" t="s">
        <v>45</v>
      </c>
      <c r="D47" s="62" t="s">
        <v>30</v>
      </c>
      <c r="E47" s="62" t="s">
        <v>221</v>
      </c>
      <c r="F47" s="27">
        <v>1</v>
      </c>
      <c r="G47" s="28">
        <f t="shared" si="9"/>
        <v>4.2</v>
      </c>
      <c r="H47" s="33"/>
      <c r="I47" s="33"/>
      <c r="J47" s="33"/>
      <c r="K47" s="29"/>
      <c r="L47" s="29"/>
      <c r="M47" s="30" t="str">
        <f t="shared" ca="1" si="11"/>
        <v/>
      </c>
      <c r="N47" s="46"/>
      <c r="O47" s="31"/>
    </row>
    <row r="48" spans="1:15" ht="15" customHeight="1">
      <c r="A48" s="70">
        <v>46205</v>
      </c>
      <c r="B48" s="32">
        <f t="shared" si="10"/>
        <v>1.083333333333333</v>
      </c>
      <c r="C48" s="33" t="s">
        <v>45</v>
      </c>
      <c r="D48" s="62" t="s">
        <v>30</v>
      </c>
      <c r="E48" s="62" t="s">
        <v>221</v>
      </c>
      <c r="F48" s="27">
        <v>6</v>
      </c>
      <c r="G48" s="34">
        <f t="shared" si="9"/>
        <v>25.200000000000003</v>
      </c>
      <c r="H48" s="26"/>
      <c r="I48" s="26"/>
      <c r="J48" s="26"/>
      <c r="K48" s="29"/>
      <c r="L48" s="29"/>
      <c r="M48" s="30" t="str">
        <f t="shared" ca="1" si="11"/>
        <v/>
      </c>
      <c r="N48" s="46"/>
      <c r="O48" s="31"/>
    </row>
    <row r="49" spans="1:15" ht="15" customHeight="1">
      <c r="A49" s="69">
        <v>46205</v>
      </c>
      <c r="B49" s="25">
        <f t="shared" si="10"/>
        <v>1.1249999999999998</v>
      </c>
      <c r="C49" s="33" t="s">
        <v>45</v>
      </c>
      <c r="D49" s="62" t="s">
        <v>30</v>
      </c>
      <c r="E49" s="62" t="s">
        <v>221</v>
      </c>
      <c r="F49" s="27">
        <v>6</v>
      </c>
      <c r="G49" s="28">
        <f t="shared" si="9"/>
        <v>25.200000000000003</v>
      </c>
      <c r="H49" s="33"/>
      <c r="I49" s="33"/>
      <c r="J49" s="33"/>
      <c r="K49" s="29"/>
      <c r="L49" s="29"/>
      <c r="M49" s="30" t="str">
        <f t="shared" ca="1" si="11"/>
        <v/>
      </c>
      <c r="N49" s="46"/>
      <c r="O49" s="31"/>
    </row>
    <row r="50" spans="1:15" ht="15" customHeight="1">
      <c r="A50" s="70">
        <v>46205</v>
      </c>
      <c r="B50" s="32">
        <f t="shared" si="10"/>
        <v>1.1666666666666665</v>
      </c>
      <c r="C50" s="33" t="s">
        <v>45</v>
      </c>
      <c r="D50" s="62" t="s">
        <v>30</v>
      </c>
      <c r="E50" s="62" t="s">
        <v>221</v>
      </c>
      <c r="F50" s="27">
        <v>7</v>
      </c>
      <c r="G50" s="34">
        <f t="shared" si="9"/>
        <v>29.400000000000002</v>
      </c>
      <c r="H50" s="26"/>
      <c r="I50" s="26"/>
      <c r="J50" s="26"/>
      <c r="K50" s="29"/>
      <c r="L50" s="29"/>
      <c r="M50" s="30" t="str">
        <f t="shared" ca="1" si="11"/>
        <v/>
      </c>
      <c r="N50" s="46"/>
      <c r="O50" s="31"/>
    </row>
    <row r="51" spans="1:15" ht="15" customHeight="1">
      <c r="A51" s="69">
        <v>46205</v>
      </c>
      <c r="B51" s="25">
        <f t="shared" si="10"/>
        <v>1.2083333333333333</v>
      </c>
      <c r="C51" s="33" t="s">
        <v>45</v>
      </c>
      <c r="D51" s="62" t="s">
        <v>30</v>
      </c>
      <c r="E51" s="62" t="s">
        <v>221</v>
      </c>
      <c r="F51" s="27">
        <v>10</v>
      </c>
      <c r="G51" s="28">
        <f t="shared" si="9"/>
        <v>42</v>
      </c>
      <c r="H51" s="33"/>
      <c r="I51" s="33"/>
      <c r="J51" s="33"/>
      <c r="K51" s="29"/>
      <c r="L51" s="29"/>
      <c r="M51" s="30" t="str">
        <f t="shared" ca="1" si="11"/>
        <v/>
      </c>
      <c r="N51" s="46"/>
      <c r="O51" s="31"/>
    </row>
    <row r="52" spans="1:15" ht="15" customHeight="1">
      <c r="A52" s="70">
        <v>46205</v>
      </c>
      <c r="B52" s="32">
        <f t="shared" si="10"/>
        <v>1.25</v>
      </c>
      <c r="C52" s="33" t="s">
        <v>45</v>
      </c>
      <c r="D52" s="62" t="s">
        <v>30</v>
      </c>
      <c r="E52" s="62" t="s">
        <v>221</v>
      </c>
      <c r="F52" s="27">
        <v>10</v>
      </c>
      <c r="G52" s="34">
        <f t="shared" si="9"/>
        <v>42</v>
      </c>
      <c r="H52" s="26"/>
      <c r="I52" s="26"/>
      <c r="J52" s="26"/>
      <c r="K52" s="29"/>
      <c r="L52" s="29"/>
      <c r="M52" s="30" t="str">
        <f t="shared" ca="1" si="11"/>
        <v/>
      </c>
      <c r="N52" s="46"/>
      <c r="O52" s="31"/>
    </row>
    <row r="53" spans="1:15" ht="15" customHeight="1">
      <c r="A53" s="69">
        <v>46205</v>
      </c>
      <c r="B53" s="25">
        <f t="shared" si="10"/>
        <v>1.2916666666666667</v>
      </c>
      <c r="C53" s="33" t="s">
        <v>45</v>
      </c>
      <c r="D53" s="62" t="s">
        <v>30</v>
      </c>
      <c r="E53" s="62" t="s">
        <v>221</v>
      </c>
      <c r="F53" s="27">
        <v>0</v>
      </c>
      <c r="G53" s="28">
        <f t="shared" si="9"/>
        <v>0</v>
      </c>
      <c r="H53" s="33"/>
      <c r="I53" s="33"/>
      <c r="J53" s="33"/>
      <c r="K53" s="29"/>
      <c r="L53" s="29"/>
      <c r="M53" s="30" t="str">
        <f t="shared" ca="1" si="11"/>
        <v/>
      </c>
      <c r="N53" s="46"/>
      <c r="O53" s="31"/>
    </row>
    <row r="54" spans="1:15" ht="15.75" customHeight="1">
      <c r="A54" s="91" t="s">
        <v>213</v>
      </c>
      <c r="B54" s="92"/>
      <c r="C54" s="92"/>
      <c r="D54" s="92"/>
      <c r="E54" s="93">
        <f>SUM(E42:E53)</f>
        <v>0</v>
      </c>
      <c r="F54" s="36">
        <f>SUM(F42:F53)</f>
        <v>71</v>
      </c>
      <c r="G54" s="36">
        <f>SUM(G42:G53)</f>
        <v>298.19999999999993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212</v>
      </c>
      <c r="O54" s="85">
        <v>276360</v>
      </c>
    </row>
    <row r="55" spans="1:15" ht="18" customHeight="1">
      <c r="A55" s="94" t="s">
        <v>214</v>
      </c>
      <c r="B55" s="95"/>
      <c r="C55" s="95"/>
      <c r="D55" s="95"/>
      <c r="E55" s="96">
        <f>E41+E54</f>
        <v>0</v>
      </c>
      <c r="F55" s="40">
        <f>F41+F54</f>
        <v>159</v>
      </c>
      <c r="G55" s="40">
        <f>G41+G54</f>
        <v>667.8</v>
      </c>
      <c r="H55" s="41"/>
      <c r="I55" s="41"/>
      <c r="J55" s="41"/>
      <c r="K55" s="41"/>
      <c r="L55" s="41"/>
      <c r="M55" s="42">
        <f ca="1">IFERROR(M41+M54,"")</f>
        <v>0.34444444444444433</v>
      </c>
      <c r="N55" s="40" t="s">
        <v>215</v>
      </c>
      <c r="O55" s="83">
        <f>IFERROR(O41+O54,"")</f>
        <v>628100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/>
      <c r="F56" s="27">
        <v>0</v>
      </c>
      <c r="G56" s="28" t="str">
        <f t="shared" ref="G56:G67" si="12">IF(F56="","",IF(E56="PC 17",F56*4.2,IF(E56="PC 19",F56*5,"")))</f>
        <v/>
      </c>
      <c r="H56" s="26" t="s">
        <v>18</v>
      </c>
      <c r="I56" s="26" t="s">
        <v>63</v>
      </c>
      <c r="J56" s="26" t="s">
        <v>100</v>
      </c>
      <c r="K56" s="29">
        <v>0.29166666666666669</v>
      </c>
      <c r="L56" s="29">
        <v>0.79166666666666663</v>
      </c>
      <c r="M56" s="35">
        <f t="shared" ref="M56:M67" ca="1" si="13">IFERROR(IF(K56="","",IF(L56="",MOD(NOW()-K56,1),IF(L56&gt;=K56,L56-K56,L56+1-K56))),"")</f>
        <v>0.49999999999999994</v>
      </c>
      <c r="N56" s="46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/>
      <c r="F57" s="27">
        <v>0</v>
      </c>
      <c r="G57" s="34" t="str">
        <f t="shared" si="12"/>
        <v/>
      </c>
      <c r="H57" s="33"/>
      <c r="I57" s="33"/>
      <c r="J57" s="82"/>
      <c r="K57" s="29"/>
      <c r="L57" s="29"/>
      <c r="M57" s="30"/>
      <c r="N57" s="46" t="s">
        <v>224</v>
      </c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/>
      <c r="F58" s="27">
        <v>0</v>
      </c>
      <c r="G58" s="28" t="str">
        <f t="shared" si="12"/>
        <v/>
      </c>
      <c r="H58" s="26"/>
      <c r="I58" s="81"/>
      <c r="J58" s="26"/>
      <c r="K58" s="29"/>
      <c r="L58" s="29"/>
      <c r="M58" s="35"/>
      <c r="N58" s="46" t="s">
        <v>225</v>
      </c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/>
      <c r="F59" s="27">
        <v>0</v>
      </c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/>
      <c r="F60" s="27">
        <v>0</v>
      </c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/>
      <c r="F61" s="27">
        <v>0</v>
      </c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/>
      <c r="F62" s="27">
        <v>0</v>
      </c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/>
      <c r="F63" s="27">
        <v>0</v>
      </c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/>
      <c r="F64" s="27">
        <v>0</v>
      </c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/>
      <c r="F65" s="27">
        <v>0</v>
      </c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/>
      <c r="F66" s="27">
        <v>0</v>
      </c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/>
      <c r="F67" s="27">
        <v>0</v>
      </c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91" t="s">
        <v>211</v>
      </c>
      <c r="B68" s="92"/>
      <c r="C68" s="92"/>
      <c r="D68" s="92"/>
      <c r="E68" s="93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0.49999999999999994</v>
      </c>
      <c r="N68" s="36" t="s">
        <v>212</v>
      </c>
      <c r="O68" s="54">
        <v>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221</v>
      </c>
      <c r="F69" s="27">
        <v>17</v>
      </c>
      <c r="G69" s="34">
        <f t="shared" ref="G69:G80" si="15">IF(F69="","",IF(E69="PC 17",F69*4.2,IF(E69="PC 19",F69*5,"")))</f>
        <v>71.400000000000006</v>
      </c>
      <c r="H69" s="33" t="s">
        <v>20</v>
      </c>
      <c r="I69" s="33" t="s">
        <v>39</v>
      </c>
      <c r="J69" s="33" t="s">
        <v>51</v>
      </c>
      <c r="K69" s="29">
        <v>0.87847222222222221</v>
      </c>
      <c r="L69" s="29">
        <v>0.88749999999999996</v>
      </c>
      <c r="M69" s="30">
        <f t="shared" ref="M69:M80" ca="1" si="16">IFERROR(IF(K69="","",IF(L69="",MOD(NOW()-K69,1),IF(L69&gt;=K69,L69-K69,L69+1-K69))),"")</f>
        <v>9.0277777777777457E-3</v>
      </c>
      <c r="N69" s="46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221</v>
      </c>
      <c r="F70" s="27">
        <v>18</v>
      </c>
      <c r="G70" s="28">
        <f t="shared" si="15"/>
        <v>75.600000000000009</v>
      </c>
      <c r="H70" s="26" t="s">
        <v>19</v>
      </c>
      <c r="I70" s="26" t="s">
        <v>154</v>
      </c>
      <c r="J70" s="26" t="s">
        <v>27</v>
      </c>
      <c r="K70" s="29">
        <v>0.25</v>
      </c>
      <c r="L70" s="29">
        <v>0.27083333333333331</v>
      </c>
      <c r="M70" s="35">
        <f t="shared" ca="1" si="16"/>
        <v>2.0833333333333315E-2</v>
      </c>
      <c r="N70" s="46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221</v>
      </c>
      <c r="F71" s="27">
        <v>6</v>
      </c>
      <c r="G71" s="34">
        <f t="shared" si="15"/>
        <v>25.200000000000003</v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221</v>
      </c>
      <c r="F72" s="27">
        <v>11</v>
      </c>
      <c r="G72" s="28">
        <f t="shared" si="15"/>
        <v>46.2</v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221</v>
      </c>
      <c r="F73" s="27">
        <v>17</v>
      </c>
      <c r="G73" s="34">
        <f t="shared" si="15"/>
        <v>71.400000000000006</v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221</v>
      </c>
      <c r="F74" s="27">
        <v>16</v>
      </c>
      <c r="G74" s="28">
        <f t="shared" si="15"/>
        <v>67.2</v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221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221</v>
      </c>
      <c r="F76" s="27">
        <v>28</v>
      </c>
      <c r="G76" s="28">
        <f t="shared" si="15"/>
        <v>117.60000000000001</v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221</v>
      </c>
      <c r="F77" s="27">
        <v>25</v>
      </c>
      <c r="G77" s="34">
        <f t="shared" si="15"/>
        <v>105</v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221</v>
      </c>
      <c r="F78" s="27">
        <v>11</v>
      </c>
      <c r="G78" s="28">
        <f t="shared" si="15"/>
        <v>46.2</v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221</v>
      </c>
      <c r="F79" s="27">
        <v>19</v>
      </c>
      <c r="G79" s="34">
        <f t="shared" si="15"/>
        <v>79.8</v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221</v>
      </c>
      <c r="F80" s="27">
        <v>9</v>
      </c>
      <c r="G80" s="28">
        <f t="shared" si="15"/>
        <v>37.800000000000004</v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91" t="s">
        <v>213</v>
      </c>
      <c r="B81" s="92"/>
      <c r="C81" s="92"/>
      <c r="D81" s="92"/>
      <c r="E81" s="93">
        <f>SUM(E69:E80)</f>
        <v>0</v>
      </c>
      <c r="F81" s="36">
        <f>SUM(F69:F80)</f>
        <v>186</v>
      </c>
      <c r="G81" s="36">
        <f>SUM(G69:G80)</f>
        <v>781.19999999999993</v>
      </c>
      <c r="H81" s="37"/>
      <c r="I81" s="37"/>
      <c r="J81" s="37"/>
      <c r="K81" s="37"/>
      <c r="L81" s="37"/>
      <c r="M81" s="38">
        <f ca="1">IFERROR(SUM(M69:M80),"")</f>
        <v>2.9861111111111061E-2</v>
      </c>
      <c r="N81" s="36" t="s">
        <v>212</v>
      </c>
      <c r="O81" s="54">
        <v>787860</v>
      </c>
    </row>
    <row r="82" spans="1:15" ht="18" customHeight="1">
      <c r="A82" s="94" t="s">
        <v>214</v>
      </c>
      <c r="B82" s="95"/>
      <c r="C82" s="95"/>
      <c r="D82" s="95"/>
      <c r="E82" s="96">
        <f>E68+E81</f>
        <v>0</v>
      </c>
      <c r="F82" s="40">
        <f>F68+F81</f>
        <v>186</v>
      </c>
      <c r="G82" s="40">
        <f>G68+G81</f>
        <v>781.19999999999993</v>
      </c>
      <c r="H82" s="41"/>
      <c r="I82" s="41"/>
      <c r="J82" s="41"/>
      <c r="K82" s="41"/>
      <c r="L82" s="41"/>
      <c r="M82" s="42">
        <f ca="1">IFERROR(M68+M81,"")</f>
        <v>0.52986111111111101</v>
      </c>
      <c r="N82" s="40" t="s">
        <v>215</v>
      </c>
      <c r="O82" s="83">
        <f>IFERROR(O68+O81,"")</f>
        <v>787860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20" t="s">
        <v>22</v>
      </c>
      <c r="E83" s="59" t="s">
        <v>221</v>
      </c>
      <c r="F83" s="27">
        <v>18</v>
      </c>
      <c r="G83" s="28">
        <f t="shared" ref="G83:G94" si="18">IF(F83="","",IF(E83="PC 17",F83*4.2,IF(E83="PC 19",F83*5,"")))</f>
        <v>75.600000000000009</v>
      </c>
      <c r="H83" s="33" t="s">
        <v>19</v>
      </c>
      <c r="I83" s="33" t="s">
        <v>39</v>
      </c>
      <c r="J83" s="33" t="s">
        <v>27</v>
      </c>
      <c r="K83" s="29">
        <v>0.38819444444444445</v>
      </c>
      <c r="L83" s="29">
        <v>0.60416666666666663</v>
      </c>
      <c r="M83" s="35">
        <f t="shared" ref="M83:M94" ca="1" si="19">IFERROR(IF(K83="","",IF(L83="",MOD(NOW()-K83,1),IF(L83&gt;=K83,L83-K83,L83+1-K83))),"")</f>
        <v>0.21597222222222218</v>
      </c>
      <c r="N83" s="46" t="s">
        <v>226</v>
      </c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221</v>
      </c>
      <c r="F84" s="27">
        <v>22</v>
      </c>
      <c r="G84" s="34">
        <f t="shared" si="18"/>
        <v>92.4</v>
      </c>
      <c r="H84" s="26" t="s">
        <v>20</v>
      </c>
      <c r="I84" s="26" t="s">
        <v>39</v>
      </c>
      <c r="J84" s="26" t="s">
        <v>181</v>
      </c>
      <c r="K84" s="29">
        <v>0.63611111111111107</v>
      </c>
      <c r="L84" s="29">
        <v>0.65972222222222221</v>
      </c>
      <c r="M84" s="30">
        <f t="shared" ca="1" si="19"/>
        <v>2.3611111111111138E-2</v>
      </c>
      <c r="N84" s="46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221</v>
      </c>
      <c r="F85" s="27">
        <v>7</v>
      </c>
      <c r="G85" s="28">
        <f t="shared" si="18"/>
        <v>29.400000000000002</v>
      </c>
      <c r="H85" s="33" t="s">
        <v>20</v>
      </c>
      <c r="I85" s="33" t="s">
        <v>31</v>
      </c>
      <c r="J85" s="33" t="s">
        <v>36</v>
      </c>
      <c r="K85" s="29">
        <v>0.66874999999999996</v>
      </c>
      <c r="L85" s="29">
        <v>0.69097222222222221</v>
      </c>
      <c r="M85" s="35">
        <f t="shared" ca="1" si="19"/>
        <v>2.2222222222222254E-2</v>
      </c>
      <c r="N85" s="46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221</v>
      </c>
      <c r="F86" s="27">
        <v>3</v>
      </c>
      <c r="G86" s="34">
        <f t="shared" si="18"/>
        <v>12.600000000000001</v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221</v>
      </c>
      <c r="F87" s="27">
        <v>1</v>
      </c>
      <c r="G87" s="28">
        <f t="shared" si="18"/>
        <v>4.2</v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209</v>
      </c>
      <c r="F88" s="27">
        <v>9</v>
      </c>
      <c r="G88" s="34">
        <f t="shared" si="18"/>
        <v>45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209</v>
      </c>
      <c r="F89" s="27">
        <v>20</v>
      </c>
      <c r="G89" s="28">
        <f t="shared" si="18"/>
        <v>100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209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209</v>
      </c>
      <c r="F91" s="27">
        <v>7</v>
      </c>
      <c r="G91" s="28">
        <f t="shared" si="18"/>
        <v>35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209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209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209</v>
      </c>
      <c r="F94" s="27">
        <v>10</v>
      </c>
      <c r="G94" s="34">
        <f t="shared" si="18"/>
        <v>50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91" t="s">
        <v>211</v>
      </c>
      <c r="B95" s="92"/>
      <c r="C95" s="92"/>
      <c r="D95" s="92"/>
      <c r="E95" s="93">
        <f>SUM(E83:E94)</f>
        <v>0</v>
      </c>
      <c r="F95" s="36">
        <f>SUM(F83:F94)</f>
        <v>112</v>
      </c>
      <c r="G95" s="36">
        <f>SUM(G83:G94)</f>
        <v>519.20000000000005</v>
      </c>
      <c r="H95" s="37"/>
      <c r="I95" s="37"/>
      <c r="J95" s="37"/>
      <c r="K95" s="37"/>
      <c r="L95" s="37"/>
      <c r="M95" s="38">
        <f ca="1">IFERROR(SUM(M83:M94),"")</f>
        <v>0.26180555555555557</v>
      </c>
      <c r="N95" s="36" t="s">
        <v>212</v>
      </c>
      <c r="O95" s="54">
        <v>577610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221</v>
      </c>
      <c r="F96" s="27">
        <v>8</v>
      </c>
      <c r="G96" s="34">
        <f t="shared" ref="G96:G107" si="21">IF(F96="","",IF(E96="PC 17",F96*4.2,IF(E96="PC 19",F96*5,"")))</f>
        <v>33.6</v>
      </c>
      <c r="H96" s="26" t="s">
        <v>18</v>
      </c>
      <c r="I96" s="26" t="s">
        <v>31</v>
      </c>
      <c r="J96" s="26" t="s">
        <v>142</v>
      </c>
      <c r="K96" s="29">
        <v>0.98263888888888884</v>
      </c>
      <c r="L96" s="29">
        <v>6.9444444444444441E-3</v>
      </c>
      <c r="M96" s="30">
        <f t="shared" ref="M96:M107" ca="1" si="22">IFERROR(IF(K96="","",IF(L96="",MOD(NOW()-K96,1),IF(L96&gt;=K96,L96-K96,L96+1-K96))),"")</f>
        <v>2.430555555555558E-2</v>
      </c>
      <c r="N96" s="46" t="s">
        <v>227</v>
      </c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221</v>
      </c>
      <c r="F97" s="27">
        <v>10</v>
      </c>
      <c r="G97" s="28">
        <f t="shared" si="21"/>
        <v>42</v>
      </c>
      <c r="H97" s="33" t="s">
        <v>19</v>
      </c>
      <c r="I97" s="33" t="s">
        <v>39</v>
      </c>
      <c r="J97" s="33" t="s">
        <v>27</v>
      </c>
      <c r="K97" s="29">
        <v>0.125</v>
      </c>
      <c r="L97" s="29">
        <v>0.15138888888888888</v>
      </c>
      <c r="M97" s="35">
        <f t="shared" ca="1" si="22"/>
        <v>2.6388888888888878E-2</v>
      </c>
      <c r="N97" s="46" t="s">
        <v>228</v>
      </c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221</v>
      </c>
      <c r="F98" s="27">
        <v>16</v>
      </c>
      <c r="G98" s="34">
        <f t="shared" si="21"/>
        <v>67.2</v>
      </c>
      <c r="H98" s="26" t="s">
        <v>18</v>
      </c>
      <c r="I98" s="26" t="s">
        <v>31</v>
      </c>
      <c r="J98" s="26" t="s">
        <v>151</v>
      </c>
      <c r="K98" s="29">
        <v>0.1875</v>
      </c>
      <c r="L98" s="29">
        <v>0.21527777777777779</v>
      </c>
      <c r="M98" s="30">
        <f t="shared" ca="1" si="22"/>
        <v>2.777777777777779E-2</v>
      </c>
      <c r="N98" s="46" t="s">
        <v>229</v>
      </c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221</v>
      </c>
      <c r="F99" s="27">
        <v>21</v>
      </c>
      <c r="G99" s="28">
        <f t="shared" si="21"/>
        <v>88.2</v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221</v>
      </c>
      <c r="F100" s="27">
        <v>21</v>
      </c>
      <c r="G100" s="34">
        <f t="shared" si="21"/>
        <v>88.2</v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221</v>
      </c>
      <c r="F101" s="27">
        <v>8</v>
      </c>
      <c r="G101" s="28">
        <f t="shared" si="21"/>
        <v>33.6</v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221</v>
      </c>
      <c r="F102" s="27">
        <v>16</v>
      </c>
      <c r="G102" s="34">
        <f t="shared" si="21"/>
        <v>67.2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221</v>
      </c>
      <c r="F103" s="27">
        <v>22</v>
      </c>
      <c r="G103" s="28">
        <f t="shared" si="21"/>
        <v>92.4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221</v>
      </c>
      <c r="F104" s="27">
        <v>14</v>
      </c>
      <c r="G104" s="34">
        <f t="shared" si="21"/>
        <v>58.800000000000004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221</v>
      </c>
      <c r="F105" s="27">
        <v>15</v>
      </c>
      <c r="G105" s="28">
        <f t="shared" si="21"/>
        <v>63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221</v>
      </c>
      <c r="F106" s="27">
        <v>24</v>
      </c>
      <c r="G106" s="34">
        <f t="shared" si="21"/>
        <v>100.80000000000001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221</v>
      </c>
      <c r="F107" s="27">
        <v>14</v>
      </c>
      <c r="G107" s="28">
        <f t="shared" si="21"/>
        <v>58.800000000000004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91" t="s">
        <v>213</v>
      </c>
      <c r="B108" s="92"/>
      <c r="C108" s="92"/>
      <c r="D108" s="92"/>
      <c r="E108" s="93">
        <f>SUM(E96:E107)</f>
        <v>0</v>
      </c>
      <c r="F108" s="36">
        <f>SUM(F96:F107)</f>
        <v>189</v>
      </c>
      <c r="G108" s="36">
        <f>SUM(G96:G107)</f>
        <v>793.8</v>
      </c>
      <c r="H108" s="37"/>
      <c r="I108" s="37"/>
      <c r="J108" s="37"/>
      <c r="K108" s="37"/>
      <c r="L108" s="37"/>
      <c r="M108" s="38">
        <f ca="1">IFERROR(SUM(M96:M107),"")</f>
        <v>7.8472222222222249E-2</v>
      </c>
      <c r="N108" s="36" t="s">
        <v>212</v>
      </c>
      <c r="O108" s="54">
        <v>1087080</v>
      </c>
    </row>
    <row r="109" spans="1:15" ht="18" customHeight="1">
      <c r="A109" s="94" t="s">
        <v>214</v>
      </c>
      <c r="B109" s="95"/>
      <c r="C109" s="95"/>
      <c r="D109" s="95"/>
      <c r="E109" s="96">
        <f>E95+E108</f>
        <v>0</v>
      </c>
      <c r="F109" s="40">
        <f>F95+F108</f>
        <v>301</v>
      </c>
      <c r="G109" s="40">
        <f>G95+G108</f>
        <v>1313</v>
      </c>
      <c r="H109" s="41"/>
      <c r="I109" s="41"/>
      <c r="J109" s="41"/>
      <c r="K109" s="41"/>
      <c r="L109" s="41"/>
      <c r="M109" s="42">
        <f ca="1">IFERROR(M95+M108,"")</f>
        <v>0.34027777777777779</v>
      </c>
      <c r="N109" s="40" t="s">
        <v>215</v>
      </c>
      <c r="O109" s="83">
        <f>IFERROR(O95+O108,"")</f>
        <v>1664690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221</v>
      </c>
      <c r="F110" s="27">
        <v>22</v>
      </c>
      <c r="G110" s="28">
        <f t="shared" ref="G110:G121" si="24">IF(F110="","",IF(E110="PC 17",F110*4.2,IF(E110="PC 19",F110*5,"")))</f>
        <v>92.4</v>
      </c>
      <c r="H110" s="26" t="s">
        <v>18</v>
      </c>
      <c r="I110" s="26" t="s">
        <v>63</v>
      </c>
      <c r="J110" s="26" t="s">
        <v>100</v>
      </c>
      <c r="K110" s="29">
        <v>0.37916666666666665</v>
      </c>
      <c r="L110" s="29">
        <v>0.45694444444444443</v>
      </c>
      <c r="M110" s="35">
        <f t="shared" ref="M110:M121" ca="1" si="25">IFERROR(IF(K110="","",IF(L110="",MOD(NOW()-K110,1),IF(L110&gt;=K110,L110-K110,L110+1-K110))),"")</f>
        <v>7.7777777777777779E-2</v>
      </c>
      <c r="N110" s="46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221</v>
      </c>
      <c r="F111" s="27">
        <v>20</v>
      </c>
      <c r="G111" s="34">
        <f t="shared" si="24"/>
        <v>84</v>
      </c>
      <c r="H111" s="33" t="s">
        <v>20</v>
      </c>
      <c r="I111" s="33" t="s">
        <v>31</v>
      </c>
      <c r="J111" s="33" t="s">
        <v>162</v>
      </c>
      <c r="K111" s="29">
        <v>0.65138888888888891</v>
      </c>
      <c r="L111" s="29">
        <v>0.71527777777777779</v>
      </c>
      <c r="M111" s="30">
        <f t="shared" ca="1" si="25"/>
        <v>6.3888888888888884E-2</v>
      </c>
      <c r="N111" s="46" t="s">
        <v>230</v>
      </c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221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221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221</v>
      </c>
      <c r="F114" s="27">
        <v>10</v>
      </c>
      <c r="G114" s="28">
        <f t="shared" si="24"/>
        <v>42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221</v>
      </c>
      <c r="F115" s="27">
        <v>10</v>
      </c>
      <c r="G115" s="34">
        <f t="shared" si="24"/>
        <v>42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221</v>
      </c>
      <c r="F116" s="27">
        <v>21</v>
      </c>
      <c r="G116" s="28">
        <f t="shared" si="24"/>
        <v>88.2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221</v>
      </c>
      <c r="F117" s="27">
        <v>27</v>
      </c>
      <c r="G117" s="34">
        <f t="shared" si="24"/>
        <v>113.4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221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221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221</v>
      </c>
      <c r="F120" s="27">
        <v>20</v>
      </c>
      <c r="G120" s="28">
        <f t="shared" si="24"/>
        <v>84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221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91" t="s">
        <v>211</v>
      </c>
      <c r="B122" s="92"/>
      <c r="C122" s="92"/>
      <c r="D122" s="92"/>
      <c r="E122" s="93">
        <f>SUM(E110:E121)</f>
        <v>0</v>
      </c>
      <c r="F122" s="36">
        <f>SUM(F110:F121)</f>
        <v>135</v>
      </c>
      <c r="G122" s="36">
        <f>SUM(G110:G121)</f>
        <v>567</v>
      </c>
      <c r="H122" s="37"/>
      <c r="I122" s="37"/>
      <c r="J122" s="37"/>
      <c r="K122" s="37"/>
      <c r="L122" s="37"/>
      <c r="M122" s="38">
        <f ca="1">IFERROR(SUM(M110:M121),"")</f>
        <v>0.14166666666666666</v>
      </c>
      <c r="N122" s="36" t="s">
        <v>212</v>
      </c>
      <c r="O122" s="54">
        <v>869260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209</v>
      </c>
      <c r="F123" s="27">
        <v>14</v>
      </c>
      <c r="G123" s="34">
        <f t="shared" ref="G123:G134" si="27">IF(F123="","",IF(E123="PC 17",F123*4.2,IF(E123="PC 19",F123*5,"")))</f>
        <v>70</v>
      </c>
      <c r="H123" s="33" t="s">
        <v>18</v>
      </c>
      <c r="I123" s="33" t="s">
        <v>31</v>
      </c>
      <c r="J123" s="33" t="s">
        <v>161</v>
      </c>
      <c r="K123" s="29">
        <v>0.79513888888888884</v>
      </c>
      <c r="L123" s="29">
        <v>0.80902777777777779</v>
      </c>
      <c r="M123" s="30">
        <f t="shared" ref="M123:M134" ca="1" si="28">IFERROR(IF(K123="","",IF(L123="",MOD(NOW()-K123,1),IF(L123&gt;=K123,L123-K123,L123+1-K123))),"")</f>
        <v>1.3888888888888951E-2</v>
      </c>
      <c r="N123" s="46" t="s">
        <v>231</v>
      </c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209</v>
      </c>
      <c r="F124" s="27">
        <v>28</v>
      </c>
      <c r="G124" s="28">
        <f t="shared" si="27"/>
        <v>140</v>
      </c>
      <c r="H124" s="26" t="s">
        <v>19</v>
      </c>
      <c r="I124" s="26" t="s">
        <v>39</v>
      </c>
      <c r="J124" s="26" t="s">
        <v>27</v>
      </c>
      <c r="K124" s="29">
        <v>0.95138888888888884</v>
      </c>
      <c r="L124" s="29">
        <v>0.96388888888888891</v>
      </c>
      <c r="M124" s="35">
        <f t="shared" ca="1" si="28"/>
        <v>1.2500000000000067E-2</v>
      </c>
      <c r="N124" s="46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209</v>
      </c>
      <c r="F125" s="27">
        <v>20</v>
      </c>
      <c r="G125" s="34">
        <f t="shared" si="27"/>
        <v>100</v>
      </c>
      <c r="H125" s="33" t="s">
        <v>18</v>
      </c>
      <c r="I125" s="33" t="s">
        <v>31</v>
      </c>
      <c r="J125" s="33" t="s">
        <v>151</v>
      </c>
      <c r="K125" s="29">
        <v>0.96666666666666667</v>
      </c>
      <c r="L125" s="29">
        <v>0.98611111111111116</v>
      </c>
      <c r="M125" s="30">
        <f t="shared" ca="1" si="28"/>
        <v>1.9444444444444486E-2</v>
      </c>
      <c r="N125" s="46" t="s">
        <v>232</v>
      </c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209</v>
      </c>
      <c r="F126" s="27">
        <v>17</v>
      </c>
      <c r="G126" s="28">
        <f t="shared" si="27"/>
        <v>85</v>
      </c>
      <c r="H126" s="26" t="s">
        <v>18</v>
      </c>
      <c r="I126" s="26" t="s">
        <v>31</v>
      </c>
      <c r="J126" s="26" t="s">
        <v>151</v>
      </c>
      <c r="K126" s="29">
        <v>0</v>
      </c>
      <c r="L126" s="29">
        <v>2.7777777777777776E-2</v>
      </c>
      <c r="M126" s="35">
        <f t="shared" ca="1" si="28"/>
        <v>2.7777777777777776E-2</v>
      </c>
      <c r="N126" s="46" t="s">
        <v>233</v>
      </c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209</v>
      </c>
      <c r="F127" s="27">
        <v>4</v>
      </c>
      <c r="G127" s="34">
        <f t="shared" si="27"/>
        <v>20</v>
      </c>
      <c r="H127" s="33" t="s">
        <v>18</v>
      </c>
      <c r="I127" s="33" t="s">
        <v>154</v>
      </c>
      <c r="J127" s="33" t="s">
        <v>161</v>
      </c>
      <c r="K127" s="29">
        <v>4.8611111111111112E-2</v>
      </c>
      <c r="L127" s="29">
        <v>6.5972222222222224E-2</v>
      </c>
      <c r="M127" s="30">
        <f t="shared" ca="1" si="28"/>
        <v>1.7361111111111112E-2</v>
      </c>
      <c r="N127" s="46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209</v>
      </c>
      <c r="F128" s="27">
        <v>1</v>
      </c>
      <c r="G128" s="28">
        <f t="shared" si="27"/>
        <v>5</v>
      </c>
      <c r="H128" s="26" t="s">
        <v>20</v>
      </c>
      <c r="I128" s="26"/>
      <c r="J128" s="26" t="s">
        <v>188</v>
      </c>
      <c r="K128" s="29">
        <v>8.3333333333333329E-2</v>
      </c>
      <c r="L128" s="29">
        <v>0.1388888888888889</v>
      </c>
      <c r="M128" s="35">
        <f t="shared" ca="1" si="28"/>
        <v>5.5555555555555566E-2</v>
      </c>
      <c r="N128" s="86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209</v>
      </c>
      <c r="F129" s="27">
        <v>13</v>
      </c>
      <c r="G129" s="34">
        <f t="shared" si="27"/>
        <v>65</v>
      </c>
      <c r="H129" s="33" t="s">
        <v>18</v>
      </c>
      <c r="I129" s="33" t="s">
        <v>63</v>
      </c>
      <c r="J129" s="33" t="s">
        <v>193</v>
      </c>
      <c r="K129" s="29">
        <v>0.17499999999999999</v>
      </c>
      <c r="L129" s="29">
        <v>0.20277777777777778</v>
      </c>
      <c r="M129" s="30">
        <f t="shared" ca="1" si="28"/>
        <v>2.777777777777779E-2</v>
      </c>
      <c r="N129" s="46" t="s">
        <v>234</v>
      </c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209</v>
      </c>
      <c r="F130" s="27"/>
      <c r="G130" s="28" t="str">
        <f t="shared" si="27"/>
        <v/>
      </c>
      <c r="H130" s="26" t="s">
        <v>18</v>
      </c>
      <c r="I130" s="26" t="s">
        <v>63</v>
      </c>
      <c r="J130" s="26" t="s">
        <v>193</v>
      </c>
      <c r="K130" s="29">
        <v>0.20972222222222223</v>
      </c>
      <c r="L130" s="29">
        <v>0.29166666666666669</v>
      </c>
      <c r="M130" s="35">
        <f t="shared" ca="1" si="28"/>
        <v>8.1944444444444459E-2</v>
      </c>
      <c r="N130" s="46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209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209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209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209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91" t="s">
        <v>213</v>
      </c>
      <c r="B135" s="92"/>
      <c r="C135" s="92"/>
      <c r="D135" s="92"/>
      <c r="E135" s="93">
        <f>SUM(E123:E134)</f>
        <v>0</v>
      </c>
      <c r="F135" s="36">
        <f>SUM(F123:F134)</f>
        <v>97</v>
      </c>
      <c r="G135" s="36">
        <f>SUM(G123:G134)</f>
        <v>485</v>
      </c>
      <c r="H135" s="37"/>
      <c r="I135" s="37"/>
      <c r="J135" s="37"/>
      <c r="K135" s="37"/>
      <c r="L135" s="37"/>
      <c r="M135" s="38">
        <f ca="1">IFERROR(SUM(M123:M134),"")</f>
        <v>0.2562500000000002</v>
      </c>
      <c r="N135" s="36" t="s">
        <v>212</v>
      </c>
      <c r="O135" s="54">
        <v>794480</v>
      </c>
    </row>
    <row r="136" spans="1:15" ht="18" customHeight="1">
      <c r="A136" s="94" t="s">
        <v>214</v>
      </c>
      <c r="B136" s="95"/>
      <c r="C136" s="95"/>
      <c r="D136" s="95"/>
      <c r="E136" s="96">
        <f>E122+E135</f>
        <v>0</v>
      </c>
      <c r="F136" s="40">
        <f>F122+F135</f>
        <v>232</v>
      </c>
      <c r="G136" s="40">
        <f>G122+G135</f>
        <v>1052</v>
      </c>
      <c r="H136" s="41"/>
      <c r="I136" s="41"/>
      <c r="J136" s="41"/>
      <c r="K136" s="41"/>
      <c r="L136" s="41"/>
      <c r="M136" s="42">
        <f ca="1">IFERROR(M122+M135,"")</f>
        <v>0.39791666666666686</v>
      </c>
      <c r="N136" s="40" t="s">
        <v>215</v>
      </c>
      <c r="O136" s="83">
        <f>IFERROR(O122+O135,"")</f>
        <v>1663740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209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18</v>
      </c>
      <c r="I137" s="33" t="s">
        <v>63</v>
      </c>
      <c r="J137" s="33" t="s">
        <v>193</v>
      </c>
      <c r="K137" s="29">
        <v>0.29166666666666669</v>
      </c>
      <c r="L137" s="29">
        <v>0.40972222222222221</v>
      </c>
      <c r="M137" s="35">
        <f t="shared" ref="M137:M148" ca="1" si="31">IFERROR(IF(K137="","",IF(L137="",MOD(NOW()-K137,1),IF(L137&gt;=K137,L137-K137,L137+1-K137))),"")</f>
        <v>0.11805555555555552</v>
      </c>
      <c r="N137" s="46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209</v>
      </c>
      <c r="F138" s="27">
        <v>0</v>
      </c>
      <c r="G138" s="28">
        <f t="shared" si="30"/>
        <v>0</v>
      </c>
      <c r="H138" s="26" t="s">
        <v>20</v>
      </c>
      <c r="I138" s="26" t="s">
        <v>31</v>
      </c>
      <c r="J138" s="26" t="s">
        <v>28</v>
      </c>
      <c r="K138" s="29">
        <v>0.44027777777777777</v>
      </c>
      <c r="L138" s="29">
        <v>0.44305555555555554</v>
      </c>
      <c r="M138" s="30">
        <f t="shared" ca="1" si="31"/>
        <v>2.7777777777777679E-3</v>
      </c>
      <c r="N138" s="46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209</v>
      </c>
      <c r="F139" s="27">
        <v>14</v>
      </c>
      <c r="G139" s="34">
        <f t="shared" si="30"/>
        <v>70</v>
      </c>
      <c r="H139" s="33" t="s">
        <v>20</v>
      </c>
      <c r="I139" s="33" t="s">
        <v>31</v>
      </c>
      <c r="J139" s="33" t="s">
        <v>28</v>
      </c>
      <c r="K139" s="29">
        <v>0.51736111111111116</v>
      </c>
      <c r="L139" s="29">
        <v>0.57986111111111116</v>
      </c>
      <c r="M139" s="35">
        <f t="shared" ca="1" si="31"/>
        <v>6.25E-2</v>
      </c>
      <c r="N139" s="46" t="s">
        <v>235</v>
      </c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209</v>
      </c>
      <c r="F140" s="27">
        <v>24</v>
      </c>
      <c r="G140" s="28">
        <f t="shared" si="30"/>
        <v>120</v>
      </c>
      <c r="H140" s="26" t="s">
        <v>16</v>
      </c>
      <c r="I140" s="26"/>
      <c r="J140" s="26" t="s">
        <v>81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46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209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209</v>
      </c>
      <c r="F142" s="27">
        <v>11</v>
      </c>
      <c r="G142" s="28">
        <f t="shared" si="30"/>
        <v>55</v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209</v>
      </c>
      <c r="F143" s="27">
        <v>0</v>
      </c>
      <c r="G143" s="34">
        <f t="shared" si="30"/>
        <v>0</v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209</v>
      </c>
      <c r="F144" s="27">
        <v>5</v>
      </c>
      <c r="G144" s="28">
        <f t="shared" si="30"/>
        <v>25</v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209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209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209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209</v>
      </c>
      <c r="F148" s="27">
        <v>8</v>
      </c>
      <c r="G148" s="28">
        <f t="shared" si="30"/>
        <v>40</v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91" t="s">
        <v>211</v>
      </c>
      <c r="B149" s="92"/>
      <c r="C149" s="92"/>
      <c r="D149" s="92"/>
      <c r="E149" s="93">
        <f>SUM(E137:E148)</f>
        <v>0</v>
      </c>
      <c r="F149" s="36">
        <f>SUM(F137:F148)</f>
        <v>95</v>
      </c>
      <c r="G149" s="36">
        <f>SUM(G137:G148)</f>
        <v>475</v>
      </c>
      <c r="H149" s="37"/>
      <c r="I149" s="37"/>
      <c r="J149" s="37"/>
      <c r="K149" s="37"/>
      <c r="L149" s="37"/>
      <c r="M149" s="38">
        <f ca="1">IFERROR(SUM(M137:M148),"")</f>
        <v>0.21111111111111108</v>
      </c>
      <c r="N149" s="36" t="s">
        <v>212</v>
      </c>
      <c r="O149" s="54">
        <v>591800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209</v>
      </c>
      <c r="F150" s="27">
        <v>14</v>
      </c>
      <c r="G150" s="28">
        <f t="shared" ref="G150:G161" si="33">IF(F150="","",IF(E150="PC 17",F150*4.2,IF(E150="PC 19",F150*5,"")))</f>
        <v>70</v>
      </c>
      <c r="H150" s="26" t="s">
        <v>18</v>
      </c>
      <c r="I150" s="26" t="s">
        <v>31</v>
      </c>
      <c r="J150" s="26" t="s">
        <v>50</v>
      </c>
      <c r="K150" s="29">
        <v>0.93055555555555558</v>
      </c>
      <c r="L150" s="29">
        <v>0.95277777777777772</v>
      </c>
      <c r="M150" s="30">
        <f t="shared" ref="M150:M161" ca="1" si="34">IFERROR(IF(K150="","",IF(L150="",MOD(NOW()-K150,1),IF(L150&gt;=K150,L150-K150,L150+1-K150))),"")</f>
        <v>2.2222222222222143E-2</v>
      </c>
      <c r="N150" s="46" t="s">
        <v>236</v>
      </c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209</v>
      </c>
      <c r="F151" s="27">
        <v>19</v>
      </c>
      <c r="G151" s="34">
        <f t="shared" si="33"/>
        <v>95</v>
      </c>
      <c r="H151" s="33" t="s">
        <v>18</v>
      </c>
      <c r="I151" s="33" t="s">
        <v>63</v>
      </c>
      <c r="J151" s="33" t="s">
        <v>197</v>
      </c>
      <c r="K151" s="29">
        <v>0.20833333333333334</v>
      </c>
      <c r="L151" s="29">
        <v>0.29166666666666669</v>
      </c>
      <c r="M151" s="35">
        <f t="shared" ca="1" si="34"/>
        <v>8.3333333333333343E-2</v>
      </c>
      <c r="N151" s="46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221</v>
      </c>
      <c r="F152" s="27">
        <v>28</v>
      </c>
      <c r="G152" s="28">
        <f t="shared" si="33"/>
        <v>117.60000000000001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237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221</v>
      </c>
      <c r="F153" s="27">
        <v>12</v>
      </c>
      <c r="G153" s="34">
        <f t="shared" si="33"/>
        <v>50.400000000000006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221</v>
      </c>
      <c r="F154" s="27">
        <v>13</v>
      </c>
      <c r="G154" s="28">
        <f t="shared" si="33"/>
        <v>54.6</v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221</v>
      </c>
      <c r="F155" s="27">
        <v>15</v>
      </c>
      <c r="G155" s="34">
        <f t="shared" si="33"/>
        <v>63</v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221</v>
      </c>
      <c r="F156" s="27">
        <v>20</v>
      </c>
      <c r="G156" s="28">
        <f t="shared" si="33"/>
        <v>84</v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221</v>
      </c>
      <c r="F157" s="27">
        <v>21</v>
      </c>
      <c r="G157" s="34">
        <f t="shared" si="33"/>
        <v>88.2</v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221</v>
      </c>
      <c r="F158" s="27">
        <v>18</v>
      </c>
      <c r="G158" s="28">
        <f t="shared" si="33"/>
        <v>75.600000000000009</v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221</v>
      </c>
      <c r="F159" s="27">
        <v>10</v>
      </c>
      <c r="G159" s="34">
        <f t="shared" si="33"/>
        <v>42</v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221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221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91" t="s">
        <v>213</v>
      </c>
      <c r="B162" s="92"/>
      <c r="C162" s="92"/>
      <c r="D162" s="92"/>
      <c r="E162" s="93">
        <f>SUM(E150:E161)</f>
        <v>0</v>
      </c>
      <c r="F162" s="36">
        <f>SUM(F150:F161)</f>
        <v>170</v>
      </c>
      <c r="G162" s="36">
        <f>SUM(G150:G161)</f>
        <v>740.40000000000009</v>
      </c>
      <c r="H162" s="37"/>
      <c r="I162" s="37"/>
      <c r="J162" s="37"/>
      <c r="K162" s="37"/>
      <c r="L162" s="37"/>
      <c r="M162" s="38">
        <f ca="1">IFERROR(SUM(M150:M161),"")</f>
        <v>0.10555555555555549</v>
      </c>
      <c r="N162" s="36" t="s">
        <v>212</v>
      </c>
      <c r="O162" s="54">
        <v>882280</v>
      </c>
    </row>
    <row r="163" spans="1:15" ht="18" customHeight="1">
      <c r="A163" s="94" t="s">
        <v>214</v>
      </c>
      <c r="B163" s="95"/>
      <c r="C163" s="95"/>
      <c r="D163" s="95"/>
      <c r="E163" s="96">
        <f>E149+E162</f>
        <v>0</v>
      </c>
      <c r="F163" s="40">
        <f>F149+F162</f>
        <v>265</v>
      </c>
      <c r="G163" s="40">
        <f>G149+G162</f>
        <v>1215.4000000000001</v>
      </c>
      <c r="H163" s="41"/>
      <c r="I163" s="41"/>
      <c r="J163" s="41"/>
      <c r="K163" s="41"/>
      <c r="L163" s="41"/>
      <c r="M163" s="42">
        <f ca="1">IFERROR(M149+M162,"")</f>
        <v>0.31666666666666654</v>
      </c>
      <c r="N163" s="40" t="s">
        <v>215</v>
      </c>
      <c r="O163" s="83">
        <f>IFERROR(O149+O162,"")</f>
        <v>1474080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22</v>
      </c>
      <c r="E164" s="59" t="s">
        <v>221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16</v>
      </c>
      <c r="I164" s="26"/>
      <c r="J164" s="26" t="s">
        <v>87</v>
      </c>
      <c r="K164" s="29">
        <v>0.29166666666666669</v>
      </c>
      <c r="L164" s="29">
        <v>0.79166666666666663</v>
      </c>
      <c r="M164" s="30">
        <f t="shared" ref="M164:M175" ca="1" si="37">IFERROR(IF(K164="","",IF(L164="",MOD(NOW()-K164,1),IF(L164&gt;=K164,L164-K164,L164+1-K164))),"")</f>
        <v>0.49999999999999994</v>
      </c>
      <c r="N164" s="46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62" t="s">
        <v>221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221</v>
      </c>
      <c r="F166" s="27">
        <v>0</v>
      </c>
      <c r="G166" s="28">
        <f t="shared" si="36"/>
        <v>0</v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221</v>
      </c>
      <c r="F167" s="27">
        <v>0</v>
      </c>
      <c r="G167" s="34">
        <f t="shared" si="36"/>
        <v>0</v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221</v>
      </c>
      <c r="F168" s="27">
        <v>0</v>
      </c>
      <c r="G168" s="28">
        <f t="shared" si="36"/>
        <v>0</v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221</v>
      </c>
      <c r="F169" s="27">
        <v>0</v>
      </c>
      <c r="G169" s="34">
        <f t="shared" si="36"/>
        <v>0</v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221</v>
      </c>
      <c r="F170" s="27">
        <v>0</v>
      </c>
      <c r="G170" s="28">
        <f t="shared" si="36"/>
        <v>0</v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221</v>
      </c>
      <c r="F171" s="27">
        <v>0</v>
      </c>
      <c r="G171" s="34">
        <f t="shared" si="36"/>
        <v>0</v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221</v>
      </c>
      <c r="F172" s="27">
        <v>0</v>
      </c>
      <c r="G172" s="28">
        <f t="shared" si="36"/>
        <v>0</v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221</v>
      </c>
      <c r="F173" s="27">
        <v>0</v>
      </c>
      <c r="G173" s="34">
        <f t="shared" si="36"/>
        <v>0</v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221</v>
      </c>
      <c r="F174" s="27">
        <v>0</v>
      </c>
      <c r="G174" s="28">
        <f t="shared" si="36"/>
        <v>0</v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221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91" t="s">
        <v>211</v>
      </c>
      <c r="B176" s="92"/>
      <c r="C176" s="92"/>
      <c r="D176" s="92"/>
      <c r="E176" s="93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0.49999999999999994</v>
      </c>
      <c r="N176" s="36" t="s">
        <v>212</v>
      </c>
      <c r="O176" s="78"/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/>
      <c r="E177" s="62"/>
      <c r="F177" s="27">
        <v>0</v>
      </c>
      <c r="G177" s="34" t="str">
        <f t="shared" ref="G177:G188" si="39">IF(F177="","",IF(E177="PC 17",F177*4.2,IF(E177="PC 19",F177*5,"")))</f>
        <v/>
      </c>
      <c r="H177" s="33" t="s">
        <v>16</v>
      </c>
      <c r="I177" s="33"/>
      <c r="J177" s="33" t="s">
        <v>87</v>
      </c>
      <c r="K177" s="29">
        <v>0.79166666666666663</v>
      </c>
      <c r="L177" s="29">
        <v>0.29166666666666669</v>
      </c>
      <c r="M177" s="35">
        <f t="shared" ref="M177:M188" ca="1" si="40">IFERROR(IF(K177="","",IF(L177="",MOD(NOW()-K177,1),IF(L177&gt;=K177,L177-K177,L177+1-K177))),"")</f>
        <v>0.50000000000000011</v>
      </c>
      <c r="N177" s="46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59"/>
      <c r="E178" s="59"/>
      <c r="F178" s="27">
        <v>0</v>
      </c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/>
      <c r="E179" s="62"/>
      <c r="F179" s="27">
        <v>0</v>
      </c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59"/>
      <c r="E180" s="59"/>
      <c r="F180" s="27">
        <v>0</v>
      </c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/>
      <c r="E181" s="62"/>
      <c r="F181" s="27">
        <v>0</v>
      </c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59"/>
      <c r="E182" s="59"/>
      <c r="F182" s="27">
        <v>0</v>
      </c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/>
      <c r="E183" s="62"/>
      <c r="F183" s="27">
        <v>0</v>
      </c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59"/>
      <c r="E184" s="59"/>
      <c r="F184" s="27">
        <v>0</v>
      </c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/>
      <c r="E185" s="62"/>
      <c r="F185" s="27">
        <v>0</v>
      </c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59"/>
      <c r="E186" s="59"/>
      <c r="F186" s="27">
        <v>0</v>
      </c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/>
      <c r="E187" s="62"/>
      <c r="F187" s="27">
        <v>0</v>
      </c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59"/>
      <c r="E188" s="59"/>
      <c r="F188" s="27">
        <v>0</v>
      </c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91" t="s">
        <v>213</v>
      </c>
      <c r="B189" s="92"/>
      <c r="C189" s="92"/>
      <c r="D189" s="92"/>
      <c r="E189" s="93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0.50000000000000011</v>
      </c>
      <c r="N189" s="36" t="s">
        <v>212</v>
      </c>
      <c r="O189" s="78"/>
    </row>
    <row r="190" spans="1:15" ht="18" customHeight="1">
      <c r="A190" s="94" t="s">
        <v>214</v>
      </c>
      <c r="B190" s="95"/>
      <c r="C190" s="95"/>
      <c r="D190" s="95"/>
      <c r="E190" s="96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1</v>
      </c>
      <c r="N190" s="40" t="s">
        <v>215</v>
      </c>
      <c r="O190" s="8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 t="s">
        <v>16</v>
      </c>
      <c r="I191" s="33"/>
      <c r="J191" s="33" t="s">
        <v>87</v>
      </c>
      <c r="K191" s="29">
        <v>0.29166666666666669</v>
      </c>
      <c r="L191" s="29">
        <v>0.79166666666666663</v>
      </c>
      <c r="M191" s="35">
        <f t="shared" ref="M191:M202" ca="1" si="43">IFERROR(IF(K191="","",IF(L191="",MOD(NOW()-K191,1),IF(L191&gt;=K191,L191-K191,L191+1-K191))),"")</f>
        <v>0.49999999999999994</v>
      </c>
      <c r="N191" s="46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91" t="s">
        <v>211</v>
      </c>
      <c r="B203" s="92"/>
      <c r="C203" s="92"/>
      <c r="D203" s="92"/>
      <c r="E203" s="93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0.49999999999999994</v>
      </c>
      <c r="N203" s="36" t="s">
        <v>212</v>
      </c>
      <c r="O203" s="78"/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221</v>
      </c>
      <c r="F204" s="27">
        <v>13</v>
      </c>
      <c r="G204" s="28">
        <f t="shared" ref="G204:G215" si="45">IF(F204="","",IF(E204="PC 17",F204*4.2,IF(E204="PC 19",F204*5,"")))</f>
        <v>54.6</v>
      </c>
      <c r="H204" s="26" t="s">
        <v>18</v>
      </c>
      <c r="I204" s="26"/>
      <c r="J204" s="26" t="s">
        <v>104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209</v>
      </c>
      <c r="F205" s="27">
        <v>7</v>
      </c>
      <c r="G205" s="34">
        <f t="shared" si="45"/>
        <v>35</v>
      </c>
      <c r="H205" s="33" t="s">
        <v>18</v>
      </c>
      <c r="I205" s="33" t="s">
        <v>31</v>
      </c>
      <c r="J205" s="33" t="s">
        <v>151</v>
      </c>
      <c r="K205" s="29">
        <v>3.8194444444444448E-2</v>
      </c>
      <c r="L205" s="29">
        <v>5.5555555555555552E-2</v>
      </c>
      <c r="M205" s="35">
        <f t="shared" ca="1" si="46"/>
        <v>1.7361111111111105E-2</v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221</v>
      </c>
      <c r="F206" s="27">
        <v>24</v>
      </c>
      <c r="G206" s="28">
        <f t="shared" si="45"/>
        <v>100.80000000000001</v>
      </c>
      <c r="H206" s="26" t="s">
        <v>18</v>
      </c>
      <c r="I206" s="26" t="s">
        <v>39</v>
      </c>
      <c r="J206" s="26" t="s">
        <v>142</v>
      </c>
      <c r="K206" s="29">
        <v>6.25E-2</v>
      </c>
      <c r="L206" s="29">
        <v>7.6388888888888895E-2</v>
      </c>
      <c r="M206" s="30">
        <f t="shared" ca="1" si="46"/>
        <v>1.3888888888888895E-2</v>
      </c>
      <c r="N206" s="46" t="s">
        <v>238</v>
      </c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221</v>
      </c>
      <c r="F207" s="27">
        <v>27</v>
      </c>
      <c r="G207" s="34">
        <f t="shared" si="45"/>
        <v>113.4</v>
      </c>
      <c r="H207" s="33" t="s">
        <v>18</v>
      </c>
      <c r="I207" s="33" t="s">
        <v>39</v>
      </c>
      <c r="J207" s="33"/>
      <c r="K207" s="29">
        <v>0.10069444444444445</v>
      </c>
      <c r="L207" s="29">
        <v>0.1875</v>
      </c>
      <c r="M207" s="35">
        <f t="shared" ca="1" si="46"/>
        <v>8.6805555555555552E-2</v>
      </c>
      <c r="N207" s="46" t="s">
        <v>239</v>
      </c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221</v>
      </c>
      <c r="F208" s="27">
        <v>24</v>
      </c>
      <c r="G208" s="28">
        <f t="shared" si="45"/>
        <v>100.80000000000001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221</v>
      </c>
      <c r="F209" s="27">
        <v>17</v>
      </c>
      <c r="G209" s="34">
        <f t="shared" si="45"/>
        <v>71.400000000000006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221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221</v>
      </c>
      <c r="F211" s="27">
        <v>2</v>
      </c>
      <c r="G211" s="34">
        <f t="shared" si="45"/>
        <v>8.4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221</v>
      </c>
      <c r="F212" s="27">
        <v>0</v>
      </c>
      <c r="G212" s="28">
        <f t="shared" si="45"/>
        <v>0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221</v>
      </c>
      <c r="F213" s="27">
        <v>5</v>
      </c>
      <c r="G213" s="34">
        <f t="shared" si="45"/>
        <v>21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221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221</v>
      </c>
      <c r="F215" s="27">
        <v>1</v>
      </c>
      <c r="G215" s="34">
        <f t="shared" si="45"/>
        <v>4.2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1" t="s">
        <v>213</v>
      </c>
      <c r="B216" s="92"/>
      <c r="C216" s="92"/>
      <c r="D216" s="92"/>
      <c r="E216" s="93">
        <f>SUM(E204:E215)</f>
        <v>0</v>
      </c>
      <c r="F216" s="36">
        <f>SUM(F204:F215)</f>
        <v>138</v>
      </c>
      <c r="G216" s="36">
        <f>SUM(G204:G215)</f>
        <v>585.20000000000005</v>
      </c>
      <c r="H216" s="37"/>
      <c r="I216" s="37"/>
      <c r="J216" s="37"/>
      <c r="K216" s="37"/>
      <c r="L216" s="37"/>
      <c r="M216" s="38">
        <f ca="1">IFERROR(SUM(M204:M215),"")</f>
        <v>0.15277777777777776</v>
      </c>
      <c r="N216" s="36" t="s">
        <v>212</v>
      </c>
      <c r="O216" s="78">
        <v>648410</v>
      </c>
    </row>
    <row r="217" spans="1:15" ht="18" customHeight="1">
      <c r="A217" s="94" t="s">
        <v>214</v>
      </c>
      <c r="B217" s="95"/>
      <c r="C217" s="95"/>
      <c r="D217" s="95"/>
      <c r="E217" s="96">
        <f>E203+E216</f>
        <v>0</v>
      </c>
      <c r="F217" s="40">
        <f>F203+F216</f>
        <v>138</v>
      </c>
      <c r="G217" s="40">
        <f>G203+G216</f>
        <v>585.20000000000005</v>
      </c>
      <c r="H217" s="41"/>
      <c r="I217" s="41"/>
      <c r="J217" s="41"/>
      <c r="K217" s="41"/>
      <c r="L217" s="41"/>
      <c r="M217" s="42">
        <f ca="1">IFERROR(M203+M216,"")</f>
        <v>0.65277777777777768</v>
      </c>
      <c r="N217" s="40" t="s">
        <v>215</v>
      </c>
      <c r="O217" s="84">
        <f>IFERROR(O203+O216,"")</f>
        <v>648410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221</v>
      </c>
      <c r="F218" s="27">
        <v>17</v>
      </c>
      <c r="G218" s="28">
        <f t="shared" ref="G218:G229" si="48">IF(F218="","",IF(E218="PC 17",F218*4.2,IF(E218="PC 19",F218*5,"")))</f>
        <v>71.400000000000006</v>
      </c>
      <c r="H218" s="26" t="s">
        <v>18</v>
      </c>
      <c r="I218" s="26" t="s">
        <v>39</v>
      </c>
      <c r="J218" s="33"/>
      <c r="K218" s="29">
        <v>0.29166666666666669</v>
      </c>
      <c r="L218" s="29">
        <v>0.45555555555555555</v>
      </c>
      <c r="M218" s="30">
        <f t="shared" ref="M218:M229" ca="1" si="49">IFERROR(IF(K218="","",IF(L218="",MOD(NOW()-K218,1),IF(L218&gt;=K218,L218-K218,L218+1-K218))),"")</f>
        <v>0.16388888888888886</v>
      </c>
      <c r="N218" s="46" t="s">
        <v>240</v>
      </c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221</v>
      </c>
      <c r="F219" s="27">
        <v>11</v>
      </c>
      <c r="G219" s="34">
        <f t="shared" si="48"/>
        <v>46.2</v>
      </c>
      <c r="H219" s="33" t="s">
        <v>18</v>
      </c>
      <c r="I219" s="33"/>
      <c r="J219" s="33" t="s">
        <v>125</v>
      </c>
      <c r="K219" s="29">
        <v>0.52013888888888893</v>
      </c>
      <c r="L219" s="29">
        <v>0.56180555555555556</v>
      </c>
      <c r="M219" s="35">
        <f t="shared" ca="1" si="49"/>
        <v>4.166666666666663E-2</v>
      </c>
      <c r="N219" s="46" t="s">
        <v>241</v>
      </c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221</v>
      </c>
      <c r="F220" s="27">
        <v>5</v>
      </c>
      <c r="G220" s="28">
        <f t="shared" si="48"/>
        <v>21</v>
      </c>
      <c r="H220" s="26" t="s">
        <v>20</v>
      </c>
      <c r="I220" s="26" t="s">
        <v>31</v>
      </c>
      <c r="J220" s="26" t="s">
        <v>56</v>
      </c>
      <c r="K220" s="29">
        <v>0.66666666666666663</v>
      </c>
      <c r="L220" s="29"/>
      <c r="M220" s="30">
        <f t="shared" ca="1" si="49"/>
        <v>9.5506481484335382E-2</v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221</v>
      </c>
      <c r="F221" s="27">
        <v>15</v>
      </c>
      <c r="G221" s="34">
        <f t="shared" si="48"/>
        <v>63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221</v>
      </c>
      <c r="F222" s="27">
        <v>10</v>
      </c>
      <c r="G222" s="28">
        <f t="shared" si="48"/>
        <v>42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221</v>
      </c>
      <c r="F223" s="27">
        <v>12</v>
      </c>
      <c r="G223" s="34">
        <f t="shared" si="48"/>
        <v>50.400000000000006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221</v>
      </c>
      <c r="F224" s="27">
        <v>30</v>
      </c>
      <c r="G224" s="28">
        <f t="shared" si="48"/>
        <v>126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221</v>
      </c>
      <c r="F225" s="27">
        <v>5</v>
      </c>
      <c r="G225" s="34">
        <f t="shared" si="48"/>
        <v>21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221</v>
      </c>
      <c r="F226" s="27">
        <v>5</v>
      </c>
      <c r="G226" s="28">
        <f t="shared" si="48"/>
        <v>21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221</v>
      </c>
      <c r="F227" s="27">
        <v>5</v>
      </c>
      <c r="G227" s="34">
        <f t="shared" si="48"/>
        <v>21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221</v>
      </c>
      <c r="F228" s="27">
        <v>0</v>
      </c>
      <c r="G228" s="28">
        <f t="shared" si="48"/>
        <v>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221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8" t="s">
        <v>211</v>
      </c>
      <c r="B230" s="89"/>
      <c r="C230" s="89"/>
      <c r="D230" s="59"/>
      <c r="E230" s="90">
        <f>SUM(E218:E229)</f>
        <v>0</v>
      </c>
      <c r="F230" s="36">
        <f>SUM(F218:F229)</f>
        <v>115</v>
      </c>
      <c r="G230" s="36">
        <f>SUM(G218:G229)</f>
        <v>483</v>
      </c>
      <c r="H230" s="37"/>
      <c r="I230" s="37"/>
      <c r="J230" s="37"/>
      <c r="K230" s="37"/>
      <c r="L230" s="37"/>
      <c r="M230" s="38">
        <f ca="1">IFERROR(SUM(M218:M229),"")</f>
        <v>0.30106203703989087</v>
      </c>
      <c r="N230" s="36" t="s">
        <v>212</v>
      </c>
      <c r="O230" s="78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1" t="s">
        <v>213</v>
      </c>
      <c r="B243" s="92"/>
      <c r="C243" s="92"/>
      <c r="D243" s="92"/>
      <c r="E243" s="93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212</v>
      </c>
      <c r="O243" s="78"/>
    </row>
    <row r="244" spans="1:15" ht="18" customHeight="1">
      <c r="A244" s="94" t="s">
        <v>214</v>
      </c>
      <c r="B244" s="95"/>
      <c r="C244" s="95"/>
      <c r="D244" s="95"/>
      <c r="E244" s="96">
        <f>E230+E243</f>
        <v>0</v>
      </c>
      <c r="F244" s="40">
        <f>F230+F243</f>
        <v>115</v>
      </c>
      <c r="G244" s="40">
        <f>G230+G243</f>
        <v>483</v>
      </c>
      <c r="H244" s="41"/>
      <c r="I244" s="41"/>
      <c r="J244" s="41"/>
      <c r="K244" s="41"/>
      <c r="L244" s="41"/>
      <c r="M244" s="42">
        <f ca="1">IFERROR(M230+M243,"")</f>
        <v>0.30106203703989087</v>
      </c>
      <c r="N244" s="40" t="s">
        <v>215</v>
      </c>
      <c r="O244" s="84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1" t="s">
        <v>211</v>
      </c>
      <c r="B257" s="92"/>
      <c r="C257" s="92"/>
      <c r="D257" s="92"/>
      <c r="E257" s="93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212</v>
      </c>
      <c r="O257" s="78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1" t="s">
        <v>213</v>
      </c>
      <c r="B270" s="92"/>
      <c r="C270" s="92"/>
      <c r="D270" s="92"/>
      <c r="E270" s="93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212</v>
      </c>
      <c r="O270" s="78"/>
    </row>
    <row r="271" spans="1:15" ht="18" customHeight="1">
      <c r="A271" s="94" t="s">
        <v>214</v>
      </c>
      <c r="B271" s="95"/>
      <c r="C271" s="95"/>
      <c r="D271" s="95"/>
      <c r="E271" s="96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215</v>
      </c>
      <c r="O271" s="84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1" t="s">
        <v>211</v>
      </c>
      <c r="B284" s="92"/>
      <c r="C284" s="92"/>
      <c r="D284" s="92"/>
      <c r="E284" s="93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212</v>
      </c>
      <c r="O284" s="78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91" t="s">
        <v>213</v>
      </c>
      <c r="B297" s="92"/>
      <c r="C297" s="92"/>
      <c r="D297" s="92"/>
      <c r="E297" s="93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212</v>
      </c>
      <c r="O297" s="78"/>
    </row>
    <row r="298" spans="1:15" ht="18" customHeight="1">
      <c r="A298" s="94" t="s">
        <v>214</v>
      </c>
      <c r="B298" s="95"/>
      <c r="C298" s="95"/>
      <c r="D298" s="95"/>
      <c r="E298" s="96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215</v>
      </c>
      <c r="O298" s="84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1" t="s">
        <v>211</v>
      </c>
      <c r="B311" s="92"/>
      <c r="C311" s="92"/>
      <c r="D311" s="92"/>
      <c r="E311" s="93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212</v>
      </c>
      <c r="O311" s="78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1" t="s">
        <v>213</v>
      </c>
      <c r="B324" s="92"/>
      <c r="C324" s="92"/>
      <c r="D324" s="92"/>
      <c r="E324" s="93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212</v>
      </c>
      <c r="O324" s="78"/>
    </row>
    <row r="325" spans="1:15" ht="18" customHeight="1">
      <c r="A325" s="94" t="s">
        <v>214</v>
      </c>
      <c r="B325" s="95"/>
      <c r="C325" s="95"/>
      <c r="D325" s="95"/>
      <c r="E325" s="96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215</v>
      </c>
      <c r="O325" s="84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1" t="s">
        <v>211</v>
      </c>
      <c r="B338" s="92"/>
      <c r="C338" s="92"/>
      <c r="D338" s="92"/>
      <c r="E338" s="93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212</v>
      </c>
      <c r="O338" s="78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1" t="s">
        <v>213</v>
      </c>
      <c r="B351" s="92"/>
      <c r="C351" s="92"/>
      <c r="D351" s="92"/>
      <c r="E351" s="93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212</v>
      </c>
      <c r="O351" s="78"/>
    </row>
    <row r="352" spans="1:15" ht="18" customHeight="1">
      <c r="A352" s="94" t="s">
        <v>214</v>
      </c>
      <c r="B352" s="95"/>
      <c r="C352" s="95"/>
      <c r="D352" s="95"/>
      <c r="E352" s="96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215</v>
      </c>
      <c r="O352" s="84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1" t="s">
        <v>211</v>
      </c>
      <c r="B365" s="92"/>
      <c r="C365" s="92"/>
      <c r="D365" s="92"/>
      <c r="E365" s="93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212</v>
      </c>
      <c r="O365" s="78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91" t="s">
        <v>213</v>
      </c>
      <c r="B378" s="92"/>
      <c r="C378" s="92"/>
      <c r="D378" s="92"/>
      <c r="E378" s="93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212</v>
      </c>
      <c r="O378" s="78"/>
    </row>
    <row r="379" spans="1:15" ht="18" customHeight="1">
      <c r="A379" s="94" t="s">
        <v>214</v>
      </c>
      <c r="B379" s="95"/>
      <c r="C379" s="95"/>
      <c r="D379" s="95"/>
      <c r="E379" s="96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215</v>
      </c>
      <c r="O379" s="84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1" t="s">
        <v>211</v>
      </c>
      <c r="B392" s="92"/>
      <c r="C392" s="92"/>
      <c r="D392" s="92"/>
      <c r="E392" s="93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212</v>
      </c>
      <c r="O392" s="78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1" t="s">
        <v>213</v>
      </c>
      <c r="B405" s="92"/>
      <c r="C405" s="92"/>
      <c r="D405" s="92"/>
      <c r="E405" s="93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212</v>
      </c>
      <c r="O405" s="78"/>
    </row>
    <row r="406" spans="1:15" ht="18" customHeight="1">
      <c r="A406" s="94" t="s">
        <v>214</v>
      </c>
      <c r="B406" s="95"/>
      <c r="C406" s="95"/>
      <c r="D406" s="95"/>
      <c r="E406" s="96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215</v>
      </c>
      <c r="O406" s="84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1" t="s">
        <v>211</v>
      </c>
      <c r="B419" s="92"/>
      <c r="C419" s="92"/>
      <c r="D419" s="92"/>
      <c r="E419" s="93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212</v>
      </c>
      <c r="O419" s="78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91" t="s">
        <v>213</v>
      </c>
      <c r="B432" s="92"/>
      <c r="C432" s="92"/>
      <c r="D432" s="92"/>
      <c r="E432" s="93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212</v>
      </c>
      <c r="O432" s="78"/>
    </row>
    <row r="433" spans="1:15" ht="18" customHeight="1">
      <c r="A433" s="94" t="s">
        <v>214</v>
      </c>
      <c r="B433" s="95"/>
      <c r="C433" s="95"/>
      <c r="D433" s="95"/>
      <c r="E433" s="96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215</v>
      </c>
      <c r="O433" s="84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1" t="s">
        <v>211</v>
      </c>
      <c r="B446" s="92"/>
      <c r="C446" s="92"/>
      <c r="D446" s="92"/>
      <c r="E446" s="93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212</v>
      </c>
      <c r="O446" s="78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1" t="s">
        <v>213</v>
      </c>
      <c r="B459" s="92"/>
      <c r="C459" s="92"/>
      <c r="D459" s="92"/>
      <c r="E459" s="93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212</v>
      </c>
      <c r="O459" s="78"/>
    </row>
    <row r="460" spans="1:15" ht="18" customHeight="1">
      <c r="A460" s="94" t="s">
        <v>214</v>
      </c>
      <c r="B460" s="95"/>
      <c r="C460" s="95"/>
      <c r="D460" s="95"/>
      <c r="E460" s="96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215</v>
      </c>
      <c r="O460" s="84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46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46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1" t="s">
        <v>211</v>
      </c>
      <c r="B473" s="92"/>
      <c r="C473" s="92"/>
      <c r="D473" s="92"/>
      <c r="E473" s="93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212</v>
      </c>
      <c r="O473" s="78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>
        <v>1</v>
      </c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1" t="s">
        <v>213</v>
      </c>
      <c r="B486" s="92"/>
      <c r="C486" s="92"/>
      <c r="D486" s="92"/>
      <c r="E486" s="93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212</v>
      </c>
      <c r="O486" s="78"/>
    </row>
    <row r="487" spans="1:15" ht="18" customHeight="1">
      <c r="A487" s="94" t="s">
        <v>214</v>
      </c>
      <c r="B487" s="95"/>
      <c r="C487" s="95"/>
      <c r="D487" s="95"/>
      <c r="E487" s="96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215</v>
      </c>
      <c r="O487" s="84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1" t="s">
        <v>211</v>
      </c>
      <c r="B500" s="92"/>
      <c r="C500" s="92"/>
      <c r="D500" s="92"/>
      <c r="E500" s="93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212</v>
      </c>
      <c r="O500" s="78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91" t="s">
        <v>213</v>
      </c>
      <c r="B513" s="92"/>
      <c r="C513" s="92"/>
      <c r="D513" s="92"/>
      <c r="E513" s="93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212</v>
      </c>
      <c r="O513" s="78"/>
    </row>
    <row r="514" spans="1:15" ht="18" customHeight="1">
      <c r="A514" s="94" t="s">
        <v>214</v>
      </c>
      <c r="B514" s="95"/>
      <c r="C514" s="95"/>
      <c r="D514" s="95"/>
      <c r="E514" s="96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215</v>
      </c>
      <c r="O514" s="84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1" t="s">
        <v>211</v>
      </c>
      <c r="B527" s="92"/>
      <c r="C527" s="92"/>
      <c r="D527" s="92"/>
      <c r="E527" s="93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212</v>
      </c>
      <c r="O527" s="78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91" t="s">
        <v>213</v>
      </c>
      <c r="B540" s="92"/>
      <c r="C540" s="92"/>
      <c r="D540" s="92"/>
      <c r="E540" s="93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212</v>
      </c>
      <c r="O540" s="78"/>
    </row>
    <row r="541" spans="1:15" ht="18" customHeight="1">
      <c r="A541" s="94" t="s">
        <v>214</v>
      </c>
      <c r="B541" s="95"/>
      <c r="C541" s="95"/>
      <c r="D541" s="95"/>
      <c r="E541" s="96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215</v>
      </c>
      <c r="O541" s="84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1" t="s">
        <v>211</v>
      </c>
      <c r="B554" s="92"/>
      <c r="C554" s="92"/>
      <c r="D554" s="92"/>
      <c r="E554" s="93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212</v>
      </c>
      <c r="O554" s="78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1" t="s">
        <v>213</v>
      </c>
      <c r="B567" s="92"/>
      <c r="C567" s="92"/>
      <c r="D567" s="92"/>
      <c r="E567" s="93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212</v>
      </c>
      <c r="O567" s="78"/>
    </row>
    <row r="568" spans="1:15" ht="18" customHeight="1">
      <c r="A568" s="94" t="s">
        <v>214</v>
      </c>
      <c r="B568" s="95"/>
      <c r="C568" s="95"/>
      <c r="D568" s="95"/>
      <c r="E568" s="96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215</v>
      </c>
      <c r="O568" s="84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1" t="s">
        <v>211</v>
      </c>
      <c r="B581" s="92"/>
      <c r="C581" s="92"/>
      <c r="D581" s="92"/>
      <c r="E581" s="93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212</v>
      </c>
      <c r="O581" s="78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1" t="s">
        <v>213</v>
      </c>
      <c r="B594" s="92"/>
      <c r="C594" s="92"/>
      <c r="D594" s="92"/>
      <c r="E594" s="93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212</v>
      </c>
      <c r="O594" s="78"/>
    </row>
    <row r="595" spans="1:15" ht="18" customHeight="1">
      <c r="A595" s="94" t="s">
        <v>214</v>
      </c>
      <c r="B595" s="95"/>
      <c r="C595" s="95"/>
      <c r="D595" s="95"/>
      <c r="E595" s="96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215</v>
      </c>
      <c r="O595" s="84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1" t="s">
        <v>211</v>
      </c>
      <c r="B608" s="92"/>
      <c r="C608" s="92"/>
      <c r="D608" s="92"/>
      <c r="E608" s="93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212</v>
      </c>
      <c r="O608" s="78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1" t="s">
        <v>213</v>
      </c>
      <c r="B621" s="92"/>
      <c r="C621" s="92"/>
      <c r="D621" s="92"/>
      <c r="E621" s="93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212</v>
      </c>
      <c r="O621" s="78"/>
    </row>
    <row r="622" spans="1:15" ht="18" customHeight="1">
      <c r="A622" s="94" t="s">
        <v>214</v>
      </c>
      <c r="B622" s="95"/>
      <c r="C622" s="95"/>
      <c r="D622" s="95"/>
      <c r="E622" s="96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215</v>
      </c>
      <c r="O622" s="84">
        <f>O608+O621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91" t="s">
        <v>211</v>
      </c>
      <c r="B635" s="92"/>
      <c r="C635" s="92"/>
      <c r="D635" s="92"/>
      <c r="E635" s="93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212</v>
      </c>
      <c r="O635" s="78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1" t="s">
        <v>213</v>
      </c>
      <c r="B648" s="92"/>
      <c r="C648" s="92"/>
      <c r="D648" s="92"/>
      <c r="E648" s="93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212</v>
      </c>
      <c r="O648" s="78"/>
    </row>
    <row r="649" spans="1:15" ht="18" customHeight="1">
      <c r="A649" s="94" t="s">
        <v>214</v>
      </c>
      <c r="B649" s="95"/>
      <c r="C649" s="95"/>
      <c r="D649" s="95"/>
      <c r="E649" s="96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215</v>
      </c>
      <c r="O649" s="84">
        <f>O635+O648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1" t="s">
        <v>211</v>
      </c>
      <c r="B662" s="92"/>
      <c r="C662" s="92"/>
      <c r="D662" s="92"/>
      <c r="E662" s="93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212</v>
      </c>
      <c r="O662" s="78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1" t="s">
        <v>213</v>
      </c>
      <c r="B675" s="92"/>
      <c r="C675" s="92"/>
      <c r="D675" s="92"/>
      <c r="E675" s="93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212</v>
      </c>
      <c r="O675" s="78"/>
    </row>
    <row r="676" spans="1:15" ht="18" customHeight="1">
      <c r="A676" s="94" t="s">
        <v>214</v>
      </c>
      <c r="B676" s="95"/>
      <c r="C676" s="95"/>
      <c r="D676" s="95"/>
      <c r="E676" s="96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215</v>
      </c>
      <c r="O676" s="84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1" t="s">
        <v>211</v>
      </c>
      <c r="B689" s="92"/>
      <c r="C689" s="92"/>
      <c r="D689" s="92"/>
      <c r="E689" s="93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212</v>
      </c>
      <c r="O689" s="78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1" t="s">
        <v>213</v>
      </c>
      <c r="B702" s="92"/>
      <c r="C702" s="92"/>
      <c r="D702" s="92"/>
      <c r="E702" s="93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212</v>
      </c>
      <c r="O702" s="78"/>
    </row>
    <row r="703" spans="1:15" ht="18" customHeight="1">
      <c r="A703" s="94" t="s">
        <v>214</v>
      </c>
      <c r="B703" s="95"/>
      <c r="C703" s="95"/>
      <c r="D703" s="95"/>
      <c r="E703" s="96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215</v>
      </c>
      <c r="O703" s="84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1" t="s">
        <v>211</v>
      </c>
      <c r="B716" s="92"/>
      <c r="C716" s="92"/>
      <c r="D716" s="92"/>
      <c r="E716" s="93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212</v>
      </c>
      <c r="O716" s="78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1" t="s">
        <v>213</v>
      </c>
      <c r="B729" s="92"/>
      <c r="C729" s="92"/>
      <c r="D729" s="92"/>
      <c r="E729" s="93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212</v>
      </c>
      <c r="O729" s="78"/>
    </row>
    <row r="730" spans="1:15" ht="18" customHeight="1">
      <c r="A730" s="94" t="s">
        <v>214</v>
      </c>
      <c r="B730" s="95"/>
      <c r="C730" s="95"/>
      <c r="D730" s="95"/>
      <c r="E730" s="96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215</v>
      </c>
      <c r="O730" s="84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1" t="s">
        <v>211</v>
      </c>
      <c r="B743" s="92"/>
      <c r="C743" s="92"/>
      <c r="D743" s="92"/>
      <c r="E743" s="93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212</v>
      </c>
      <c r="O743" s="78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1" t="s">
        <v>213</v>
      </c>
      <c r="B756" s="92"/>
      <c r="C756" s="92"/>
      <c r="D756" s="92"/>
      <c r="E756" s="93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212</v>
      </c>
      <c r="O756" s="39"/>
    </row>
    <row r="757" spans="1:15" ht="18" customHeight="1">
      <c r="A757" s="94" t="s">
        <v>214</v>
      </c>
      <c r="B757" s="95"/>
      <c r="C757" s="95"/>
      <c r="D757" s="95"/>
      <c r="E757" s="96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215</v>
      </c>
      <c r="O757" s="84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1" t="s">
        <v>211</v>
      </c>
      <c r="B770" s="92"/>
      <c r="C770" s="92"/>
      <c r="D770" s="92"/>
      <c r="E770" s="93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212</v>
      </c>
      <c r="O770" s="78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1" t="s">
        <v>213</v>
      </c>
      <c r="B783" s="92"/>
      <c r="C783" s="92"/>
      <c r="D783" s="92"/>
      <c r="E783" s="93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212</v>
      </c>
      <c r="O783" s="39"/>
    </row>
    <row r="784" spans="1:15" ht="18" customHeight="1">
      <c r="A784" s="94" t="s">
        <v>214</v>
      </c>
      <c r="B784" s="95"/>
      <c r="C784" s="95"/>
      <c r="D784" s="95"/>
      <c r="E784" s="96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215</v>
      </c>
      <c r="O784" s="84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1" t="s">
        <v>211</v>
      </c>
      <c r="B797" s="92"/>
      <c r="C797" s="92"/>
      <c r="D797" s="92"/>
      <c r="E797" s="93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212</v>
      </c>
      <c r="O797" s="78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1" t="s">
        <v>213</v>
      </c>
      <c r="B810" s="92"/>
      <c r="C810" s="92"/>
      <c r="D810" s="92"/>
      <c r="E810" s="93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212</v>
      </c>
      <c r="O810" s="39"/>
    </row>
    <row r="811" spans="1:15" ht="18" customHeight="1">
      <c r="A811" s="94" t="s">
        <v>214</v>
      </c>
      <c r="B811" s="95"/>
      <c r="C811" s="95"/>
      <c r="D811" s="95"/>
      <c r="E811" s="96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215</v>
      </c>
      <c r="O811" s="83">
        <f>IFERROR(O797+O810,"")</f>
        <v>0</v>
      </c>
    </row>
  </sheetData>
  <mergeCells count="89"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</mergeCells>
  <dataValidations count="2">
    <dataValidation type="list" allowBlank="1" showErrorMessage="1" errorTitle="Valor inválido" error="Selecione PC 17 ou PC 19 da lista." sqref="E2:E13 E15:E26 E29:E811" xr:uid="{52C68A24-78CA-4DE2-A34C-BA733F92037A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3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Cadastro!$C$4:$C$10</xm:f>
          </x14:formula1>
          <x14:formula2>
            <xm:f>0</xm:f>
          </x14:formula2>
          <xm:sqref>D15:D26 D2:D13 D29:D82 D84:D900</xm:sqref>
        </x14:dataValidation>
        <x14:dataValidation type="list" allowBlank="1" showErrorMessage="1" errorTitle="Valor inválido" error="Selecione da lista." xr:uid="{00000000-0002-0000-03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300-000004000000}">
          <x14:formula1>
            <xm:f>Cadastro!$E$4:$E$10</xm:f>
          </x14:formula1>
          <x14:formula2>
            <xm:f>0</xm:f>
          </x14:formula2>
          <xm:sqref>H2:H900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11"/>
  <sheetViews>
    <sheetView showGridLines="0" tabSelected="1" topLeftCell="A188" zoomScale="50" zoomScaleNormal="50" workbookViewId="0">
      <selection activeCell="F230" sqref="F230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0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66.85546875" style="20" customWidth="1"/>
    <col min="15" max="15" width="14" customWidth="1"/>
  </cols>
  <sheetData>
    <row r="1" spans="1:15" ht="37.5" customHeight="1">
      <c r="A1" s="68" t="s">
        <v>7</v>
      </c>
      <c r="B1" s="23" t="s">
        <v>198</v>
      </c>
      <c r="C1" s="23" t="s">
        <v>12</v>
      </c>
      <c r="D1" s="22" t="s">
        <v>13</v>
      </c>
      <c r="E1" s="22" t="s">
        <v>199</v>
      </c>
      <c r="F1" s="23" t="s">
        <v>200</v>
      </c>
      <c r="G1" s="23" t="s">
        <v>201</v>
      </c>
      <c r="H1" s="23" t="s">
        <v>14</v>
      </c>
      <c r="I1" s="23" t="s">
        <v>15</v>
      </c>
      <c r="J1" s="23" t="s">
        <v>202</v>
      </c>
      <c r="K1" s="23" t="s">
        <v>203</v>
      </c>
      <c r="L1" s="23" t="s">
        <v>204</v>
      </c>
      <c r="M1" s="24" t="s">
        <v>205</v>
      </c>
      <c r="N1" s="23" t="s">
        <v>206</v>
      </c>
      <c r="O1" s="23" t="s">
        <v>207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221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174</v>
      </c>
      <c r="K2" s="29">
        <v>0.29166666666666669</v>
      </c>
      <c r="L2" s="29">
        <v>0.33333333333333331</v>
      </c>
      <c r="M2" s="30">
        <f t="shared" ref="M2:M13" ca="1" si="1">IFERROR(IF(K2="","",IF(L2="",MOD(NOW()-K2,1),IF(L2&gt;=K2,L2-K2,L2+1-K2))),"")</f>
        <v>4.166666666666663E-2</v>
      </c>
      <c r="N2" s="27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221</v>
      </c>
      <c r="F3" s="27">
        <v>5</v>
      </c>
      <c r="G3" s="34">
        <f t="shared" si="0"/>
        <v>21</v>
      </c>
      <c r="H3" s="33" t="s">
        <v>20</v>
      </c>
      <c r="I3" s="33"/>
      <c r="J3" s="33" t="s">
        <v>74</v>
      </c>
      <c r="K3" s="29">
        <v>0.40277777777777779</v>
      </c>
      <c r="L3" s="29">
        <v>0.40625</v>
      </c>
      <c r="M3" s="35">
        <f t="shared" ca="1" si="1"/>
        <v>3.4722222222222099E-3</v>
      </c>
      <c r="N3" s="27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221</v>
      </c>
      <c r="F4" s="27">
        <v>1</v>
      </c>
      <c r="G4" s="28">
        <f t="shared" si="0"/>
        <v>4.2</v>
      </c>
      <c r="H4" s="26" t="s">
        <v>19</v>
      </c>
      <c r="I4" s="26" t="s">
        <v>47</v>
      </c>
      <c r="J4" s="26" t="s">
        <v>78</v>
      </c>
      <c r="K4" s="29">
        <v>0.43125000000000002</v>
      </c>
      <c r="L4" s="29">
        <v>0.44930555555555557</v>
      </c>
      <c r="M4" s="30">
        <f t="shared" ca="1" si="1"/>
        <v>1.8055555555555547E-2</v>
      </c>
      <c r="N4" s="27" t="s">
        <v>242</v>
      </c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221</v>
      </c>
      <c r="F5" s="27">
        <v>6</v>
      </c>
      <c r="G5" s="34">
        <f t="shared" si="0"/>
        <v>25.200000000000003</v>
      </c>
      <c r="H5" s="33" t="s">
        <v>20</v>
      </c>
      <c r="I5" s="33"/>
      <c r="J5" s="33" t="s">
        <v>74</v>
      </c>
      <c r="K5" s="29">
        <v>0.58333333333333337</v>
      </c>
      <c r="L5" s="29">
        <v>0.5854166666666667</v>
      </c>
      <c r="M5" s="35">
        <f t="shared" ca="1" si="1"/>
        <v>2.0833333333333259E-3</v>
      </c>
      <c r="N5" s="27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221</v>
      </c>
      <c r="F6" s="27">
        <v>10</v>
      </c>
      <c r="G6" s="28">
        <f t="shared" si="0"/>
        <v>42</v>
      </c>
      <c r="H6" s="26" t="s">
        <v>19</v>
      </c>
      <c r="I6" s="26" t="s">
        <v>47</v>
      </c>
      <c r="J6" s="26" t="s">
        <v>27</v>
      </c>
      <c r="K6" s="29">
        <v>0.59791666666666665</v>
      </c>
      <c r="L6" s="29">
        <v>0.68611111111111112</v>
      </c>
      <c r="M6" s="30">
        <f t="shared" ca="1" si="1"/>
        <v>8.8194444444444464E-2</v>
      </c>
      <c r="N6" s="27" t="s">
        <v>243</v>
      </c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221</v>
      </c>
      <c r="F7" s="27">
        <v>4</v>
      </c>
      <c r="G7" s="34">
        <f t="shared" si="0"/>
        <v>16.8</v>
      </c>
      <c r="H7" s="33" t="s">
        <v>18</v>
      </c>
      <c r="I7" s="33" t="s">
        <v>47</v>
      </c>
      <c r="J7" s="33" t="s">
        <v>161</v>
      </c>
      <c r="K7" s="29">
        <v>0.70138888888888884</v>
      </c>
      <c r="L7" s="29">
        <v>0.71527777777777779</v>
      </c>
      <c r="M7" s="35">
        <f t="shared" ca="1" si="1"/>
        <v>1.3888888888888951E-2</v>
      </c>
      <c r="N7" s="27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221</v>
      </c>
      <c r="F8" s="27">
        <v>14</v>
      </c>
      <c r="G8" s="28">
        <f t="shared" si="0"/>
        <v>58.800000000000004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221</v>
      </c>
      <c r="F9" s="27">
        <v>5</v>
      </c>
      <c r="G9" s="34">
        <f t="shared" si="0"/>
        <v>21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221</v>
      </c>
      <c r="F10" s="27">
        <v>0</v>
      </c>
      <c r="G10" s="28">
        <f t="shared" si="0"/>
        <v>0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221</v>
      </c>
      <c r="F11" s="27">
        <v>2</v>
      </c>
      <c r="G11" s="34">
        <f t="shared" si="0"/>
        <v>8.4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221</v>
      </c>
      <c r="F12" s="27">
        <v>6</v>
      </c>
      <c r="G12" s="28">
        <f t="shared" si="0"/>
        <v>25.200000000000003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221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91" t="s">
        <v>211</v>
      </c>
      <c r="B14" s="92"/>
      <c r="C14" s="92"/>
      <c r="D14" s="92"/>
      <c r="E14" s="93"/>
      <c r="F14" s="36">
        <f>SUM(F2:F13)</f>
        <v>59</v>
      </c>
      <c r="G14" s="36">
        <f>SUM(G2:G13)</f>
        <v>247.8</v>
      </c>
      <c r="H14" s="37"/>
      <c r="I14" s="37"/>
      <c r="J14" s="37"/>
      <c r="K14" s="37"/>
      <c r="L14" s="37"/>
      <c r="M14" s="38">
        <f ca="1">IFERROR(SUM(M2:M13),"")</f>
        <v>0.16736111111111113</v>
      </c>
      <c r="N14" s="36" t="s">
        <v>212</v>
      </c>
      <c r="O14" s="39">
        <v>292530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221</v>
      </c>
      <c r="F15" s="27">
        <v>10</v>
      </c>
      <c r="G15" s="34">
        <f t="shared" ref="G15:G26" si="3">IF(F15="","",IF(E15="PC 17",F15*4.2,IF(E15="PC 19",F15*5,"")))</f>
        <v>42</v>
      </c>
      <c r="H15" s="33" t="s">
        <v>19</v>
      </c>
      <c r="I15" s="33" t="s">
        <v>47</v>
      </c>
      <c r="J15" s="33" t="s">
        <v>27</v>
      </c>
      <c r="K15" s="29">
        <v>0.25624999999999998</v>
      </c>
      <c r="L15" s="29">
        <v>0.29166666666666669</v>
      </c>
      <c r="M15" s="35">
        <f ca="1">IFERROR(IF(K15="","",IF(L15="",MOD(NOW()-K15,1),IF(L15&gt;=K15,L15-K15,L15+1-K15))),"")</f>
        <v>3.5416666666666707E-2</v>
      </c>
      <c r="N15" s="27"/>
      <c r="O15" s="31"/>
    </row>
    <row r="16" spans="1:15" ht="15" customHeight="1">
      <c r="A16" s="69">
        <v>46204</v>
      </c>
      <c r="B16" s="25">
        <f t="shared" ref="B16:B26" si="4">B15+TIME(0,60,0)</f>
        <v>0.87499999999999967</v>
      </c>
      <c r="C16" s="33" t="s">
        <v>45</v>
      </c>
      <c r="D16" s="62" t="s">
        <v>30</v>
      </c>
      <c r="E16" s="62" t="s">
        <v>221</v>
      </c>
      <c r="F16" s="27">
        <v>0</v>
      </c>
      <c r="G16" s="28">
        <f t="shared" si="3"/>
        <v>0</v>
      </c>
      <c r="H16" s="26"/>
      <c r="I16" s="26"/>
      <c r="J16" s="26"/>
      <c r="K16" s="29"/>
      <c r="L16" s="29"/>
      <c r="M16" s="35" t="str">
        <f t="shared" ref="M15:M26" ca="1" si="5">IFERROR(IF(K16="","",IF(L16="",MOD(NOW()-K16,1),IF(L16&gt;=K16,L16-K16,L16+1-K16))),"")</f>
        <v/>
      </c>
      <c r="N16" s="27"/>
      <c r="O16" s="31"/>
    </row>
    <row r="17" spans="1:15" ht="15" customHeight="1">
      <c r="A17" s="70">
        <v>46204</v>
      </c>
      <c r="B17" s="32">
        <f t="shared" si="4"/>
        <v>0.9166666666666663</v>
      </c>
      <c r="C17" s="33" t="s">
        <v>45</v>
      </c>
      <c r="D17" s="62" t="s">
        <v>30</v>
      </c>
      <c r="E17" s="62" t="s">
        <v>221</v>
      </c>
      <c r="F17" s="27">
        <v>9</v>
      </c>
      <c r="G17" s="34">
        <f t="shared" si="3"/>
        <v>37.800000000000004</v>
      </c>
      <c r="H17" s="33"/>
      <c r="I17" s="33"/>
      <c r="J17" s="33"/>
      <c r="K17" s="29"/>
      <c r="L17" s="29"/>
      <c r="M17" s="35" t="str">
        <f t="shared" ca="1" si="5"/>
        <v/>
      </c>
      <c r="N17" s="27"/>
      <c r="O17" s="31"/>
    </row>
    <row r="18" spans="1:15" ht="15" customHeight="1">
      <c r="A18" s="69">
        <v>46204</v>
      </c>
      <c r="B18" s="25">
        <f t="shared" si="4"/>
        <v>0.95833333333333293</v>
      </c>
      <c r="C18" s="33" t="s">
        <v>45</v>
      </c>
      <c r="D18" s="62" t="s">
        <v>30</v>
      </c>
      <c r="E18" s="62" t="s">
        <v>221</v>
      </c>
      <c r="F18" s="27">
        <v>6</v>
      </c>
      <c r="G18" s="28">
        <f t="shared" si="3"/>
        <v>25.200000000000003</v>
      </c>
      <c r="H18" s="26"/>
      <c r="I18" s="26"/>
      <c r="J18" s="26"/>
      <c r="K18" s="29"/>
      <c r="L18" s="29"/>
      <c r="M18" s="35" t="str">
        <f t="shared" ca="1" si="5"/>
        <v/>
      </c>
      <c r="N18" s="27"/>
      <c r="O18" s="31"/>
    </row>
    <row r="19" spans="1:15" ht="15" customHeight="1">
      <c r="A19" s="70">
        <v>46204</v>
      </c>
      <c r="B19" s="32">
        <f t="shared" si="4"/>
        <v>0.99999999999999956</v>
      </c>
      <c r="C19" s="33" t="s">
        <v>45</v>
      </c>
      <c r="D19" s="62" t="s">
        <v>30</v>
      </c>
      <c r="E19" s="62" t="s">
        <v>221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5"/>
        <v/>
      </c>
      <c r="N19" s="27"/>
      <c r="O19" s="31"/>
    </row>
    <row r="20" spans="1:15" ht="15" customHeight="1">
      <c r="A20" s="69">
        <v>46204</v>
      </c>
      <c r="B20" s="25">
        <f t="shared" si="4"/>
        <v>1.0416666666666663</v>
      </c>
      <c r="C20" s="33" t="s">
        <v>45</v>
      </c>
      <c r="D20" s="62" t="s">
        <v>30</v>
      </c>
      <c r="E20" s="62" t="s">
        <v>221</v>
      </c>
      <c r="F20" s="27">
        <v>8</v>
      </c>
      <c r="G20" s="28">
        <f t="shared" si="3"/>
        <v>33.6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70">
        <v>46204</v>
      </c>
      <c r="B21" s="32">
        <f t="shared" si="4"/>
        <v>1.083333333333333</v>
      </c>
      <c r="C21" s="33" t="s">
        <v>45</v>
      </c>
      <c r="D21" s="62" t="s">
        <v>30</v>
      </c>
      <c r="E21" s="62" t="s">
        <v>221</v>
      </c>
      <c r="F21" s="27">
        <v>7</v>
      </c>
      <c r="G21" s="34">
        <f t="shared" si="3"/>
        <v>29.400000000000002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9">
        <v>46204</v>
      </c>
      <c r="B22" s="25">
        <f t="shared" si="4"/>
        <v>1.1249999999999998</v>
      </c>
      <c r="C22" s="33" t="s">
        <v>45</v>
      </c>
      <c r="D22" s="62" t="s">
        <v>30</v>
      </c>
      <c r="E22" s="62" t="s">
        <v>221</v>
      </c>
      <c r="F22" s="27">
        <v>11</v>
      </c>
      <c r="G22" s="28">
        <f t="shared" si="3"/>
        <v>46.2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70">
        <v>46204</v>
      </c>
      <c r="B23" s="32">
        <f t="shared" si="4"/>
        <v>1.1666666666666665</v>
      </c>
      <c r="C23" s="33" t="s">
        <v>45</v>
      </c>
      <c r="D23" s="62" t="s">
        <v>30</v>
      </c>
      <c r="E23" s="62" t="s">
        <v>221</v>
      </c>
      <c r="F23" s="27">
        <v>5</v>
      </c>
      <c r="G23" s="34">
        <f t="shared" si="3"/>
        <v>21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9">
        <v>46204</v>
      </c>
      <c r="B24" s="25">
        <f t="shared" si="4"/>
        <v>1.2083333333333333</v>
      </c>
      <c r="C24" s="33" t="s">
        <v>45</v>
      </c>
      <c r="D24" s="62" t="s">
        <v>30</v>
      </c>
      <c r="E24" s="62" t="s">
        <v>221</v>
      </c>
      <c r="F24" s="27">
        <v>6</v>
      </c>
      <c r="G24" s="28">
        <f t="shared" si="3"/>
        <v>25.200000000000003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70">
        <v>46204</v>
      </c>
      <c r="B25" s="32">
        <f t="shared" si="4"/>
        <v>1.25</v>
      </c>
      <c r="C25" s="33" t="s">
        <v>45</v>
      </c>
      <c r="D25" s="62" t="s">
        <v>30</v>
      </c>
      <c r="E25" s="62" t="s">
        <v>221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9">
        <v>46204</v>
      </c>
      <c r="B26" s="25">
        <f t="shared" si="4"/>
        <v>1.2916666666666667</v>
      </c>
      <c r="C26" s="33" t="s">
        <v>45</v>
      </c>
      <c r="D26" s="62" t="s">
        <v>30</v>
      </c>
      <c r="E26" s="62" t="s">
        <v>221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91" t="s">
        <v>213</v>
      </c>
      <c r="B27" s="92"/>
      <c r="C27" s="92"/>
      <c r="D27" s="92"/>
      <c r="E27" s="93"/>
      <c r="F27" s="36">
        <f>SUM(F15:F26)</f>
        <v>71</v>
      </c>
      <c r="G27" s="36">
        <f>SUM(G15:G26)</f>
        <v>298.2</v>
      </c>
      <c r="H27" s="37"/>
      <c r="I27" s="37"/>
      <c r="J27" s="37"/>
      <c r="K27" s="37"/>
      <c r="L27" s="37"/>
      <c r="M27" s="38">
        <f ca="1">IFERROR(SUM(M15:M26),"")</f>
        <v>3.5416666666666707E-2</v>
      </c>
      <c r="N27" s="36" t="s">
        <v>212</v>
      </c>
      <c r="O27" s="39">
        <v>308500</v>
      </c>
    </row>
    <row r="28" spans="1:15" ht="18" customHeight="1">
      <c r="A28" s="94" t="s">
        <v>214</v>
      </c>
      <c r="B28" s="95"/>
      <c r="C28" s="95"/>
      <c r="D28" s="95"/>
      <c r="E28" s="96"/>
      <c r="F28" s="40">
        <f>F14+F27</f>
        <v>130</v>
      </c>
      <c r="G28" s="40">
        <f>G14+G27</f>
        <v>546</v>
      </c>
      <c r="H28" s="41"/>
      <c r="I28" s="41"/>
      <c r="J28" s="41"/>
      <c r="K28" s="41"/>
      <c r="L28" s="41"/>
      <c r="M28" s="42">
        <f ca="1">IFERROR(M14+M27,"")</f>
        <v>0.20277777777777783</v>
      </c>
      <c r="N28" s="40" t="s">
        <v>215</v>
      </c>
      <c r="O28" s="43">
        <f>IFERROR(O14+O27,"")</f>
        <v>601030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221</v>
      </c>
      <c r="F29" s="27">
        <v>0</v>
      </c>
      <c r="G29" s="28">
        <f t="shared" ref="G29:G40" si="6">IF(F29="","",IF(E29="PC 17",F29*4.2,IF(E29="PC 19",F29*5,"")))</f>
        <v>0</v>
      </c>
      <c r="H29" s="33" t="s">
        <v>20</v>
      </c>
      <c r="I29" s="33" t="s">
        <v>47</v>
      </c>
      <c r="J29" s="33" t="s">
        <v>162</v>
      </c>
      <c r="K29" s="29">
        <v>0.29166666666666669</v>
      </c>
      <c r="L29" s="29">
        <v>0.43819444444444444</v>
      </c>
      <c r="M29" s="35">
        <f t="shared" ref="M29:M40" ca="1" si="7">IFERROR(IF(K29="","",IF(L29="",MOD(NOW()-K29,1),IF(L29&gt;=K29,L29-K29,L29+1-K29))),"")</f>
        <v>0.14652777777777776</v>
      </c>
      <c r="N29" s="27" t="s">
        <v>244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221</v>
      </c>
      <c r="F30" s="27">
        <v>0</v>
      </c>
      <c r="G30" s="34">
        <f t="shared" si="6"/>
        <v>0</v>
      </c>
      <c r="H30" s="33" t="s">
        <v>17</v>
      </c>
      <c r="I30" s="26"/>
      <c r="J30" s="26" t="s">
        <v>25</v>
      </c>
      <c r="K30" s="29">
        <v>0.55138888888888893</v>
      </c>
      <c r="L30" s="29">
        <v>0.55972222222222223</v>
      </c>
      <c r="M30" s="30">
        <f t="shared" ca="1" si="7"/>
        <v>8.3333333333333037E-3</v>
      </c>
      <c r="N30" s="27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221</v>
      </c>
      <c r="F31" s="27">
        <v>0</v>
      </c>
      <c r="G31" s="28">
        <f t="shared" si="6"/>
        <v>0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221</v>
      </c>
      <c r="F32" s="27">
        <v>10</v>
      </c>
      <c r="G32" s="34">
        <f t="shared" si="6"/>
        <v>42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221</v>
      </c>
      <c r="F33" s="27">
        <v>6</v>
      </c>
      <c r="G33" s="28">
        <f t="shared" si="6"/>
        <v>25.200000000000003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221</v>
      </c>
      <c r="F34" s="27">
        <v>2</v>
      </c>
      <c r="G34" s="34">
        <f t="shared" si="6"/>
        <v>8.4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221</v>
      </c>
      <c r="F35" s="27">
        <v>5</v>
      </c>
      <c r="G35" s="28">
        <f t="shared" si="6"/>
        <v>21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221</v>
      </c>
      <c r="F36" s="27">
        <v>4</v>
      </c>
      <c r="G36" s="34">
        <f t="shared" si="6"/>
        <v>16.8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221</v>
      </c>
      <c r="F37" s="27">
        <v>17</v>
      </c>
      <c r="G37" s="28">
        <f t="shared" si="6"/>
        <v>71.400000000000006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38</v>
      </c>
      <c r="E38" s="59" t="s">
        <v>221</v>
      </c>
      <c r="F38" s="27">
        <v>9</v>
      </c>
      <c r="G38" s="34">
        <f t="shared" si="6"/>
        <v>37.800000000000004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38</v>
      </c>
      <c r="E39" s="59" t="s">
        <v>221</v>
      </c>
      <c r="F39" s="27">
        <v>14</v>
      </c>
      <c r="G39" s="28">
        <f t="shared" si="6"/>
        <v>58.800000000000004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38</v>
      </c>
      <c r="E40" s="59" t="s">
        <v>221</v>
      </c>
      <c r="F40" s="27">
        <v>4</v>
      </c>
      <c r="G40" s="34">
        <f t="shared" si="6"/>
        <v>16.8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1" t="s">
        <v>211</v>
      </c>
      <c r="B41" s="92"/>
      <c r="C41" s="92"/>
      <c r="D41" s="92"/>
      <c r="E41" s="93">
        <f>SUM(E29:E40)</f>
        <v>0</v>
      </c>
      <c r="F41" s="36">
        <f>SUM(F29:F40)</f>
        <v>71</v>
      </c>
      <c r="G41" s="36">
        <f>SUM(G29:G40)</f>
        <v>298.20000000000005</v>
      </c>
      <c r="H41" s="37"/>
      <c r="I41" s="37"/>
      <c r="J41" s="37"/>
      <c r="K41" s="37"/>
      <c r="L41" s="37"/>
      <c r="M41" s="38">
        <f ca="1">IFERROR(SUM(M29:M40),"")</f>
        <v>0.15486111111111106</v>
      </c>
      <c r="N41" s="36" t="s">
        <v>212</v>
      </c>
      <c r="O41" s="39">
        <v>205590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38</v>
      </c>
      <c r="E42" s="62" t="s">
        <v>221</v>
      </c>
      <c r="F42" s="27">
        <v>4</v>
      </c>
      <c r="G42" s="34">
        <f t="shared" ref="G42:G53" si="9">IF(F42="","",IF(E42="PC 17",F42*4.2,IF(E42="PC 19",F42*5,"")))</f>
        <v>16.8</v>
      </c>
      <c r="H42" s="26" t="s">
        <v>19</v>
      </c>
      <c r="I42" s="26" t="s">
        <v>47</v>
      </c>
      <c r="J42" s="26" t="s">
        <v>27</v>
      </c>
      <c r="K42" s="29">
        <v>0.88194444444444442</v>
      </c>
      <c r="L42" s="29">
        <v>0.97083333333333333</v>
      </c>
      <c r="M42" s="30">
        <f t="shared" ref="M42:M53" ca="1" si="10">IFERROR(IF(K42="","",IF(L42="",MOD(NOW()-K42,1),IF(L42&gt;=K42,L42-K42,L42+1-K42))),"")</f>
        <v>8.8888888888888906E-2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38</v>
      </c>
      <c r="E43" s="62" t="s">
        <v>221</v>
      </c>
      <c r="F43" s="27">
        <v>4</v>
      </c>
      <c r="G43" s="28">
        <f t="shared" si="9"/>
        <v>16.8</v>
      </c>
      <c r="H43" s="33" t="s">
        <v>19</v>
      </c>
      <c r="I43" s="33" t="s">
        <v>47</v>
      </c>
      <c r="J43" s="33" t="s">
        <v>50</v>
      </c>
      <c r="K43" s="29">
        <v>7.4305555555555555E-2</v>
      </c>
      <c r="L43" s="29">
        <v>0.15</v>
      </c>
      <c r="M43" s="35">
        <f t="shared" ca="1" si="10"/>
        <v>7.5694444444444439E-2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38</v>
      </c>
      <c r="E44" s="62" t="s">
        <v>221</v>
      </c>
      <c r="F44" s="27">
        <v>6</v>
      </c>
      <c r="G44" s="34">
        <f t="shared" si="9"/>
        <v>25.200000000000003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38</v>
      </c>
      <c r="E45" s="62" t="s">
        <v>221</v>
      </c>
      <c r="F45" s="27">
        <v>0</v>
      </c>
      <c r="G45" s="28">
        <f t="shared" si="9"/>
        <v>0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38</v>
      </c>
      <c r="E46" s="62" t="s">
        <v>221</v>
      </c>
      <c r="F46" s="27">
        <v>1</v>
      </c>
      <c r="G46" s="34">
        <f t="shared" si="9"/>
        <v>4.2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38</v>
      </c>
      <c r="E47" s="62" t="s">
        <v>221</v>
      </c>
      <c r="F47" s="27">
        <v>3</v>
      </c>
      <c r="G47" s="28">
        <f t="shared" si="9"/>
        <v>12.600000000000001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38</v>
      </c>
      <c r="E48" s="62" t="s">
        <v>221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38</v>
      </c>
      <c r="E49" s="62" t="s">
        <v>221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38</v>
      </c>
      <c r="E50" s="62" t="s">
        <v>221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38</v>
      </c>
      <c r="E51" s="62" t="s">
        <v>221</v>
      </c>
      <c r="F51" s="27">
        <v>7</v>
      </c>
      <c r="G51" s="28">
        <f t="shared" si="9"/>
        <v>29.400000000000002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38</v>
      </c>
      <c r="E52" s="62" t="s">
        <v>221</v>
      </c>
      <c r="F52" s="27">
        <v>1</v>
      </c>
      <c r="G52" s="34">
        <f t="shared" si="9"/>
        <v>4.2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38</v>
      </c>
      <c r="E53" s="62" t="s">
        <v>221</v>
      </c>
      <c r="F53" s="27">
        <v>2</v>
      </c>
      <c r="G53" s="28">
        <f t="shared" si="9"/>
        <v>8.4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1" t="s">
        <v>213</v>
      </c>
      <c r="B54" s="92"/>
      <c r="C54" s="92"/>
      <c r="D54" s="92"/>
      <c r="E54" s="93">
        <f>SUM(E42:E53)</f>
        <v>0</v>
      </c>
      <c r="F54" s="36">
        <f>SUM(F42:F53)</f>
        <v>32</v>
      </c>
      <c r="G54" s="36">
        <f>SUM(G42:G53)</f>
        <v>134.4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212</v>
      </c>
      <c r="O54" s="39">
        <v>124290</v>
      </c>
    </row>
    <row r="55" spans="1:15" ht="18" customHeight="1">
      <c r="A55" s="94" t="s">
        <v>214</v>
      </c>
      <c r="B55" s="95"/>
      <c r="C55" s="95"/>
      <c r="D55" s="95"/>
      <c r="E55" s="96">
        <f>E41+E54</f>
        <v>0</v>
      </c>
      <c r="F55" s="40">
        <f>F41+F54</f>
        <v>103</v>
      </c>
      <c r="G55" s="40">
        <f>G41+G54</f>
        <v>432.6</v>
      </c>
      <c r="H55" s="41"/>
      <c r="I55" s="41"/>
      <c r="J55" s="41"/>
      <c r="K55" s="41"/>
      <c r="L55" s="41"/>
      <c r="M55" s="42">
        <f ca="1">IFERROR(M41+M54,"")</f>
        <v>0.31944444444444442</v>
      </c>
      <c r="N55" s="40" t="s">
        <v>215</v>
      </c>
      <c r="O55" s="43">
        <f>IFERROR(O41+O54,"")</f>
        <v>329880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221</v>
      </c>
      <c r="F56" s="27">
        <v>10</v>
      </c>
      <c r="G56" s="28">
        <f t="shared" ref="G56:G67" si="12">IF(F56="","",IF(E56="PC 17",F56*4.2,IF(E56="PC 19",F56*5,"")))</f>
        <v>42</v>
      </c>
      <c r="H56" s="26" t="s">
        <v>20</v>
      </c>
      <c r="I56" s="26" t="s">
        <v>47</v>
      </c>
      <c r="J56" s="26" t="s">
        <v>28</v>
      </c>
      <c r="K56" s="29">
        <v>0.35972222222222222</v>
      </c>
      <c r="L56" s="29">
        <v>0.40902777777777777</v>
      </c>
      <c r="M56" s="30">
        <f t="shared" ref="M56:M67" ca="1" si="13">IFERROR(IF(K56="","",IF(L56="",MOD(NOW()-K56,1),IF(L56&gt;=K56,L56-K56,L56+1-K56))),"")</f>
        <v>4.9305555555555547E-2</v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221</v>
      </c>
      <c r="F57" s="27">
        <v>6</v>
      </c>
      <c r="G57" s="34">
        <f t="shared" si="12"/>
        <v>25.200000000000003</v>
      </c>
      <c r="H57" s="33" t="s">
        <v>20</v>
      </c>
      <c r="I57" s="33" t="s">
        <v>47</v>
      </c>
      <c r="J57" s="33" t="s">
        <v>36</v>
      </c>
      <c r="K57" s="29">
        <v>0.58888888888888891</v>
      </c>
      <c r="L57" s="29">
        <v>0.60416666666666663</v>
      </c>
      <c r="M57" s="35">
        <f t="shared" ca="1" si="13"/>
        <v>1.5277777777777724E-2</v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221</v>
      </c>
      <c r="F58" s="27">
        <v>0</v>
      </c>
      <c r="G58" s="28">
        <f t="shared" si="12"/>
        <v>0</v>
      </c>
      <c r="H58" s="26" t="s">
        <v>20</v>
      </c>
      <c r="I58" s="26" t="s">
        <v>47</v>
      </c>
      <c r="J58" s="26" t="s">
        <v>51</v>
      </c>
      <c r="K58" s="29">
        <v>0.65625</v>
      </c>
      <c r="L58" s="29">
        <v>0.66388888888888886</v>
      </c>
      <c r="M58" s="30">
        <f t="shared" ca="1" si="13"/>
        <v>7.6388888888888618E-3</v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221</v>
      </c>
      <c r="F59" s="27">
        <v>9</v>
      </c>
      <c r="G59" s="34">
        <f t="shared" si="12"/>
        <v>37.800000000000004</v>
      </c>
      <c r="H59" s="33"/>
      <c r="I59" s="33"/>
      <c r="J59" s="33"/>
      <c r="K59" s="29"/>
      <c r="L59" s="29"/>
      <c r="M59" s="35" t="str">
        <f t="shared" ca="1" si="13"/>
        <v/>
      </c>
      <c r="N59" s="27" t="s">
        <v>245</v>
      </c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38</v>
      </c>
      <c r="E60" s="59" t="s">
        <v>221</v>
      </c>
      <c r="F60" s="27">
        <v>10</v>
      </c>
      <c r="G60" s="28">
        <f t="shared" si="12"/>
        <v>42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38</v>
      </c>
      <c r="E61" s="59" t="s">
        <v>221</v>
      </c>
      <c r="F61" s="27">
        <v>11</v>
      </c>
      <c r="G61" s="34">
        <f t="shared" si="12"/>
        <v>46.2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38</v>
      </c>
      <c r="E62" s="59" t="s">
        <v>221</v>
      </c>
      <c r="F62" s="27">
        <v>0</v>
      </c>
      <c r="G62" s="28">
        <f t="shared" si="12"/>
        <v>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38</v>
      </c>
      <c r="E63" s="59" t="s">
        <v>221</v>
      </c>
      <c r="F63" s="27">
        <v>14</v>
      </c>
      <c r="G63" s="34">
        <f t="shared" si="12"/>
        <v>58.800000000000004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38</v>
      </c>
      <c r="E64" s="59" t="s">
        <v>221</v>
      </c>
      <c r="F64" s="27">
        <v>5</v>
      </c>
      <c r="G64" s="28">
        <f t="shared" si="12"/>
        <v>21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38</v>
      </c>
      <c r="E65" s="59" t="s">
        <v>221</v>
      </c>
      <c r="F65" s="27">
        <v>15</v>
      </c>
      <c r="G65" s="34">
        <f t="shared" si="12"/>
        <v>63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38</v>
      </c>
      <c r="E66" s="59" t="s">
        <v>221</v>
      </c>
      <c r="F66" s="27">
        <v>24</v>
      </c>
      <c r="G66" s="28">
        <f t="shared" si="12"/>
        <v>100.80000000000001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38</v>
      </c>
      <c r="E67" s="59" t="s">
        <v>221</v>
      </c>
      <c r="F67" s="27">
        <v>0</v>
      </c>
      <c r="G67" s="34">
        <f t="shared" si="12"/>
        <v>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1" t="s">
        <v>211</v>
      </c>
      <c r="B68" s="92"/>
      <c r="C68" s="92"/>
      <c r="D68" s="92"/>
      <c r="E68" s="93">
        <f>SUM(E56:E67)</f>
        <v>0</v>
      </c>
      <c r="F68" s="36">
        <f>SUM(F56:F67)</f>
        <v>104</v>
      </c>
      <c r="G68" s="36">
        <f>SUM(G56:G67)</f>
        <v>436.8</v>
      </c>
      <c r="H68" s="37"/>
      <c r="I68" s="37"/>
      <c r="J68" s="37"/>
      <c r="K68" s="37"/>
      <c r="L68" s="37"/>
      <c r="M68" s="38">
        <f ca="1">IFERROR(SUM(M56:M67),"")</f>
        <v>7.2222222222222132E-2</v>
      </c>
      <c r="N68" s="36" t="s">
        <v>212</v>
      </c>
      <c r="O68" s="39">
        <v>441440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221</v>
      </c>
      <c r="F69" s="27">
        <v>14</v>
      </c>
      <c r="G69" s="34">
        <f t="shared" ref="G69:G80" si="15">IF(F69="","",IF(E69="PC 17",F69*4.2,IF(E69="PC 19",F69*5,"")))</f>
        <v>58.800000000000004</v>
      </c>
      <c r="H69" s="33" t="s">
        <v>20</v>
      </c>
      <c r="I69" s="33" t="s">
        <v>47</v>
      </c>
      <c r="J69" s="33" t="s">
        <v>162</v>
      </c>
      <c r="K69" s="29">
        <v>0.99652777777777779</v>
      </c>
      <c r="L69" s="29">
        <v>1.5972222222222221E-2</v>
      </c>
      <c r="M69" s="35">
        <f t="shared" ref="M69:M80" ca="1" si="16">IFERROR(IF(K69="","",IF(L69="",MOD(NOW()-K69,1),IF(L69&gt;=K69,L69-K69,L69+1-K69))),"")</f>
        <v>1.9444444444444486E-2</v>
      </c>
      <c r="N69" s="27" t="s">
        <v>246</v>
      </c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221</v>
      </c>
      <c r="F70" s="27">
        <v>11</v>
      </c>
      <c r="G70" s="28">
        <f t="shared" si="15"/>
        <v>46.2</v>
      </c>
      <c r="H70" s="26" t="s">
        <v>20</v>
      </c>
      <c r="I70" s="26" t="s">
        <v>47</v>
      </c>
      <c r="J70" s="26" t="s">
        <v>51</v>
      </c>
      <c r="K70" s="29">
        <v>0.24444444444444444</v>
      </c>
      <c r="L70" s="29">
        <v>0.29166666666666669</v>
      </c>
      <c r="M70" s="30">
        <f t="shared" ca="1" si="16"/>
        <v>4.7222222222222249E-2</v>
      </c>
      <c r="N70" s="27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221</v>
      </c>
      <c r="F71" s="27">
        <v>9</v>
      </c>
      <c r="G71" s="34">
        <f t="shared" si="15"/>
        <v>37.800000000000004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221</v>
      </c>
      <c r="F72" s="27">
        <v>7</v>
      </c>
      <c r="G72" s="28">
        <f t="shared" si="15"/>
        <v>29.400000000000002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221</v>
      </c>
      <c r="F73" s="27">
        <v>10</v>
      </c>
      <c r="G73" s="34">
        <f t="shared" si="15"/>
        <v>42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221</v>
      </c>
      <c r="F74" s="27">
        <v>3</v>
      </c>
      <c r="G74" s="28">
        <f t="shared" si="15"/>
        <v>12.600000000000001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221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221</v>
      </c>
      <c r="F76" s="27">
        <v>5</v>
      </c>
      <c r="G76" s="28">
        <f t="shared" si="15"/>
        <v>21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221</v>
      </c>
      <c r="F77" s="27">
        <v>2</v>
      </c>
      <c r="G77" s="34">
        <f t="shared" si="15"/>
        <v>8.4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221</v>
      </c>
      <c r="F78" s="27">
        <v>15</v>
      </c>
      <c r="G78" s="28">
        <f t="shared" si="15"/>
        <v>63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221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30</v>
      </c>
      <c r="E80" s="62" t="s">
        <v>221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1" t="s">
        <v>213</v>
      </c>
      <c r="B81" s="92"/>
      <c r="C81" s="92"/>
      <c r="D81" s="92"/>
      <c r="E81" s="93">
        <f>SUM(E69:E80)</f>
        <v>0</v>
      </c>
      <c r="F81" s="36">
        <f>SUM(F69:F80)</f>
        <v>92</v>
      </c>
      <c r="G81" s="36">
        <f>SUM(G69:G80)</f>
        <v>386.4</v>
      </c>
      <c r="H81" s="37"/>
      <c r="I81" s="37"/>
      <c r="J81" s="37"/>
      <c r="K81" s="37"/>
      <c r="L81" s="37"/>
      <c r="M81" s="38">
        <f ca="1">IFERROR(SUM(M69:M80),"")</f>
        <v>6.6666666666666735E-2</v>
      </c>
      <c r="N81" s="36" t="s">
        <v>212</v>
      </c>
      <c r="O81" s="39">
        <v>396340</v>
      </c>
    </row>
    <row r="82" spans="1:15" ht="18" customHeight="1">
      <c r="A82" s="94" t="s">
        <v>214</v>
      </c>
      <c r="B82" s="95"/>
      <c r="C82" s="95"/>
      <c r="D82" s="95"/>
      <c r="E82" s="96">
        <f>E68+E81</f>
        <v>0</v>
      </c>
      <c r="F82" s="40">
        <f>F68+F81</f>
        <v>196</v>
      </c>
      <c r="G82" s="40">
        <f>G68+G81</f>
        <v>823.2</v>
      </c>
      <c r="H82" s="41"/>
      <c r="I82" s="41"/>
      <c r="J82" s="41"/>
      <c r="K82" s="41"/>
      <c r="L82" s="41"/>
      <c r="M82" s="42">
        <f ca="1">IFERROR(M68+M81,"")</f>
        <v>0.13888888888888887</v>
      </c>
      <c r="N82" s="40" t="s">
        <v>215</v>
      </c>
      <c r="O82" s="43">
        <f>IFERROR(O68+O81,"")</f>
        <v>837780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209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47</v>
      </c>
      <c r="J83" s="33" t="s">
        <v>43</v>
      </c>
      <c r="K83" s="29">
        <v>0.29166666666666669</v>
      </c>
      <c r="L83" s="29">
        <v>0.49305555555555558</v>
      </c>
      <c r="M83" s="35">
        <f t="shared" ref="M83:M94" ca="1" si="19">IFERROR(IF(K83="","",IF(L83="",MOD(NOW()-K83,1),IF(L83&gt;=K83,L83-K83,L83+1-K83))),"")</f>
        <v>0.2013888888888889</v>
      </c>
      <c r="N83" s="27"/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209</v>
      </c>
      <c r="F84" s="27">
        <v>0</v>
      </c>
      <c r="G84" s="34">
        <f t="shared" si="18"/>
        <v>0</v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209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209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209</v>
      </c>
      <c r="F87" s="27">
        <v>0</v>
      </c>
      <c r="G87" s="28">
        <f t="shared" si="18"/>
        <v>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209</v>
      </c>
      <c r="F88" s="27">
        <v>5</v>
      </c>
      <c r="G88" s="34">
        <f t="shared" si="18"/>
        <v>25</v>
      </c>
      <c r="H88" s="26"/>
      <c r="I88" s="26"/>
      <c r="J88" s="26"/>
      <c r="K88" s="29"/>
      <c r="L88" s="29"/>
      <c r="M88" s="30" t="str">
        <f t="shared" ca="1" si="19"/>
        <v/>
      </c>
      <c r="N88" s="27" t="s">
        <v>247</v>
      </c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209</v>
      </c>
      <c r="F89" s="27">
        <v>11</v>
      </c>
      <c r="G89" s="28">
        <f t="shared" si="18"/>
        <v>55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209</v>
      </c>
      <c r="F90" s="27">
        <v>5</v>
      </c>
      <c r="G90" s="34">
        <f t="shared" si="18"/>
        <v>25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209</v>
      </c>
      <c r="F91" s="27">
        <v>12</v>
      </c>
      <c r="G91" s="28">
        <f t="shared" si="18"/>
        <v>60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209</v>
      </c>
      <c r="F92" s="27">
        <v>33</v>
      </c>
      <c r="G92" s="34">
        <f t="shared" si="18"/>
        <v>165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209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209</v>
      </c>
      <c r="F94" s="27">
        <v>8</v>
      </c>
      <c r="G94" s="34">
        <f t="shared" si="18"/>
        <v>40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1" t="s">
        <v>211</v>
      </c>
      <c r="B95" s="92"/>
      <c r="C95" s="92"/>
      <c r="D95" s="92"/>
      <c r="E95" s="93">
        <f>SUM(E83:E94)</f>
        <v>0</v>
      </c>
      <c r="F95" s="36">
        <f>SUM(F83:F94)</f>
        <v>89</v>
      </c>
      <c r="G95" s="36">
        <f>SUM(G83:G94)</f>
        <v>445</v>
      </c>
      <c r="H95" s="37"/>
      <c r="I95" s="37"/>
      <c r="J95" s="37"/>
      <c r="K95" s="37"/>
      <c r="L95" s="37"/>
      <c r="M95" s="38">
        <f ca="1">IFERROR(SUM(M83:M94),"")</f>
        <v>0.2013888888888889</v>
      </c>
      <c r="N95" s="36" t="s">
        <v>212</v>
      </c>
      <c r="O95" s="39">
        <v>536290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221</v>
      </c>
      <c r="F96" s="27">
        <v>3</v>
      </c>
      <c r="G96" s="34">
        <f t="shared" ref="G96:G107" si="21">IF(F96="","",IF(E96="PC 17",F96*4.2,IF(E96="PC 19",F96*5,"")))</f>
        <v>12.600000000000001</v>
      </c>
      <c r="H96" s="26" t="s">
        <v>18</v>
      </c>
      <c r="I96" s="26" t="s">
        <v>47</v>
      </c>
      <c r="J96" s="26" t="s">
        <v>34</v>
      </c>
      <c r="K96" s="29">
        <v>0.87569444444444444</v>
      </c>
      <c r="L96" s="29">
        <v>0.29166666666666669</v>
      </c>
      <c r="M96" s="30">
        <f t="shared" ref="M96:M107" ca="1" si="22">IFERROR(IF(K96="","",IF(L96="",MOD(NOW()-K96,1),IF(L96&gt;=K96,L96-K96,L96+1-K96))),"")</f>
        <v>0.4159722222222223</v>
      </c>
      <c r="N96" s="27"/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221</v>
      </c>
      <c r="F97" s="27">
        <v>2</v>
      </c>
      <c r="G97" s="28">
        <f t="shared" si="21"/>
        <v>8.4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221</v>
      </c>
      <c r="F98" s="27">
        <v>4</v>
      </c>
      <c r="G98" s="34">
        <f t="shared" si="21"/>
        <v>16.8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221</v>
      </c>
      <c r="F99" s="27">
        <v>0</v>
      </c>
      <c r="G99" s="28">
        <f t="shared" si="21"/>
        <v>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221</v>
      </c>
      <c r="F100" s="27">
        <v>0</v>
      </c>
      <c r="G100" s="34">
        <f t="shared" si="21"/>
        <v>0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221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221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221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221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221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221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221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1" t="s">
        <v>213</v>
      </c>
      <c r="B108" s="92"/>
      <c r="C108" s="92"/>
      <c r="D108" s="92"/>
      <c r="E108" s="93">
        <f>SUM(E96:E107)</f>
        <v>0</v>
      </c>
      <c r="F108" s="36">
        <f>SUM(F96:F107)</f>
        <v>9</v>
      </c>
      <c r="G108" s="36">
        <f>SUM(G96:G107)</f>
        <v>37.799999999999997</v>
      </c>
      <c r="H108" s="37"/>
      <c r="I108" s="37"/>
      <c r="J108" s="37"/>
      <c r="K108" s="37"/>
      <c r="L108" s="37"/>
      <c r="M108" s="38">
        <f ca="1">IFERROR(SUM(M96:M107),"")</f>
        <v>0.4159722222222223</v>
      </c>
      <c r="N108" s="36" t="s">
        <v>212</v>
      </c>
      <c r="O108" s="39">
        <v>41230</v>
      </c>
    </row>
    <row r="109" spans="1:15" ht="18" customHeight="1">
      <c r="A109" s="94" t="s">
        <v>214</v>
      </c>
      <c r="B109" s="95"/>
      <c r="C109" s="95"/>
      <c r="D109" s="95"/>
      <c r="E109" s="96">
        <f>E95+E108</f>
        <v>0</v>
      </c>
      <c r="F109" s="40">
        <f>F95+F108</f>
        <v>98</v>
      </c>
      <c r="G109" s="40">
        <f>G95+G108</f>
        <v>482.8</v>
      </c>
      <c r="H109" s="41"/>
      <c r="I109" s="41"/>
      <c r="J109" s="41"/>
      <c r="K109" s="41"/>
      <c r="L109" s="41"/>
      <c r="M109" s="42">
        <f ca="1">IFERROR(M95+M108,"")</f>
        <v>0.61736111111111125</v>
      </c>
      <c r="N109" s="40" t="s">
        <v>215</v>
      </c>
      <c r="O109" s="43">
        <f>IFERROR(O95+O108,"")</f>
        <v>577520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221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47</v>
      </c>
      <c r="J110" s="26" t="s">
        <v>34</v>
      </c>
      <c r="K110" s="29">
        <v>0.29166666666666669</v>
      </c>
      <c r="L110" s="29">
        <v>0.74305555555555558</v>
      </c>
      <c r="M110" s="30">
        <f t="shared" ref="M110:M121" ca="1" si="25">IFERROR(IF(K110="","",IF(L110="",MOD(NOW()-K110,1),IF(L110&gt;=K110,L110-K110,L110+1-K110))),"")</f>
        <v>0.4513888888888889</v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221</v>
      </c>
      <c r="F111" s="27">
        <v>0</v>
      </c>
      <c r="G111" s="34">
        <f t="shared" si="24"/>
        <v>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221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221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221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221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221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221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221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221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221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221</v>
      </c>
      <c r="F121" s="27">
        <v>2</v>
      </c>
      <c r="G121" s="34">
        <f t="shared" si="24"/>
        <v>8.4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1" t="s">
        <v>211</v>
      </c>
      <c r="B122" s="92"/>
      <c r="C122" s="92"/>
      <c r="D122" s="92"/>
      <c r="E122" s="93">
        <f>SUM(E110:E121)</f>
        <v>0</v>
      </c>
      <c r="F122" s="36">
        <f>SUM(F110:F121)</f>
        <v>7</v>
      </c>
      <c r="G122" s="36">
        <f>SUM(G110:G121)</f>
        <v>29.4</v>
      </c>
      <c r="H122" s="37"/>
      <c r="I122" s="37"/>
      <c r="J122" s="37"/>
      <c r="K122" s="37"/>
      <c r="L122" s="37"/>
      <c r="M122" s="38">
        <f ca="1">IFERROR(SUM(M110:M121),"")</f>
        <v>0.4513888888888889</v>
      </c>
      <c r="N122" s="36" t="s">
        <v>212</v>
      </c>
      <c r="O122" s="39">
        <v>51130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209</v>
      </c>
      <c r="F123" s="27">
        <v>12</v>
      </c>
      <c r="G123" s="34">
        <f t="shared" ref="G123:G134" si="27">IF(F123="","",IF(E123="PC 17",F123*4.2,IF(E123="PC 19",F123*5,"")))</f>
        <v>60</v>
      </c>
      <c r="H123" s="33" t="s">
        <v>20</v>
      </c>
      <c r="I123" s="33" t="s">
        <v>47</v>
      </c>
      <c r="J123" s="33" t="s">
        <v>36</v>
      </c>
      <c r="K123" s="29">
        <v>6.1111111111111109E-2</v>
      </c>
      <c r="L123" s="29">
        <v>7.3611111111111113E-2</v>
      </c>
      <c r="M123" s="35">
        <f t="shared" ref="M123:M134" ca="1" si="28">IFERROR(IF(K123="","",IF(L123="",MOD(NOW()-K123,1),IF(L123&gt;=K123,L123-K123,L123+1-K123))),"")</f>
        <v>1.2500000000000004E-2</v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209</v>
      </c>
      <c r="F124" s="27">
        <v>8</v>
      </c>
      <c r="G124" s="28">
        <f t="shared" si="27"/>
        <v>40</v>
      </c>
      <c r="H124" s="26" t="s">
        <v>20</v>
      </c>
      <c r="I124" s="26"/>
      <c r="J124" s="26" t="s">
        <v>188</v>
      </c>
      <c r="K124" s="29">
        <v>8.3333333333333329E-2</v>
      </c>
      <c r="L124" s="29">
        <v>0.1388888888888889</v>
      </c>
      <c r="M124" s="30">
        <f t="shared" ca="1" si="28"/>
        <v>5.5555555555555566E-2</v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209</v>
      </c>
      <c r="F125" s="27">
        <v>11</v>
      </c>
      <c r="G125" s="34">
        <f t="shared" si="27"/>
        <v>55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209</v>
      </c>
      <c r="F126" s="27">
        <v>5</v>
      </c>
      <c r="G126" s="28">
        <f t="shared" si="27"/>
        <v>25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209</v>
      </c>
      <c r="F127" s="27">
        <v>4</v>
      </c>
      <c r="G127" s="34">
        <f t="shared" si="27"/>
        <v>20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209</v>
      </c>
      <c r="F128" s="27">
        <v>4</v>
      </c>
      <c r="G128" s="28">
        <f t="shared" si="27"/>
        <v>20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209</v>
      </c>
      <c r="F129" s="27">
        <v>1</v>
      </c>
      <c r="G129" s="34">
        <f t="shared" si="27"/>
        <v>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234</v>
      </c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209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209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209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209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209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1" t="s">
        <v>213</v>
      </c>
      <c r="B135" s="92"/>
      <c r="C135" s="92"/>
      <c r="D135" s="92"/>
      <c r="E135" s="93">
        <f>SUM(E123:E134)</f>
        <v>0</v>
      </c>
      <c r="F135" s="36">
        <f>SUM(F123:F134)</f>
        <v>45</v>
      </c>
      <c r="G135" s="36">
        <f>SUM(G123:G134)</f>
        <v>225</v>
      </c>
      <c r="H135" s="37"/>
      <c r="I135" s="37"/>
      <c r="J135" s="37"/>
      <c r="K135" s="37"/>
      <c r="L135" s="37"/>
      <c r="M135" s="38">
        <f ca="1">IFERROR(SUM(M123:M134),"")</f>
        <v>6.8055555555555564E-2</v>
      </c>
      <c r="N135" s="36" t="s">
        <v>212</v>
      </c>
      <c r="O135" s="39">
        <v>381250</v>
      </c>
    </row>
    <row r="136" spans="1:15" ht="18" customHeight="1">
      <c r="A136" s="94" t="s">
        <v>214</v>
      </c>
      <c r="B136" s="95"/>
      <c r="C136" s="95"/>
      <c r="D136" s="95"/>
      <c r="E136" s="96">
        <f>E122+E135</f>
        <v>0</v>
      </c>
      <c r="F136" s="40">
        <f>F122+F135</f>
        <v>52</v>
      </c>
      <c r="G136" s="40">
        <f>G122+G135</f>
        <v>254.4</v>
      </c>
      <c r="H136" s="41"/>
      <c r="I136" s="41"/>
      <c r="J136" s="41"/>
      <c r="K136" s="41"/>
      <c r="L136" s="41"/>
      <c r="M136" s="42">
        <f ca="1">IFERROR(M122+M135,"")</f>
        <v>0.51944444444444449</v>
      </c>
      <c r="N136" s="40" t="s">
        <v>215</v>
      </c>
      <c r="O136" s="43">
        <f>IFERROR(O122+O135,"")</f>
        <v>432380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209</v>
      </c>
      <c r="F137" s="27">
        <v>18</v>
      </c>
      <c r="G137" s="34">
        <f t="shared" ref="G137:G148" si="30">IF(F137="","",IF(E137="PC 17",F137*4.2,IF(E137="PC 19",F137*5,"")))</f>
        <v>90</v>
      </c>
      <c r="H137" s="33" t="s">
        <v>20</v>
      </c>
      <c r="I137" s="33" t="s">
        <v>47</v>
      </c>
      <c r="J137" s="33" t="s">
        <v>28</v>
      </c>
      <c r="K137" s="29">
        <v>0.3298611111111111</v>
      </c>
      <c r="L137" s="29">
        <v>0.33194444444444443</v>
      </c>
      <c r="M137" s="35">
        <f t="shared" ref="M137:M148" ca="1" si="31">IFERROR(IF(K137="","",IF(L137="",MOD(NOW()-K137,1),IF(L137&gt;=K137,L137-K137,L137+1-K137))),"")</f>
        <v>2.0833333333333259E-3</v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209</v>
      </c>
      <c r="F138" s="27">
        <v>18</v>
      </c>
      <c r="G138" s="28">
        <f t="shared" si="30"/>
        <v>90</v>
      </c>
      <c r="H138" s="26" t="s">
        <v>20</v>
      </c>
      <c r="I138" s="26" t="s">
        <v>47</v>
      </c>
      <c r="J138" s="26" t="s">
        <v>190</v>
      </c>
      <c r="K138" s="29">
        <v>0.44166666666666665</v>
      </c>
      <c r="L138" s="29">
        <v>0.45624999999999999</v>
      </c>
      <c r="M138" s="30">
        <f t="shared" ca="1" si="31"/>
        <v>1.4583333333333337E-2</v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209</v>
      </c>
      <c r="F139" s="27">
        <v>20</v>
      </c>
      <c r="G139" s="34">
        <f t="shared" si="30"/>
        <v>100</v>
      </c>
      <c r="H139" s="33" t="s">
        <v>20</v>
      </c>
      <c r="I139" s="33" t="s">
        <v>47</v>
      </c>
      <c r="J139" s="33" t="s">
        <v>28</v>
      </c>
      <c r="K139" s="29">
        <v>0.47499999999999998</v>
      </c>
      <c r="L139" s="29">
        <v>0.49375000000000002</v>
      </c>
      <c r="M139" s="35">
        <f t="shared" ca="1" si="31"/>
        <v>1.8750000000000044E-2</v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209</v>
      </c>
      <c r="F140" s="27">
        <v>12</v>
      </c>
      <c r="G140" s="28">
        <f t="shared" si="30"/>
        <v>60</v>
      </c>
      <c r="H140" s="26" t="s">
        <v>19</v>
      </c>
      <c r="I140" s="26" t="s">
        <v>47</v>
      </c>
      <c r="J140" s="26" t="s">
        <v>27</v>
      </c>
      <c r="K140" s="29">
        <v>0.71597222222222223</v>
      </c>
      <c r="L140" s="29">
        <v>0.73611111111111116</v>
      </c>
      <c r="M140" s="30">
        <f t="shared" ca="1" si="31"/>
        <v>2.0138888888888928E-2</v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209</v>
      </c>
      <c r="F141" s="27">
        <v>6</v>
      </c>
      <c r="G141" s="34">
        <f t="shared" si="30"/>
        <v>30</v>
      </c>
      <c r="H141" s="33" t="s">
        <v>16</v>
      </c>
      <c r="I141" s="33"/>
      <c r="J141" s="33" t="s">
        <v>81</v>
      </c>
      <c r="K141" s="29">
        <v>0.71597222222222223</v>
      </c>
      <c r="L141" s="29" t="s">
        <v>248</v>
      </c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209</v>
      </c>
      <c r="F142" s="27">
        <v>7</v>
      </c>
      <c r="G142" s="28">
        <f t="shared" si="30"/>
        <v>35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209</v>
      </c>
      <c r="F143" s="27">
        <v>10</v>
      </c>
      <c r="G143" s="34">
        <f t="shared" si="30"/>
        <v>50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38</v>
      </c>
      <c r="E144" s="62" t="s">
        <v>209</v>
      </c>
      <c r="F144" s="27">
        <v>10</v>
      </c>
      <c r="G144" s="28">
        <f t="shared" si="30"/>
        <v>50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38</v>
      </c>
      <c r="E145" s="62" t="s">
        <v>209</v>
      </c>
      <c r="F145" s="27">
        <v>2</v>
      </c>
      <c r="G145" s="34">
        <f t="shared" si="30"/>
        <v>10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38</v>
      </c>
      <c r="E146" s="62" t="s">
        <v>209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38</v>
      </c>
      <c r="E147" s="62" t="s">
        <v>209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38</v>
      </c>
      <c r="E148" s="62" t="s">
        <v>209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1" t="s">
        <v>211</v>
      </c>
      <c r="B149" s="92"/>
      <c r="C149" s="92"/>
      <c r="D149" s="92"/>
      <c r="E149" s="93">
        <f>SUM(E137:E148)</f>
        <v>0</v>
      </c>
      <c r="F149" s="36">
        <f>SUM(F137:F148)</f>
        <v>118</v>
      </c>
      <c r="G149" s="36">
        <f>SUM(G137:G148)</f>
        <v>590</v>
      </c>
      <c r="H149" s="37"/>
      <c r="I149" s="37"/>
      <c r="J149" s="37"/>
      <c r="K149" s="37"/>
      <c r="L149" s="37"/>
      <c r="M149" s="38">
        <f ca="1">IFERROR(SUM(M137:M148),"")</f>
        <v>5.5555555555555636E-2</v>
      </c>
      <c r="N149" s="36" t="s">
        <v>212</v>
      </c>
      <c r="O149" s="39">
        <v>584680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209</v>
      </c>
      <c r="F150" s="27">
        <v>8</v>
      </c>
      <c r="G150" s="28">
        <f t="shared" ref="G150:G161" si="33">IF(F150="","",IF(E150="PC 17",F150*4.2,IF(E150="PC 19",F150*5,"")))</f>
        <v>40</v>
      </c>
      <c r="H150" s="26" t="s">
        <v>20</v>
      </c>
      <c r="I150" s="26" t="s">
        <v>47</v>
      </c>
      <c r="J150" s="26" t="s">
        <v>56</v>
      </c>
      <c r="K150" s="29">
        <v>6.25E-2</v>
      </c>
      <c r="L150" s="29">
        <v>7.6388888888888895E-2</v>
      </c>
      <c r="M150" s="30">
        <f t="shared" ref="M150:M161" ca="1" si="34">IFERROR(IF(K150="","",IF(L150="",MOD(NOW()-K150,1),IF(L150&gt;=K150,L150-K150,L150+1-K150))),"")</f>
        <v>1.3888888888888895E-2</v>
      </c>
      <c r="N150" s="27" t="s">
        <v>249</v>
      </c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209</v>
      </c>
      <c r="F151" s="27">
        <v>10</v>
      </c>
      <c r="G151" s="34">
        <f t="shared" si="33"/>
        <v>50</v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221</v>
      </c>
      <c r="F152" s="27">
        <v>8</v>
      </c>
      <c r="G152" s="28">
        <f t="shared" si="33"/>
        <v>33.6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237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221</v>
      </c>
      <c r="F153" s="27">
        <v>17</v>
      </c>
      <c r="G153" s="34">
        <f t="shared" si="33"/>
        <v>71.400000000000006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221</v>
      </c>
      <c r="F154" s="27">
        <v>4</v>
      </c>
      <c r="G154" s="28">
        <f t="shared" si="33"/>
        <v>16.8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221</v>
      </c>
      <c r="F155" s="27">
        <v>9</v>
      </c>
      <c r="G155" s="34">
        <f t="shared" si="33"/>
        <v>37.800000000000004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221</v>
      </c>
      <c r="F156" s="27">
        <v>12</v>
      </c>
      <c r="G156" s="28">
        <f t="shared" si="33"/>
        <v>50.400000000000006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221</v>
      </c>
      <c r="F157" s="27">
        <v>6</v>
      </c>
      <c r="G157" s="34">
        <f t="shared" si="33"/>
        <v>25.200000000000003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221</v>
      </c>
      <c r="F158" s="27">
        <v>0</v>
      </c>
      <c r="G158" s="28">
        <f t="shared" si="33"/>
        <v>0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221</v>
      </c>
      <c r="F159" s="27">
        <v>6</v>
      </c>
      <c r="G159" s="34">
        <f t="shared" si="33"/>
        <v>25.200000000000003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221</v>
      </c>
      <c r="F160" s="27">
        <v>9</v>
      </c>
      <c r="G160" s="28">
        <f t="shared" si="33"/>
        <v>37.800000000000004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221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1" t="s">
        <v>213</v>
      </c>
      <c r="B162" s="92"/>
      <c r="C162" s="92"/>
      <c r="D162" s="92"/>
      <c r="E162" s="93">
        <f>SUM(E150:E161)</f>
        <v>0</v>
      </c>
      <c r="F162" s="36">
        <f>SUM(F150:F161)</f>
        <v>89</v>
      </c>
      <c r="G162" s="36">
        <f>SUM(G150:G161)</f>
        <v>388.2</v>
      </c>
      <c r="H162" s="37"/>
      <c r="I162" s="37"/>
      <c r="J162" s="37"/>
      <c r="K162" s="37"/>
      <c r="L162" s="37"/>
      <c r="M162" s="38">
        <f ca="1">IFERROR(SUM(M150:M161),"")</f>
        <v>1.3888888888888895E-2</v>
      </c>
      <c r="N162" s="36" t="s">
        <v>212</v>
      </c>
      <c r="O162" s="39">
        <v>337120</v>
      </c>
    </row>
    <row r="163" spans="1:15" ht="18" customHeight="1">
      <c r="A163" s="94" t="s">
        <v>214</v>
      </c>
      <c r="B163" s="95"/>
      <c r="C163" s="95"/>
      <c r="D163" s="95"/>
      <c r="E163" s="96">
        <f>E149+E162</f>
        <v>0</v>
      </c>
      <c r="F163" s="40">
        <f>F149+F162</f>
        <v>207</v>
      </c>
      <c r="G163" s="40">
        <f>G149+G162</f>
        <v>978.2</v>
      </c>
      <c r="H163" s="41"/>
      <c r="I163" s="41"/>
      <c r="J163" s="41"/>
      <c r="K163" s="41"/>
      <c r="L163" s="41"/>
      <c r="M163" s="42">
        <f ca="1">IFERROR(M149+M162,"")</f>
        <v>6.9444444444444531E-2</v>
      </c>
      <c r="N163" s="40" t="s">
        <v>215</v>
      </c>
      <c r="O163" s="43">
        <f>IFERROR(O149+O162,"")</f>
        <v>921800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38</v>
      </c>
      <c r="E164" s="59" t="s">
        <v>209</v>
      </c>
      <c r="F164" s="27">
        <v>3</v>
      </c>
      <c r="G164" s="28">
        <f t="shared" ref="G164:G175" si="36">IF(F164="","",IF(E164="PC 17",F164*4.2,IF(E164="PC 19",F164*5,"")))</f>
        <v>15</v>
      </c>
      <c r="H164" s="26" t="s">
        <v>20</v>
      </c>
      <c r="I164" s="26" t="s">
        <v>47</v>
      </c>
      <c r="J164" s="26" t="s">
        <v>51</v>
      </c>
      <c r="K164" s="29">
        <v>0.42916666666666664</v>
      </c>
      <c r="L164" s="29">
        <v>0.43333333333333335</v>
      </c>
      <c r="M164" s="30">
        <f t="shared" ref="M164:M175" ca="1" si="37">IFERROR(IF(K164="","",IF(L164="",MOD(NOW()-K164,1),IF(L164&gt;=K164,L164-K164,L164+1-K164))),"")</f>
        <v>4.1666666666667074E-3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59" t="s">
        <v>221</v>
      </c>
      <c r="F165" s="27">
        <v>6</v>
      </c>
      <c r="G165" s="34">
        <f t="shared" si="36"/>
        <v>25.200000000000003</v>
      </c>
      <c r="H165" s="33" t="s">
        <v>20</v>
      </c>
      <c r="I165" s="33" t="s">
        <v>47</v>
      </c>
      <c r="J165" s="33" t="s">
        <v>51</v>
      </c>
      <c r="K165" s="29">
        <v>0.4513888888888889</v>
      </c>
      <c r="L165" s="29">
        <v>0.4548611111111111</v>
      </c>
      <c r="M165" s="35">
        <f t="shared" ca="1" si="37"/>
        <v>3.4722222222222099E-3</v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221</v>
      </c>
      <c r="F166" s="27">
        <v>10</v>
      </c>
      <c r="G166" s="28">
        <f t="shared" si="36"/>
        <v>42</v>
      </c>
      <c r="H166" s="26" t="s">
        <v>18</v>
      </c>
      <c r="I166" s="26" t="s">
        <v>47</v>
      </c>
      <c r="J166" s="26" t="s">
        <v>125</v>
      </c>
      <c r="K166" s="29">
        <v>0.45694444444444443</v>
      </c>
      <c r="L166" s="29">
        <v>0.47222222222222221</v>
      </c>
      <c r="M166" s="30" t="s">
        <v>250</v>
      </c>
      <c r="N166" s="27" t="s">
        <v>251</v>
      </c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38</v>
      </c>
      <c r="E167" s="59" t="s">
        <v>221</v>
      </c>
      <c r="F167" s="27">
        <v>6</v>
      </c>
      <c r="G167" s="34">
        <f t="shared" si="36"/>
        <v>25.200000000000003</v>
      </c>
      <c r="H167" s="33" t="s">
        <v>20</v>
      </c>
      <c r="I167" s="33" t="s">
        <v>47</v>
      </c>
      <c r="J167" s="33" t="s">
        <v>51</v>
      </c>
      <c r="K167" s="29">
        <v>0.50138888888888888</v>
      </c>
      <c r="L167" s="29">
        <v>0.50416666666666665</v>
      </c>
      <c r="M167" s="35">
        <f t="shared" ca="1" si="37"/>
        <v>2.7777777777777679E-3</v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38</v>
      </c>
      <c r="E168" s="59" t="s">
        <v>221</v>
      </c>
      <c r="F168" s="27">
        <v>12</v>
      </c>
      <c r="G168" s="28">
        <f t="shared" si="36"/>
        <v>50.400000000000006</v>
      </c>
      <c r="H168" s="26" t="s">
        <v>20</v>
      </c>
      <c r="I168" s="26" t="s">
        <v>47</v>
      </c>
      <c r="J168" s="26" t="s">
        <v>51</v>
      </c>
      <c r="K168" s="29">
        <v>0.56805555555555554</v>
      </c>
      <c r="L168" s="29">
        <v>0.58125000000000004</v>
      </c>
      <c r="M168" s="30">
        <f t="shared" ca="1" si="37"/>
        <v>1.3194444444444509E-2</v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38</v>
      </c>
      <c r="E169" s="59" t="s">
        <v>221</v>
      </c>
      <c r="F169" s="27">
        <v>5</v>
      </c>
      <c r="G169" s="34">
        <f t="shared" si="36"/>
        <v>21</v>
      </c>
      <c r="H169" s="33" t="s">
        <v>20</v>
      </c>
      <c r="I169" s="33" t="s">
        <v>47</v>
      </c>
      <c r="J169" s="33" t="s">
        <v>51</v>
      </c>
      <c r="K169" s="29">
        <v>0.61944444444444446</v>
      </c>
      <c r="L169" s="29">
        <v>0.62361111111111112</v>
      </c>
      <c r="M169" s="35">
        <f t="shared" ca="1" si="37"/>
        <v>4.1666666666666519E-3</v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38</v>
      </c>
      <c r="E170" s="59" t="s">
        <v>221</v>
      </c>
      <c r="F170" s="27">
        <v>1</v>
      </c>
      <c r="G170" s="28">
        <f t="shared" si="36"/>
        <v>4.2</v>
      </c>
      <c r="H170" s="26" t="s">
        <v>20</v>
      </c>
      <c r="I170" s="26" t="s">
        <v>47</v>
      </c>
      <c r="J170" s="26" t="s">
        <v>51</v>
      </c>
      <c r="K170" s="29">
        <v>0.62638888888888888</v>
      </c>
      <c r="L170" s="29">
        <v>0.63124999999999998</v>
      </c>
      <c r="M170" s="30">
        <f t="shared" ca="1" si="37"/>
        <v>4.8611111111110938E-3</v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38</v>
      </c>
      <c r="E171" s="59" t="s">
        <v>221</v>
      </c>
      <c r="F171" s="27">
        <v>5</v>
      </c>
      <c r="G171" s="34">
        <f t="shared" si="36"/>
        <v>21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38</v>
      </c>
      <c r="E172" s="59" t="s">
        <v>221</v>
      </c>
      <c r="F172" s="27">
        <v>10</v>
      </c>
      <c r="G172" s="28">
        <f t="shared" si="36"/>
        <v>42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38</v>
      </c>
      <c r="E173" s="59" t="s">
        <v>221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38</v>
      </c>
      <c r="E174" s="59" t="s">
        <v>221</v>
      </c>
      <c r="F174" s="27">
        <v>10</v>
      </c>
      <c r="G174" s="28">
        <f t="shared" si="36"/>
        <v>42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38</v>
      </c>
      <c r="E175" s="59" t="s">
        <v>221</v>
      </c>
      <c r="F175" s="27">
        <v>6</v>
      </c>
      <c r="G175" s="34">
        <f t="shared" si="36"/>
        <v>25.200000000000003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1" t="s">
        <v>211</v>
      </c>
      <c r="B176" s="92"/>
      <c r="C176" s="92"/>
      <c r="D176" s="92"/>
      <c r="E176" s="93">
        <f>SUM(E164:E175)</f>
        <v>0</v>
      </c>
      <c r="F176" s="36">
        <f>SUM(F164:F175)</f>
        <v>84</v>
      </c>
      <c r="G176" s="36">
        <f>SUM(G164:G175)</f>
        <v>355.2</v>
      </c>
      <c r="H176" s="37"/>
      <c r="I176" s="37"/>
      <c r="J176" s="37"/>
      <c r="K176" s="37"/>
      <c r="L176" s="37"/>
      <c r="M176" s="38">
        <f ca="1">IFERROR(SUM(M164:M175),"")</f>
        <v>3.2638888888888939E-2</v>
      </c>
      <c r="N176" s="36" t="s">
        <v>212</v>
      </c>
      <c r="O176" s="39">
        <v>190950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221</v>
      </c>
      <c r="F177" s="27">
        <v>18</v>
      </c>
      <c r="G177" s="34">
        <f t="shared" ref="G177:G188" si="39">IF(F177="","",IF(E177="PC 17",F177*4.2,IF(E177="PC 19",F177*5,"")))</f>
        <v>75.600000000000009</v>
      </c>
      <c r="H177" s="33" t="s">
        <v>20</v>
      </c>
      <c r="I177" s="33" t="s">
        <v>47</v>
      </c>
      <c r="J177" s="33" t="s">
        <v>51</v>
      </c>
      <c r="K177" s="29">
        <v>0.8125</v>
      </c>
      <c r="L177" s="29">
        <v>0.81597222222222221</v>
      </c>
      <c r="M177" s="35">
        <f t="shared" ref="M177:M188" ca="1" si="40">IFERROR(IF(K177="","",IF(L177="",MOD(NOW()-K177,1),IF(L177&gt;=K177,L177-K177,L177+1-K177))),"")</f>
        <v>3.4722222222222099E-3</v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221</v>
      </c>
      <c r="F178" s="27">
        <v>3</v>
      </c>
      <c r="G178" s="28">
        <f t="shared" si="39"/>
        <v>12.600000000000001</v>
      </c>
      <c r="H178" s="26" t="s">
        <v>19</v>
      </c>
      <c r="I178" s="26" t="s">
        <v>47</v>
      </c>
      <c r="J178" s="26" t="s">
        <v>27</v>
      </c>
      <c r="K178" s="29">
        <v>0.21041666666666667</v>
      </c>
      <c r="L178" s="29">
        <v>0.22361111111111112</v>
      </c>
      <c r="M178" s="30">
        <f t="shared" ca="1" si="40"/>
        <v>1.3194444444444453E-2</v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221</v>
      </c>
      <c r="F179" s="27">
        <v>11</v>
      </c>
      <c r="G179" s="34">
        <f t="shared" si="39"/>
        <v>46.2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221</v>
      </c>
      <c r="F180" s="27">
        <v>18</v>
      </c>
      <c r="G180" s="28">
        <f t="shared" si="39"/>
        <v>75.600000000000009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221</v>
      </c>
      <c r="F181" s="27">
        <v>11</v>
      </c>
      <c r="G181" s="34">
        <f>IF(F181="","",IF(E181="PC 17",F181*4.2,IF(E181="PC 19",F181*5,"")))</f>
        <v>46.2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221</v>
      </c>
      <c r="F182" s="27">
        <v>10</v>
      </c>
      <c r="G182" s="28">
        <f t="shared" si="39"/>
        <v>42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221</v>
      </c>
      <c r="F183" s="27">
        <v>11</v>
      </c>
      <c r="G183" s="34">
        <f t="shared" si="39"/>
        <v>46.2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221</v>
      </c>
      <c r="F184" s="27">
        <v>16</v>
      </c>
      <c r="G184" s="28">
        <f t="shared" si="39"/>
        <v>67.2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221</v>
      </c>
      <c r="F185" s="27">
        <v>13</v>
      </c>
      <c r="G185" s="34">
        <f t="shared" si="39"/>
        <v>54.6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221</v>
      </c>
      <c r="F186" s="27">
        <v>13</v>
      </c>
      <c r="G186" s="28">
        <f t="shared" si="39"/>
        <v>54.6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221</v>
      </c>
      <c r="F187" s="27">
        <v>5</v>
      </c>
      <c r="G187" s="34">
        <f t="shared" si="39"/>
        <v>21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221</v>
      </c>
      <c r="F188" s="27">
        <v>2</v>
      </c>
      <c r="G188" s="28">
        <f t="shared" si="39"/>
        <v>8.4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1" t="s">
        <v>213</v>
      </c>
      <c r="B189" s="92"/>
      <c r="C189" s="92"/>
      <c r="D189" s="92"/>
      <c r="E189" s="93">
        <f>SUM(E177:E188)</f>
        <v>0</v>
      </c>
      <c r="F189" s="36">
        <f>SUM(F177:F188)</f>
        <v>131</v>
      </c>
      <c r="G189" s="36">
        <f>SUM(G177:G188)</f>
        <v>550.20000000000005</v>
      </c>
      <c r="H189" s="37"/>
      <c r="I189" s="37"/>
      <c r="J189" s="37"/>
      <c r="K189" s="37"/>
      <c r="L189" s="37"/>
      <c r="M189" s="38">
        <f ca="1">IFERROR(SUM(M177:M188),"")</f>
        <v>1.6666666666666663E-2</v>
      </c>
      <c r="N189" s="36" t="s">
        <v>212</v>
      </c>
      <c r="O189" s="39">
        <v>747210</v>
      </c>
    </row>
    <row r="190" spans="1:15" ht="18" customHeight="1">
      <c r="A190" s="94" t="s">
        <v>214</v>
      </c>
      <c r="B190" s="95"/>
      <c r="C190" s="95"/>
      <c r="D190" s="95"/>
      <c r="E190" s="96">
        <f>E176+E189</f>
        <v>0</v>
      </c>
      <c r="F190" s="40">
        <f>F176+F189</f>
        <v>215</v>
      </c>
      <c r="G190" s="40">
        <f>G176+G189</f>
        <v>905.40000000000009</v>
      </c>
      <c r="H190" s="41"/>
      <c r="I190" s="41"/>
      <c r="J190" s="41"/>
      <c r="K190" s="41"/>
      <c r="L190" s="41"/>
      <c r="M190" s="42">
        <f ca="1">IFERROR(M176+M189,"")</f>
        <v>4.9305555555555602E-2</v>
      </c>
      <c r="N190" s="40" t="s">
        <v>215</v>
      </c>
      <c r="O190" s="43">
        <f>IFERROR(O176+O189,"")</f>
        <v>938160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22</v>
      </c>
      <c r="E191" s="62" t="s">
        <v>221</v>
      </c>
      <c r="F191" s="27">
        <v>5</v>
      </c>
      <c r="G191" s="34">
        <f t="shared" ref="G191:G202" si="42">IF(F191="","",IF(E191="PC 17",F191*4.2,IF(E191="PC 19",F191*5,"")))</f>
        <v>21</v>
      </c>
      <c r="H191" s="33" t="s">
        <v>18</v>
      </c>
      <c r="I191" s="33" t="s">
        <v>133</v>
      </c>
      <c r="J191" s="33" t="s">
        <v>95</v>
      </c>
      <c r="K191" s="29">
        <v>0.33194444444444443</v>
      </c>
      <c r="L191" s="29">
        <v>0.35347222222222224</v>
      </c>
      <c r="M191" s="35">
        <f t="shared" ref="M191:M202" ca="1" si="43">IFERROR(IF(K191="","",IF(L191="",MOD(NOW()-K191,1),IF(L191&gt;=K191,L191-K191,L191+1-K191))),"")</f>
        <v>2.1527777777777812E-2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221</v>
      </c>
      <c r="F192" s="27">
        <v>5</v>
      </c>
      <c r="G192" s="28">
        <f t="shared" si="42"/>
        <v>21</v>
      </c>
      <c r="H192" s="26" t="s">
        <v>20</v>
      </c>
      <c r="I192" s="26" t="s">
        <v>47</v>
      </c>
      <c r="J192" s="26" t="s">
        <v>166</v>
      </c>
      <c r="K192" s="29">
        <v>0.38263888888888886</v>
      </c>
      <c r="L192" s="29">
        <v>0.4826388888888889</v>
      </c>
      <c r="M192" s="30">
        <f t="shared" ca="1" si="43"/>
        <v>0.10000000000000003</v>
      </c>
      <c r="N192" s="27" t="s">
        <v>252</v>
      </c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221</v>
      </c>
      <c r="F193" s="27">
        <v>2</v>
      </c>
      <c r="G193" s="34">
        <f t="shared" si="42"/>
        <v>8.4</v>
      </c>
      <c r="H193" s="33" t="s">
        <v>20</v>
      </c>
      <c r="I193" s="33" t="s">
        <v>47</v>
      </c>
      <c r="J193" s="33" t="s">
        <v>56</v>
      </c>
      <c r="K193" s="29">
        <v>0.61388888888888893</v>
      </c>
      <c r="L193" s="29">
        <v>0.62569444444444444</v>
      </c>
      <c r="M193" s="35">
        <f t="shared" ca="1" si="43"/>
        <v>1.1805555555555514E-2</v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221</v>
      </c>
      <c r="F194" s="27">
        <v>0</v>
      </c>
      <c r="G194" s="28">
        <f t="shared" si="42"/>
        <v>0</v>
      </c>
      <c r="H194" s="26" t="s">
        <v>20</v>
      </c>
      <c r="I194" s="26" t="s">
        <v>47</v>
      </c>
      <c r="J194" s="26" t="s">
        <v>159</v>
      </c>
      <c r="K194" s="29">
        <v>0.75486111111111109</v>
      </c>
      <c r="L194" s="29">
        <v>0.77777777777777779</v>
      </c>
      <c r="M194" s="30">
        <f t="shared" ca="1" si="43"/>
        <v>2.2916666666666696E-2</v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221</v>
      </c>
      <c r="F195" s="27">
        <v>4</v>
      </c>
      <c r="G195" s="34">
        <f t="shared" si="42"/>
        <v>16.8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221</v>
      </c>
      <c r="F196" s="27">
        <v>14</v>
      </c>
      <c r="G196" s="28">
        <f t="shared" si="42"/>
        <v>58.800000000000004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221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221</v>
      </c>
      <c r="F198" s="27">
        <v>7</v>
      </c>
      <c r="G198" s="28">
        <f t="shared" si="42"/>
        <v>29.400000000000002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221</v>
      </c>
      <c r="F199" s="27">
        <v>15</v>
      </c>
      <c r="G199" s="34">
        <f t="shared" si="42"/>
        <v>63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221</v>
      </c>
      <c r="F200" s="27">
        <v>12</v>
      </c>
      <c r="G200" s="28">
        <f t="shared" si="42"/>
        <v>50.400000000000006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221</v>
      </c>
      <c r="F201" s="27">
        <v>6</v>
      </c>
      <c r="G201" s="34">
        <f t="shared" si="42"/>
        <v>25.200000000000003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221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1" t="s">
        <v>211</v>
      </c>
      <c r="B203" s="92"/>
      <c r="C203" s="92"/>
      <c r="D203" s="92"/>
      <c r="E203" s="93">
        <f>SUM(E191:E202)</f>
        <v>0</v>
      </c>
      <c r="F203" s="36">
        <f>SUM(F191:F202)</f>
        <v>90</v>
      </c>
      <c r="G203" s="36">
        <f>SUM(G191:G202)</f>
        <v>377.99999999999994</v>
      </c>
      <c r="H203" s="37"/>
      <c r="I203" s="37"/>
      <c r="J203" s="37"/>
      <c r="K203" s="37"/>
      <c r="L203" s="37"/>
      <c r="M203" s="38">
        <f ca="1">IFERROR(SUM(M191:M202),"")</f>
        <v>0.15625000000000006</v>
      </c>
      <c r="N203" s="36" t="s">
        <v>212</v>
      </c>
      <c r="O203" s="39">
        <v>324840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221</v>
      </c>
      <c r="F204" s="27">
        <v>6</v>
      </c>
      <c r="G204" s="28">
        <f t="shared" ref="G204:G215" si="45">IF(F204="","",IF(E204="PC 17",F204*4.2,IF(E204="PC 19",F204*5,"")))</f>
        <v>25.200000000000003</v>
      </c>
      <c r="H204" s="26" t="s">
        <v>18</v>
      </c>
      <c r="I204" s="26"/>
      <c r="J204" s="26" t="s">
        <v>104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209</v>
      </c>
      <c r="F205" s="27">
        <v>13</v>
      </c>
      <c r="G205" s="34">
        <f t="shared" si="45"/>
        <v>65</v>
      </c>
      <c r="H205" s="33" t="s">
        <v>19</v>
      </c>
      <c r="I205" s="33" t="s">
        <v>47</v>
      </c>
      <c r="J205" s="33" t="s">
        <v>78</v>
      </c>
      <c r="K205" s="29">
        <v>9.0277777777777776E-2</v>
      </c>
      <c r="L205" s="29">
        <v>0.1111111111111111</v>
      </c>
      <c r="M205" s="35">
        <f t="shared" ca="1" si="46"/>
        <v>2.0833333333333329E-2</v>
      </c>
      <c r="N205" s="27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221</v>
      </c>
      <c r="F206" s="27">
        <v>15</v>
      </c>
      <c r="G206" s="28">
        <f t="shared" si="45"/>
        <v>63</v>
      </c>
      <c r="H206" s="26" t="s">
        <v>19</v>
      </c>
      <c r="I206" s="26" t="s">
        <v>47</v>
      </c>
      <c r="J206" s="26" t="s">
        <v>27</v>
      </c>
      <c r="K206" s="29">
        <v>0.24652777777777779</v>
      </c>
      <c r="L206" s="29">
        <v>0.25694444444444442</v>
      </c>
      <c r="M206" s="30">
        <f t="shared" ca="1" si="46"/>
        <v>1.041666666666663E-2</v>
      </c>
      <c r="N206" s="27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221</v>
      </c>
      <c r="F207" s="27">
        <v>9</v>
      </c>
      <c r="G207" s="34">
        <f t="shared" si="45"/>
        <v>37.800000000000004</v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221</v>
      </c>
      <c r="F208" s="27">
        <v>7</v>
      </c>
      <c r="G208" s="28">
        <f t="shared" si="45"/>
        <v>29.400000000000002</v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221</v>
      </c>
      <c r="F209" s="27">
        <v>8</v>
      </c>
      <c r="G209" s="34">
        <f t="shared" si="45"/>
        <v>33.6</v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221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221</v>
      </c>
      <c r="F211" s="27">
        <v>11</v>
      </c>
      <c r="G211" s="34">
        <f t="shared" si="45"/>
        <v>46.2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221</v>
      </c>
      <c r="F212" s="27">
        <v>10</v>
      </c>
      <c r="G212" s="28">
        <f t="shared" si="45"/>
        <v>42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221</v>
      </c>
      <c r="F213" s="27">
        <v>2</v>
      </c>
      <c r="G213" s="34">
        <f t="shared" si="45"/>
        <v>8.4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221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221</v>
      </c>
      <c r="F215" s="27">
        <v>0</v>
      </c>
      <c r="G215" s="34">
        <f t="shared" si="45"/>
        <v>0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91" t="s">
        <v>213</v>
      </c>
      <c r="B216" s="92"/>
      <c r="C216" s="92"/>
      <c r="D216" s="92"/>
      <c r="E216" s="93">
        <f>SUM(E204:E215)</f>
        <v>0</v>
      </c>
      <c r="F216" s="36">
        <f>SUM(F204:F215)</f>
        <v>99</v>
      </c>
      <c r="G216" s="36">
        <f>SUM(G204:G215)</f>
        <v>426.2</v>
      </c>
      <c r="H216" s="37"/>
      <c r="I216" s="37"/>
      <c r="J216" s="37"/>
      <c r="K216" s="37"/>
      <c r="L216" s="37"/>
      <c r="M216" s="38">
        <f ca="1">IFERROR(SUM(M204:M215),"")</f>
        <v>6.5972222222222168E-2</v>
      </c>
      <c r="N216" s="36" t="s">
        <v>212</v>
      </c>
      <c r="O216" s="39">
        <v>468430</v>
      </c>
    </row>
    <row r="217" spans="1:15" ht="18" customHeight="1">
      <c r="A217" s="94" t="s">
        <v>214</v>
      </c>
      <c r="B217" s="95"/>
      <c r="C217" s="95"/>
      <c r="D217" s="95"/>
      <c r="E217" s="96">
        <f>E203+E216</f>
        <v>0</v>
      </c>
      <c r="F217" s="40">
        <f>F203+F216</f>
        <v>189</v>
      </c>
      <c r="G217" s="40">
        <f>G203+G216</f>
        <v>804.19999999999993</v>
      </c>
      <c r="H217" s="41"/>
      <c r="I217" s="41"/>
      <c r="J217" s="41"/>
      <c r="K217" s="41"/>
      <c r="L217" s="41"/>
      <c r="M217" s="42">
        <f ca="1">IFERROR(M203+M216,"")</f>
        <v>0.22222222222222221</v>
      </c>
      <c r="N217" s="40" t="s">
        <v>215</v>
      </c>
      <c r="O217" s="48">
        <f>IFERROR(O203+O216,"")</f>
        <v>793270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221</v>
      </c>
      <c r="F218" s="27">
        <v>14</v>
      </c>
      <c r="G218" s="28">
        <f t="shared" ref="G218:G229" si="48">IF(F218="","",IF(E218="PC 17",F218*4.2,IF(E218="PC 19",F218*5,"")))</f>
        <v>58.800000000000004</v>
      </c>
      <c r="H218" s="26" t="s">
        <v>20</v>
      </c>
      <c r="I218" s="26" t="s">
        <v>47</v>
      </c>
      <c r="J218" s="26" t="s">
        <v>51</v>
      </c>
      <c r="K218" s="29">
        <v>0.63888888888888884</v>
      </c>
      <c r="L218" s="29">
        <v>0.66041666666666665</v>
      </c>
      <c r="M218" s="30">
        <f t="shared" ref="M218:M229" ca="1" si="49">IFERROR(IF(K218="","",IF(L218="",MOD(NOW()-K218,1),IF(L218&gt;=K218,L218-K218,L218+1-K218))),"")</f>
        <v>2.1527777777777812E-2</v>
      </c>
      <c r="N218" s="27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221</v>
      </c>
      <c r="F219" s="27">
        <v>11</v>
      </c>
      <c r="G219" s="34">
        <f t="shared" si="48"/>
        <v>46.2</v>
      </c>
      <c r="H219" s="33" t="s">
        <v>20</v>
      </c>
      <c r="I219" s="33" t="s">
        <v>47</v>
      </c>
      <c r="J219" s="33" t="s">
        <v>51</v>
      </c>
      <c r="K219" s="29">
        <v>0.6694444444444444</v>
      </c>
      <c r="L219" s="29">
        <v>0.6743055555555556</v>
      </c>
      <c r="M219" s="35">
        <f t="shared" ca="1" si="49"/>
        <v>4.8611111111112049E-3</v>
      </c>
      <c r="N219" s="27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221</v>
      </c>
      <c r="F220" s="27">
        <v>4</v>
      </c>
      <c r="G220" s="28">
        <f t="shared" si="48"/>
        <v>16.8</v>
      </c>
      <c r="H220" s="26" t="s">
        <v>20</v>
      </c>
      <c r="I220" s="26" t="s">
        <v>47</v>
      </c>
      <c r="J220" s="26" t="s">
        <v>51</v>
      </c>
      <c r="K220" s="29">
        <v>0.67638888888888893</v>
      </c>
      <c r="L220" s="29">
        <v>0.68194444444444446</v>
      </c>
      <c r="M220" s="30">
        <f t="shared" ca="1" si="49"/>
        <v>5.5555555555555358E-3</v>
      </c>
      <c r="N220" s="27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221</v>
      </c>
      <c r="F221" s="27">
        <v>10</v>
      </c>
      <c r="G221" s="34">
        <f t="shared" si="48"/>
        <v>42</v>
      </c>
      <c r="H221" s="33" t="s">
        <v>20</v>
      </c>
      <c r="I221" s="33" t="s">
        <v>47</v>
      </c>
      <c r="J221" s="33" t="s">
        <v>51</v>
      </c>
      <c r="K221" s="29">
        <v>0.74930555555555556</v>
      </c>
      <c r="L221" s="29">
        <v>0.75277777777777777</v>
      </c>
      <c r="M221" s="35">
        <f t="shared" ca="1" si="49"/>
        <v>3.4722222222222099E-3</v>
      </c>
      <c r="N221" s="27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221</v>
      </c>
      <c r="F222" s="27">
        <v>5</v>
      </c>
      <c r="G222" s="28">
        <f t="shared" si="48"/>
        <v>21</v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221</v>
      </c>
      <c r="F223" s="27">
        <v>11</v>
      </c>
      <c r="G223" s="34">
        <f t="shared" si="48"/>
        <v>46.2</v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38</v>
      </c>
      <c r="E224" s="59" t="s">
        <v>221</v>
      </c>
      <c r="F224" s="27">
        <v>15</v>
      </c>
      <c r="G224" s="28">
        <f t="shared" si="48"/>
        <v>63</v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38</v>
      </c>
      <c r="E225" s="59" t="s">
        <v>221</v>
      </c>
      <c r="F225" s="27">
        <v>10</v>
      </c>
      <c r="G225" s="34">
        <f t="shared" si="48"/>
        <v>42</v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38</v>
      </c>
      <c r="E226" s="59" t="s">
        <v>221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38</v>
      </c>
      <c r="E227" s="59" t="s">
        <v>221</v>
      </c>
      <c r="F227" s="27">
        <v>0</v>
      </c>
      <c r="G227" s="34">
        <f t="shared" si="48"/>
        <v>0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38</v>
      </c>
      <c r="E228" s="59" t="s">
        <v>221</v>
      </c>
      <c r="F228" s="27">
        <v>10</v>
      </c>
      <c r="G228" s="28">
        <f t="shared" si="48"/>
        <v>42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38</v>
      </c>
      <c r="E229" s="59" t="s">
        <v>221</v>
      </c>
      <c r="F229" s="27">
        <v>12</v>
      </c>
      <c r="G229" s="34">
        <f t="shared" si="48"/>
        <v>50.400000000000006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91" t="s">
        <v>211</v>
      </c>
      <c r="B230" s="92"/>
      <c r="C230" s="92"/>
      <c r="D230" s="92"/>
      <c r="E230" s="93">
        <f>SUM(E218:E229)</f>
        <v>0</v>
      </c>
      <c r="F230" s="36">
        <f>SUM(F218:F229)</f>
        <v>102</v>
      </c>
      <c r="G230" s="36">
        <f>SUM(G218:G229)</f>
        <v>428.4</v>
      </c>
      <c r="H230" s="37"/>
      <c r="I230" s="37"/>
      <c r="J230" s="37"/>
      <c r="K230" s="37"/>
      <c r="L230" s="37"/>
      <c r="M230" s="38">
        <f ca="1">IFERROR(SUM(M218:M229),"")</f>
        <v>3.5416666666666763E-2</v>
      </c>
      <c r="N230" s="36" t="s">
        <v>212</v>
      </c>
      <c r="O230" s="39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91" t="s">
        <v>213</v>
      </c>
      <c r="B243" s="92"/>
      <c r="C243" s="92"/>
      <c r="D243" s="92"/>
      <c r="E243" s="93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212</v>
      </c>
      <c r="O243" s="39"/>
    </row>
    <row r="244" spans="1:15" ht="18" customHeight="1">
      <c r="A244" s="94" t="s">
        <v>214</v>
      </c>
      <c r="B244" s="95"/>
      <c r="C244" s="95"/>
      <c r="D244" s="95"/>
      <c r="E244" s="96">
        <f>E230+E243</f>
        <v>0</v>
      </c>
      <c r="F244" s="40">
        <f>F230+F243</f>
        <v>102</v>
      </c>
      <c r="G244" s="40">
        <f>G230+G243</f>
        <v>428.4</v>
      </c>
      <c r="H244" s="41"/>
      <c r="I244" s="41"/>
      <c r="J244" s="41"/>
      <c r="K244" s="41"/>
      <c r="L244" s="41"/>
      <c r="M244" s="42">
        <f ca="1">IFERROR(M230+M243,"")</f>
        <v>3.5416666666666763E-2</v>
      </c>
      <c r="N244" s="40" t="s">
        <v>215</v>
      </c>
      <c r="O244" s="48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27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27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27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27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91" t="s">
        <v>211</v>
      </c>
      <c r="B257" s="92"/>
      <c r="C257" s="92"/>
      <c r="D257" s="92"/>
      <c r="E257" s="93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212</v>
      </c>
      <c r="O257" s="39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27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27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27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27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91" t="s">
        <v>213</v>
      </c>
      <c r="B270" s="92"/>
      <c r="C270" s="92"/>
      <c r="D270" s="92"/>
      <c r="E270" s="93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212</v>
      </c>
      <c r="O270" s="39"/>
    </row>
    <row r="271" spans="1:15" ht="18" customHeight="1">
      <c r="A271" s="94" t="s">
        <v>214</v>
      </c>
      <c r="B271" s="95"/>
      <c r="C271" s="95"/>
      <c r="D271" s="95"/>
      <c r="E271" s="96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215</v>
      </c>
      <c r="O271" s="48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27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27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91" t="s">
        <v>211</v>
      </c>
      <c r="B284" s="92"/>
      <c r="C284" s="92"/>
      <c r="D284" s="92"/>
      <c r="E284" s="93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212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27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27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27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27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91" t="s">
        <v>213</v>
      </c>
      <c r="B297" s="92"/>
      <c r="C297" s="92"/>
      <c r="D297" s="92"/>
      <c r="E297" s="93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212</v>
      </c>
      <c r="O297" s="39"/>
    </row>
    <row r="298" spans="1:15" ht="18" customHeight="1">
      <c r="A298" s="94" t="s">
        <v>214</v>
      </c>
      <c r="B298" s="95"/>
      <c r="C298" s="95"/>
      <c r="D298" s="95"/>
      <c r="E298" s="96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215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27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91" t="s">
        <v>211</v>
      </c>
      <c r="B311" s="92"/>
      <c r="C311" s="92"/>
      <c r="D311" s="92"/>
      <c r="E311" s="93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212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91" t="s">
        <v>213</v>
      </c>
      <c r="B324" s="92"/>
      <c r="C324" s="92"/>
      <c r="D324" s="92"/>
      <c r="E324" s="93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212</v>
      </c>
      <c r="O324" s="39"/>
    </row>
    <row r="325" spans="1:15" ht="18" customHeight="1">
      <c r="A325" s="94" t="s">
        <v>214</v>
      </c>
      <c r="B325" s="95"/>
      <c r="C325" s="95"/>
      <c r="D325" s="95"/>
      <c r="E325" s="96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215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27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91" t="s">
        <v>211</v>
      </c>
      <c r="B338" s="92"/>
      <c r="C338" s="92"/>
      <c r="D338" s="92"/>
      <c r="E338" s="93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212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91" t="s">
        <v>213</v>
      </c>
      <c r="B351" s="92"/>
      <c r="C351" s="92"/>
      <c r="D351" s="92"/>
      <c r="E351" s="93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212</v>
      </c>
      <c r="O351" s="39"/>
    </row>
    <row r="352" spans="1:15" ht="18" customHeight="1">
      <c r="A352" s="94" t="s">
        <v>214</v>
      </c>
      <c r="B352" s="95"/>
      <c r="C352" s="95"/>
      <c r="D352" s="95"/>
      <c r="E352" s="96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215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91" t="s">
        <v>211</v>
      </c>
      <c r="B365" s="92"/>
      <c r="C365" s="92"/>
      <c r="D365" s="92"/>
      <c r="E365" s="93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212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91" t="s">
        <v>213</v>
      </c>
      <c r="B378" s="92"/>
      <c r="C378" s="92"/>
      <c r="D378" s="92"/>
      <c r="E378" s="93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212</v>
      </c>
      <c r="O378" s="39"/>
    </row>
    <row r="379" spans="1:15" ht="18" customHeight="1">
      <c r="A379" s="94" t="s">
        <v>214</v>
      </c>
      <c r="B379" s="95"/>
      <c r="C379" s="95"/>
      <c r="D379" s="95"/>
      <c r="E379" s="96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215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91" t="s">
        <v>211</v>
      </c>
      <c r="B392" s="92"/>
      <c r="C392" s="92"/>
      <c r="D392" s="92"/>
      <c r="E392" s="93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212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91" t="s">
        <v>213</v>
      </c>
      <c r="B405" s="92"/>
      <c r="C405" s="92"/>
      <c r="D405" s="92"/>
      <c r="E405" s="93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212</v>
      </c>
      <c r="O405" s="39"/>
    </row>
    <row r="406" spans="1:15" ht="18" customHeight="1">
      <c r="A406" s="94" t="s">
        <v>214</v>
      </c>
      <c r="B406" s="95"/>
      <c r="C406" s="95"/>
      <c r="D406" s="95"/>
      <c r="E406" s="96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215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47"/>
    </row>
    <row r="419" spans="1:15" ht="15.75" customHeight="1">
      <c r="A419" s="91" t="s">
        <v>211</v>
      </c>
      <c r="B419" s="92"/>
      <c r="C419" s="92"/>
      <c r="D419" s="92"/>
      <c r="E419" s="93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212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91" t="s">
        <v>213</v>
      </c>
      <c r="B432" s="92"/>
      <c r="C432" s="92"/>
      <c r="D432" s="92"/>
      <c r="E432" s="93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212</v>
      </c>
      <c r="O432" s="39"/>
    </row>
    <row r="433" spans="1:15" ht="18" customHeight="1">
      <c r="A433" s="94" t="s">
        <v>214</v>
      </c>
      <c r="B433" s="95"/>
      <c r="C433" s="95"/>
      <c r="D433" s="95"/>
      <c r="E433" s="96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215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91" t="s">
        <v>211</v>
      </c>
      <c r="B446" s="92"/>
      <c r="C446" s="92"/>
      <c r="D446" s="92"/>
      <c r="E446" s="93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212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91" t="s">
        <v>213</v>
      </c>
      <c r="B459" s="92"/>
      <c r="C459" s="92"/>
      <c r="D459" s="92"/>
      <c r="E459" s="93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212</v>
      </c>
      <c r="O459" s="39"/>
    </row>
    <row r="460" spans="1:15" ht="18" customHeight="1">
      <c r="A460" s="94" t="s">
        <v>214</v>
      </c>
      <c r="B460" s="95"/>
      <c r="C460" s="95"/>
      <c r="D460" s="95"/>
      <c r="E460" s="96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215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91" t="s">
        <v>211</v>
      </c>
      <c r="B473" s="92"/>
      <c r="C473" s="92"/>
      <c r="D473" s="92"/>
      <c r="E473" s="93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212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91" t="s">
        <v>213</v>
      </c>
      <c r="B486" s="92"/>
      <c r="C486" s="92"/>
      <c r="D486" s="92"/>
      <c r="E486" s="93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212</v>
      </c>
      <c r="O486" s="39"/>
    </row>
    <row r="487" spans="1:15" ht="18" customHeight="1">
      <c r="A487" s="94" t="s">
        <v>214</v>
      </c>
      <c r="B487" s="95"/>
      <c r="C487" s="95"/>
      <c r="D487" s="95"/>
      <c r="E487" s="96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215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27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91" t="s">
        <v>211</v>
      </c>
      <c r="B500" s="92"/>
      <c r="C500" s="92"/>
      <c r="D500" s="92"/>
      <c r="E500" s="93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212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91" t="s">
        <v>213</v>
      </c>
      <c r="B513" s="92"/>
      <c r="C513" s="92"/>
      <c r="D513" s="92"/>
      <c r="E513" s="93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212</v>
      </c>
      <c r="O513" s="39"/>
    </row>
    <row r="514" spans="1:15" ht="18" customHeight="1">
      <c r="A514" s="94" t="s">
        <v>214</v>
      </c>
      <c r="B514" s="95"/>
      <c r="C514" s="95"/>
      <c r="D514" s="95"/>
      <c r="E514" s="96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215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91" t="s">
        <v>211</v>
      </c>
      <c r="B527" s="92"/>
      <c r="C527" s="92"/>
      <c r="D527" s="92"/>
      <c r="E527" s="93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212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91" t="s">
        <v>213</v>
      </c>
      <c r="B540" s="92"/>
      <c r="C540" s="92"/>
      <c r="D540" s="92"/>
      <c r="E540" s="93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212</v>
      </c>
      <c r="O540" s="39"/>
    </row>
    <row r="541" spans="1:15" ht="18" customHeight="1">
      <c r="A541" s="94" t="s">
        <v>214</v>
      </c>
      <c r="B541" s="95"/>
      <c r="C541" s="95"/>
      <c r="D541" s="95"/>
      <c r="E541" s="96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215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91" t="s">
        <v>211</v>
      </c>
      <c r="B554" s="92"/>
      <c r="C554" s="92"/>
      <c r="D554" s="92"/>
      <c r="E554" s="93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212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91" t="s">
        <v>213</v>
      </c>
      <c r="B567" s="92"/>
      <c r="C567" s="92"/>
      <c r="D567" s="92"/>
      <c r="E567" s="93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212</v>
      </c>
      <c r="O567" s="39"/>
    </row>
    <row r="568" spans="1:15" ht="18" customHeight="1">
      <c r="A568" s="94" t="s">
        <v>214</v>
      </c>
      <c r="B568" s="95"/>
      <c r="C568" s="95"/>
      <c r="D568" s="95"/>
      <c r="E568" s="96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215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91" t="s">
        <v>211</v>
      </c>
      <c r="B581" s="92"/>
      <c r="C581" s="92"/>
      <c r="D581" s="92"/>
      <c r="E581" s="93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212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91" t="s">
        <v>213</v>
      </c>
      <c r="B594" s="92"/>
      <c r="C594" s="92"/>
      <c r="D594" s="92"/>
      <c r="E594" s="93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212</v>
      </c>
      <c r="O594" s="39"/>
    </row>
    <row r="595" spans="1:15" ht="18" customHeight="1">
      <c r="A595" s="94" t="s">
        <v>214</v>
      </c>
      <c r="B595" s="95"/>
      <c r="C595" s="95"/>
      <c r="D595" s="95"/>
      <c r="E595" s="96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215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91" t="s">
        <v>211</v>
      </c>
      <c r="B608" s="92"/>
      <c r="C608" s="92"/>
      <c r="D608" s="92"/>
      <c r="E608" s="93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212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91" t="s">
        <v>213</v>
      </c>
      <c r="B621" s="92"/>
      <c r="C621" s="92"/>
      <c r="D621" s="92"/>
      <c r="E621" s="93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212</v>
      </c>
      <c r="O621" s="39"/>
    </row>
    <row r="622" spans="1:15" ht="18" customHeight="1">
      <c r="A622" s="94" t="s">
        <v>214</v>
      </c>
      <c r="B622" s="95"/>
      <c r="C622" s="95"/>
      <c r="D622" s="95"/>
      <c r="E622" s="96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215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91" t="s">
        <v>211</v>
      </c>
      <c r="B635" s="92"/>
      <c r="C635" s="92"/>
      <c r="D635" s="92"/>
      <c r="E635" s="93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212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91" t="s">
        <v>213</v>
      </c>
      <c r="B648" s="92"/>
      <c r="C648" s="92"/>
      <c r="D648" s="92"/>
      <c r="E648" s="93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212</v>
      </c>
      <c r="O648" s="39"/>
    </row>
    <row r="649" spans="1:15" ht="18" customHeight="1">
      <c r="A649" s="94" t="s">
        <v>214</v>
      </c>
      <c r="B649" s="95"/>
      <c r="C649" s="95"/>
      <c r="D649" s="95"/>
      <c r="E649" s="96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215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91" t="s">
        <v>211</v>
      </c>
      <c r="B662" s="92"/>
      <c r="C662" s="92"/>
      <c r="D662" s="92"/>
      <c r="E662" s="93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212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91" t="s">
        <v>213</v>
      </c>
      <c r="B675" s="92"/>
      <c r="C675" s="92"/>
      <c r="D675" s="92"/>
      <c r="E675" s="93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212</v>
      </c>
      <c r="O675" s="39"/>
    </row>
    <row r="676" spans="1:15" ht="18" customHeight="1">
      <c r="A676" s="94" t="s">
        <v>214</v>
      </c>
      <c r="B676" s="95"/>
      <c r="C676" s="95"/>
      <c r="D676" s="95"/>
      <c r="E676" s="96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215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91" t="s">
        <v>211</v>
      </c>
      <c r="B689" s="92"/>
      <c r="C689" s="92"/>
      <c r="D689" s="92"/>
      <c r="E689" s="93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212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91" t="s">
        <v>213</v>
      </c>
      <c r="B702" s="92"/>
      <c r="C702" s="92"/>
      <c r="D702" s="92"/>
      <c r="E702" s="93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212</v>
      </c>
      <c r="O702" s="39"/>
    </row>
    <row r="703" spans="1:15" ht="18" customHeight="1">
      <c r="A703" s="94" t="s">
        <v>214</v>
      </c>
      <c r="B703" s="95"/>
      <c r="C703" s="95"/>
      <c r="D703" s="95"/>
      <c r="E703" s="96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215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91" t="s">
        <v>211</v>
      </c>
      <c r="B716" s="92"/>
      <c r="C716" s="92"/>
      <c r="D716" s="92"/>
      <c r="E716" s="93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212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91" t="s">
        <v>213</v>
      </c>
      <c r="B729" s="92"/>
      <c r="C729" s="92"/>
      <c r="D729" s="92"/>
      <c r="E729" s="93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212</v>
      </c>
      <c r="O729" s="39"/>
    </row>
    <row r="730" spans="1:15" ht="18" customHeight="1">
      <c r="A730" s="94" t="s">
        <v>214</v>
      </c>
      <c r="B730" s="95"/>
      <c r="C730" s="95"/>
      <c r="D730" s="95"/>
      <c r="E730" s="96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215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91" t="s">
        <v>211</v>
      </c>
      <c r="B743" s="92"/>
      <c r="C743" s="92"/>
      <c r="D743" s="92"/>
      <c r="E743" s="93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212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91" t="s">
        <v>213</v>
      </c>
      <c r="B756" s="92"/>
      <c r="C756" s="92"/>
      <c r="D756" s="92"/>
      <c r="E756" s="93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212</v>
      </c>
      <c r="O756" s="39"/>
    </row>
    <row r="757" spans="1:15" ht="18" customHeight="1">
      <c r="A757" s="94" t="s">
        <v>214</v>
      </c>
      <c r="B757" s="95"/>
      <c r="C757" s="95"/>
      <c r="D757" s="95"/>
      <c r="E757" s="96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215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91" t="s">
        <v>211</v>
      </c>
      <c r="B770" s="92"/>
      <c r="C770" s="92"/>
      <c r="D770" s="92"/>
      <c r="E770" s="93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212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91" t="s">
        <v>213</v>
      </c>
      <c r="B783" s="92"/>
      <c r="C783" s="92"/>
      <c r="D783" s="92"/>
      <c r="E783" s="93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212</v>
      </c>
      <c r="O783" s="39"/>
    </row>
    <row r="784" spans="1:15" ht="18" customHeight="1">
      <c r="A784" s="94" t="s">
        <v>214</v>
      </c>
      <c r="B784" s="95"/>
      <c r="C784" s="95"/>
      <c r="D784" s="95"/>
      <c r="E784" s="96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215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91" t="s">
        <v>211</v>
      </c>
      <c r="B797" s="92"/>
      <c r="C797" s="92"/>
      <c r="D797" s="92"/>
      <c r="E797" s="93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212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91" t="s">
        <v>213</v>
      </c>
      <c r="B810" s="92"/>
      <c r="C810" s="92"/>
      <c r="D810" s="92"/>
      <c r="E810" s="93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212</v>
      </c>
      <c r="O810" s="39"/>
    </row>
    <row r="811" spans="1:15" ht="18" customHeight="1">
      <c r="A811" s="94" t="s">
        <v>214</v>
      </c>
      <c r="B811" s="95"/>
      <c r="C811" s="95"/>
      <c r="D811" s="95"/>
      <c r="E811" s="96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215</v>
      </c>
      <c r="O811" s="43">
        <f>IFERROR(O797+O810,"")</f>
        <v>0</v>
      </c>
    </row>
  </sheetData>
  <mergeCells count="90"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dataValidations count="2">
    <dataValidation type="list" allowBlank="1" showErrorMessage="1" errorTitle="Valor inválido" error="Selecione PC 17 ou PC 19 da lista." sqref="E15:E26 E2:E13 E29:E811" xr:uid="{618DBFC7-9EE5-4350-9682-B167270E51D8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D15:D26 D2:D13 D29:D900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H32:H900 H2:H30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11"/>
  <sheetViews>
    <sheetView showGridLines="0" zoomScale="50" zoomScaleNormal="50" workbookViewId="0">
      <pane ySplit="1" topLeftCell="A189" activePane="bottomLeft" state="frozen"/>
      <selection pane="bottomLeft" activeCell="F229" sqref="F229"/>
    </sheetView>
  </sheetViews>
  <sheetFormatPr defaultColWidth="8.5703125" defaultRowHeight="14.45"/>
  <cols>
    <col min="1" max="1" width="13" style="76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52.140625" style="57" customWidth="1"/>
    <col min="11" max="11" width="18.42578125" style="57" customWidth="1"/>
    <col min="12" max="12" width="14" style="58" customWidth="1"/>
    <col min="13" max="13" width="14" style="57" customWidth="1"/>
    <col min="14" max="14" width="43.5703125" style="57" customWidth="1"/>
    <col min="15" max="15" width="14" customWidth="1"/>
  </cols>
  <sheetData>
    <row r="1" spans="1:15" ht="37.5" customHeight="1">
      <c r="A1" s="68" t="s">
        <v>7</v>
      </c>
      <c r="B1" s="23" t="s">
        <v>198</v>
      </c>
      <c r="C1" s="23" t="s">
        <v>12</v>
      </c>
      <c r="D1" s="22" t="s">
        <v>13</v>
      </c>
      <c r="E1" s="22" t="s">
        <v>199</v>
      </c>
      <c r="F1" s="23" t="s">
        <v>200</v>
      </c>
      <c r="G1" s="23" t="s">
        <v>201</v>
      </c>
      <c r="H1" s="23" t="s">
        <v>14</v>
      </c>
      <c r="I1" s="23" t="s">
        <v>15</v>
      </c>
      <c r="J1" s="23" t="s">
        <v>202</v>
      </c>
      <c r="K1" s="23" t="s">
        <v>203</v>
      </c>
      <c r="L1" s="23" t="s">
        <v>204</v>
      </c>
      <c r="M1" s="24" t="s">
        <v>205</v>
      </c>
      <c r="N1" s="23" t="s">
        <v>206</v>
      </c>
      <c r="O1" s="23" t="s">
        <v>207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221</v>
      </c>
      <c r="F2" s="27">
        <v>0</v>
      </c>
      <c r="G2" s="28">
        <f t="shared" ref="G2:G13" si="0">IF(F2="","",IF(E2="PC 17",F2*4.2,IF(E2="PC 19",F2*5,"")))</f>
        <v>0</v>
      </c>
      <c r="H2" s="26" t="s">
        <v>18</v>
      </c>
      <c r="I2" s="26" t="s">
        <v>136</v>
      </c>
      <c r="J2" s="26" t="s">
        <v>100</v>
      </c>
      <c r="K2" s="29">
        <v>0.29166666666666669</v>
      </c>
      <c r="L2" s="29">
        <v>0.38194444444444442</v>
      </c>
      <c r="M2" s="30">
        <f t="shared" ref="M2:M13" ca="1" si="1">IFERROR(IF(K2="","",IF(L2="",MOD(NOW()-K2,1),IF(L2&gt;=K2,L2-K2,L2+1-K2))),"")</f>
        <v>9.0277777777777735E-2</v>
      </c>
      <c r="N2" s="27" t="s">
        <v>253</v>
      </c>
      <c r="O2" s="60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221</v>
      </c>
      <c r="F3" s="27">
        <v>0</v>
      </c>
      <c r="G3" s="34">
        <f t="shared" si="0"/>
        <v>0</v>
      </c>
      <c r="H3" s="33" t="s">
        <v>18</v>
      </c>
      <c r="I3" s="33" t="s">
        <v>157</v>
      </c>
      <c r="J3" s="33" t="s">
        <v>34</v>
      </c>
      <c r="K3" s="29">
        <v>0.64583333333333337</v>
      </c>
      <c r="L3" s="29">
        <v>0.73611111111111116</v>
      </c>
      <c r="M3" s="35">
        <f t="shared" ca="1" si="1"/>
        <v>9.027777777777779E-2</v>
      </c>
      <c r="N3" s="27" t="s">
        <v>246</v>
      </c>
      <c r="O3" s="60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221</v>
      </c>
      <c r="F4" s="27">
        <v>5</v>
      </c>
      <c r="G4" s="28">
        <f t="shared" si="0"/>
        <v>21</v>
      </c>
      <c r="H4" s="26" t="s">
        <v>18</v>
      </c>
      <c r="I4" s="26" t="s">
        <v>52</v>
      </c>
      <c r="J4" s="26" t="s">
        <v>187</v>
      </c>
      <c r="K4" s="29">
        <v>0.75138888888888888</v>
      </c>
      <c r="L4" s="29">
        <v>0.79166666666666663</v>
      </c>
      <c r="M4" s="30">
        <f t="shared" ca="1" si="1"/>
        <v>4.0277777777777746E-2</v>
      </c>
      <c r="N4" s="27"/>
      <c r="O4" s="60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221</v>
      </c>
      <c r="F5" s="27">
        <v>10</v>
      </c>
      <c r="G5" s="34">
        <f t="shared" si="0"/>
        <v>42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221</v>
      </c>
      <c r="F6" s="27">
        <v>12</v>
      </c>
      <c r="G6" s="28">
        <f t="shared" si="0"/>
        <v>50.400000000000006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221</v>
      </c>
      <c r="F7" s="27">
        <v>3</v>
      </c>
      <c r="G7" s="34">
        <f t="shared" si="0"/>
        <v>12.600000000000001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221</v>
      </c>
      <c r="F8" s="27">
        <v>11</v>
      </c>
      <c r="G8" s="28">
        <f t="shared" si="0"/>
        <v>46.2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221</v>
      </c>
      <c r="F9" s="27">
        <v>16</v>
      </c>
      <c r="G9" s="34">
        <f t="shared" si="0"/>
        <v>67.2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221</v>
      </c>
      <c r="F10" s="27">
        <v>2</v>
      </c>
      <c r="G10" s="28">
        <f t="shared" si="0"/>
        <v>8.4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221</v>
      </c>
      <c r="F11" s="27">
        <v>0</v>
      </c>
      <c r="G11" s="34">
        <f t="shared" si="0"/>
        <v>0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221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221</v>
      </c>
      <c r="F13" s="27">
        <v>0</v>
      </c>
      <c r="G13" s="34">
        <f t="shared" si="0"/>
        <v>0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91" t="s">
        <v>211</v>
      </c>
      <c r="B14" s="92"/>
      <c r="C14" s="92"/>
      <c r="D14" s="92"/>
      <c r="E14" s="93"/>
      <c r="F14" s="36">
        <f>SUM(F2:F13)</f>
        <v>64</v>
      </c>
      <c r="G14" s="36">
        <f>SUM(G2:G13)</f>
        <v>268.79999999999995</v>
      </c>
      <c r="H14" s="37"/>
      <c r="I14" s="37"/>
      <c r="J14" s="37"/>
      <c r="K14" s="61"/>
      <c r="L14" s="61"/>
      <c r="M14" s="38">
        <f ca="1">IFERROR(SUM(M2:M13),"")</f>
        <v>0.22083333333333327</v>
      </c>
      <c r="N14" s="36" t="s">
        <v>212</v>
      </c>
      <c r="O14" s="39">
        <v>327070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221</v>
      </c>
      <c r="F15" s="27">
        <v>5</v>
      </c>
      <c r="G15" s="34">
        <f t="shared" ref="G15:G26" si="3">IF(F15="","",IF(E15="PC 17",F15*4.2,IF(E15="PC 19",F15*5,"")))</f>
        <v>21</v>
      </c>
      <c r="H15" s="33" t="s">
        <v>19</v>
      </c>
      <c r="I15" s="33" t="s">
        <v>52</v>
      </c>
      <c r="J15" s="33" t="s">
        <v>50</v>
      </c>
      <c r="K15" s="29">
        <v>0.8305555555555556</v>
      </c>
      <c r="L15" s="29">
        <v>0.86111111111111116</v>
      </c>
      <c r="M15" s="35">
        <f t="shared" ref="M15:M26" ca="1" si="4">IFERROR(IF(K15="","",IF(L15="",MOD(NOW()-K15,1),IF(L15&gt;=K15,L15-K15,L15+1-K15))),"")</f>
        <v>3.0555555555555558E-2</v>
      </c>
      <c r="N15" s="27"/>
      <c r="O15" s="60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221</v>
      </c>
      <c r="F16" s="27">
        <v>0</v>
      </c>
      <c r="G16" s="28">
        <f t="shared" si="3"/>
        <v>0</v>
      </c>
      <c r="H16" s="26" t="s">
        <v>18</v>
      </c>
      <c r="I16" s="26" t="s">
        <v>52</v>
      </c>
      <c r="J16" s="26" t="s">
        <v>42</v>
      </c>
      <c r="K16" s="29">
        <v>0.91666666666666663</v>
      </c>
      <c r="L16" s="29">
        <v>0.95833333333333337</v>
      </c>
      <c r="M16" s="79">
        <f ca="1">IFERROR(IF(K16="","",IF(L16="",MOD(NOW()-K16,1),IF(L16&gt;=K16,L16-K16,L16+1-K16))),"")</f>
        <v>4.1666666666666741E-2</v>
      </c>
      <c r="N16" s="27" t="s">
        <v>254</v>
      </c>
      <c r="O16" s="60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221</v>
      </c>
      <c r="F17" s="27">
        <v>2</v>
      </c>
      <c r="G17" s="34">
        <f t="shared" si="3"/>
        <v>8.4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60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221</v>
      </c>
      <c r="F18" s="27">
        <v>12</v>
      </c>
      <c r="G18" s="28">
        <f t="shared" si="3"/>
        <v>50.400000000000006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60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221</v>
      </c>
      <c r="F19" s="27">
        <v>0</v>
      </c>
      <c r="G19" s="34">
        <f t="shared" si="3"/>
        <v>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60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221</v>
      </c>
      <c r="F20" s="27">
        <v>1</v>
      </c>
      <c r="G20" s="28">
        <f t="shared" si="3"/>
        <v>4.2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60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221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60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221</v>
      </c>
      <c r="F22" s="27">
        <v>6</v>
      </c>
      <c r="G22" s="28">
        <f t="shared" si="3"/>
        <v>25.200000000000003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60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221</v>
      </c>
      <c r="F23" s="27">
        <v>3</v>
      </c>
      <c r="G23" s="34">
        <f t="shared" si="3"/>
        <v>12.600000000000001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221</v>
      </c>
      <c r="F24" s="27">
        <v>4</v>
      </c>
      <c r="G24" s="28">
        <f t="shared" si="3"/>
        <v>16.8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221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221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91" t="s">
        <v>213</v>
      </c>
      <c r="B27" s="92"/>
      <c r="C27" s="92"/>
      <c r="D27" s="92"/>
      <c r="E27" s="93"/>
      <c r="F27" s="36">
        <f>SUM(F15:F26)</f>
        <v>43</v>
      </c>
      <c r="G27" s="36">
        <f>SUM(G15:G26)</f>
        <v>180.60000000000002</v>
      </c>
      <c r="H27" s="37"/>
      <c r="I27" s="37"/>
      <c r="J27" s="37"/>
      <c r="K27" s="61"/>
      <c r="L27" s="61"/>
      <c r="M27" s="38">
        <f ca="1">IFERROR(SUM(M15:M26),"")</f>
        <v>7.2222222222222299E-2</v>
      </c>
      <c r="N27" s="36" t="s">
        <v>212</v>
      </c>
      <c r="O27" s="39">
        <v>202230</v>
      </c>
    </row>
    <row r="28" spans="1:15" ht="18" customHeight="1">
      <c r="A28" s="94" t="s">
        <v>214</v>
      </c>
      <c r="B28" s="95"/>
      <c r="C28" s="95"/>
      <c r="D28" s="95"/>
      <c r="E28" s="96"/>
      <c r="F28" s="40">
        <f>F14+F27</f>
        <v>107</v>
      </c>
      <c r="G28" s="40">
        <f>G14+G27</f>
        <v>449.4</v>
      </c>
      <c r="H28" s="41"/>
      <c r="I28" s="41"/>
      <c r="J28" s="41"/>
      <c r="K28" s="63"/>
      <c r="L28" s="63"/>
      <c r="M28" s="42">
        <f ca="1">IFERROR(M14+M27,"")</f>
        <v>0.29305555555555557</v>
      </c>
      <c r="N28" s="40" t="s">
        <v>215</v>
      </c>
      <c r="O28" s="48">
        <f>IFERROR(O14+O27,"")</f>
        <v>529300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221</v>
      </c>
      <c r="F29" s="27">
        <v>12</v>
      </c>
      <c r="G29" s="28">
        <f t="shared" ref="G29:G40" si="6">IF(F29="","",IF(E29="PC 17",F29*4.2,IF(E29="PC 19",F29*5,"")))</f>
        <v>50.400000000000006</v>
      </c>
      <c r="H29" s="33" t="s">
        <v>18</v>
      </c>
      <c r="I29" s="33" t="s">
        <v>124</v>
      </c>
      <c r="J29" s="33" t="s">
        <v>191</v>
      </c>
      <c r="K29" s="29">
        <v>0.34027777777777779</v>
      </c>
      <c r="L29" s="29">
        <v>0.40763888888888888</v>
      </c>
      <c r="M29" s="30">
        <f t="shared" ref="M29:M40" ca="1" si="7">IFERROR(IF(K29="","",IF(L29="",MOD(NOW()-K29,1),IF(L29&gt;=K29,L29-K29,L29+1-K29))),"")</f>
        <v>6.7361111111111094E-2</v>
      </c>
      <c r="N29" s="27" t="s">
        <v>255</v>
      </c>
      <c r="O29" s="60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221</v>
      </c>
      <c r="F30" s="27">
        <v>0</v>
      </c>
      <c r="G30" s="34">
        <f t="shared" si="6"/>
        <v>0</v>
      </c>
      <c r="H30" s="26" t="s">
        <v>18</v>
      </c>
      <c r="I30" s="26" t="s">
        <v>52</v>
      </c>
      <c r="J30" s="26" t="s">
        <v>34</v>
      </c>
      <c r="K30" s="29">
        <v>0.41875000000000001</v>
      </c>
      <c r="L30" s="29">
        <v>0.45</v>
      </c>
      <c r="M30" s="35">
        <f t="shared" ca="1" si="7"/>
        <v>3.125E-2</v>
      </c>
      <c r="N30" s="27"/>
      <c r="O30" s="60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221</v>
      </c>
      <c r="F31" s="27">
        <v>4</v>
      </c>
      <c r="G31" s="28">
        <f t="shared" si="6"/>
        <v>16.8</v>
      </c>
      <c r="H31" s="33" t="s">
        <v>18</v>
      </c>
      <c r="I31" s="33" t="s">
        <v>52</v>
      </c>
      <c r="J31" s="33" t="s">
        <v>34</v>
      </c>
      <c r="K31" s="29">
        <v>0.46111111111111114</v>
      </c>
      <c r="L31" s="29">
        <v>0.4861111111111111</v>
      </c>
      <c r="M31" s="30">
        <f t="shared" ca="1" si="7"/>
        <v>2.4999999999999967E-2</v>
      </c>
      <c r="N31" s="27"/>
      <c r="O31" s="60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221</v>
      </c>
      <c r="F32" s="27">
        <v>0</v>
      </c>
      <c r="G32" s="34">
        <f t="shared" si="6"/>
        <v>0</v>
      </c>
      <c r="H32" s="26" t="s">
        <v>20</v>
      </c>
      <c r="I32" s="26" t="s">
        <v>52</v>
      </c>
      <c r="J32" s="26" t="s">
        <v>51</v>
      </c>
      <c r="K32" s="29">
        <v>0.48680555555555555</v>
      </c>
      <c r="L32" s="29">
        <v>0.49583333333333335</v>
      </c>
      <c r="M32" s="35">
        <f t="shared" ca="1" si="7"/>
        <v>9.0277777777778012E-3</v>
      </c>
      <c r="N32" s="27"/>
      <c r="O32" s="60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221</v>
      </c>
      <c r="F33" s="27">
        <v>9</v>
      </c>
      <c r="G33" s="28">
        <f t="shared" si="6"/>
        <v>37.800000000000004</v>
      </c>
      <c r="H33" s="33" t="s">
        <v>17</v>
      </c>
      <c r="I33" s="33"/>
      <c r="J33" s="33" t="s">
        <v>25</v>
      </c>
      <c r="K33" s="29">
        <v>0.55138888888888893</v>
      </c>
      <c r="L33" s="29">
        <v>0.55972222222222223</v>
      </c>
      <c r="M33" s="30">
        <f t="shared" ca="1" si="7"/>
        <v>8.3333333333333037E-3</v>
      </c>
      <c r="N33" s="27"/>
      <c r="O33" s="60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221</v>
      </c>
      <c r="F34" s="27">
        <v>15</v>
      </c>
      <c r="G34" s="34">
        <f t="shared" si="6"/>
        <v>63</v>
      </c>
      <c r="H34" s="26" t="s">
        <v>19</v>
      </c>
      <c r="I34" s="26" t="s">
        <v>52</v>
      </c>
      <c r="J34" s="26" t="s">
        <v>27</v>
      </c>
      <c r="K34" s="29">
        <v>0.57708333333333328</v>
      </c>
      <c r="L34" s="29">
        <v>0.59791666666666665</v>
      </c>
      <c r="M34" s="35">
        <f t="shared" ca="1" si="7"/>
        <v>2.083333333333337E-2</v>
      </c>
      <c r="N34" s="27" t="s">
        <v>256</v>
      </c>
      <c r="O34" s="60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221</v>
      </c>
      <c r="F35" s="27">
        <v>0</v>
      </c>
      <c r="G35" s="28">
        <f t="shared" si="6"/>
        <v>0</v>
      </c>
      <c r="H35" s="33" t="s">
        <v>20</v>
      </c>
      <c r="I35" s="33" t="s">
        <v>147</v>
      </c>
      <c r="J35" s="33" t="s">
        <v>176</v>
      </c>
      <c r="K35" s="29">
        <v>0.60763888888888884</v>
      </c>
      <c r="L35" s="29">
        <v>0.64583333333333337</v>
      </c>
      <c r="M35" s="30">
        <f t="shared" ca="1" si="7"/>
        <v>3.8194444444444531E-2</v>
      </c>
      <c r="N35" s="27"/>
      <c r="O35" s="60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221</v>
      </c>
      <c r="F36" s="27">
        <v>0</v>
      </c>
      <c r="G36" s="34">
        <f t="shared" si="6"/>
        <v>0</v>
      </c>
      <c r="H36" s="26" t="s">
        <v>20</v>
      </c>
      <c r="I36" s="26" t="s">
        <v>147</v>
      </c>
      <c r="J36" s="26" t="s">
        <v>74</v>
      </c>
      <c r="K36" s="29">
        <v>0.65625</v>
      </c>
      <c r="L36" s="29">
        <v>0.68055555555555558</v>
      </c>
      <c r="M36" s="35">
        <f t="shared" ca="1" si="7"/>
        <v>2.430555555555558E-2</v>
      </c>
      <c r="N36" s="27"/>
      <c r="O36" s="60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221</v>
      </c>
      <c r="F37" s="27">
        <v>10</v>
      </c>
      <c r="G37" s="28">
        <f t="shared" si="6"/>
        <v>42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221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221</v>
      </c>
      <c r="F39" s="27">
        <v>30</v>
      </c>
      <c r="G39" s="28">
        <f t="shared" si="6"/>
        <v>126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221</v>
      </c>
      <c r="F40" s="27">
        <v>5</v>
      </c>
      <c r="G40" s="34">
        <f t="shared" si="6"/>
        <v>21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91" t="s">
        <v>211</v>
      </c>
      <c r="B41" s="92"/>
      <c r="C41" s="92"/>
      <c r="D41" s="92"/>
      <c r="E41" s="93">
        <f>SUM(E29:E40)</f>
        <v>0</v>
      </c>
      <c r="F41" s="36">
        <f>SUM(F29:F40)</f>
        <v>85</v>
      </c>
      <c r="G41" s="36">
        <f>SUM(G29:G40)</f>
        <v>357</v>
      </c>
      <c r="H41" s="37"/>
      <c r="I41" s="37"/>
      <c r="J41" s="37"/>
      <c r="K41" s="61"/>
      <c r="L41" s="61"/>
      <c r="M41" s="38">
        <f ca="1">IFERROR(SUM(M29:M40),"")</f>
        <v>0.22430555555555565</v>
      </c>
      <c r="N41" s="36" t="s">
        <v>212</v>
      </c>
      <c r="O41" s="39">
        <v>304990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221</v>
      </c>
      <c r="F42" s="27">
        <v>30</v>
      </c>
      <c r="G42" s="34">
        <f t="shared" ref="G42:G53" si="9">IF(F42="","",IF(E42="PC 17",F42*4.2,IF(E42="PC 19",F42*5,"")))</f>
        <v>126</v>
      </c>
      <c r="H42" s="26" t="s">
        <v>20</v>
      </c>
      <c r="I42" s="26" t="s">
        <v>57</v>
      </c>
      <c r="J42" s="26" t="s">
        <v>28</v>
      </c>
      <c r="K42" s="29">
        <v>0.8125</v>
      </c>
      <c r="L42" s="29">
        <v>0.86458333333333337</v>
      </c>
      <c r="M42" s="35">
        <f t="shared" ref="M42:M53" ca="1" si="10">IFERROR(IF(K42="","",IF(L42="",MOD(NOW()-K42,1),IF(L42&gt;=K42,L42-K42,L42+1-K42))),"")</f>
        <v>5.208333333333337E-2</v>
      </c>
      <c r="N42" s="27"/>
      <c r="O42" s="60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221</v>
      </c>
      <c r="F43" s="27">
        <v>0</v>
      </c>
      <c r="G43" s="28">
        <f t="shared" si="9"/>
        <v>0</v>
      </c>
      <c r="H43" s="33" t="s">
        <v>19</v>
      </c>
      <c r="I43" s="33" t="s">
        <v>57</v>
      </c>
      <c r="J43" s="33" t="s">
        <v>35</v>
      </c>
      <c r="K43" s="29">
        <v>0.18402777777777779</v>
      </c>
      <c r="L43" s="29">
        <v>0.20833333333333334</v>
      </c>
      <c r="M43" s="35">
        <f t="shared" ca="1" si="10"/>
        <v>2.4305555555555552E-2</v>
      </c>
      <c r="N43" s="27"/>
      <c r="O43" s="60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221</v>
      </c>
      <c r="F44" s="27">
        <v>11</v>
      </c>
      <c r="G44" s="34">
        <f t="shared" si="9"/>
        <v>46.2</v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221</v>
      </c>
      <c r="F45" s="27">
        <v>14</v>
      </c>
      <c r="G45" s="28">
        <f t="shared" si="9"/>
        <v>58.800000000000004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60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221</v>
      </c>
      <c r="F46" s="27">
        <v>13</v>
      </c>
      <c r="G46" s="34">
        <f t="shared" si="9"/>
        <v>54.6</v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221</v>
      </c>
      <c r="F47" s="27">
        <v>18</v>
      </c>
      <c r="G47" s="28">
        <f t="shared" si="9"/>
        <v>75.600000000000009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60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221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221</v>
      </c>
      <c r="F49" s="27">
        <v>17</v>
      </c>
      <c r="G49" s="28">
        <f t="shared" si="9"/>
        <v>71.400000000000006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221</v>
      </c>
      <c r="F50" s="27">
        <v>13</v>
      </c>
      <c r="G50" s="34">
        <f t="shared" si="9"/>
        <v>54.6</v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221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221</v>
      </c>
      <c r="F52" s="27">
        <v>4</v>
      </c>
      <c r="G52" s="34">
        <f t="shared" si="9"/>
        <v>16.8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221</v>
      </c>
      <c r="F53" s="27">
        <v>4</v>
      </c>
      <c r="G53" s="28">
        <f t="shared" si="9"/>
        <v>16.8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91" t="s">
        <v>213</v>
      </c>
      <c r="B54" s="92"/>
      <c r="C54" s="92"/>
      <c r="D54" s="92"/>
      <c r="E54" s="93">
        <f>SUM(E42:E53)</f>
        <v>0</v>
      </c>
      <c r="F54" s="36">
        <f>SUM(F42:F53)</f>
        <v>128</v>
      </c>
      <c r="G54" s="36">
        <f>SUM(G42:G53)</f>
        <v>537.6</v>
      </c>
      <c r="H54" s="37"/>
      <c r="I54" s="37"/>
      <c r="J54" s="37"/>
      <c r="K54" s="61"/>
      <c r="L54" s="61"/>
      <c r="M54" s="38">
        <f ca="1">IFERROR(SUM(M42:M53),"")</f>
        <v>7.6388888888888923E-2</v>
      </c>
      <c r="N54" s="36" t="s">
        <v>212</v>
      </c>
      <c r="O54" s="39">
        <v>473910</v>
      </c>
    </row>
    <row r="55" spans="1:15" ht="18" customHeight="1">
      <c r="A55" s="94" t="s">
        <v>214</v>
      </c>
      <c r="B55" s="95"/>
      <c r="C55" s="95"/>
      <c r="D55" s="95"/>
      <c r="E55" s="96">
        <f>E41+E54</f>
        <v>0</v>
      </c>
      <c r="F55" s="40">
        <f>F41+F54</f>
        <v>213</v>
      </c>
      <c r="G55" s="40">
        <f>G41+G54</f>
        <v>894.6</v>
      </c>
      <c r="H55" s="41"/>
      <c r="I55" s="41"/>
      <c r="J55" s="41"/>
      <c r="K55" s="63"/>
      <c r="L55" s="63"/>
      <c r="M55" s="42">
        <f ca="1">IFERROR(M41+M54,"")</f>
        <v>0.3006944444444446</v>
      </c>
      <c r="N55" s="40" t="s">
        <v>215</v>
      </c>
      <c r="O55" s="48">
        <f>IFERROR(O41+O54,"")</f>
        <v>778900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221</v>
      </c>
      <c r="F56" s="27">
        <v>20</v>
      </c>
      <c r="G56" s="28">
        <f t="shared" ref="G56:G67" si="12">IF(F56="","",IF(E56="PC 17",F56*4.2,IF(E56="PC 19",F56*5,"")))</f>
        <v>84</v>
      </c>
      <c r="H56" s="26" t="s">
        <v>20</v>
      </c>
      <c r="I56" s="26" t="s">
        <v>52</v>
      </c>
      <c r="J56" s="26" t="s">
        <v>51</v>
      </c>
      <c r="K56" s="29">
        <v>0.30208333333333331</v>
      </c>
      <c r="L56" s="29">
        <v>0.3125</v>
      </c>
      <c r="M56" s="30">
        <f t="shared" ref="M56:M67" ca="1" si="13">IFERROR(IF(K56="","",IF(L56="",MOD(NOW()-K56,1),IF(L56&gt;=K56,L56-K56,L56+1-K56))),"")</f>
        <v>1.0416666666666685E-2</v>
      </c>
      <c r="N56" s="27"/>
      <c r="O56" s="60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221</v>
      </c>
      <c r="F57" s="27">
        <v>15</v>
      </c>
      <c r="G57" s="34">
        <f t="shared" si="12"/>
        <v>63</v>
      </c>
      <c r="H57" s="33" t="s">
        <v>19</v>
      </c>
      <c r="I57" s="33" t="s">
        <v>57</v>
      </c>
      <c r="J57" s="33" t="s">
        <v>27</v>
      </c>
      <c r="K57" s="29">
        <v>0.35416666666666669</v>
      </c>
      <c r="L57" s="29">
        <v>0.37361111111111112</v>
      </c>
      <c r="M57" s="35">
        <f t="shared" ca="1" si="13"/>
        <v>1.9444444444444431E-2</v>
      </c>
      <c r="N57" s="27"/>
      <c r="O57" s="60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221</v>
      </c>
      <c r="F58" s="27">
        <v>15</v>
      </c>
      <c r="G58" s="28">
        <f t="shared" si="12"/>
        <v>63</v>
      </c>
      <c r="H58" s="26" t="s">
        <v>19</v>
      </c>
      <c r="I58" s="26" t="s">
        <v>57</v>
      </c>
      <c r="J58" s="26" t="s">
        <v>27</v>
      </c>
      <c r="K58" s="29" t="s">
        <v>257</v>
      </c>
      <c r="L58" s="29">
        <v>0.54097222222222219</v>
      </c>
      <c r="M58" s="30" t="str">
        <f t="shared" ca="1" si="13"/>
        <v/>
      </c>
      <c r="N58" s="27" t="s">
        <v>258</v>
      </c>
      <c r="O58" s="60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221</v>
      </c>
      <c r="F59" s="27">
        <v>31</v>
      </c>
      <c r="G59" s="34">
        <f t="shared" si="12"/>
        <v>130.20000000000002</v>
      </c>
      <c r="H59" s="33" t="s">
        <v>19</v>
      </c>
      <c r="I59" s="33" t="s">
        <v>52</v>
      </c>
      <c r="J59" s="33" t="s">
        <v>27</v>
      </c>
      <c r="K59" s="29">
        <v>0.72013888888888888</v>
      </c>
      <c r="L59" s="29">
        <v>0.75</v>
      </c>
      <c r="M59" s="35">
        <f t="shared" ca="1" si="13"/>
        <v>2.9861111111111116E-2</v>
      </c>
      <c r="N59" s="27"/>
      <c r="O59" s="60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221</v>
      </c>
      <c r="F60" s="27">
        <v>14</v>
      </c>
      <c r="G60" s="28">
        <f t="shared" si="12"/>
        <v>58.800000000000004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221</v>
      </c>
      <c r="F61" s="27">
        <v>17</v>
      </c>
      <c r="G61" s="34">
        <f t="shared" si="12"/>
        <v>71.400000000000006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221</v>
      </c>
      <c r="F62" s="27">
        <v>9</v>
      </c>
      <c r="G62" s="28">
        <f t="shared" si="12"/>
        <v>37.800000000000004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221</v>
      </c>
      <c r="F63" s="27">
        <v>13</v>
      </c>
      <c r="G63" s="34">
        <f t="shared" si="12"/>
        <v>54.6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221</v>
      </c>
      <c r="F64" s="27">
        <v>24</v>
      </c>
      <c r="G64" s="28">
        <f t="shared" si="12"/>
        <v>100.80000000000001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221</v>
      </c>
      <c r="F65" s="27">
        <v>30</v>
      </c>
      <c r="G65" s="34">
        <f t="shared" si="12"/>
        <v>126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221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221</v>
      </c>
      <c r="F67" s="27">
        <v>7</v>
      </c>
      <c r="G67" s="34">
        <f t="shared" si="12"/>
        <v>29.400000000000002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91" t="s">
        <v>211</v>
      </c>
      <c r="B68" s="92"/>
      <c r="C68" s="92"/>
      <c r="D68" s="92"/>
      <c r="E68" s="93">
        <f>SUM(E56:E67)</f>
        <v>0</v>
      </c>
      <c r="F68" s="36">
        <f>SUM(F56:F67)</f>
        <v>195</v>
      </c>
      <c r="G68" s="36">
        <f>SUM(G56:G67)</f>
        <v>819.00000000000011</v>
      </c>
      <c r="H68" s="37"/>
      <c r="I68" s="37"/>
      <c r="J68" s="37"/>
      <c r="K68" s="61"/>
      <c r="L68" s="61"/>
      <c r="M68" s="38">
        <f ca="1">IFERROR(SUM(M56:M67),"")</f>
        <v>5.9722222222222232E-2</v>
      </c>
      <c r="N68" s="36" t="s">
        <v>212</v>
      </c>
      <c r="O68" s="39">
        <v>763370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221</v>
      </c>
      <c r="F69" s="27">
        <v>27</v>
      </c>
      <c r="G69" s="34">
        <f t="shared" ref="G69:G80" si="15">IF(F69="","",IF(E69="PC 17",F69*4.2,IF(E69="PC 19",F69*5,"")))</f>
        <v>113.4</v>
      </c>
      <c r="H69" s="33" t="s">
        <v>20</v>
      </c>
      <c r="I69" s="33" t="s">
        <v>52</v>
      </c>
      <c r="J69" s="33" t="s">
        <v>51</v>
      </c>
      <c r="K69" s="29">
        <v>0.83819444444444446</v>
      </c>
      <c r="L69" s="29">
        <v>0.84097222222222223</v>
      </c>
      <c r="M69" s="35">
        <f t="shared" ref="M69:M80" ca="1" si="16">IFERROR(IF(K69="","",IF(L69="",MOD(NOW()-K69,1),IF(L69&gt;=K69,L69-K69,L69+1-K69))),"")</f>
        <v>2.7777777777777679E-3</v>
      </c>
      <c r="N69" s="27"/>
      <c r="O69" s="60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221</v>
      </c>
      <c r="F70" s="27">
        <v>19</v>
      </c>
      <c r="G70" s="28">
        <f t="shared" si="15"/>
        <v>79.8</v>
      </c>
      <c r="H70" s="26" t="s">
        <v>20</v>
      </c>
      <c r="I70" s="26" t="s">
        <v>52</v>
      </c>
      <c r="J70" s="26" t="s">
        <v>51</v>
      </c>
      <c r="K70" s="29">
        <v>0.86805555555555558</v>
      </c>
      <c r="L70" s="29">
        <v>0.88958333333333328</v>
      </c>
      <c r="M70" s="30">
        <f t="shared" ca="1" si="16"/>
        <v>2.1527777777777701E-2</v>
      </c>
      <c r="N70" s="27" t="s">
        <v>242</v>
      </c>
      <c r="O70" s="60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221</v>
      </c>
      <c r="F71" s="27">
        <v>12</v>
      </c>
      <c r="G71" s="34">
        <f t="shared" si="15"/>
        <v>50.400000000000006</v>
      </c>
      <c r="H71" s="33" t="s">
        <v>18</v>
      </c>
      <c r="I71" s="33" t="s">
        <v>124</v>
      </c>
      <c r="J71" s="33" t="s">
        <v>192</v>
      </c>
      <c r="K71" s="29">
        <v>0.89236111111111116</v>
      </c>
      <c r="L71" s="29">
        <v>0.90625</v>
      </c>
      <c r="M71" s="35">
        <f t="shared" ca="1" si="16"/>
        <v>1.388888888888884E-2</v>
      </c>
      <c r="N71" s="27"/>
      <c r="O71" s="60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221</v>
      </c>
      <c r="F72" s="27">
        <v>9</v>
      </c>
      <c r="G72" s="28">
        <f t="shared" si="15"/>
        <v>37.800000000000004</v>
      </c>
      <c r="H72" s="26" t="s">
        <v>20</v>
      </c>
      <c r="I72" s="26" t="s">
        <v>52</v>
      </c>
      <c r="J72" s="26" t="s">
        <v>162</v>
      </c>
      <c r="K72" s="29">
        <v>0.90972222222222221</v>
      </c>
      <c r="L72" s="29">
        <v>0.94097222222222221</v>
      </c>
      <c r="M72" s="30">
        <f t="shared" ca="1" si="16"/>
        <v>3.125E-2</v>
      </c>
      <c r="N72" s="27" t="s">
        <v>259</v>
      </c>
      <c r="O72" s="60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221</v>
      </c>
      <c r="F73" s="27">
        <v>9</v>
      </c>
      <c r="G73" s="34">
        <f t="shared" si="15"/>
        <v>37.800000000000004</v>
      </c>
      <c r="H73" s="33" t="s">
        <v>20</v>
      </c>
      <c r="I73" s="33" t="s">
        <v>52</v>
      </c>
      <c r="J73" s="33" t="s">
        <v>162</v>
      </c>
      <c r="K73" s="29">
        <v>0.95416666666666672</v>
      </c>
      <c r="L73" s="29">
        <v>0.97916666666666663</v>
      </c>
      <c r="M73" s="35">
        <f t="shared" ca="1" si="16"/>
        <v>2.4999999999999911E-2</v>
      </c>
      <c r="N73" s="27" t="s">
        <v>260</v>
      </c>
      <c r="O73" s="60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221</v>
      </c>
      <c r="F74" s="27">
        <v>31</v>
      </c>
      <c r="G74" s="28">
        <f t="shared" si="15"/>
        <v>130.20000000000002</v>
      </c>
      <c r="H74" s="26" t="s">
        <v>19</v>
      </c>
      <c r="I74" s="26" t="s">
        <v>52</v>
      </c>
      <c r="J74" s="33" t="s">
        <v>35</v>
      </c>
      <c r="K74" s="29">
        <v>4.4444444444444446E-2</v>
      </c>
      <c r="L74" s="29">
        <v>0.10486111111111111</v>
      </c>
      <c r="M74" s="30">
        <f t="shared" ca="1" si="16"/>
        <v>6.0416666666666667E-2</v>
      </c>
      <c r="N74" s="27" t="s">
        <v>261</v>
      </c>
      <c r="O74" s="60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221</v>
      </c>
      <c r="F75" s="27">
        <v>8</v>
      </c>
      <c r="G75" s="34">
        <f>IF(F75="","",IF(E75="PC 17",F75*4.2,IF(E75="PC 19",F75*5,"")))</f>
        <v>33.6</v>
      </c>
      <c r="H75" s="33" t="s">
        <v>20</v>
      </c>
      <c r="I75" s="33" t="s">
        <v>57</v>
      </c>
      <c r="J75" s="33" t="s">
        <v>162</v>
      </c>
      <c r="K75" s="29">
        <v>0.10902777777777778</v>
      </c>
      <c r="L75" s="29">
        <v>0.12569444444444444</v>
      </c>
      <c r="M75" s="35">
        <f t="shared" ca="1" si="16"/>
        <v>1.6666666666666663E-2</v>
      </c>
      <c r="N75" s="27" t="s">
        <v>262</v>
      </c>
      <c r="O75" s="60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221</v>
      </c>
      <c r="F76" s="27">
        <v>1</v>
      </c>
      <c r="G76" s="28">
        <f t="shared" si="15"/>
        <v>4.2</v>
      </c>
      <c r="H76" s="26" t="s">
        <v>20</v>
      </c>
      <c r="I76" s="26" t="s">
        <v>147</v>
      </c>
      <c r="J76" s="26" t="s">
        <v>179</v>
      </c>
      <c r="K76" s="29">
        <v>0.13194444444444445</v>
      </c>
      <c r="L76" s="29">
        <v>0.22222222222222221</v>
      </c>
      <c r="M76" s="30">
        <f t="shared" ca="1" si="16"/>
        <v>9.0277777777777762E-2</v>
      </c>
      <c r="N76" s="27"/>
      <c r="O76" s="60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221</v>
      </c>
      <c r="F77" s="27">
        <v>4</v>
      </c>
      <c r="G77" s="34">
        <f t="shared" si="15"/>
        <v>16.8</v>
      </c>
      <c r="H77" s="33" t="s">
        <v>20</v>
      </c>
      <c r="I77" s="33" t="s">
        <v>52</v>
      </c>
      <c r="J77" s="33" t="s">
        <v>51</v>
      </c>
      <c r="K77" s="29">
        <v>0.23958333333333334</v>
      </c>
      <c r="L77" s="29">
        <v>0.25694444444444442</v>
      </c>
      <c r="M77" s="35">
        <f t="shared" ca="1" si="16"/>
        <v>1.7361111111111077E-2</v>
      </c>
      <c r="N77" s="27"/>
      <c r="O77" s="60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221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221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221</v>
      </c>
      <c r="F80" s="27">
        <v>5</v>
      </c>
      <c r="G80" s="28">
        <f t="shared" si="15"/>
        <v>21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91" t="s">
        <v>213</v>
      </c>
      <c r="B81" s="92"/>
      <c r="C81" s="92"/>
      <c r="D81" s="92"/>
      <c r="E81" s="93">
        <f>SUM(E69:E80)</f>
        <v>0</v>
      </c>
      <c r="F81" s="36">
        <f>SUM(F69:F80)</f>
        <v>132</v>
      </c>
      <c r="G81" s="36">
        <f>SUM(G69:G80)</f>
        <v>554.4</v>
      </c>
      <c r="H81" s="37"/>
      <c r="I81" s="37"/>
      <c r="J81" s="37"/>
      <c r="K81" s="61"/>
      <c r="L81" s="61"/>
      <c r="M81" s="38">
        <f ca="1">IFERROR(SUM(M69:M80),"")</f>
        <v>0.27916666666666634</v>
      </c>
      <c r="N81" s="36" t="s">
        <v>212</v>
      </c>
      <c r="O81" s="39">
        <v>565120</v>
      </c>
    </row>
    <row r="82" spans="1:15" ht="18" customHeight="1">
      <c r="A82" s="94" t="s">
        <v>214</v>
      </c>
      <c r="B82" s="95"/>
      <c r="C82" s="95"/>
      <c r="D82" s="95"/>
      <c r="E82" s="96">
        <f>E68+E81</f>
        <v>0</v>
      </c>
      <c r="F82" s="40">
        <f>F68+F81</f>
        <v>327</v>
      </c>
      <c r="G82" s="40">
        <f>G68+G81</f>
        <v>1373.4</v>
      </c>
      <c r="H82" s="41"/>
      <c r="I82" s="41"/>
      <c r="J82" s="41"/>
      <c r="K82" s="63"/>
      <c r="L82" s="63"/>
      <c r="M82" s="42">
        <f ca="1">IFERROR(M68+M81,"")</f>
        <v>0.33888888888888857</v>
      </c>
      <c r="N82" s="40" t="s">
        <v>215</v>
      </c>
      <c r="O82" s="48">
        <f>IFERROR(O68+O81,"")</f>
        <v>1328490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221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52</v>
      </c>
      <c r="J83" s="33" t="s">
        <v>27</v>
      </c>
      <c r="K83" s="29">
        <v>0.29166666666666669</v>
      </c>
      <c r="L83" s="29">
        <v>0.46527777777777779</v>
      </c>
      <c r="M83" s="30">
        <f t="shared" ref="M83:M94" ca="1" si="19">IFERROR(IF(K83="","",IF(L83="",MOD(NOW()-K83,1),IF(L83&gt;=K83,L83-K83,L83+1-K83))),"")</f>
        <v>0.1736111111111111</v>
      </c>
      <c r="N83" s="27" t="s">
        <v>263</v>
      </c>
      <c r="O83" s="60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221</v>
      </c>
      <c r="F84" s="27">
        <v>3</v>
      </c>
      <c r="G84" s="34">
        <f t="shared" si="18"/>
        <v>12.600000000000001</v>
      </c>
      <c r="H84" s="26" t="s">
        <v>20</v>
      </c>
      <c r="I84" s="26" t="s">
        <v>52</v>
      </c>
      <c r="J84" s="26" t="s">
        <v>56</v>
      </c>
      <c r="K84" s="29">
        <v>0.7319444444444444</v>
      </c>
      <c r="L84" s="29">
        <v>0.74652777777777779</v>
      </c>
      <c r="M84" s="35">
        <f t="shared" ca="1" si="19"/>
        <v>1.4583333333333393E-2</v>
      </c>
      <c r="N84" s="27"/>
      <c r="O84" s="60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221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221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221</v>
      </c>
      <c r="F87" s="27">
        <v>12</v>
      </c>
      <c r="G87" s="28">
        <f t="shared" si="18"/>
        <v>50.400000000000006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209</v>
      </c>
      <c r="F88" s="27">
        <v>26</v>
      </c>
      <c r="G88" s="34">
        <f t="shared" si="18"/>
        <v>130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209</v>
      </c>
      <c r="F89" s="27">
        <v>21</v>
      </c>
      <c r="G89" s="28">
        <f t="shared" si="18"/>
        <v>105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209</v>
      </c>
      <c r="F90" s="27">
        <v>15</v>
      </c>
      <c r="G90" s="34">
        <f t="shared" si="18"/>
        <v>75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30</v>
      </c>
      <c r="E91" s="59" t="s">
        <v>209</v>
      </c>
      <c r="F91" s="27">
        <v>17</v>
      </c>
      <c r="G91" s="28">
        <f t="shared" si="18"/>
        <v>85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209</v>
      </c>
      <c r="F92" s="27">
        <v>46</v>
      </c>
      <c r="G92" s="34">
        <f t="shared" si="18"/>
        <v>230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209</v>
      </c>
      <c r="F93" s="27">
        <v>3</v>
      </c>
      <c r="G93" s="28">
        <f t="shared" si="18"/>
        <v>15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209</v>
      </c>
      <c r="F94" s="27">
        <v>0</v>
      </c>
      <c r="G94" s="34">
        <f t="shared" si="18"/>
        <v>0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91" t="s">
        <v>211</v>
      </c>
      <c r="B95" s="92"/>
      <c r="C95" s="92"/>
      <c r="D95" s="92"/>
      <c r="E95" s="93">
        <f>SUM(E83:E94)</f>
        <v>0</v>
      </c>
      <c r="F95" s="36">
        <f>SUM(F83:F94)</f>
        <v>143</v>
      </c>
      <c r="G95" s="36">
        <f>SUM(G83:G94)</f>
        <v>703</v>
      </c>
      <c r="H95" s="37"/>
      <c r="I95" s="37"/>
      <c r="J95" s="37"/>
      <c r="K95" s="61"/>
      <c r="L95" s="61"/>
      <c r="M95" s="38">
        <f ca="1">IFERROR(SUM(M83:M94),"")</f>
        <v>0.1881944444444445</v>
      </c>
      <c r="N95" s="36" t="s">
        <v>212</v>
      </c>
      <c r="O95" s="39">
        <v>776910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221</v>
      </c>
      <c r="F96" s="27">
        <v>21</v>
      </c>
      <c r="G96" s="34">
        <f t="shared" ref="G96:G107" si="21">IF(F96="","",IF(E96="PC 17",F96*4.2,IF(E96="PC 19",F96*5,"")))</f>
        <v>88.2</v>
      </c>
      <c r="H96" s="26" t="s">
        <v>19</v>
      </c>
      <c r="I96" s="26" t="s">
        <v>157</v>
      </c>
      <c r="J96" s="26" t="s">
        <v>27</v>
      </c>
      <c r="K96" s="29">
        <v>0.85069444444444442</v>
      </c>
      <c r="L96" s="29">
        <v>0.86597222222222225</v>
      </c>
      <c r="M96" s="35">
        <f t="shared" ref="M96:M107" ca="1" si="22">IFERROR(IF(K96="","",IF(L96="",MOD(NOW()-K96,1),IF(L96&gt;=K96,L96-K96,L96+1-K96))),"")</f>
        <v>1.5277777777777835E-2</v>
      </c>
      <c r="N96" s="27"/>
      <c r="O96" s="60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221</v>
      </c>
      <c r="F97" s="27">
        <v>0</v>
      </c>
      <c r="G97" s="28">
        <f t="shared" si="21"/>
        <v>0</v>
      </c>
      <c r="H97" s="33" t="s">
        <v>20</v>
      </c>
      <c r="I97" s="33" t="s">
        <v>52</v>
      </c>
      <c r="J97" s="33" t="s">
        <v>62</v>
      </c>
      <c r="K97" s="29">
        <v>0.95138888888888884</v>
      </c>
      <c r="L97" s="29">
        <v>0.97083333333333333</v>
      </c>
      <c r="M97" s="30">
        <f t="shared" ca="1" si="22"/>
        <v>1.9444444444444486E-2</v>
      </c>
      <c r="N97" s="27"/>
      <c r="O97" s="60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221</v>
      </c>
      <c r="F98" s="27">
        <v>20</v>
      </c>
      <c r="G98" s="34">
        <f>IF(F98="","",IF(E98="PC 17",F98*4.2,IF(E98="PC 19",F98*5,"")))</f>
        <v>84</v>
      </c>
      <c r="H98" s="26" t="s">
        <v>18</v>
      </c>
      <c r="I98" s="26" t="s">
        <v>75</v>
      </c>
      <c r="J98" s="26" t="s">
        <v>193</v>
      </c>
      <c r="K98" s="29">
        <v>0.99791666666666667</v>
      </c>
      <c r="L98" s="29">
        <v>0.29166666666666669</v>
      </c>
      <c r="M98" s="35">
        <f t="shared" ca="1" si="22"/>
        <v>0.29375000000000007</v>
      </c>
      <c r="N98" s="27"/>
      <c r="O98" s="60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221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221</v>
      </c>
      <c r="F100" s="27">
        <v>22</v>
      </c>
      <c r="G100" s="34">
        <f t="shared" si="21"/>
        <v>92.4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221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221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221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221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221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221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221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91" t="s">
        <v>213</v>
      </c>
      <c r="B108" s="92"/>
      <c r="C108" s="92"/>
      <c r="D108" s="92"/>
      <c r="E108" s="93">
        <f>SUM(E96:E107)</f>
        <v>0</v>
      </c>
      <c r="F108" s="36">
        <f>SUM(F96:F107)</f>
        <v>85</v>
      </c>
      <c r="G108" s="36">
        <f>SUM(G96:G107)</f>
        <v>357</v>
      </c>
      <c r="H108" s="37"/>
      <c r="I108" s="37"/>
      <c r="J108" s="37"/>
      <c r="K108" s="61"/>
      <c r="L108" s="61"/>
      <c r="M108" s="38">
        <f ca="1">IFERROR(SUM(M96:M107),"")</f>
        <v>0.32847222222222239</v>
      </c>
      <c r="N108" s="36" t="s">
        <v>212</v>
      </c>
      <c r="O108" s="39">
        <v>558590</v>
      </c>
    </row>
    <row r="109" spans="1:15" ht="18" customHeight="1">
      <c r="A109" s="94" t="s">
        <v>214</v>
      </c>
      <c r="B109" s="95"/>
      <c r="C109" s="95"/>
      <c r="D109" s="95"/>
      <c r="E109" s="96">
        <f>E95+E108</f>
        <v>0</v>
      </c>
      <c r="F109" s="40">
        <f>F95+F108</f>
        <v>228</v>
      </c>
      <c r="G109" s="40">
        <f>G95+G108</f>
        <v>1060</v>
      </c>
      <c r="H109" s="41"/>
      <c r="I109" s="41"/>
      <c r="J109" s="41"/>
      <c r="K109" s="63"/>
      <c r="L109" s="63"/>
      <c r="M109" s="42">
        <f ca="1">IFERROR(M95+M108,"")</f>
        <v>0.51666666666666683</v>
      </c>
      <c r="N109" s="40" t="s">
        <v>215</v>
      </c>
      <c r="O109" s="48">
        <f>IFERROR(O95+O108,"")</f>
        <v>1335500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221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75</v>
      </c>
      <c r="J110" s="26" t="s">
        <v>193</v>
      </c>
      <c r="K110" s="29">
        <v>0.29166666666666669</v>
      </c>
      <c r="L110" s="29">
        <v>0.65694444444444444</v>
      </c>
      <c r="M110" s="30">
        <f t="shared" ref="M110:M121" ca="1" si="25">IFERROR(IF(K110="","",IF(L110="",MOD(NOW()-K110,1),IF(L110&gt;=K110,L110-K110,L110+1-K110))),"")</f>
        <v>0.36527777777777776</v>
      </c>
      <c r="N110" s="27" t="s">
        <v>264</v>
      </c>
      <c r="O110" s="60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221</v>
      </c>
      <c r="F111" s="27">
        <v>0</v>
      </c>
      <c r="G111" s="34">
        <f t="shared" si="24"/>
        <v>0</v>
      </c>
      <c r="H111" s="33" t="s">
        <v>20</v>
      </c>
      <c r="I111" s="33" t="s">
        <v>52</v>
      </c>
      <c r="J111" s="33" t="s">
        <v>51</v>
      </c>
      <c r="K111" s="29">
        <v>0.71736111111111112</v>
      </c>
      <c r="L111" s="29">
        <v>0.71944444444444444</v>
      </c>
      <c r="M111" s="35">
        <f t="shared" ca="1" si="25"/>
        <v>2.0833333333333259E-3</v>
      </c>
      <c r="N111" s="27"/>
      <c r="O111" s="60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221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221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221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221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221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221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221</v>
      </c>
      <c r="F118" s="27">
        <v>10</v>
      </c>
      <c r="G118" s="28">
        <f t="shared" si="24"/>
        <v>42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221</v>
      </c>
      <c r="F119" s="27">
        <v>22</v>
      </c>
      <c r="G119" s="34">
        <f t="shared" si="24"/>
        <v>92.4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221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221</v>
      </c>
      <c r="F121" s="27">
        <v>4</v>
      </c>
      <c r="G121" s="34">
        <f t="shared" si="24"/>
        <v>16.8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91" t="s">
        <v>211</v>
      </c>
      <c r="B122" s="92"/>
      <c r="C122" s="92"/>
      <c r="D122" s="92"/>
      <c r="E122" s="93">
        <f>SUM(E110:E121)</f>
        <v>0</v>
      </c>
      <c r="F122" s="36">
        <f>SUM(F110:F121)</f>
        <v>54</v>
      </c>
      <c r="G122" s="36">
        <f>SUM(G110:G121)</f>
        <v>226.8</v>
      </c>
      <c r="H122" s="37"/>
      <c r="I122" s="37"/>
      <c r="J122" s="37"/>
      <c r="K122" s="61"/>
      <c r="L122" s="61"/>
      <c r="M122" s="38">
        <f ca="1">IFERROR(SUM(M110:M121),"")</f>
        <v>0.36736111111111108</v>
      </c>
      <c r="N122" s="36" t="s">
        <v>212</v>
      </c>
      <c r="O122" s="39">
        <v>274450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209</v>
      </c>
      <c r="F123" s="27">
        <v>5</v>
      </c>
      <c r="G123" s="34">
        <f t="shared" ref="G123:G134" si="27">IF(F123="","",IF(E123="PC 17",F123*4.2,IF(E123="PC 19",F123*5,"")))</f>
        <v>25</v>
      </c>
      <c r="H123" s="33" t="s">
        <v>18</v>
      </c>
      <c r="I123" s="33" t="s">
        <v>75</v>
      </c>
      <c r="J123" s="33" t="s">
        <v>100</v>
      </c>
      <c r="K123" s="29">
        <v>0.79166666666666663</v>
      </c>
      <c r="L123" s="29">
        <v>0.85069444444444442</v>
      </c>
      <c r="M123" s="35">
        <f t="shared" ref="M123:M134" ca="1" si="28">IFERROR(IF(K123="","",IF(L123="",MOD(NOW()-K123,1),IF(L123&gt;=K123,L123-K123,L123+1-K123))),"")</f>
        <v>5.902777777777779E-2</v>
      </c>
      <c r="N123" s="27"/>
      <c r="O123" s="60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209</v>
      </c>
      <c r="F124" s="27">
        <v>14</v>
      </c>
      <c r="G124" s="28">
        <f t="shared" si="27"/>
        <v>70</v>
      </c>
      <c r="H124" s="26" t="s">
        <v>20</v>
      </c>
      <c r="I124" s="26" t="s">
        <v>52</v>
      </c>
      <c r="J124" s="26" t="s">
        <v>28</v>
      </c>
      <c r="K124" s="29">
        <v>0.96180555555555558</v>
      </c>
      <c r="L124" s="29">
        <v>0.98611111111111116</v>
      </c>
      <c r="M124" s="30">
        <f t="shared" ca="1" si="28"/>
        <v>2.430555555555558E-2</v>
      </c>
      <c r="N124" s="27" t="s">
        <v>265</v>
      </c>
      <c r="O124" s="60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209</v>
      </c>
      <c r="F125" s="27">
        <v>20</v>
      </c>
      <c r="G125" s="34">
        <f t="shared" si="27"/>
        <v>100</v>
      </c>
      <c r="H125" s="33" t="s">
        <v>18</v>
      </c>
      <c r="I125" s="33" t="s">
        <v>124</v>
      </c>
      <c r="J125" s="33" t="s">
        <v>195</v>
      </c>
      <c r="K125" s="29">
        <v>0.99583333333333335</v>
      </c>
      <c r="L125" s="29">
        <v>4.583333333333333E-2</v>
      </c>
      <c r="M125" s="35">
        <f t="shared" ca="1" si="28"/>
        <v>5.0000000000000044E-2</v>
      </c>
      <c r="N125" s="27" t="s">
        <v>266</v>
      </c>
      <c r="O125" s="60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209</v>
      </c>
      <c r="F126" s="27">
        <v>23</v>
      </c>
      <c r="G126" s="28">
        <f t="shared" si="27"/>
        <v>115</v>
      </c>
      <c r="H126" s="26" t="s">
        <v>19</v>
      </c>
      <c r="I126" s="26" t="s">
        <v>157</v>
      </c>
      <c r="J126" s="26" t="s">
        <v>27</v>
      </c>
      <c r="K126" s="29">
        <v>7.2916666666666671E-2</v>
      </c>
      <c r="L126" s="29">
        <v>8.3333333333333329E-2</v>
      </c>
      <c r="M126" s="30">
        <f t="shared" ca="1" si="28"/>
        <v>1.0416666666666657E-2</v>
      </c>
      <c r="N126" s="27"/>
      <c r="O126" s="60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209</v>
      </c>
      <c r="F127" s="27">
        <v>9</v>
      </c>
      <c r="G127" s="34">
        <f t="shared" si="27"/>
        <v>45</v>
      </c>
      <c r="H127" s="33" t="s">
        <v>20</v>
      </c>
      <c r="I127" s="33"/>
      <c r="J127" s="33" t="s">
        <v>188</v>
      </c>
      <c r="K127" s="29">
        <v>8.3333333333333329E-2</v>
      </c>
      <c r="L127" s="29">
        <v>0.1388888888888889</v>
      </c>
      <c r="M127" s="35">
        <f t="shared" ca="1" si="28"/>
        <v>5.5555555555555566E-2</v>
      </c>
      <c r="N127" s="27"/>
      <c r="O127" s="60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209</v>
      </c>
      <c r="F128" s="27">
        <v>0</v>
      </c>
      <c r="G128" s="28">
        <f t="shared" si="27"/>
        <v>0</v>
      </c>
      <c r="H128" s="26" t="s">
        <v>19</v>
      </c>
      <c r="I128" s="26" t="s">
        <v>52</v>
      </c>
      <c r="J128" s="26" t="s">
        <v>78</v>
      </c>
      <c r="K128" s="29">
        <v>0.24930555555555556</v>
      </c>
      <c r="L128" s="29"/>
      <c r="M128" s="30">
        <f t="shared" ca="1" si="28"/>
        <v>0.5128675925952848</v>
      </c>
      <c r="N128" s="27"/>
      <c r="O128" s="60"/>
    </row>
    <row r="129" spans="1:18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209</v>
      </c>
      <c r="F129" s="27">
        <v>19</v>
      </c>
      <c r="G129" s="34">
        <f t="shared" si="27"/>
        <v>95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234</v>
      </c>
      <c r="O129" s="60"/>
    </row>
    <row r="130" spans="1:18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209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8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209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209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209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209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91" t="s">
        <v>213</v>
      </c>
      <c r="B135" s="92"/>
      <c r="C135" s="92"/>
      <c r="D135" s="92"/>
      <c r="E135" s="93">
        <f>SUM(E123:E134)</f>
        <v>0</v>
      </c>
      <c r="F135" s="36">
        <f>SUM(F123:F134)</f>
        <v>90</v>
      </c>
      <c r="G135" s="36">
        <f>SUM(G123:G134)</f>
        <v>450</v>
      </c>
      <c r="H135" s="37"/>
      <c r="I135" s="37"/>
      <c r="J135" s="37"/>
      <c r="K135" s="61"/>
      <c r="L135" s="61"/>
      <c r="M135" s="38">
        <f ca="1">IFERROR(SUM(M123:M134),"")</f>
        <v>0.71217314815084043</v>
      </c>
      <c r="N135" s="36" t="s">
        <v>212</v>
      </c>
      <c r="O135" s="39">
        <v>729290</v>
      </c>
    </row>
    <row r="136" spans="1:18" ht="18" customHeight="1">
      <c r="A136" s="94" t="s">
        <v>214</v>
      </c>
      <c r="B136" s="95"/>
      <c r="C136" s="95"/>
      <c r="D136" s="95"/>
      <c r="E136" s="96">
        <f>E122+E135</f>
        <v>0</v>
      </c>
      <c r="F136" s="40">
        <f>F122+F135</f>
        <v>144</v>
      </c>
      <c r="G136" s="40">
        <f>G122+G135</f>
        <v>676.8</v>
      </c>
      <c r="H136" s="41"/>
      <c r="I136" s="41"/>
      <c r="J136" s="41"/>
      <c r="K136" s="63"/>
      <c r="L136" s="63"/>
      <c r="M136" s="42">
        <f ca="1">IFERROR(M122+M135,"")</f>
        <v>1.0795342592619515</v>
      </c>
      <c r="N136" s="40" t="s">
        <v>215</v>
      </c>
      <c r="O136" s="48">
        <f>IFERROR(O122+O135,"")</f>
        <v>1003740</v>
      </c>
    </row>
    <row r="137" spans="1:18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209</v>
      </c>
      <c r="F137" s="27">
        <v>28</v>
      </c>
      <c r="G137" s="34">
        <f t="shared" ref="G137:G148" si="30">IF(F137="","",IF(E137="PC 17",F137*4.2,IF(E137="PC 19",F137*5,"")))</f>
        <v>140</v>
      </c>
      <c r="H137" s="33" t="s">
        <v>20</v>
      </c>
      <c r="I137" s="33" t="s">
        <v>52</v>
      </c>
      <c r="J137" s="33" t="s">
        <v>28</v>
      </c>
      <c r="K137" s="29">
        <v>0.31666666666666665</v>
      </c>
      <c r="L137" s="29">
        <v>0.32291666666666669</v>
      </c>
      <c r="M137" s="35">
        <f t="shared" ref="M137:M148" ca="1" si="31">IFERROR(IF(K137="","",IF(L137="",MOD(NOW()-K137,1),IF(L137&gt;=K137,L137-K137,L137+1-K137))),"")</f>
        <v>6.2500000000000333E-3</v>
      </c>
      <c r="N137" s="27"/>
      <c r="O137" s="31"/>
    </row>
    <row r="138" spans="1:18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209</v>
      </c>
      <c r="F138" s="27">
        <v>28</v>
      </c>
      <c r="G138" s="28">
        <f t="shared" si="30"/>
        <v>140</v>
      </c>
      <c r="H138" s="26" t="s">
        <v>20</v>
      </c>
      <c r="I138" s="26" t="s">
        <v>52</v>
      </c>
      <c r="J138" s="26" t="s">
        <v>51</v>
      </c>
      <c r="K138" s="29">
        <v>0.3298611111111111</v>
      </c>
      <c r="L138" s="29">
        <v>0.33333333333333331</v>
      </c>
      <c r="M138" s="30">
        <f t="shared" ca="1" si="31"/>
        <v>3.4722222222222099E-3</v>
      </c>
      <c r="N138" s="27"/>
      <c r="O138" s="31"/>
    </row>
    <row r="139" spans="1:18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209</v>
      </c>
      <c r="F139" s="27">
        <v>28</v>
      </c>
      <c r="G139" s="34">
        <f t="shared" si="30"/>
        <v>140</v>
      </c>
      <c r="H139" s="33" t="s">
        <v>19</v>
      </c>
      <c r="I139" s="33" t="s">
        <v>157</v>
      </c>
      <c r="J139" s="33" t="s">
        <v>27</v>
      </c>
      <c r="K139" s="29">
        <v>0.59444444444444444</v>
      </c>
      <c r="L139" s="29">
        <v>0.62222222222222223</v>
      </c>
      <c r="M139" s="35">
        <f t="shared" ca="1" si="31"/>
        <v>2.777777777777779E-2</v>
      </c>
      <c r="N139" s="27" t="s">
        <v>267</v>
      </c>
      <c r="O139" s="31"/>
    </row>
    <row r="140" spans="1:18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209</v>
      </c>
      <c r="F140" s="27">
        <v>27</v>
      </c>
      <c r="G140" s="28">
        <f t="shared" si="30"/>
        <v>135</v>
      </c>
      <c r="H140" s="26" t="s">
        <v>16</v>
      </c>
      <c r="I140" s="26"/>
      <c r="J140" s="26" t="s">
        <v>81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27"/>
      <c r="O140" s="31"/>
    </row>
    <row r="141" spans="1:18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209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8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209</v>
      </c>
      <c r="F142" s="27">
        <v>10</v>
      </c>
      <c r="G142" s="28">
        <f t="shared" si="30"/>
        <v>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  <c r="R142" s="66"/>
    </row>
    <row r="143" spans="1:18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209</v>
      </c>
      <c r="F143" s="27">
        <v>13</v>
      </c>
      <c r="G143" s="34">
        <f t="shared" si="30"/>
        <v>65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8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209</v>
      </c>
      <c r="F144" s="27">
        <v>12</v>
      </c>
      <c r="G144" s="28">
        <f t="shared" si="30"/>
        <v>60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209</v>
      </c>
      <c r="F145" s="27">
        <v>17</v>
      </c>
      <c r="G145" s="34">
        <f t="shared" si="30"/>
        <v>85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209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209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209</v>
      </c>
      <c r="F148" s="27">
        <v>10</v>
      </c>
      <c r="G148" s="28">
        <f t="shared" si="30"/>
        <v>50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1" t="s">
        <v>211</v>
      </c>
      <c r="B149" s="92"/>
      <c r="C149" s="92"/>
      <c r="D149" s="92"/>
      <c r="E149" s="93">
        <f>SUM(E137:E148)</f>
        <v>0</v>
      </c>
      <c r="F149" s="36">
        <f>SUM(F137:F148)</f>
        <v>221</v>
      </c>
      <c r="G149" s="36">
        <f>SUM(G137:G148)</f>
        <v>1105</v>
      </c>
      <c r="H149" s="37"/>
      <c r="I149" s="37"/>
      <c r="J149" s="37"/>
      <c r="K149" s="61"/>
      <c r="L149" s="61"/>
      <c r="M149" s="38">
        <f ca="1">IFERROR(SUM(M137:M148),"")</f>
        <v>6.5277777777777823E-2</v>
      </c>
      <c r="N149" s="36" t="s">
        <v>212</v>
      </c>
      <c r="O149" s="39">
        <v>1058340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209</v>
      </c>
      <c r="F150" s="27">
        <v>16</v>
      </c>
      <c r="G150" s="28">
        <f t="shared" ref="G150:G161" si="33">IF(F150="","",IF(E150="PC 17",F150*4.2,IF(E150="PC 19",F150*5,"")))</f>
        <v>80</v>
      </c>
      <c r="H150" s="26" t="s">
        <v>20</v>
      </c>
      <c r="I150" s="26" t="s">
        <v>52</v>
      </c>
      <c r="J150" s="26" t="s">
        <v>190</v>
      </c>
      <c r="K150" s="29">
        <v>0.84166666666666667</v>
      </c>
      <c r="L150" s="29">
        <v>0.85277777777777775</v>
      </c>
      <c r="M150" s="30">
        <f t="shared" ref="M150:M161" ca="1" si="34">IFERROR(IF(K150="","",IF(L150="",MOD(NOW()-K150,1),IF(L150&gt;=K150,L150-K150,L150+1-K150))),"")</f>
        <v>1.1111111111111072E-2</v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209</v>
      </c>
      <c r="F151" s="27">
        <v>14</v>
      </c>
      <c r="G151" s="34">
        <f t="shared" si="33"/>
        <v>70</v>
      </c>
      <c r="H151" s="33" t="s">
        <v>20</v>
      </c>
      <c r="I151" s="33" t="s">
        <v>57</v>
      </c>
      <c r="J151" s="33" t="s">
        <v>51</v>
      </c>
      <c r="K151" s="29">
        <v>0.87152777777777779</v>
      </c>
      <c r="L151" s="29">
        <v>0.87986111111111109</v>
      </c>
      <c r="M151" s="35">
        <f t="shared" ca="1" si="34"/>
        <v>8.3333333333333037E-3</v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221</v>
      </c>
      <c r="F152" s="27">
        <v>18</v>
      </c>
      <c r="G152" s="28">
        <f t="shared" si="33"/>
        <v>75.600000000000009</v>
      </c>
      <c r="H152" s="26" t="s">
        <v>20</v>
      </c>
      <c r="I152" s="26" t="s">
        <v>52</v>
      </c>
      <c r="J152" s="26" t="s">
        <v>162</v>
      </c>
      <c r="K152" s="29">
        <v>0.89583333333333337</v>
      </c>
      <c r="L152" s="29">
        <v>0.91666666666666663</v>
      </c>
      <c r="M152" s="30">
        <f t="shared" ca="1" si="34"/>
        <v>2.0833333333333259E-2</v>
      </c>
      <c r="N152" s="27" t="s">
        <v>268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221</v>
      </c>
      <c r="F153" s="27">
        <v>15</v>
      </c>
      <c r="G153" s="34">
        <f t="shared" si="33"/>
        <v>63</v>
      </c>
      <c r="H153" s="33" t="s">
        <v>19</v>
      </c>
      <c r="I153" s="33" t="s">
        <v>57</v>
      </c>
      <c r="J153" s="33" t="s">
        <v>27</v>
      </c>
      <c r="K153" s="29">
        <v>0.12708333333333333</v>
      </c>
      <c r="L153" s="29">
        <v>0.14583333333333334</v>
      </c>
      <c r="M153" s="35">
        <f t="shared" ca="1" si="34"/>
        <v>1.8750000000000017E-2</v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221</v>
      </c>
      <c r="F154" s="27">
        <v>10</v>
      </c>
      <c r="G154" s="28">
        <f t="shared" si="33"/>
        <v>42</v>
      </c>
      <c r="H154" s="26"/>
      <c r="I154" s="26"/>
      <c r="J154" s="26" t="s">
        <v>27</v>
      </c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221</v>
      </c>
      <c r="F155" s="27">
        <v>23</v>
      </c>
      <c r="G155" s="34">
        <f t="shared" si="33"/>
        <v>96.600000000000009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221</v>
      </c>
      <c r="F156" s="27">
        <v>14</v>
      </c>
      <c r="G156" s="28">
        <f t="shared" si="33"/>
        <v>58.800000000000004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221</v>
      </c>
      <c r="F157" s="27">
        <v>11</v>
      </c>
      <c r="G157" s="34">
        <f t="shared" si="33"/>
        <v>46.2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221</v>
      </c>
      <c r="F158" s="27">
        <v>13</v>
      </c>
      <c r="G158" s="28">
        <f t="shared" si="33"/>
        <v>54.6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221</v>
      </c>
      <c r="F159" s="27">
        <v>16</v>
      </c>
      <c r="G159" s="34">
        <f t="shared" si="33"/>
        <v>67.2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221</v>
      </c>
      <c r="F160" s="27">
        <v>22</v>
      </c>
      <c r="G160" s="28">
        <f t="shared" si="33"/>
        <v>92.4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221</v>
      </c>
      <c r="F161" s="27">
        <v>8</v>
      </c>
      <c r="G161" s="34">
        <f t="shared" si="33"/>
        <v>33.6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1" t="s">
        <v>213</v>
      </c>
      <c r="B162" s="92"/>
      <c r="C162" s="92"/>
      <c r="D162" s="92"/>
      <c r="E162" s="93">
        <f>SUM(E150:E161)</f>
        <v>0</v>
      </c>
      <c r="F162" s="36">
        <f>SUM(F150:F161)</f>
        <v>180</v>
      </c>
      <c r="G162" s="36">
        <f>SUM(G150:G161)</f>
        <v>780.00000000000011</v>
      </c>
      <c r="H162" s="37"/>
      <c r="I162" s="37"/>
      <c r="J162" s="37"/>
      <c r="K162" s="61"/>
      <c r="L162" s="61"/>
      <c r="M162" s="38">
        <f ca="1">IFERROR(SUM(M150:M161),"")</f>
        <v>5.9027777777777651E-2</v>
      </c>
      <c r="N162" s="36" t="s">
        <v>212</v>
      </c>
      <c r="O162" s="39">
        <v>697320</v>
      </c>
    </row>
    <row r="163" spans="1:15" ht="18" customHeight="1">
      <c r="A163" s="94" t="s">
        <v>214</v>
      </c>
      <c r="B163" s="95"/>
      <c r="C163" s="95"/>
      <c r="D163" s="95"/>
      <c r="E163" s="96">
        <f>E149+E162</f>
        <v>0</v>
      </c>
      <c r="F163" s="40">
        <f>F149+F162</f>
        <v>401</v>
      </c>
      <c r="G163" s="40">
        <f>G149+G162</f>
        <v>1885</v>
      </c>
      <c r="H163" s="41"/>
      <c r="I163" s="41"/>
      <c r="J163" s="41"/>
      <c r="K163" s="63"/>
      <c r="L163" s="63"/>
      <c r="M163" s="42">
        <f ca="1">IFERROR(M149+M162,"")</f>
        <v>0.12430555555555547</v>
      </c>
      <c r="N163" s="40" t="s">
        <v>215</v>
      </c>
      <c r="O163" s="43">
        <f>IFERROR(O149+O162,"")</f>
        <v>1755660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38</v>
      </c>
      <c r="E164" s="59" t="s">
        <v>209</v>
      </c>
      <c r="F164" s="27">
        <v>13</v>
      </c>
      <c r="G164" s="28">
        <f t="shared" ref="G164:G175" si="36">IF(F164="","",IF(E164="PC 17",F164*4.2,IF(E164="PC 19",F164*5,"")))</f>
        <v>65</v>
      </c>
      <c r="H164" s="26" t="s">
        <v>19</v>
      </c>
      <c r="I164" s="26" t="s">
        <v>52</v>
      </c>
      <c r="J164" s="26" t="s">
        <v>27</v>
      </c>
      <c r="K164" s="29">
        <v>0.38472222222222224</v>
      </c>
      <c r="L164" s="29">
        <v>0.3972222222222222</v>
      </c>
      <c r="M164" s="30">
        <f t="shared" ref="M164:M175" ca="1" si="37">IFERROR(IF(K164="","",IF(L164="",MOD(NOW()-K164,1),IF(L164&gt;=K164,L164-K164,L164+1-K164))),"")</f>
        <v>1.2499999999999956E-2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62" t="s">
        <v>221</v>
      </c>
      <c r="F165" s="27">
        <v>20</v>
      </c>
      <c r="G165" s="34">
        <f t="shared" si="36"/>
        <v>84</v>
      </c>
      <c r="H165" s="33" t="s">
        <v>20</v>
      </c>
      <c r="I165" s="33" t="s">
        <v>136</v>
      </c>
      <c r="J165" s="33" t="s">
        <v>74</v>
      </c>
      <c r="K165" s="29">
        <v>0.63263888888888886</v>
      </c>
      <c r="L165" s="29">
        <v>0.64375000000000004</v>
      </c>
      <c r="M165" s="35">
        <f t="shared" ca="1" si="37"/>
        <v>1.1111111111111183E-2</v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221</v>
      </c>
      <c r="F166" s="27">
        <v>10</v>
      </c>
      <c r="G166" s="28">
        <f t="shared" si="36"/>
        <v>42</v>
      </c>
      <c r="H166" s="26" t="s">
        <v>19</v>
      </c>
      <c r="I166" s="26" t="s">
        <v>136</v>
      </c>
      <c r="J166" s="26" t="s">
        <v>61</v>
      </c>
      <c r="K166" s="29">
        <v>0.65625</v>
      </c>
      <c r="L166" s="29">
        <v>0.66805555555555551</v>
      </c>
      <c r="M166" s="30">
        <f t="shared" ca="1" si="37"/>
        <v>1.1805555555555514E-2</v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221</v>
      </c>
      <c r="F167" s="27">
        <v>10</v>
      </c>
      <c r="G167" s="34">
        <f t="shared" si="36"/>
        <v>42</v>
      </c>
      <c r="H167" s="33" t="s">
        <v>19</v>
      </c>
      <c r="I167" s="33" t="s">
        <v>57</v>
      </c>
      <c r="J167" s="33" t="s">
        <v>27</v>
      </c>
      <c r="K167" s="29">
        <v>0.68194444444444446</v>
      </c>
      <c r="L167" s="29">
        <v>0.69374999999999998</v>
      </c>
      <c r="M167" s="35">
        <f t="shared" ca="1" si="37"/>
        <v>1.1805555555555514E-2</v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221</v>
      </c>
      <c r="F168" s="27">
        <v>26</v>
      </c>
      <c r="G168" s="28">
        <f t="shared" si="36"/>
        <v>109.2</v>
      </c>
      <c r="H168" s="26" t="s">
        <v>20</v>
      </c>
      <c r="I168" s="26" t="s">
        <v>52</v>
      </c>
      <c r="J168" s="26" t="s">
        <v>36</v>
      </c>
      <c r="K168" s="29">
        <v>0.75486111111111109</v>
      </c>
      <c r="L168" s="29">
        <v>0.77083333333333337</v>
      </c>
      <c r="M168" s="30">
        <f t="shared" ca="1" si="37"/>
        <v>1.5972222222222276E-2</v>
      </c>
      <c r="N168" s="27" t="s">
        <v>269</v>
      </c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221</v>
      </c>
      <c r="F169" s="27">
        <v>20</v>
      </c>
      <c r="G169" s="34">
        <f t="shared" si="36"/>
        <v>84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221</v>
      </c>
      <c r="F170" s="27">
        <v>20</v>
      </c>
      <c r="G170" s="28">
        <f t="shared" si="36"/>
        <v>84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221</v>
      </c>
      <c r="F171" s="27">
        <v>12</v>
      </c>
      <c r="G171" s="34">
        <f t="shared" si="36"/>
        <v>50.400000000000006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221</v>
      </c>
      <c r="F172" s="27">
        <v>8</v>
      </c>
      <c r="G172" s="28">
        <f t="shared" si="36"/>
        <v>33.6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221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221</v>
      </c>
      <c r="F174" s="27">
        <v>20</v>
      </c>
      <c r="G174" s="28">
        <f t="shared" si="36"/>
        <v>84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221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1" t="s">
        <v>211</v>
      </c>
      <c r="B176" s="92"/>
      <c r="C176" s="92"/>
      <c r="D176" s="92"/>
      <c r="E176" s="93">
        <f>SUM(E164:E175)</f>
        <v>0</v>
      </c>
      <c r="F176" s="36">
        <f>SUM(F164:F175)</f>
        <v>169</v>
      </c>
      <c r="G176" s="36">
        <f>SUM(G164:G175)</f>
        <v>720.2</v>
      </c>
      <c r="H176" s="37"/>
      <c r="I176" s="37"/>
      <c r="J176" s="37"/>
      <c r="K176" s="61"/>
      <c r="L176" s="61"/>
      <c r="M176" s="38">
        <f ca="1">IFERROR(SUM(M164:M175),"")</f>
        <v>6.3194444444444442E-2</v>
      </c>
      <c r="N176" s="36" t="s">
        <v>212</v>
      </c>
      <c r="O176" s="39">
        <v>500370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221</v>
      </c>
      <c r="F177" s="27">
        <v>32</v>
      </c>
      <c r="G177" s="34">
        <f t="shared" ref="G177:G188" si="39">IF(F177="","",IF(E177="PC 17",F177*4.2,IF(E177="PC 19",F177*5,"")))</f>
        <v>134.4</v>
      </c>
      <c r="H177" s="33" t="s">
        <v>19</v>
      </c>
      <c r="I177" s="33" t="s">
        <v>157</v>
      </c>
      <c r="J177" s="33" t="s">
        <v>27</v>
      </c>
      <c r="K177" s="29">
        <v>5.5555555555555552E-2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1.3888888888888895E-2</v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221</v>
      </c>
      <c r="F178" s="27">
        <v>16</v>
      </c>
      <c r="G178" s="28">
        <f t="shared" si="39"/>
        <v>67.2</v>
      </c>
      <c r="H178" s="26" t="s">
        <v>20</v>
      </c>
      <c r="I178" s="26" t="s">
        <v>136</v>
      </c>
      <c r="J178" s="26" t="s">
        <v>74</v>
      </c>
      <c r="K178" s="29">
        <v>0.13194444444444445</v>
      </c>
      <c r="L178" s="29">
        <v>0.15277777777777779</v>
      </c>
      <c r="M178" s="30">
        <f t="shared" ca="1" si="40"/>
        <v>2.0833333333333343E-2</v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221</v>
      </c>
      <c r="F179" s="27">
        <v>20</v>
      </c>
      <c r="G179" s="34">
        <f t="shared" si="39"/>
        <v>84</v>
      </c>
      <c r="H179" s="33" t="s">
        <v>20</v>
      </c>
      <c r="I179" s="33" t="s">
        <v>136</v>
      </c>
      <c r="J179" s="26" t="s">
        <v>74</v>
      </c>
      <c r="K179" s="29">
        <v>0.21249999999999999</v>
      </c>
      <c r="L179" s="29">
        <v>0.22708333333333333</v>
      </c>
      <c r="M179" s="35">
        <f t="shared" ca="1" si="40"/>
        <v>1.4583333333333337E-2</v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221</v>
      </c>
      <c r="F180" s="27">
        <v>30</v>
      </c>
      <c r="G180" s="28">
        <f t="shared" si="39"/>
        <v>126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221</v>
      </c>
      <c r="F181" s="27">
        <v>21</v>
      </c>
      <c r="G181" s="34">
        <f t="shared" si="39"/>
        <v>88.2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221</v>
      </c>
      <c r="F182" s="27">
        <v>15</v>
      </c>
      <c r="G182" s="28">
        <f t="shared" si="39"/>
        <v>63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221</v>
      </c>
      <c r="F183" s="27">
        <v>13</v>
      </c>
      <c r="G183" s="34">
        <f t="shared" si="39"/>
        <v>54.6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221</v>
      </c>
      <c r="F184" s="27">
        <v>17</v>
      </c>
      <c r="G184" s="28">
        <f t="shared" si="39"/>
        <v>71.400000000000006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221</v>
      </c>
      <c r="F185" s="27">
        <v>7</v>
      </c>
      <c r="G185" s="34">
        <f t="shared" si="39"/>
        <v>29.400000000000002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221</v>
      </c>
      <c r="F186" s="27">
        <v>22</v>
      </c>
      <c r="G186" s="28">
        <f t="shared" si="39"/>
        <v>92.4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221</v>
      </c>
      <c r="F187" s="27">
        <v>15</v>
      </c>
      <c r="G187" s="34">
        <f t="shared" si="39"/>
        <v>63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221</v>
      </c>
      <c r="F188" s="27">
        <v>9</v>
      </c>
      <c r="G188" s="28">
        <f t="shared" si="39"/>
        <v>37.800000000000004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1" t="s">
        <v>213</v>
      </c>
      <c r="B189" s="92"/>
      <c r="C189" s="92"/>
      <c r="D189" s="92"/>
      <c r="E189" s="93">
        <f>SUM(E177:E188)</f>
        <v>0</v>
      </c>
      <c r="F189" s="36">
        <f>SUM(F177:F188)</f>
        <v>217</v>
      </c>
      <c r="G189" s="36">
        <f>SUM(G177:G188)</f>
        <v>911.39999999999986</v>
      </c>
      <c r="H189" s="37"/>
      <c r="I189" s="37"/>
      <c r="J189" s="37"/>
      <c r="K189" s="61"/>
      <c r="L189" s="61"/>
      <c r="M189" s="38">
        <f ca="1">IFERROR(SUM(M177:M188),"")</f>
        <v>4.9305555555555575E-2</v>
      </c>
      <c r="N189" s="36" t="s">
        <v>212</v>
      </c>
      <c r="O189" s="39">
        <v>973580</v>
      </c>
    </row>
    <row r="190" spans="1:15" ht="18" customHeight="1">
      <c r="A190" s="94" t="s">
        <v>214</v>
      </c>
      <c r="B190" s="95"/>
      <c r="C190" s="95"/>
      <c r="D190" s="95"/>
      <c r="E190" s="96">
        <f>E176+E189</f>
        <v>0</v>
      </c>
      <c r="F190" s="40">
        <f>F176+F189</f>
        <v>386</v>
      </c>
      <c r="G190" s="40">
        <f>G176+G189</f>
        <v>1631.6</v>
      </c>
      <c r="H190" s="41"/>
      <c r="I190" s="41"/>
      <c r="J190" s="41"/>
      <c r="K190" s="63"/>
      <c r="L190" s="63"/>
      <c r="M190" s="42">
        <f ca="1">IFERROR(M176+M189,"")</f>
        <v>0.11250000000000002</v>
      </c>
      <c r="N190" s="40" t="s">
        <v>215</v>
      </c>
      <c r="O190" s="43">
        <f>IFERROR(O176+O189,"")</f>
        <v>1473950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22</v>
      </c>
      <c r="E191" s="62" t="s">
        <v>221</v>
      </c>
      <c r="F191" s="27">
        <v>20</v>
      </c>
      <c r="G191" s="34">
        <f t="shared" ref="G191:G202" si="42">IF(F191="","",IF(E191="PC 17",F191*4.2,IF(E191="PC 19",F191*5,"")))</f>
        <v>84</v>
      </c>
      <c r="H191" s="33" t="s">
        <v>18</v>
      </c>
      <c r="I191" s="33" t="s">
        <v>138</v>
      </c>
      <c r="J191" s="33" t="s">
        <v>125</v>
      </c>
      <c r="K191" s="29">
        <v>0.34722222222222221</v>
      </c>
      <c r="L191" s="29">
        <v>0.35416666666666669</v>
      </c>
      <c r="M191" s="35">
        <f t="shared" ref="M191:M202" ca="1" si="43">IFERROR(IF(K191="","",IF(L191="",MOD(NOW()-K191,1),IF(L191&gt;=K191,L191-K191,L191+1-K191))),"")</f>
        <v>6.9444444444444753E-3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221</v>
      </c>
      <c r="F192" s="27">
        <v>15</v>
      </c>
      <c r="G192" s="28">
        <f t="shared" si="42"/>
        <v>63</v>
      </c>
      <c r="H192" s="26" t="s">
        <v>19</v>
      </c>
      <c r="I192" s="26" t="s">
        <v>157</v>
      </c>
      <c r="J192" s="26" t="s">
        <v>27</v>
      </c>
      <c r="K192" s="29">
        <v>0.40625</v>
      </c>
      <c r="L192" s="29">
        <v>0.42499999999999999</v>
      </c>
      <c r="M192" s="30">
        <f t="shared" ca="1" si="43"/>
        <v>1.8749999999999989E-2</v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221</v>
      </c>
      <c r="F193" s="27">
        <v>15</v>
      </c>
      <c r="G193" s="34">
        <f t="shared" si="42"/>
        <v>63</v>
      </c>
      <c r="H193" s="33" t="s">
        <v>18</v>
      </c>
      <c r="I193" s="33" t="s">
        <v>136</v>
      </c>
      <c r="J193" s="33" t="s">
        <v>89</v>
      </c>
      <c r="K193" s="29">
        <v>0.62777777777777777</v>
      </c>
      <c r="L193" s="29">
        <v>0.76041666666666663</v>
      </c>
      <c r="M193" s="35">
        <f t="shared" ca="1" si="43"/>
        <v>0.13263888888888886</v>
      </c>
      <c r="N193" s="27" t="s">
        <v>270</v>
      </c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221</v>
      </c>
      <c r="F194" s="27">
        <v>15</v>
      </c>
      <c r="G194" s="28">
        <f t="shared" si="42"/>
        <v>63</v>
      </c>
      <c r="H194" s="26" t="s">
        <v>19</v>
      </c>
      <c r="I194" s="26" t="s">
        <v>157</v>
      </c>
      <c r="J194" s="26" t="s">
        <v>27</v>
      </c>
      <c r="K194" s="29">
        <v>0.62777777777777777</v>
      </c>
      <c r="L194" s="29">
        <v>0.66666666666666663</v>
      </c>
      <c r="M194" s="30">
        <f t="shared" ca="1" si="43"/>
        <v>3.8888888888888862E-2</v>
      </c>
      <c r="N194" s="27" t="s">
        <v>271</v>
      </c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221</v>
      </c>
      <c r="F195" s="27">
        <v>20</v>
      </c>
      <c r="G195" s="34">
        <f t="shared" si="42"/>
        <v>84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221</v>
      </c>
      <c r="F196" s="27">
        <v>20</v>
      </c>
      <c r="G196" s="28">
        <f t="shared" si="42"/>
        <v>84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221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221</v>
      </c>
      <c r="F198" s="27">
        <v>25</v>
      </c>
      <c r="G198" s="28">
        <f t="shared" si="42"/>
        <v>105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221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221</v>
      </c>
      <c r="F200" s="27">
        <v>0</v>
      </c>
      <c r="G200" s="28">
        <f t="shared" si="42"/>
        <v>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221</v>
      </c>
      <c r="F201" s="27">
        <v>0</v>
      </c>
      <c r="G201" s="34">
        <f t="shared" si="42"/>
        <v>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221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1" t="s">
        <v>211</v>
      </c>
      <c r="B203" s="92"/>
      <c r="C203" s="92"/>
      <c r="D203" s="92"/>
      <c r="E203" s="93">
        <f>SUM(E191:E202)</f>
        <v>0</v>
      </c>
      <c r="F203" s="36">
        <f>SUM(F191:F202)</f>
        <v>150</v>
      </c>
      <c r="G203" s="36">
        <f>SUM(G191:G202)</f>
        <v>630</v>
      </c>
      <c r="H203" s="37"/>
      <c r="I203" s="37"/>
      <c r="J203" s="37"/>
      <c r="K203" s="61"/>
      <c r="L203" s="61"/>
      <c r="M203" s="38">
        <f ca="1">IFERROR(SUM(M191:M202),"")</f>
        <v>0.19722222222222219</v>
      </c>
      <c r="N203" s="36" t="s">
        <v>212</v>
      </c>
      <c r="O203" s="45">
        <v>674440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221</v>
      </c>
      <c r="F204" s="27">
        <v>2</v>
      </c>
      <c r="G204" s="28">
        <f t="shared" ref="G204:G215" si="45">IF(F204="","",IF(E204="PC 17",F204*4.2,IF(E204="PC 19",F204*5,"")))</f>
        <v>8.4</v>
      </c>
      <c r="H204" s="26" t="s">
        <v>18</v>
      </c>
      <c r="I204" s="26"/>
      <c r="J204" s="26" t="s">
        <v>104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60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209</v>
      </c>
      <c r="F205" s="27">
        <v>12</v>
      </c>
      <c r="G205" s="34">
        <f t="shared" si="45"/>
        <v>60</v>
      </c>
      <c r="H205" s="33" t="s">
        <v>19</v>
      </c>
      <c r="I205" s="33" t="s">
        <v>52</v>
      </c>
      <c r="J205" s="33" t="s">
        <v>78</v>
      </c>
      <c r="K205" s="29">
        <v>0.95138888888888884</v>
      </c>
      <c r="L205" s="29">
        <v>0.95833333333333337</v>
      </c>
      <c r="M205" s="35">
        <f t="shared" ca="1" si="46"/>
        <v>6.9444444444445308E-3</v>
      </c>
      <c r="N205" s="27"/>
      <c r="O205" s="60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221</v>
      </c>
      <c r="F206" s="27">
        <v>23</v>
      </c>
      <c r="G206" s="28">
        <f t="shared" si="45"/>
        <v>96.600000000000009</v>
      </c>
      <c r="H206" s="26" t="s">
        <v>18</v>
      </c>
      <c r="I206" s="26" t="s">
        <v>52</v>
      </c>
      <c r="J206" s="26" t="s">
        <v>161</v>
      </c>
      <c r="K206" s="29">
        <v>2.0833333333333332E-2</v>
      </c>
      <c r="L206" s="29">
        <v>3.0555555555555555E-2</v>
      </c>
      <c r="M206" s="30">
        <f t="shared" ca="1" si="46"/>
        <v>9.7222222222222224E-3</v>
      </c>
      <c r="N206" s="27" t="s">
        <v>272</v>
      </c>
      <c r="O206" s="60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221</v>
      </c>
      <c r="F207" s="27">
        <v>20</v>
      </c>
      <c r="G207" s="34">
        <f t="shared" si="45"/>
        <v>84</v>
      </c>
      <c r="H207" s="33" t="s">
        <v>20</v>
      </c>
      <c r="I207" s="33" t="s">
        <v>52</v>
      </c>
      <c r="J207" s="33" t="s">
        <v>28</v>
      </c>
      <c r="K207" s="29">
        <v>0.05</v>
      </c>
      <c r="L207" s="29">
        <v>5.6944444444444443E-2</v>
      </c>
      <c r="M207" s="35">
        <f t="shared" ca="1" si="46"/>
        <v>6.9444444444444406E-3</v>
      </c>
      <c r="N207" s="27"/>
      <c r="O207" s="60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221</v>
      </c>
      <c r="F208" s="27">
        <v>26</v>
      </c>
      <c r="G208" s="28">
        <f t="shared" si="45"/>
        <v>109.2</v>
      </c>
      <c r="H208" s="26" t="s">
        <v>20</v>
      </c>
      <c r="I208" s="26" t="s">
        <v>52</v>
      </c>
      <c r="J208" s="26" t="s">
        <v>51</v>
      </c>
      <c r="K208" s="29">
        <v>9.166666666666666E-2</v>
      </c>
      <c r="L208" s="29">
        <v>9.6527777777777782E-2</v>
      </c>
      <c r="M208" s="30">
        <f t="shared" ca="1" si="46"/>
        <v>4.8611111111111216E-3</v>
      </c>
      <c r="N208" s="27"/>
      <c r="O208" s="60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221</v>
      </c>
      <c r="F209" s="27">
        <v>17</v>
      </c>
      <c r="G209" s="34">
        <f t="shared" si="45"/>
        <v>71.400000000000006</v>
      </c>
      <c r="H209" s="33" t="s">
        <v>19</v>
      </c>
      <c r="I209" s="33" t="s">
        <v>57</v>
      </c>
      <c r="J209" s="33" t="s">
        <v>27</v>
      </c>
      <c r="K209" s="29">
        <v>0.22916666666666666</v>
      </c>
      <c r="L209" s="29">
        <v>0.24652777777777779</v>
      </c>
      <c r="M209" s="35">
        <f t="shared" ca="1" si="46"/>
        <v>1.7361111111111133E-2</v>
      </c>
      <c r="N209" s="27"/>
      <c r="O209" s="60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221</v>
      </c>
      <c r="F210" s="27">
        <v>17</v>
      </c>
      <c r="G210" s="28">
        <f t="shared" si="45"/>
        <v>71.400000000000006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221</v>
      </c>
      <c r="F211" s="27">
        <v>25</v>
      </c>
      <c r="G211" s="34">
        <f t="shared" si="45"/>
        <v>105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221</v>
      </c>
      <c r="F212" s="27">
        <v>22</v>
      </c>
      <c r="G212" s="28">
        <f t="shared" si="45"/>
        <v>92.4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221</v>
      </c>
      <c r="F213" s="27">
        <v>13</v>
      </c>
      <c r="G213" s="34">
        <f t="shared" si="45"/>
        <v>54.6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221</v>
      </c>
      <c r="F214" s="27">
        <v>20</v>
      </c>
      <c r="G214" s="28">
        <f t="shared" si="45"/>
        <v>84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221</v>
      </c>
      <c r="F215" s="27">
        <v>4</v>
      </c>
      <c r="G215" s="34">
        <f t="shared" si="45"/>
        <v>16.8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91" t="s">
        <v>213</v>
      </c>
      <c r="B216" s="92"/>
      <c r="C216" s="92"/>
      <c r="D216" s="92"/>
      <c r="E216" s="93">
        <f>SUM(E204:E215)</f>
        <v>0</v>
      </c>
      <c r="F216" s="36">
        <f>SUM(F204:F215)</f>
        <v>201</v>
      </c>
      <c r="G216" s="36">
        <f>SUM(G204:G215)</f>
        <v>853.8</v>
      </c>
      <c r="H216" s="37"/>
      <c r="I216" s="37"/>
      <c r="J216" s="37"/>
      <c r="K216" s="61"/>
      <c r="L216" s="61"/>
      <c r="M216" s="38">
        <f ca="1">IFERROR(SUM(M204:M215),"")</f>
        <v>8.0555555555555658E-2</v>
      </c>
      <c r="N216" s="36" t="s">
        <v>212</v>
      </c>
      <c r="O216" s="45">
        <v>1060630</v>
      </c>
    </row>
    <row r="217" spans="1:15" ht="18" customHeight="1">
      <c r="A217" s="94" t="s">
        <v>214</v>
      </c>
      <c r="B217" s="95"/>
      <c r="C217" s="95"/>
      <c r="D217" s="95"/>
      <c r="E217" s="96">
        <f>E203+E216</f>
        <v>0</v>
      </c>
      <c r="F217" s="40">
        <f>F203+F216</f>
        <v>351</v>
      </c>
      <c r="G217" s="40">
        <f>G203+G216</f>
        <v>1483.8</v>
      </c>
      <c r="H217" s="41"/>
      <c r="I217" s="41"/>
      <c r="J217" s="41"/>
      <c r="K217" s="63"/>
      <c r="L217" s="63"/>
      <c r="M217" s="42">
        <f ca="1">IFERROR(M203+M216,"")</f>
        <v>0.27777777777777785</v>
      </c>
      <c r="N217" s="40" t="s">
        <v>215</v>
      </c>
      <c r="O217" s="48">
        <f>IFERROR(O203+O216,"")</f>
        <v>1735070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221</v>
      </c>
      <c r="F218" s="27">
        <v>23</v>
      </c>
      <c r="G218" s="28">
        <f t="shared" ref="G218:G229" si="48">IF(F218="","",IF(E218="PC 17",F218*4.2,IF(E218="PC 19",F218*5,"")))</f>
        <v>96.600000000000009</v>
      </c>
      <c r="H218" s="26" t="s">
        <v>19</v>
      </c>
      <c r="I218" s="26" t="s">
        <v>52</v>
      </c>
      <c r="J218" s="26" t="s">
        <v>27</v>
      </c>
      <c r="K218" s="29">
        <v>0.33541666666666664</v>
      </c>
      <c r="L218" s="29">
        <v>0.41666666666666669</v>
      </c>
      <c r="M218" s="30">
        <f t="shared" ref="M218:M229" ca="1" si="49">IFERROR(IF(K218="","",IF(L218="",MOD(NOW()-K218,1),IF(L218&gt;=K218,L218-K218,L218+1-K218))),"")</f>
        <v>8.1250000000000044E-2</v>
      </c>
      <c r="N218" s="27" t="s">
        <v>273</v>
      </c>
      <c r="O218" s="60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221</v>
      </c>
      <c r="F219" s="27">
        <v>0</v>
      </c>
      <c r="G219" s="34">
        <f t="shared" si="48"/>
        <v>0</v>
      </c>
      <c r="H219" s="33" t="s">
        <v>20</v>
      </c>
      <c r="I219" s="33" t="s">
        <v>52</v>
      </c>
      <c r="J219" s="33" t="s">
        <v>56</v>
      </c>
      <c r="K219" s="29">
        <v>0.4375</v>
      </c>
      <c r="L219" s="29">
        <v>0.47986111111111113</v>
      </c>
      <c r="M219" s="35">
        <f t="shared" ca="1" si="49"/>
        <v>4.2361111111111127E-2</v>
      </c>
      <c r="N219" s="27"/>
      <c r="O219" s="60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221</v>
      </c>
      <c r="F220" s="27">
        <v>0</v>
      </c>
      <c r="G220" s="28">
        <f t="shared" si="48"/>
        <v>0</v>
      </c>
      <c r="H220" s="26" t="s">
        <v>17</v>
      </c>
      <c r="I220" s="26"/>
      <c r="J220" s="26" t="s">
        <v>25</v>
      </c>
      <c r="K220" s="29">
        <v>0.58819444444444446</v>
      </c>
      <c r="L220" s="29">
        <v>0.61111111111111116</v>
      </c>
      <c r="M220" s="30">
        <f t="shared" ca="1" si="49"/>
        <v>2.2916666666666696E-2</v>
      </c>
      <c r="N220" s="27" t="s">
        <v>274</v>
      </c>
      <c r="O220" s="60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221</v>
      </c>
      <c r="F221" s="27">
        <v>10</v>
      </c>
      <c r="G221" s="34">
        <f t="shared" si="48"/>
        <v>42</v>
      </c>
      <c r="H221" s="33" t="s">
        <v>20</v>
      </c>
      <c r="I221" s="33" t="s">
        <v>136</v>
      </c>
      <c r="J221" s="33" t="s">
        <v>74</v>
      </c>
      <c r="K221" s="29">
        <v>0.63680555555555551</v>
      </c>
      <c r="L221" s="29">
        <v>0.65347222222222223</v>
      </c>
      <c r="M221" s="35">
        <f t="shared" ca="1" si="49"/>
        <v>1.6666666666666718E-2</v>
      </c>
      <c r="N221" s="27"/>
      <c r="O221" s="60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221</v>
      </c>
      <c r="F222" s="27">
        <v>5</v>
      </c>
      <c r="G222" s="28">
        <f t="shared" si="48"/>
        <v>21</v>
      </c>
      <c r="H222" s="26" t="s">
        <v>20</v>
      </c>
      <c r="I222" s="26" t="s">
        <v>57</v>
      </c>
      <c r="J222" s="26" t="s">
        <v>51</v>
      </c>
      <c r="K222" s="29">
        <v>0.6791666666666667</v>
      </c>
      <c r="L222" s="29">
        <v>0.68472222222222223</v>
      </c>
      <c r="M222" s="30">
        <f t="shared" ca="1" si="49"/>
        <v>5.5555555555555358E-3</v>
      </c>
      <c r="N222" s="27"/>
      <c r="O222" s="60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221</v>
      </c>
      <c r="F223" s="27">
        <v>8</v>
      </c>
      <c r="G223" s="34">
        <f t="shared" si="48"/>
        <v>33.6</v>
      </c>
      <c r="H223" s="33" t="s">
        <v>20</v>
      </c>
      <c r="I223" s="33" t="s">
        <v>57</v>
      </c>
      <c r="J223" s="33" t="s">
        <v>51</v>
      </c>
      <c r="K223" s="29">
        <v>0.68958333333333333</v>
      </c>
      <c r="L223" s="29">
        <v>0.69374999999999998</v>
      </c>
      <c r="M223" s="35">
        <f t="shared" ca="1" si="49"/>
        <v>4.1666666666666519E-3</v>
      </c>
      <c r="N223" s="27"/>
      <c r="O223" s="60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221</v>
      </c>
      <c r="F224" s="27">
        <v>30</v>
      </c>
      <c r="G224" s="28">
        <f t="shared" si="48"/>
        <v>126</v>
      </c>
      <c r="H224" s="26" t="s">
        <v>20</v>
      </c>
      <c r="I224" s="26" t="s">
        <v>136</v>
      </c>
      <c r="J224" s="26" t="s">
        <v>179</v>
      </c>
      <c r="K224" s="29">
        <v>0.69652777777777775</v>
      </c>
      <c r="L224" s="29">
        <v>0.71319444444444446</v>
      </c>
      <c r="M224" s="30">
        <f t="shared" ca="1" si="49"/>
        <v>1.6666666666666718E-2</v>
      </c>
      <c r="N224" s="27"/>
      <c r="O224" s="60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221</v>
      </c>
      <c r="F225" s="27">
        <v>15</v>
      </c>
      <c r="G225" s="34">
        <f t="shared" si="48"/>
        <v>63</v>
      </c>
      <c r="H225" s="33" t="s">
        <v>20</v>
      </c>
      <c r="I225" s="33" t="s">
        <v>52</v>
      </c>
      <c r="J225" s="33" t="s">
        <v>51</v>
      </c>
      <c r="K225" s="29" t="s">
        <v>275</v>
      </c>
      <c r="L225" s="29">
        <v>0.76041666666666663</v>
      </c>
      <c r="M225" s="35">
        <v>6.9444444444444441E-3</v>
      </c>
      <c r="N225" s="27"/>
      <c r="O225" s="60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221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221</v>
      </c>
      <c r="F227" s="27">
        <v>11</v>
      </c>
      <c r="G227" s="34">
        <f t="shared" si="48"/>
        <v>46.2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221</v>
      </c>
      <c r="F228" s="27">
        <v>15</v>
      </c>
      <c r="G228" s="28">
        <f t="shared" si="48"/>
        <v>63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221</v>
      </c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91" t="s">
        <v>211</v>
      </c>
      <c r="B230" s="92"/>
      <c r="C230" s="92"/>
      <c r="D230" s="92"/>
      <c r="E230" s="93">
        <f>SUM(E218:E229)</f>
        <v>0</v>
      </c>
      <c r="F230" s="36">
        <f>SUM(F218:F229)</f>
        <v>117</v>
      </c>
      <c r="G230" s="36">
        <f>SUM(G218:G229)</f>
        <v>491.40000000000003</v>
      </c>
      <c r="H230" s="37"/>
      <c r="I230" s="37"/>
      <c r="J230" s="37"/>
      <c r="K230" s="61"/>
      <c r="L230" s="61"/>
      <c r="M230" s="38">
        <f ca="1">IFERROR(SUM(M218:M229),"")</f>
        <v>0.19652777777777794</v>
      </c>
      <c r="N230" s="36" t="s">
        <v>212</v>
      </c>
      <c r="O230" s="39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60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60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60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60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60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60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91" t="s">
        <v>213</v>
      </c>
      <c r="B243" s="92"/>
      <c r="C243" s="92"/>
      <c r="D243" s="92"/>
      <c r="E243" s="93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61"/>
      <c r="L243" s="61"/>
      <c r="M243" s="38">
        <f ca="1">IFERROR(SUM(M231:M242),"")</f>
        <v>0</v>
      </c>
      <c r="N243" s="36" t="s">
        <v>212</v>
      </c>
      <c r="O243" s="39"/>
    </row>
    <row r="244" spans="1:15" ht="18" customHeight="1">
      <c r="A244" s="94" t="s">
        <v>214</v>
      </c>
      <c r="B244" s="95"/>
      <c r="C244" s="95"/>
      <c r="D244" s="95"/>
      <c r="E244" s="96">
        <f>E230+E243</f>
        <v>0</v>
      </c>
      <c r="F244" s="40">
        <f>F230+F243</f>
        <v>117</v>
      </c>
      <c r="G244" s="40">
        <f>G230+G243</f>
        <v>491.40000000000003</v>
      </c>
      <c r="H244" s="41"/>
      <c r="I244" s="41"/>
      <c r="J244" s="41"/>
      <c r="K244" s="63"/>
      <c r="L244" s="63"/>
      <c r="M244" s="42">
        <f ca="1">IFERROR(M230+M243,"")</f>
        <v>0.19652777777777794</v>
      </c>
      <c r="N244" s="40" t="s">
        <v>215</v>
      </c>
      <c r="O244" s="48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0" t="str">
        <f t="shared" ref="M245:M256" ca="1" si="55">IFERROR(IF(K245="","",IF(L245="",MOD(NOW()-K245,1),IF(L245&gt;=K245,L245-K245,L245+1-K245))),"")</f>
        <v/>
      </c>
      <c r="N245" s="27"/>
      <c r="O245" s="60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5" t="str">
        <f t="shared" ca="1" si="55"/>
        <v/>
      </c>
      <c r="N246" s="27"/>
      <c r="O246" s="60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0" t="str">
        <f t="shared" ca="1" si="55"/>
        <v/>
      </c>
      <c r="N247" s="27"/>
      <c r="O247" s="60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5" t="str">
        <f t="shared" ca="1" si="55"/>
        <v/>
      </c>
      <c r="N248" s="27"/>
      <c r="O248" s="60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91" t="s">
        <v>211</v>
      </c>
      <c r="B257" s="92"/>
      <c r="C257" s="92"/>
      <c r="D257" s="92"/>
      <c r="E257" s="93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61"/>
      <c r="L257" s="61"/>
      <c r="M257" s="38">
        <f ca="1">IFERROR(SUM(M245:M256),"")</f>
        <v>0</v>
      </c>
      <c r="N257" s="36" t="s">
        <v>212</v>
      </c>
      <c r="O257" s="39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5" t="str">
        <f t="shared" ref="M258:M269" ca="1" si="58">IFERROR(IF(K258="","",IF(L258="",MOD(NOW()-K258,1),IF(L258&gt;=K258,L258-K258,L258+1-K258))),"")</f>
        <v/>
      </c>
      <c r="N258" s="27"/>
      <c r="O258" s="60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0" t="str">
        <f t="shared" ca="1" si="58"/>
        <v/>
      </c>
      <c r="N259" s="27"/>
      <c r="O259" s="60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91" t="s">
        <v>213</v>
      </c>
      <c r="B270" s="92"/>
      <c r="C270" s="92"/>
      <c r="D270" s="92"/>
      <c r="E270" s="93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61"/>
      <c r="L270" s="61"/>
      <c r="M270" s="38">
        <f ca="1">IFERROR(SUM(M258:M269),"")</f>
        <v>0</v>
      </c>
      <c r="N270" s="36" t="s">
        <v>212</v>
      </c>
      <c r="O270" s="39"/>
    </row>
    <row r="271" spans="1:15" ht="18" customHeight="1">
      <c r="A271" s="94" t="s">
        <v>214</v>
      </c>
      <c r="B271" s="95"/>
      <c r="C271" s="95"/>
      <c r="D271" s="95"/>
      <c r="E271" s="96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63"/>
      <c r="L271" s="63"/>
      <c r="M271" s="42">
        <f ca="1">IFERROR(M257+M270,"")</f>
        <v>0</v>
      </c>
      <c r="N271" s="40" t="s">
        <v>215</v>
      </c>
      <c r="O271" s="48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77" ca="1" si="61">IFERROR(IF(K272="","",IF(L272="",MOD(NOW()-K272,1),IF(L272&gt;=K272,L272-K272,L272+1-K272))),"")</f>
        <v/>
      </c>
      <c r="N272" s="27"/>
      <c r="O272" s="60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60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60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91" t="s">
        <v>211</v>
      </c>
      <c r="B284" s="92"/>
      <c r="C284" s="92"/>
      <c r="D284" s="92"/>
      <c r="E284" s="93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61"/>
      <c r="L284" s="61"/>
      <c r="M284" s="38">
        <f ca="1">IFERROR(SUM(M272:M283),"")</f>
        <v>0</v>
      </c>
      <c r="N284" s="36" t="s">
        <v>212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60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64" t="str">
        <f t="shared" ca="1" si="64"/>
        <v/>
      </c>
      <c r="N286" s="27"/>
      <c r="O286" s="60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64" t="str">
        <f t="shared" ca="1" si="64"/>
        <v/>
      </c>
      <c r="N287" s="27"/>
      <c r="O287" s="60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64" t="str">
        <f t="shared" ca="1" si="64"/>
        <v/>
      </c>
      <c r="N288" s="27"/>
      <c r="O288" s="60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60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64" t="str">
        <f t="shared" ca="1" si="64"/>
        <v/>
      </c>
      <c r="N290" s="27"/>
      <c r="O290" s="60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60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91" t="s">
        <v>213</v>
      </c>
      <c r="B297" s="92"/>
      <c r="C297" s="92"/>
      <c r="D297" s="92"/>
      <c r="E297" s="93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61"/>
      <c r="L297" s="61"/>
      <c r="M297" s="38">
        <f ca="1">IFERROR(SUM(M285:M296),"")</f>
        <v>0</v>
      </c>
      <c r="N297" s="36" t="s">
        <v>212</v>
      </c>
      <c r="O297" s="39"/>
    </row>
    <row r="298" spans="1:15" ht="18" customHeight="1">
      <c r="A298" s="94" t="s">
        <v>214</v>
      </c>
      <c r="B298" s="95"/>
      <c r="C298" s="95"/>
      <c r="D298" s="95"/>
      <c r="E298" s="96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63"/>
      <c r="L298" s="63"/>
      <c r="M298" s="42">
        <f ca="1">IFERROR(M284+M297,"")</f>
        <v>0</v>
      </c>
      <c r="N298" s="40" t="s">
        <v>215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60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60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65"/>
      <c r="L301" s="29"/>
      <c r="M301" s="35" t="str">
        <f t="shared" ca="1" si="67"/>
        <v/>
      </c>
      <c r="N301" s="27"/>
      <c r="O301" s="60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60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60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91" t="s">
        <v>211</v>
      </c>
      <c r="B311" s="92"/>
      <c r="C311" s="92"/>
      <c r="D311" s="92"/>
      <c r="E311" s="93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61"/>
      <c r="L311" s="61"/>
      <c r="M311" s="38">
        <f ca="1">IFERROR(SUM(M299:M310),"")</f>
        <v>0</v>
      </c>
      <c r="N311" s="36" t="s">
        <v>212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60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60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60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60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60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60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60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60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60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91" t="s">
        <v>213</v>
      </c>
      <c r="B324" s="92"/>
      <c r="C324" s="92"/>
      <c r="D324" s="92"/>
      <c r="E324" s="93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61"/>
      <c r="L324" s="61"/>
      <c r="M324" s="38">
        <f ca="1">IFERROR(SUM(M312:M323),"")</f>
        <v>0</v>
      </c>
      <c r="N324" s="36" t="s">
        <v>212</v>
      </c>
      <c r="O324" s="39"/>
    </row>
    <row r="325" spans="1:15" ht="18" customHeight="1">
      <c r="A325" s="94" t="s">
        <v>214</v>
      </c>
      <c r="B325" s="95"/>
      <c r="C325" s="95"/>
      <c r="D325" s="95"/>
      <c r="E325" s="96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63"/>
      <c r="L325" s="63"/>
      <c r="M325" s="42">
        <f ca="1">IFERROR(M311+M324,"")</f>
        <v>0</v>
      </c>
      <c r="N325" s="40" t="s">
        <v>215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60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27"/>
      <c r="O327" s="60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60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60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60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60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60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60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60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60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60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60"/>
    </row>
    <row r="338" spans="1:15" ht="15.75" customHeight="1">
      <c r="A338" s="91" t="s">
        <v>211</v>
      </c>
      <c r="B338" s="92"/>
      <c r="C338" s="92"/>
      <c r="D338" s="92"/>
      <c r="E338" s="93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61"/>
      <c r="L338" s="61"/>
      <c r="M338" s="38">
        <f ca="1">IFERROR(SUM(M326:M337),"")</f>
        <v>0</v>
      </c>
      <c r="N338" s="36" t="s">
        <v>212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60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60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60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60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60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60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60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60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60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91" t="s">
        <v>213</v>
      </c>
      <c r="B351" s="92"/>
      <c r="C351" s="92"/>
      <c r="D351" s="92"/>
      <c r="E351" s="93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61"/>
      <c r="L351" s="61"/>
      <c r="M351" s="38">
        <f ca="1">IFERROR(SUM(M339:M350),"")</f>
        <v>0</v>
      </c>
      <c r="N351" s="36" t="s">
        <v>212</v>
      </c>
      <c r="O351" s="39"/>
    </row>
    <row r="352" spans="1:15" ht="18" customHeight="1">
      <c r="A352" s="94" t="s">
        <v>214</v>
      </c>
      <c r="B352" s="95"/>
      <c r="C352" s="95"/>
      <c r="D352" s="95"/>
      <c r="E352" s="96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63"/>
      <c r="L352" s="63"/>
      <c r="M352" s="42">
        <f ca="1">IFERROR(M338+M351,"")</f>
        <v>0</v>
      </c>
      <c r="N352" s="40" t="s">
        <v>215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60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27"/>
      <c r="O354" s="60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60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60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60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60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91" t="s">
        <v>211</v>
      </c>
      <c r="B365" s="92"/>
      <c r="C365" s="92"/>
      <c r="D365" s="92"/>
      <c r="E365" s="93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61"/>
      <c r="L365" s="61"/>
      <c r="M365" s="38">
        <f ca="1">IFERROR(SUM(M353:M364),"")</f>
        <v>0</v>
      </c>
      <c r="N365" s="36" t="s">
        <v>212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60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60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60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60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60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60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60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60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60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60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60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60"/>
    </row>
    <row r="378" spans="1:15" ht="15.75" customHeight="1">
      <c r="A378" s="91" t="s">
        <v>213</v>
      </c>
      <c r="B378" s="92"/>
      <c r="C378" s="92"/>
      <c r="D378" s="92"/>
      <c r="E378" s="93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61"/>
      <c r="L378" s="61"/>
      <c r="M378" s="38">
        <f ca="1">IFERROR(SUM(M366:M377),"")</f>
        <v>0</v>
      </c>
      <c r="N378" s="36" t="s">
        <v>212</v>
      </c>
      <c r="O378" s="39"/>
    </row>
    <row r="379" spans="1:15" ht="18" customHeight="1">
      <c r="A379" s="94" t="s">
        <v>214</v>
      </c>
      <c r="B379" s="95"/>
      <c r="C379" s="95"/>
      <c r="D379" s="95"/>
      <c r="E379" s="96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63"/>
      <c r="L379" s="63"/>
      <c r="M379" s="42">
        <f ca="1">IFERROR(M365+M378,"")</f>
        <v>0</v>
      </c>
      <c r="N379" s="40" t="s">
        <v>215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60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60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60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60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91" t="s">
        <v>211</v>
      </c>
      <c r="B392" s="92"/>
      <c r="C392" s="92"/>
      <c r="D392" s="92"/>
      <c r="E392" s="93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61"/>
      <c r="L392" s="61"/>
      <c r="M392" s="38">
        <f ca="1">IFERROR(SUM(M380:M391),"")</f>
        <v>0</v>
      </c>
      <c r="N392" s="36" t="s">
        <v>212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60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60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9"/>
      <c r="O395" s="60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60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60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60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60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91" t="s">
        <v>213</v>
      </c>
      <c r="B405" s="92"/>
      <c r="C405" s="92"/>
      <c r="D405" s="92"/>
      <c r="E405" s="93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61"/>
      <c r="L405" s="61"/>
      <c r="M405" s="38">
        <f ca="1">IFERROR(SUM(M393:M404),"")</f>
        <v>0</v>
      </c>
      <c r="N405" s="36" t="s">
        <v>212</v>
      </c>
      <c r="O405" s="39"/>
    </row>
    <row r="406" spans="1:15" ht="18" customHeight="1">
      <c r="A406" s="94" t="s">
        <v>214</v>
      </c>
      <c r="B406" s="95"/>
      <c r="C406" s="95"/>
      <c r="D406" s="95"/>
      <c r="E406" s="96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63"/>
      <c r="L406" s="63"/>
      <c r="M406" s="42">
        <f ca="1">IFERROR(M392+M405,"")</f>
        <v>0</v>
      </c>
      <c r="N406" s="40" t="s">
        <v>215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60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60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60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60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60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60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91" t="s">
        <v>211</v>
      </c>
      <c r="B419" s="92"/>
      <c r="C419" s="92"/>
      <c r="D419" s="92"/>
      <c r="E419" s="93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61"/>
      <c r="L419" s="61"/>
      <c r="M419" s="38">
        <f ca="1">IFERROR(SUM(M407:M418),"")</f>
        <v>0</v>
      </c>
      <c r="N419" s="36" t="s">
        <v>212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60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60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60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60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60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60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60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91" t="s">
        <v>213</v>
      </c>
      <c r="B432" s="92"/>
      <c r="C432" s="92"/>
      <c r="D432" s="92"/>
      <c r="E432" s="93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61"/>
      <c r="L432" s="61"/>
      <c r="M432" s="38">
        <f ca="1">IFERROR(SUM(M420:M431),"")</f>
        <v>0</v>
      </c>
      <c r="N432" s="36" t="s">
        <v>212</v>
      </c>
      <c r="O432" s="39"/>
    </row>
    <row r="433" spans="1:17" ht="18" customHeight="1">
      <c r="A433" s="94" t="s">
        <v>214</v>
      </c>
      <c r="B433" s="95"/>
      <c r="C433" s="95"/>
      <c r="D433" s="95"/>
      <c r="E433" s="96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63"/>
      <c r="L433" s="63"/>
      <c r="M433" s="42">
        <f ca="1">IFERROR(M419+M432,"")</f>
        <v>0</v>
      </c>
      <c r="N433" s="40" t="s">
        <v>215</v>
      </c>
      <c r="O433" s="48">
        <f>IFERROR(O419+O432,"")</f>
        <v>0</v>
      </c>
    </row>
    <row r="434" spans="1:17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60"/>
    </row>
    <row r="435" spans="1:17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60"/>
    </row>
    <row r="436" spans="1:17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60"/>
    </row>
    <row r="437" spans="1:17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60"/>
    </row>
    <row r="438" spans="1:17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91" t="s">
        <v>211</v>
      </c>
      <c r="B446" s="92"/>
      <c r="C446" s="92"/>
      <c r="D446" s="92"/>
      <c r="E446" s="93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61"/>
      <c r="L446" s="61"/>
      <c r="M446" s="38">
        <f ca="1">IFERROR(SUM(M434:M445),"")</f>
        <v>0</v>
      </c>
      <c r="N446" s="36" t="s">
        <v>212</v>
      </c>
      <c r="O446" s="39"/>
    </row>
    <row r="447" spans="1:17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60"/>
    </row>
    <row r="448" spans="1:17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60"/>
      <c r="Q448" s="66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60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60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60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60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60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60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60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91" t="s">
        <v>213</v>
      </c>
      <c r="B459" s="92"/>
      <c r="C459" s="92"/>
      <c r="D459" s="92"/>
      <c r="E459" s="93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61"/>
      <c r="L459" s="61"/>
      <c r="M459" s="38">
        <f ca="1">IFERROR(SUM(M447:M458),"")</f>
        <v>0</v>
      </c>
      <c r="N459" s="36" t="s">
        <v>212</v>
      </c>
      <c r="O459" s="39"/>
    </row>
    <row r="460" spans="1:15" ht="18" customHeight="1">
      <c r="A460" s="94" t="s">
        <v>214</v>
      </c>
      <c r="B460" s="95"/>
      <c r="C460" s="95"/>
      <c r="D460" s="95"/>
      <c r="E460" s="96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63"/>
      <c r="L460" s="63"/>
      <c r="M460" s="42">
        <f ca="1">IFERROR(M446+M459,"")</f>
        <v>0</v>
      </c>
      <c r="N460" s="40" t="s">
        <v>215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60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60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60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60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60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91" t="s">
        <v>211</v>
      </c>
      <c r="B473" s="92"/>
      <c r="C473" s="92"/>
      <c r="D473" s="92"/>
      <c r="E473" s="93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61"/>
      <c r="L473" s="61"/>
      <c r="M473" s="38">
        <f ca="1">IFERROR(SUM(M461:M472),"")</f>
        <v>0</v>
      </c>
      <c r="N473" s="36" t="s">
        <v>212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60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91" t="s">
        <v>213</v>
      </c>
      <c r="B486" s="92"/>
      <c r="C486" s="92"/>
      <c r="D486" s="92"/>
      <c r="E486" s="93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61"/>
      <c r="L486" s="61"/>
      <c r="M486" s="38">
        <f ca="1">IFERROR(SUM(M474:M485),"")</f>
        <v>0</v>
      </c>
      <c r="N486" s="36" t="s">
        <v>212</v>
      </c>
      <c r="O486" s="39"/>
    </row>
    <row r="487" spans="1:15" ht="18" customHeight="1">
      <c r="A487" s="94" t="s">
        <v>214</v>
      </c>
      <c r="B487" s="95"/>
      <c r="C487" s="95"/>
      <c r="D487" s="95"/>
      <c r="E487" s="96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63"/>
      <c r="L487" s="63"/>
      <c r="M487" s="42">
        <f ca="1">IFERROR(M473+M486,"")</f>
        <v>0</v>
      </c>
      <c r="N487" s="40" t="s">
        <v>215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ca="1">IFERROR(IF(K488="","",IF(L488="",MOD(NOW()-K488,1),IF(L488&gt;=K488,L488-K488,L488+1-K488))),"")</f>
        <v/>
      </c>
      <c r="N488" s="27"/>
      <c r="O488" s="60"/>
    </row>
    <row r="489" spans="1:15" ht="15" customHeight="1">
      <c r="A489" s="70">
        <v>46222</v>
      </c>
      <c r="B489" s="32">
        <f t="shared" ref="B489:B499" si="109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ca="1">IFERROR(IF(K489="","",IF(L489="",MOD(NOW()-K489,1),IF(L489&gt;=K489,L489-K489,L489+1-K489))),"")</f>
        <v/>
      </c>
      <c r="N489" s="27"/>
      <c r="O489" s="60"/>
    </row>
    <row r="490" spans="1:15" ht="15" customHeight="1">
      <c r="A490" s="69">
        <v>46222</v>
      </c>
      <c r="B490" s="25">
        <f t="shared" si="109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ca="1">IFERROR(IF(K490="","",IF(L490="",MOD(NOW()-K490,1),IF(L490&gt;=K490,L490-K490,L490+1-K490))),"")</f>
        <v/>
      </c>
      <c r="N490" s="27"/>
      <c r="O490" s="60"/>
    </row>
    <row r="491" spans="1:15" ht="15" customHeight="1">
      <c r="A491" s="70">
        <v>46222</v>
      </c>
      <c r="B491" s="32">
        <f t="shared" si="109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ca="1">IFERROR(IF(K491="","",IF(L491="",MOD(NOW()-K491,1),IF(L491&gt;=K491,L491-K491,L491+1-K491))),"")</f>
        <v/>
      </c>
      <c r="N491" s="27"/>
      <c r="O491" s="60"/>
    </row>
    <row r="492" spans="1:15" ht="15" customHeight="1">
      <c r="A492" s="69">
        <v>46222</v>
      </c>
      <c r="B492" s="25">
        <f t="shared" si="109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70">
        <v>46222</v>
      </c>
      <c r="B493" s="32">
        <f t="shared" si="109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9">
        <v>46222</v>
      </c>
      <c r="B494" s="25">
        <f t="shared" si="109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70">
        <v>46222</v>
      </c>
      <c r="B495" s="32">
        <f t="shared" si="109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9">
        <v>46222</v>
      </c>
      <c r="B496" s="25">
        <f t="shared" si="109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70">
        <v>46222</v>
      </c>
      <c r="B497" s="32">
        <f t="shared" si="109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9">
        <v>46222</v>
      </c>
      <c r="B498" s="25">
        <f t="shared" si="109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70">
        <v>46222</v>
      </c>
      <c r="B499" s="32">
        <f t="shared" si="109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91" t="s">
        <v>211</v>
      </c>
      <c r="B500" s="92"/>
      <c r="C500" s="92"/>
      <c r="D500" s="92"/>
      <c r="E500" s="93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61"/>
      <c r="L500" s="61"/>
      <c r="M500" s="38">
        <f ca="1">IFERROR(SUM(M488:M499),"")</f>
        <v>0</v>
      </c>
      <c r="N500" s="36" t="s">
        <v>212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60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60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60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91" t="s">
        <v>213</v>
      </c>
      <c r="B513" s="92"/>
      <c r="C513" s="92"/>
      <c r="D513" s="92"/>
      <c r="E513" s="93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61"/>
      <c r="L513" s="61"/>
      <c r="M513" s="38">
        <f ca="1">IFERROR(SUM(M501:M512),"")</f>
        <v>0</v>
      </c>
      <c r="N513" s="36" t="s">
        <v>212</v>
      </c>
      <c r="O513" s="39"/>
    </row>
    <row r="514" spans="1:15" ht="18" customHeight="1">
      <c r="A514" s="94" t="s">
        <v>214</v>
      </c>
      <c r="B514" s="95"/>
      <c r="C514" s="95"/>
      <c r="D514" s="95"/>
      <c r="E514" s="96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63"/>
      <c r="L514" s="63"/>
      <c r="M514" s="42">
        <f ca="1">IFERROR(M500+M513,"")</f>
        <v>0</v>
      </c>
      <c r="N514" s="40" t="s">
        <v>215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60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60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60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60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91" t="s">
        <v>211</v>
      </c>
      <c r="B527" s="92"/>
      <c r="C527" s="92"/>
      <c r="D527" s="92"/>
      <c r="E527" s="93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61"/>
      <c r="L527" s="61"/>
      <c r="M527" s="38">
        <f ca="1">IFERROR(SUM(M515:M526),"")</f>
        <v>0</v>
      </c>
      <c r="N527" s="36" t="s">
        <v>212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60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60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60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60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60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60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91" t="s">
        <v>213</v>
      </c>
      <c r="B540" s="92"/>
      <c r="C540" s="92"/>
      <c r="D540" s="92"/>
      <c r="E540" s="93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61"/>
      <c r="L540" s="61"/>
      <c r="M540" s="38">
        <f ca="1">IFERROR(SUM(M528:M539),"")</f>
        <v>0</v>
      </c>
      <c r="N540" s="36" t="s">
        <v>212</v>
      </c>
      <c r="O540" s="39"/>
    </row>
    <row r="541" spans="1:15" ht="18" customHeight="1">
      <c r="A541" s="94" t="s">
        <v>214</v>
      </c>
      <c r="B541" s="95"/>
      <c r="C541" s="95"/>
      <c r="D541" s="95"/>
      <c r="E541" s="96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63"/>
      <c r="L541" s="63"/>
      <c r="M541" s="42">
        <f ca="1">IFERROR(M527+M540,"")</f>
        <v>0</v>
      </c>
      <c r="N541" s="40" t="s">
        <v>215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60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60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60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60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91" t="s">
        <v>211</v>
      </c>
      <c r="B554" s="92"/>
      <c r="C554" s="92"/>
      <c r="D554" s="92"/>
      <c r="E554" s="93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61"/>
      <c r="L554" s="61"/>
      <c r="M554" s="38">
        <f ca="1">IFERROR(SUM(M542:M553),"")</f>
        <v>0</v>
      </c>
      <c r="N554" s="36" t="s">
        <v>212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60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60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60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60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60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60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60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60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60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60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60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60"/>
    </row>
    <row r="567" spans="1:15" ht="15.75" customHeight="1">
      <c r="A567" s="91" t="s">
        <v>213</v>
      </c>
      <c r="B567" s="92"/>
      <c r="C567" s="92"/>
      <c r="D567" s="92"/>
      <c r="E567" s="93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</v>
      </c>
      <c r="N567" s="36" t="s">
        <v>212</v>
      </c>
      <c r="O567" s="39"/>
    </row>
    <row r="568" spans="1:15" ht="18" customHeight="1">
      <c r="A568" s="94" t="s">
        <v>214</v>
      </c>
      <c r="B568" s="95"/>
      <c r="C568" s="95"/>
      <c r="D568" s="95"/>
      <c r="E568" s="96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63"/>
      <c r="L568" s="63"/>
      <c r="M568" s="42">
        <f ca="1">IFERROR(M554+M567,"")</f>
        <v>0</v>
      </c>
      <c r="N568" s="40" t="s">
        <v>215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91" t="s">
        <v>211</v>
      </c>
      <c r="B581" s="92"/>
      <c r="C581" s="92"/>
      <c r="D581" s="92"/>
      <c r="E581" s="93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212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91" t="s">
        <v>213</v>
      </c>
      <c r="B594" s="92"/>
      <c r="C594" s="92"/>
      <c r="D594" s="92"/>
      <c r="E594" s="93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212</v>
      </c>
      <c r="O594" s="39"/>
    </row>
    <row r="595" spans="1:15" ht="18" customHeight="1">
      <c r="A595" s="94" t="s">
        <v>214</v>
      </c>
      <c r="B595" s="95"/>
      <c r="C595" s="95"/>
      <c r="D595" s="95"/>
      <c r="E595" s="96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215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91" t="s">
        <v>211</v>
      </c>
      <c r="B608" s="92"/>
      <c r="C608" s="92"/>
      <c r="D608" s="92"/>
      <c r="E608" s="93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212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91" t="s">
        <v>213</v>
      </c>
      <c r="B621" s="92"/>
      <c r="C621" s="92"/>
      <c r="D621" s="92"/>
      <c r="E621" s="93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212</v>
      </c>
      <c r="O621" s="39"/>
    </row>
    <row r="622" spans="1:15" ht="18" customHeight="1">
      <c r="A622" s="94" t="s">
        <v>214</v>
      </c>
      <c r="B622" s="95"/>
      <c r="C622" s="95"/>
      <c r="D622" s="95"/>
      <c r="E622" s="96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215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91" t="s">
        <v>211</v>
      </c>
      <c r="B635" s="92"/>
      <c r="C635" s="92"/>
      <c r="D635" s="92"/>
      <c r="E635" s="93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212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91" t="s">
        <v>213</v>
      </c>
      <c r="B648" s="92"/>
      <c r="C648" s="92"/>
      <c r="D648" s="92"/>
      <c r="E648" s="93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212</v>
      </c>
      <c r="O648" s="39"/>
    </row>
    <row r="649" spans="1:15" ht="18" customHeight="1">
      <c r="A649" s="94" t="s">
        <v>214</v>
      </c>
      <c r="B649" s="95"/>
      <c r="C649" s="95"/>
      <c r="D649" s="95"/>
      <c r="E649" s="96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215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91" t="s">
        <v>211</v>
      </c>
      <c r="B662" s="92"/>
      <c r="C662" s="92"/>
      <c r="D662" s="92"/>
      <c r="E662" s="93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212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91" t="s">
        <v>213</v>
      </c>
      <c r="B675" s="92"/>
      <c r="C675" s="92"/>
      <c r="D675" s="92"/>
      <c r="E675" s="93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212</v>
      </c>
      <c r="O675" s="39"/>
    </row>
    <row r="676" spans="1:15" ht="18" customHeight="1">
      <c r="A676" s="94" t="s">
        <v>214</v>
      </c>
      <c r="B676" s="95"/>
      <c r="C676" s="95"/>
      <c r="D676" s="95"/>
      <c r="E676" s="96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215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91" t="s">
        <v>211</v>
      </c>
      <c r="B689" s="92"/>
      <c r="C689" s="92"/>
      <c r="D689" s="92"/>
      <c r="E689" s="93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212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91" t="s">
        <v>213</v>
      </c>
      <c r="B702" s="92"/>
      <c r="C702" s="92"/>
      <c r="D702" s="92"/>
      <c r="E702" s="93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212</v>
      </c>
      <c r="O702" s="39"/>
    </row>
    <row r="703" spans="1:15" ht="18" customHeight="1">
      <c r="A703" s="94" t="s">
        <v>214</v>
      </c>
      <c r="B703" s="95"/>
      <c r="C703" s="95"/>
      <c r="D703" s="95"/>
      <c r="E703" s="96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215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91" t="s">
        <v>211</v>
      </c>
      <c r="B716" s="92"/>
      <c r="C716" s="92"/>
      <c r="D716" s="92"/>
      <c r="E716" s="93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212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91" t="s">
        <v>213</v>
      </c>
      <c r="B729" s="92"/>
      <c r="C729" s="92"/>
      <c r="D729" s="92"/>
      <c r="E729" s="93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212</v>
      </c>
      <c r="O729" s="39"/>
    </row>
    <row r="730" spans="1:15" ht="18" customHeight="1">
      <c r="A730" s="94" t="s">
        <v>214</v>
      </c>
      <c r="B730" s="95"/>
      <c r="C730" s="95"/>
      <c r="D730" s="95"/>
      <c r="E730" s="96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215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91" t="s">
        <v>211</v>
      </c>
      <c r="B743" s="92"/>
      <c r="C743" s="92"/>
      <c r="D743" s="92"/>
      <c r="E743" s="93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212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91" t="s">
        <v>213</v>
      </c>
      <c r="B756" s="92"/>
      <c r="C756" s="92"/>
      <c r="D756" s="92"/>
      <c r="E756" s="93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212</v>
      </c>
      <c r="O756" s="39"/>
    </row>
    <row r="757" spans="1:15" ht="18" customHeight="1">
      <c r="A757" s="94" t="s">
        <v>214</v>
      </c>
      <c r="B757" s="95"/>
      <c r="C757" s="95"/>
      <c r="D757" s="95"/>
      <c r="E757" s="96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215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91" t="s">
        <v>211</v>
      </c>
      <c r="B770" s="92"/>
      <c r="C770" s="92"/>
      <c r="D770" s="92"/>
      <c r="E770" s="93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212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91" t="s">
        <v>213</v>
      </c>
      <c r="B783" s="92"/>
      <c r="C783" s="92"/>
      <c r="D783" s="92"/>
      <c r="E783" s="93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212</v>
      </c>
      <c r="O783" s="39"/>
    </row>
    <row r="784" spans="1:15" ht="18" customHeight="1">
      <c r="A784" s="94" t="s">
        <v>214</v>
      </c>
      <c r="B784" s="95"/>
      <c r="C784" s="95"/>
      <c r="D784" s="95"/>
      <c r="E784" s="96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215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91" t="s">
        <v>211</v>
      </c>
      <c r="B797" s="92"/>
      <c r="C797" s="92"/>
      <c r="D797" s="92"/>
      <c r="E797" s="93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212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91" t="s">
        <v>213</v>
      </c>
      <c r="B810" s="92"/>
      <c r="C810" s="92"/>
      <c r="D810" s="92"/>
      <c r="E810" s="93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212</v>
      </c>
      <c r="O810" s="39"/>
    </row>
    <row r="811" spans="1:15" ht="18" customHeight="1">
      <c r="A811" s="94" t="s">
        <v>214</v>
      </c>
      <c r="B811" s="95"/>
      <c r="C811" s="95"/>
      <c r="D811" s="95"/>
      <c r="E811" s="96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215</v>
      </c>
      <c r="O811" s="43">
        <f>IFERROR(O797+O810,"")</f>
        <v>0</v>
      </c>
    </row>
  </sheetData>
  <mergeCells count="90"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811" xr:uid="{00000000-0002-0000-0500-000001000000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D15:D26 D2:D13 D29:D900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60A38338-7112-4F45-BCE1-49C5EC8DDAF1}"/>
</file>

<file path=customXml/itemProps2.xml><?xml version="1.0" encoding="utf-8"?>
<ds:datastoreItem xmlns:ds="http://schemas.openxmlformats.org/officeDocument/2006/customXml" ds:itemID="{2878EAE7-5404-4D83-90A8-98DF7BC2EF45}"/>
</file>

<file path=customXml/itemProps3.xml><?xml version="1.0" encoding="utf-8"?>
<ds:datastoreItem xmlns:ds="http://schemas.openxmlformats.org/officeDocument/2006/customXml" ds:itemID="{288F5DF9-2BBC-43A5-A79A-7C7087BA3892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2026-07-09T22:18:03Z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