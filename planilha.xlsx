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818" documentId="8_{AF585B22-221D-4780-BB9C-493D365A6A02}" xr6:coauthVersionLast="47" xr6:coauthVersionMax="47" xr10:uidLastSave="{064A76F1-4B51-484B-9DE3-F5E8813697A4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<sst xmlns="http://schemas.openxmlformats.org/spreadsheetml/2006/main" count="2134" uniqueCount="224">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</sst>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L84" sqref="L8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/>
      <c r="G83" s="28" t="str">
        <f t="shared" ref="G83:G94" si="18">IF(F83="","",IF(E83="PC 17",F83*4.2,IF(E83="PC 19",F83*5,"")))</f>
        <v/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1.5972222222222221E-2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1.5972222222222221E-2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8" activePane="bottomLeft" state="frozen"/>
      <selection pane="bottomLeft" activeCell="D84" sqref="D84:D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K84" sqref="K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>
        <v>0.29166666666666669</v>
      </c>
      <c r="L83" s="29"/>
      <c r="M83" s="35">
        <f t="shared" ref="M83:M94" ca="1" si="19">IFERROR(IF(K83="","",IF(L83="",MOD(NOW()-K83,1),IF(L83&gt;=K83,L83-K83,L83+1-K83))),"")</f>
        <v>3.1036805557960179E-2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3.1036805557960179E-2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3.1036805557960179E-2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K84" sqref="K8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218</v>
      </c>
      <c r="L58" s="29">
        <v>0.54097222222222219</v>
      </c>
      <c r="M58" s="30" t="str">
        <f t="shared" ca="1" si="13"/>
        <v/>
      </c>
      <c r="N58" s="27" t="s">
        <v>219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>
        <v>0.29166666666666669</v>
      </c>
      <c r="L83" s="29"/>
      <c r="M83" s="30">
        <f t="shared" ref="M83:M94" ca="1" si="19">IFERROR(IF(K83="","",IF(L83="",MOD(NOW()-K83,1),IF(L83&gt;=K83,L83-K83,L83+1-K83))),"")</f>
        <v>3.1036805557960179E-2</v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3.1036805557960179E-2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3.1036805557960179E-2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2026-07-04T11:47:05Z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