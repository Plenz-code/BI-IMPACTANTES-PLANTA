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32" documentId="8_{AF585B22-221D-4780-BB9C-493D365A6A02}" xr6:coauthVersionLast="47" xr6:coauthVersionMax="47" xr10:uidLastSave="{72B2B9C9-C321-4FD2-B32B-AF53B819C2A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<sst xmlns="http://schemas.openxmlformats.org/spreadsheetml/2006/main" count="6364" uniqueCount="324">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</sst>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6" zoomScale="85" zoomScaleNormal="85" workbookViewId="0">
      <selection activeCell="J21" sqref="J2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/>
    </row>
    <row r="55" spans="1:13" ht="15" customHeight="1">
      <c r="H55" s="104"/>
      <c r="I55" s="17"/>
      <c r="J55" s="17"/>
      <c r="K55" s="17" t="s">
        <v>198</v>
      </c>
      <c r="L55" s="17"/>
      <c r="M55" s="17"/>
    </row>
    <row r="56" spans="1:13" ht="15" customHeight="1">
      <c r="H56" s="104"/>
      <c r="I56" s="16"/>
      <c r="J56" s="16"/>
      <c r="K56" s="16" t="s">
        <v>199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200</v>
      </c>
      <c r="L58" s="16"/>
      <c r="M58" s="16"/>
    </row>
    <row r="59" spans="1:13" ht="15" customHeight="1">
      <c r="H59" s="104"/>
      <c r="I59" s="17"/>
      <c r="J59" s="17"/>
      <c r="K59" s="17" t="s">
        <v>201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202</v>
      </c>
      <c r="L61" s="17"/>
      <c r="M61" s="17"/>
    </row>
    <row r="62" spans="1:13" ht="15" customHeight="1">
      <c r="H62" s="104"/>
      <c r="I62" s="16"/>
      <c r="J62" s="16"/>
      <c r="K62" s="16" t="s">
        <v>203</v>
      </c>
      <c r="L62" s="16"/>
      <c r="M62" s="16"/>
    </row>
    <row r="63" spans="1:13" ht="15" customHeight="1">
      <c r="H63" s="104"/>
      <c r="I63" s="17"/>
      <c r="J63" s="17"/>
      <c r="K63" s="17" t="s">
        <v>204</v>
      </c>
      <c r="L63" s="17"/>
      <c r="M63" s="17"/>
    </row>
    <row r="64" spans="1:13" ht="15" customHeight="1">
      <c r="H64" s="104"/>
      <c r="I64" s="16"/>
      <c r="J64" s="16"/>
      <c r="K64" s="16" t="s">
        <v>205</v>
      </c>
      <c r="L64" s="16"/>
      <c r="M64" s="16"/>
    </row>
    <row r="65" spans="8:13" ht="15" customHeight="1">
      <c r="H65" s="104"/>
      <c r="I65" s="17"/>
      <c r="J65" s="17"/>
      <c r="K65" s="17" t="s">
        <v>206</v>
      </c>
      <c r="L65" s="17"/>
      <c r="M65" s="17"/>
    </row>
    <row r="66" spans="8:13" ht="15" customHeight="1">
      <c r="H66" s="104"/>
      <c r="I66" s="16"/>
      <c r="J66" s="16"/>
      <c r="K66" s="16" t="s">
        <v>207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91" sqref="F3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218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222</v>
      </c>
      <c r="O27" s="39">
        <v>1183060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222</v>
      </c>
      <c r="O54" s="39">
        <v>959290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222</v>
      </c>
      <c r="O81" s="39">
        <v>878050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222</v>
      </c>
      <c r="O108" s="39">
        <v>1700000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222</v>
      </c>
      <c r="O135" s="39">
        <v>862330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222</v>
      </c>
      <c r="O162" s="44">
        <v>1546080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222</v>
      </c>
      <c r="O189" s="39">
        <v>2355810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222</v>
      </c>
      <c r="O216" s="45">
        <v>2013260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222</v>
      </c>
      <c r="O243" s="39">
        <v>1545480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225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222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222</v>
      </c>
      <c r="O270" s="39">
        <v>1182690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225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222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233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233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233</v>
      </c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222</v>
      </c>
      <c r="O297" s="39">
        <v>1843460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225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234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235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222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236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236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236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236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222</v>
      </c>
      <c r="O324" s="39">
        <v>1940000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225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222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222</v>
      </c>
      <c r="O351" s="39">
        <v>701874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225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238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222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222</v>
      </c>
      <c r="O378" s="39">
        <v>1088710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225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206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239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240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/>
      <c r="M383" s="35">
        <f t="shared" ca="1" si="85"/>
        <v>5.3550925877061673E-3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219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0.10604953703215064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0.10604953703215064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59" t="s">
        <v>219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222</v>
      </c>
      <c r="O27" s="78">
        <v>393200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85">
        <v>276360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222</v>
      </c>
      <c r="O81" s="54">
        <v>787860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222</v>
      </c>
      <c r="O108" s="54">
        <v>1087080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222</v>
      </c>
      <c r="O135" s="54">
        <v>794480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201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222</v>
      </c>
      <c r="O162" s="54">
        <v>882280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222</v>
      </c>
      <c r="O189" s="78"/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222</v>
      </c>
      <c r="O216" s="78">
        <v>648410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201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222</v>
      </c>
      <c r="O243" s="78">
        <v>849060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225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222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222</v>
      </c>
      <c r="O270" s="78">
        <v>625070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225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222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222</v>
      </c>
      <c r="O297" s="78">
        <v>761660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225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222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222</v>
      </c>
      <c r="O324" s="78">
        <v>524410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225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222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222</v>
      </c>
      <c r="O351" s="78">
        <v>598420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225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222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0.51229930555564351</v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0.6699381944445324</v>
      </c>
      <c r="N378" s="36" t="s">
        <v>222</v>
      </c>
      <c r="O378" s="78">
        <v>511980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0.77966041666675456</v>
      </c>
      <c r="N379" s="40" t="s">
        <v>225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207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 t="s">
        <v>18</v>
      </c>
      <c r="I384" s="26" t="s">
        <v>156</v>
      </c>
      <c r="J384" s="26" t="s">
        <v>127</v>
      </c>
      <c r="K384" s="29">
        <v>0.56944444444444442</v>
      </c>
      <c r="L384" s="29"/>
      <c r="M384" s="30">
        <f t="shared" ca="1" si="85"/>
        <v>0.18243819444614928</v>
      </c>
      <c r="N384" s="46" t="s">
        <v>273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0.30049375000170481</v>
      </c>
      <c r="N392" s="36" t="s">
        <v>222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78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0.30049375000170481</v>
      </c>
      <c r="N406" s="40" t="s">
        <v>225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78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78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78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78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78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78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78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78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78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78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78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78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222</v>
      </c>
      <c r="O27" s="39">
        <v>308500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39">
        <v>124290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222</v>
      </c>
      <c r="O81" s="39">
        <v>396340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222</v>
      </c>
      <c r="O108" s="39">
        <v>41230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222</v>
      </c>
      <c r="O135" s="39">
        <v>381250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255</v>
      </c>
      <c r="K141" s="29">
        <v>0.71597222222222223</v>
      </c>
      <c r="L141" s="29" t="s">
        <v>281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222</v>
      </c>
      <c r="O162" s="39">
        <v>337120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283</v>
      </c>
      <c r="N166" s="27" t="s">
        <v>284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222</v>
      </c>
      <c r="O189" s="39">
        <v>747210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222</v>
      </c>
      <c r="O216" s="39">
        <v>468430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222</v>
      </c>
      <c r="O243" s="39">
        <v>575930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225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203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222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222</v>
      </c>
      <c r="O270" s="39">
        <v>483510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225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222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222</v>
      </c>
      <c r="O297" s="39">
        <v>487980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225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222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222</v>
      </c>
      <c r="O324" s="39">
        <v>609460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225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222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222</v>
      </c>
      <c r="O351" s="39">
        <v>437940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225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222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222</v>
      </c>
      <c r="O378" s="39">
        <v>473310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225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92</v>
      </c>
      <c r="G392" s="36">
        <f>SUM(G380:G391)</f>
        <v>386.40000000000003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92</v>
      </c>
      <c r="G406" s="40">
        <f>G392+G405</f>
        <v>386.40000000000003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1" sqref="F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222</v>
      </c>
      <c r="O27" s="39">
        <v>202230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222</v>
      </c>
      <c r="O54" s="39">
        <v>473910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298</v>
      </c>
      <c r="L58" s="29">
        <v>0.54097222222222219</v>
      </c>
      <c r="M58" s="30" t="str">
        <f t="shared" ca="1" si="13"/>
        <v/>
      </c>
      <c r="N58" s="27" t="s">
        <v>299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222</v>
      </c>
      <c r="O81" s="39">
        <v>565120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222</v>
      </c>
      <c r="O108" s="39">
        <v>558590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199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0.50257731481542578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0.7018828703709814</v>
      </c>
      <c r="N135" s="36" t="s">
        <v>222</v>
      </c>
      <c r="O135" s="39">
        <v>729290</v>
      </c>
    </row>
    <row r="136" spans="1:18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1.0692439814820924</v>
      </c>
      <c r="N136" s="40" t="s">
        <v>225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222</v>
      </c>
      <c r="O162" s="39">
        <v>697320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222</v>
      </c>
      <c r="O189" s="39">
        <v>973580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222</v>
      </c>
      <c r="O216" s="45">
        <v>1060630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222</v>
      </c>
      <c r="O243" s="39">
        <v>982340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225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202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222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222</v>
      </c>
      <c r="O270" s="39">
        <v>1208450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225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222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222</v>
      </c>
      <c r="O297" s="39">
        <v>1049090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225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204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205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222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222</v>
      </c>
      <c r="O324" s="39">
        <v>1063720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225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221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222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222</v>
      </c>
      <c r="O351" s="39">
        <v>696140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225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221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222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222</v>
      </c>
      <c r="O378" s="39">
        <v>704750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225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136</v>
      </c>
      <c r="G392" s="36">
        <f>SUM(G380:G391)</f>
        <v>571.20000000000005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136</v>
      </c>
      <c r="G406" s="40">
        <f>G392+G405</f>
        <v>571.20000000000005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222</v>
      </c>
      <c r="O432" s="39"/>
    </row>
    <row r="433" spans="1:17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