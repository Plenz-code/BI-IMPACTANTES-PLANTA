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661" documentId="13_ncr:1_{0A10D8D4-8450-4366-8075-B53B08E6B7EA}" xr6:coauthVersionLast="47" xr6:coauthVersionMax="47" xr10:uidLastSave="{CFA77597-FE55-4DC1-8A92-F38C995CDB1D}"/>
  <bookViews>
    <workbookView xWindow="-120" yWindow="-120" windowWidth="29040" windowHeight="15720" tabRatio="500" firstSheet="4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55" i="3" l="1"/>
  <c r="G456" i="3"/>
  <c r="G451" i="3"/>
  <c r="G453" i="3"/>
  <c r="G454" i="3"/>
  <c r="K445" i="4"/>
  <c r="K451" i="6"/>
  <c r="K452" i="6"/>
  <c r="K453" i="6"/>
  <c r="K454" i="6"/>
  <c r="K455" i="6"/>
  <c r="K456" i="6"/>
  <c r="K457" i="6"/>
  <c r="K458" i="6"/>
  <c r="K406" i="5"/>
  <c r="K406" i="6"/>
  <c r="G406" i="6"/>
  <c r="G406" i="5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5" i="6"/>
  <c r="J475" i="6" s="1"/>
  <c r="H476" i="6"/>
  <c r="J476" i="6" s="1"/>
  <c r="H477" i="6"/>
  <c r="J477" i="6" s="1"/>
  <c r="H478" i="6"/>
  <c r="J478" i="6" s="1"/>
  <c r="H479" i="6"/>
  <c r="J479" i="6" s="1"/>
  <c r="H480" i="6"/>
  <c r="J480" i="6" s="1"/>
  <c r="H481" i="6"/>
  <c r="J481" i="6" s="1"/>
  <c r="H482" i="6"/>
  <c r="J482" i="6" s="1"/>
  <c r="H483" i="6"/>
  <c r="J483" i="6" s="1"/>
  <c r="H484" i="6"/>
  <c r="J484" i="6" s="1"/>
  <c r="H485" i="6"/>
  <c r="J485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825" i="4"/>
  <c r="J825" i="4" s="1"/>
  <c r="H826" i="4"/>
  <c r="J826" i="4" s="1"/>
  <c r="H827" i="4"/>
  <c r="J827" i="4" s="1"/>
  <c r="H828" i="4"/>
  <c r="J828" i="4" s="1"/>
  <c r="H829" i="4"/>
  <c r="J829" i="4" s="1"/>
  <c r="H830" i="4"/>
  <c r="J830" i="4" s="1"/>
  <c r="H831" i="4"/>
  <c r="J831" i="4" s="1"/>
  <c r="H832" i="4"/>
  <c r="J832" i="4" s="1"/>
  <c r="H833" i="4"/>
  <c r="J833" i="4" s="1"/>
  <c r="H834" i="4"/>
  <c r="J834" i="4" s="1"/>
  <c r="H835" i="4"/>
  <c r="J835" i="4" s="1"/>
  <c r="H836" i="4"/>
  <c r="J836" i="4" s="1"/>
  <c r="H812" i="4"/>
  <c r="J812" i="4" s="1"/>
  <c r="H813" i="4"/>
  <c r="J813" i="4" s="1"/>
  <c r="H814" i="4"/>
  <c r="J814" i="4" s="1"/>
  <c r="H815" i="4"/>
  <c r="J815" i="4" s="1"/>
  <c r="H816" i="4"/>
  <c r="J816" i="4" s="1"/>
  <c r="H817" i="4"/>
  <c r="J817" i="4" s="1"/>
  <c r="H818" i="4"/>
  <c r="J818" i="4" s="1"/>
  <c r="H819" i="4"/>
  <c r="J819" i="4" s="1"/>
  <c r="H820" i="4"/>
  <c r="J820" i="4" s="1"/>
  <c r="H821" i="4"/>
  <c r="J821" i="4" s="1"/>
  <c r="H822" i="4"/>
  <c r="J822" i="4" s="1"/>
  <c r="H823" i="4"/>
  <c r="J823" i="4" s="1"/>
  <c r="H798" i="4"/>
  <c r="J798" i="4" s="1"/>
  <c r="H799" i="4"/>
  <c r="J799" i="4" s="1"/>
  <c r="H800" i="4"/>
  <c r="J800" i="4" s="1"/>
  <c r="H801" i="4"/>
  <c r="J801" i="4" s="1"/>
  <c r="H802" i="4"/>
  <c r="J802" i="4" s="1"/>
  <c r="H803" i="4"/>
  <c r="J803" i="4" s="1"/>
  <c r="H804" i="4"/>
  <c r="J804" i="4" s="1"/>
  <c r="H805" i="4"/>
  <c r="J805" i="4" s="1"/>
  <c r="H806" i="4"/>
  <c r="J806" i="4" s="1"/>
  <c r="H807" i="4"/>
  <c r="J807" i="4" s="1"/>
  <c r="H808" i="4"/>
  <c r="J808" i="4" s="1"/>
  <c r="H809" i="4"/>
  <c r="J809" i="4" s="1"/>
  <c r="H785" i="4"/>
  <c r="J785" i="4" s="1"/>
  <c r="H786" i="4"/>
  <c r="J786" i="4" s="1"/>
  <c r="H787" i="4"/>
  <c r="J787" i="4" s="1"/>
  <c r="H788" i="4"/>
  <c r="J788" i="4" s="1"/>
  <c r="H789" i="4"/>
  <c r="J789" i="4" s="1"/>
  <c r="H790" i="4"/>
  <c r="J790" i="4" s="1"/>
  <c r="H791" i="4"/>
  <c r="J791" i="4" s="1"/>
  <c r="H792" i="4"/>
  <c r="J792" i="4" s="1"/>
  <c r="H793" i="4"/>
  <c r="J793" i="4" s="1"/>
  <c r="H794" i="4"/>
  <c r="J794" i="4" s="1"/>
  <c r="H795" i="4"/>
  <c r="J795" i="4" s="1"/>
  <c r="H796" i="4"/>
  <c r="J796" i="4" s="1"/>
  <c r="H771" i="4"/>
  <c r="J771" i="4" s="1"/>
  <c r="H772" i="4"/>
  <c r="J772" i="4" s="1"/>
  <c r="H773" i="4"/>
  <c r="J773" i="4" s="1"/>
  <c r="H774" i="4"/>
  <c r="J774" i="4" s="1"/>
  <c r="H775" i="4"/>
  <c r="J775" i="4" s="1"/>
  <c r="H776" i="4"/>
  <c r="J776" i="4" s="1"/>
  <c r="H777" i="4"/>
  <c r="J777" i="4" s="1"/>
  <c r="H778" i="4"/>
  <c r="J778" i="4" s="1"/>
  <c r="H779" i="4"/>
  <c r="J779" i="4" s="1"/>
  <c r="H780" i="4"/>
  <c r="J780" i="4" s="1"/>
  <c r="H781" i="4"/>
  <c r="J781" i="4" s="1"/>
  <c r="H782" i="4"/>
  <c r="J782" i="4" s="1"/>
  <c r="H758" i="4"/>
  <c r="J758" i="4" s="1"/>
  <c r="H759" i="4"/>
  <c r="J759" i="4" s="1"/>
  <c r="H760" i="4"/>
  <c r="J760" i="4" s="1"/>
  <c r="H761" i="4"/>
  <c r="J761" i="4" s="1"/>
  <c r="H762" i="4"/>
  <c r="J762" i="4" s="1"/>
  <c r="H763" i="4"/>
  <c r="J763" i="4" s="1"/>
  <c r="H764" i="4"/>
  <c r="J764" i="4" s="1"/>
  <c r="H765" i="4"/>
  <c r="J765" i="4" s="1"/>
  <c r="H766" i="4"/>
  <c r="J766" i="4" s="1"/>
  <c r="H767" i="4"/>
  <c r="J767" i="4" s="1"/>
  <c r="H768" i="4"/>
  <c r="J768" i="4" s="1"/>
  <c r="H769" i="4"/>
  <c r="J769" i="4" s="1"/>
  <c r="H744" i="4"/>
  <c r="J744" i="4" s="1"/>
  <c r="H745" i="4"/>
  <c r="J745" i="4" s="1"/>
  <c r="H746" i="4"/>
  <c r="J746" i="4" s="1"/>
  <c r="H747" i="4"/>
  <c r="J747" i="4" s="1"/>
  <c r="H748" i="4"/>
  <c r="J748" i="4" s="1"/>
  <c r="H749" i="4"/>
  <c r="J749" i="4" s="1"/>
  <c r="H750" i="4"/>
  <c r="J750" i="4" s="1"/>
  <c r="H751" i="4"/>
  <c r="J751" i="4" s="1"/>
  <c r="H752" i="4"/>
  <c r="J752" i="4" s="1"/>
  <c r="H753" i="4"/>
  <c r="J753" i="4" s="1"/>
  <c r="H754" i="4"/>
  <c r="J754" i="4" s="1"/>
  <c r="H755" i="4"/>
  <c r="J755" i="4" s="1"/>
  <c r="H731" i="4"/>
  <c r="J731" i="4" s="1"/>
  <c r="H732" i="4"/>
  <c r="J732" i="4" s="1"/>
  <c r="H733" i="4"/>
  <c r="J733" i="4" s="1"/>
  <c r="H734" i="4"/>
  <c r="J734" i="4" s="1"/>
  <c r="H735" i="4"/>
  <c r="J735" i="4" s="1"/>
  <c r="H736" i="4"/>
  <c r="J736" i="4" s="1"/>
  <c r="H737" i="4"/>
  <c r="J737" i="4" s="1"/>
  <c r="H738" i="4"/>
  <c r="J738" i="4" s="1"/>
  <c r="H739" i="4"/>
  <c r="J739" i="4" s="1"/>
  <c r="H740" i="4"/>
  <c r="J740" i="4" s="1"/>
  <c r="H741" i="4"/>
  <c r="J741" i="4" s="1"/>
  <c r="H742" i="4"/>
  <c r="J742" i="4" s="1"/>
  <c r="H717" i="4"/>
  <c r="J717" i="4" s="1"/>
  <c r="H718" i="4"/>
  <c r="J718" i="4" s="1"/>
  <c r="H719" i="4"/>
  <c r="J719" i="4" s="1"/>
  <c r="H720" i="4"/>
  <c r="J720" i="4" s="1"/>
  <c r="H721" i="4"/>
  <c r="J721" i="4" s="1"/>
  <c r="H722" i="4"/>
  <c r="J722" i="4" s="1"/>
  <c r="H723" i="4"/>
  <c r="J723" i="4" s="1"/>
  <c r="H724" i="4"/>
  <c r="J724" i="4" s="1"/>
  <c r="H725" i="4"/>
  <c r="J725" i="4" s="1"/>
  <c r="H726" i="4"/>
  <c r="J726" i="4" s="1"/>
  <c r="H727" i="4"/>
  <c r="J727" i="4" s="1"/>
  <c r="H728" i="4"/>
  <c r="J728" i="4" s="1"/>
  <c r="H704" i="4"/>
  <c r="J704" i="4" s="1"/>
  <c r="H705" i="4"/>
  <c r="J705" i="4" s="1"/>
  <c r="H706" i="4"/>
  <c r="J706" i="4" s="1"/>
  <c r="H707" i="4"/>
  <c r="J707" i="4" s="1"/>
  <c r="H708" i="4"/>
  <c r="J708" i="4" s="1"/>
  <c r="H709" i="4"/>
  <c r="J709" i="4" s="1"/>
  <c r="H710" i="4"/>
  <c r="J710" i="4" s="1"/>
  <c r="H711" i="4"/>
  <c r="J711" i="4" s="1"/>
  <c r="H712" i="4"/>
  <c r="J712" i="4" s="1"/>
  <c r="H713" i="4"/>
  <c r="J713" i="4" s="1"/>
  <c r="H714" i="4"/>
  <c r="J714" i="4" s="1"/>
  <c r="H715" i="4"/>
  <c r="J715" i="4" s="1"/>
  <c r="H690" i="4"/>
  <c r="J690" i="4" s="1"/>
  <c r="H691" i="4"/>
  <c r="J691" i="4" s="1"/>
  <c r="H692" i="4"/>
  <c r="J692" i="4" s="1"/>
  <c r="H693" i="4"/>
  <c r="J693" i="4" s="1"/>
  <c r="H694" i="4"/>
  <c r="J694" i="4" s="1"/>
  <c r="H695" i="4"/>
  <c r="J695" i="4" s="1"/>
  <c r="H696" i="4"/>
  <c r="J696" i="4" s="1"/>
  <c r="H697" i="4"/>
  <c r="J697" i="4" s="1"/>
  <c r="H698" i="4"/>
  <c r="J698" i="4" s="1"/>
  <c r="H699" i="4"/>
  <c r="J699" i="4" s="1"/>
  <c r="H700" i="4"/>
  <c r="J700" i="4" s="1"/>
  <c r="H701" i="4"/>
  <c r="J701" i="4" s="1"/>
  <c r="H677" i="4"/>
  <c r="J677" i="4" s="1"/>
  <c r="H678" i="4"/>
  <c r="J678" i="4" s="1"/>
  <c r="H679" i="4"/>
  <c r="J679" i="4" s="1"/>
  <c r="H680" i="4"/>
  <c r="J680" i="4" s="1"/>
  <c r="H681" i="4"/>
  <c r="J681" i="4" s="1"/>
  <c r="H682" i="4"/>
  <c r="J682" i="4" s="1"/>
  <c r="H683" i="4"/>
  <c r="J683" i="4" s="1"/>
  <c r="H684" i="4"/>
  <c r="J684" i="4" s="1"/>
  <c r="H685" i="4"/>
  <c r="J685" i="4" s="1"/>
  <c r="H686" i="4"/>
  <c r="J686" i="4" s="1"/>
  <c r="H687" i="4"/>
  <c r="J687" i="4" s="1"/>
  <c r="H688" i="4"/>
  <c r="J688" i="4" s="1"/>
  <c r="H663" i="4"/>
  <c r="J663" i="4" s="1"/>
  <c r="H664" i="4"/>
  <c r="J664" i="4" s="1"/>
  <c r="H665" i="4"/>
  <c r="J665" i="4" s="1"/>
  <c r="H666" i="4"/>
  <c r="J666" i="4" s="1"/>
  <c r="H667" i="4"/>
  <c r="J667" i="4" s="1"/>
  <c r="H668" i="4"/>
  <c r="J668" i="4" s="1"/>
  <c r="H669" i="4"/>
  <c r="J669" i="4" s="1"/>
  <c r="H670" i="4"/>
  <c r="J670" i="4" s="1"/>
  <c r="H671" i="4"/>
  <c r="J671" i="4" s="1"/>
  <c r="H672" i="4"/>
  <c r="J672" i="4" s="1"/>
  <c r="H673" i="4"/>
  <c r="J673" i="4" s="1"/>
  <c r="H674" i="4"/>
  <c r="J674" i="4" s="1"/>
  <c r="H650" i="4"/>
  <c r="J650" i="4" s="1"/>
  <c r="H651" i="4"/>
  <c r="J651" i="4" s="1"/>
  <c r="H652" i="4"/>
  <c r="J652" i="4" s="1"/>
  <c r="H653" i="4"/>
  <c r="J653" i="4" s="1"/>
  <c r="H654" i="4"/>
  <c r="J654" i="4" s="1"/>
  <c r="H655" i="4"/>
  <c r="J655" i="4" s="1"/>
  <c r="H656" i="4"/>
  <c r="J656" i="4" s="1"/>
  <c r="H657" i="4"/>
  <c r="J657" i="4" s="1"/>
  <c r="H658" i="4"/>
  <c r="J658" i="4" s="1"/>
  <c r="H659" i="4"/>
  <c r="J659" i="4" s="1"/>
  <c r="H660" i="4"/>
  <c r="J660" i="4" s="1"/>
  <c r="H661" i="4"/>
  <c r="J661" i="4" s="1"/>
  <c r="H636" i="4"/>
  <c r="J636" i="4" s="1"/>
  <c r="H637" i="4"/>
  <c r="J637" i="4" s="1"/>
  <c r="H638" i="4"/>
  <c r="J638" i="4" s="1"/>
  <c r="H639" i="4"/>
  <c r="J639" i="4" s="1"/>
  <c r="H640" i="4"/>
  <c r="J640" i="4" s="1"/>
  <c r="H641" i="4"/>
  <c r="J641" i="4" s="1"/>
  <c r="H642" i="4"/>
  <c r="J642" i="4" s="1"/>
  <c r="H643" i="4"/>
  <c r="J643" i="4" s="1"/>
  <c r="H644" i="4"/>
  <c r="J644" i="4" s="1"/>
  <c r="H645" i="4"/>
  <c r="J645" i="4" s="1"/>
  <c r="H646" i="4"/>
  <c r="J646" i="4" s="1"/>
  <c r="H647" i="4"/>
  <c r="J647" i="4" s="1"/>
  <c r="H623" i="4"/>
  <c r="J623" i="4" s="1"/>
  <c r="H624" i="4"/>
  <c r="J624" i="4" s="1"/>
  <c r="H625" i="4"/>
  <c r="J625" i="4" s="1"/>
  <c r="H626" i="4"/>
  <c r="J626" i="4" s="1"/>
  <c r="H627" i="4"/>
  <c r="J627" i="4" s="1"/>
  <c r="H628" i="4"/>
  <c r="J628" i="4" s="1"/>
  <c r="H629" i="4"/>
  <c r="J629" i="4" s="1"/>
  <c r="H630" i="4"/>
  <c r="J630" i="4" s="1"/>
  <c r="H631" i="4"/>
  <c r="J631" i="4" s="1"/>
  <c r="H632" i="4"/>
  <c r="J632" i="4" s="1"/>
  <c r="H633" i="4"/>
  <c r="J633" i="4" s="1"/>
  <c r="H634" i="4"/>
  <c r="J634" i="4" s="1"/>
  <c r="H609" i="4"/>
  <c r="J609" i="4" s="1"/>
  <c r="H610" i="4"/>
  <c r="J610" i="4" s="1"/>
  <c r="H611" i="4"/>
  <c r="J611" i="4" s="1"/>
  <c r="H612" i="4"/>
  <c r="J612" i="4" s="1"/>
  <c r="H613" i="4"/>
  <c r="J613" i="4" s="1"/>
  <c r="H614" i="4"/>
  <c r="J614" i="4" s="1"/>
  <c r="H615" i="4"/>
  <c r="J615" i="4" s="1"/>
  <c r="H616" i="4"/>
  <c r="J616" i="4" s="1"/>
  <c r="H617" i="4"/>
  <c r="J617" i="4" s="1"/>
  <c r="H618" i="4"/>
  <c r="J618" i="4" s="1"/>
  <c r="H619" i="4"/>
  <c r="J619" i="4" s="1"/>
  <c r="H620" i="4"/>
  <c r="J620" i="4" s="1"/>
  <c r="H596" i="4"/>
  <c r="J596" i="4" s="1"/>
  <c r="H597" i="4"/>
  <c r="J597" i="4" s="1"/>
  <c r="H598" i="4"/>
  <c r="J598" i="4" s="1"/>
  <c r="H599" i="4"/>
  <c r="J599" i="4" s="1"/>
  <c r="H600" i="4"/>
  <c r="J600" i="4" s="1"/>
  <c r="H601" i="4"/>
  <c r="J601" i="4" s="1"/>
  <c r="H602" i="4"/>
  <c r="J602" i="4" s="1"/>
  <c r="H603" i="4"/>
  <c r="J603" i="4" s="1"/>
  <c r="H604" i="4"/>
  <c r="J604" i="4" s="1"/>
  <c r="H605" i="4"/>
  <c r="J605" i="4" s="1"/>
  <c r="H606" i="4"/>
  <c r="J606" i="4" s="1"/>
  <c r="H607" i="4"/>
  <c r="J607" i="4" s="1"/>
  <c r="H582" i="4"/>
  <c r="J582" i="4" s="1"/>
  <c r="H583" i="4"/>
  <c r="J583" i="4" s="1"/>
  <c r="H584" i="4"/>
  <c r="J584" i="4" s="1"/>
  <c r="H585" i="4"/>
  <c r="J585" i="4" s="1"/>
  <c r="H586" i="4"/>
  <c r="J586" i="4" s="1"/>
  <c r="H587" i="4"/>
  <c r="J587" i="4" s="1"/>
  <c r="H588" i="4"/>
  <c r="J588" i="4" s="1"/>
  <c r="H589" i="4"/>
  <c r="J589" i="4" s="1"/>
  <c r="H590" i="4"/>
  <c r="J590" i="4" s="1"/>
  <c r="H591" i="4"/>
  <c r="J591" i="4" s="1"/>
  <c r="H592" i="4"/>
  <c r="J592" i="4" s="1"/>
  <c r="H593" i="4"/>
  <c r="J593" i="4" s="1"/>
  <c r="H569" i="4"/>
  <c r="J569" i="4" s="1"/>
  <c r="H570" i="4"/>
  <c r="J570" i="4" s="1"/>
  <c r="H571" i="4"/>
  <c r="J571" i="4" s="1"/>
  <c r="H572" i="4"/>
  <c r="J572" i="4" s="1"/>
  <c r="H573" i="4"/>
  <c r="J573" i="4" s="1"/>
  <c r="H574" i="4"/>
  <c r="J574" i="4" s="1"/>
  <c r="H575" i="4"/>
  <c r="J575" i="4" s="1"/>
  <c r="H576" i="4"/>
  <c r="J576" i="4" s="1"/>
  <c r="H577" i="4"/>
  <c r="J577" i="4" s="1"/>
  <c r="H578" i="4"/>
  <c r="J578" i="4" s="1"/>
  <c r="H579" i="4"/>
  <c r="J579" i="4" s="1"/>
  <c r="H580" i="4"/>
  <c r="J580" i="4" s="1"/>
  <c r="H555" i="4"/>
  <c r="J555" i="4" s="1"/>
  <c r="H556" i="4"/>
  <c r="J556" i="4" s="1"/>
  <c r="H557" i="4"/>
  <c r="J557" i="4" s="1"/>
  <c r="H558" i="4"/>
  <c r="J558" i="4" s="1"/>
  <c r="H559" i="4"/>
  <c r="J559" i="4" s="1"/>
  <c r="H560" i="4"/>
  <c r="J560" i="4" s="1"/>
  <c r="H561" i="4"/>
  <c r="J561" i="4" s="1"/>
  <c r="H562" i="4"/>
  <c r="J562" i="4" s="1"/>
  <c r="H563" i="4"/>
  <c r="J563" i="4" s="1"/>
  <c r="H564" i="4"/>
  <c r="J564" i="4" s="1"/>
  <c r="H565" i="4"/>
  <c r="J565" i="4" s="1"/>
  <c r="H566" i="4"/>
  <c r="J566" i="4" s="1"/>
  <c r="H542" i="4"/>
  <c r="J542" i="4" s="1"/>
  <c r="H543" i="4"/>
  <c r="J543" i="4" s="1"/>
  <c r="H544" i="4"/>
  <c r="J544" i="4" s="1"/>
  <c r="H545" i="4"/>
  <c r="J545" i="4" s="1"/>
  <c r="H546" i="4"/>
  <c r="J546" i="4" s="1"/>
  <c r="H547" i="4"/>
  <c r="J547" i="4" s="1"/>
  <c r="H548" i="4"/>
  <c r="J548" i="4" s="1"/>
  <c r="H549" i="4"/>
  <c r="J549" i="4" s="1"/>
  <c r="H550" i="4"/>
  <c r="J550" i="4" s="1"/>
  <c r="H551" i="4"/>
  <c r="J551" i="4" s="1"/>
  <c r="H552" i="4"/>
  <c r="J552" i="4" s="1"/>
  <c r="H553" i="4"/>
  <c r="J553" i="4" s="1"/>
  <c r="H528" i="4"/>
  <c r="J528" i="4" s="1"/>
  <c r="H529" i="4"/>
  <c r="J529" i="4" s="1"/>
  <c r="H530" i="4"/>
  <c r="J530" i="4" s="1"/>
  <c r="H531" i="4"/>
  <c r="J531" i="4" s="1"/>
  <c r="H532" i="4"/>
  <c r="J532" i="4" s="1"/>
  <c r="H533" i="4"/>
  <c r="J533" i="4" s="1"/>
  <c r="H534" i="4"/>
  <c r="J534" i="4" s="1"/>
  <c r="H535" i="4"/>
  <c r="J535" i="4" s="1"/>
  <c r="H536" i="4"/>
  <c r="J536" i="4" s="1"/>
  <c r="H537" i="4"/>
  <c r="J537" i="4" s="1"/>
  <c r="H538" i="4"/>
  <c r="J538" i="4" s="1"/>
  <c r="H539" i="4"/>
  <c r="J539" i="4" s="1"/>
  <c r="H515" i="4"/>
  <c r="J515" i="4" s="1"/>
  <c r="H516" i="4"/>
  <c r="J516" i="4" s="1"/>
  <c r="H517" i="4"/>
  <c r="J517" i="4" s="1"/>
  <c r="H518" i="4"/>
  <c r="J518" i="4" s="1"/>
  <c r="H519" i="4"/>
  <c r="J519" i="4" s="1"/>
  <c r="H520" i="4"/>
  <c r="J520" i="4" s="1"/>
  <c r="H521" i="4"/>
  <c r="J521" i="4" s="1"/>
  <c r="H522" i="4"/>
  <c r="J522" i="4" s="1"/>
  <c r="H523" i="4"/>
  <c r="J523" i="4" s="1"/>
  <c r="H524" i="4"/>
  <c r="J524" i="4" s="1"/>
  <c r="H525" i="4"/>
  <c r="J525" i="4" s="1"/>
  <c r="H526" i="4"/>
  <c r="J526" i="4" s="1"/>
  <c r="H501" i="4"/>
  <c r="J501" i="4" s="1"/>
  <c r="H502" i="4"/>
  <c r="J502" i="4" s="1"/>
  <c r="H503" i="4"/>
  <c r="J503" i="4" s="1"/>
  <c r="H504" i="4"/>
  <c r="J504" i="4" s="1"/>
  <c r="H505" i="4"/>
  <c r="J505" i="4" s="1"/>
  <c r="H506" i="4"/>
  <c r="J506" i="4" s="1"/>
  <c r="H507" i="4"/>
  <c r="J507" i="4" s="1"/>
  <c r="H508" i="4"/>
  <c r="J508" i="4" s="1"/>
  <c r="H509" i="4"/>
  <c r="J509" i="4" s="1"/>
  <c r="H510" i="4"/>
  <c r="J510" i="4" s="1"/>
  <c r="H511" i="4"/>
  <c r="J511" i="4" s="1"/>
  <c r="H512" i="4"/>
  <c r="J512" i="4" s="1"/>
  <c r="H488" i="4"/>
  <c r="J488" i="4" s="1"/>
  <c r="H489" i="4"/>
  <c r="J489" i="4" s="1"/>
  <c r="H490" i="4"/>
  <c r="J490" i="4" s="1"/>
  <c r="H491" i="4"/>
  <c r="J491" i="4" s="1"/>
  <c r="H492" i="4"/>
  <c r="J492" i="4" s="1"/>
  <c r="H493" i="4"/>
  <c r="J493" i="4" s="1"/>
  <c r="H494" i="4"/>
  <c r="J494" i="4" s="1"/>
  <c r="H495" i="4"/>
  <c r="J495" i="4" s="1"/>
  <c r="H496" i="4"/>
  <c r="J496" i="4" s="1"/>
  <c r="H497" i="4"/>
  <c r="J497" i="4" s="1"/>
  <c r="H498" i="4"/>
  <c r="J498" i="4" s="1"/>
  <c r="H499" i="4"/>
  <c r="J499" i="4" s="1"/>
  <c r="H475" i="4"/>
  <c r="J475" i="4" s="1"/>
  <c r="H476" i="4"/>
  <c r="J476" i="4" s="1"/>
  <c r="H477" i="4"/>
  <c r="J477" i="4" s="1"/>
  <c r="H478" i="4"/>
  <c r="J478" i="4" s="1"/>
  <c r="H479" i="4"/>
  <c r="J479" i="4" s="1"/>
  <c r="H480" i="4"/>
  <c r="J480" i="4" s="1"/>
  <c r="H481" i="4"/>
  <c r="J481" i="4" s="1"/>
  <c r="H482" i="4"/>
  <c r="J482" i="4" s="1"/>
  <c r="H483" i="4"/>
  <c r="J483" i="4" s="1"/>
  <c r="H484" i="4"/>
  <c r="J484" i="4" s="1"/>
  <c r="H485" i="4"/>
  <c r="J485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500" i="5"/>
  <c r="T500" i="5" s="1"/>
  <c r="J662" i="6"/>
  <c r="T662" i="6" s="1"/>
  <c r="J797" i="4"/>
  <c r="T797" i="4" s="1"/>
  <c r="J608" i="5"/>
  <c r="T608" i="5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716" i="5"/>
  <c r="T716" i="5" s="1"/>
  <c r="J824" i="4"/>
  <c r="T824" i="4" s="1"/>
  <c r="J810" i="5"/>
  <c r="T810" i="5" s="1"/>
  <c r="J540" i="6"/>
  <c r="T540" i="6" s="1"/>
  <c r="J716" i="4"/>
  <c r="T716" i="4" s="1"/>
  <c r="J324" i="5"/>
  <c r="T324" i="5" s="1"/>
  <c r="J810" i="4"/>
  <c r="T810" i="4" s="1"/>
  <c r="J783" i="6"/>
  <c r="T783" i="6" s="1"/>
  <c r="J810" i="6"/>
  <c r="T810" i="6" s="1"/>
  <c r="J729" i="5"/>
  <c r="T729" i="5" s="1"/>
  <c r="J716" i="6"/>
  <c r="T716" i="6" s="1"/>
  <c r="J837" i="4"/>
  <c r="T837" i="4" s="1"/>
  <c r="J824" i="5"/>
  <c r="T824" i="5" s="1"/>
  <c r="J567" i="5"/>
  <c r="T567" i="5" s="1"/>
  <c r="J837" i="6"/>
  <c r="T837" i="6" s="1"/>
  <c r="H837" i="5"/>
  <c r="H527" i="5"/>
  <c r="H513" i="5"/>
  <c r="H527" i="4"/>
  <c r="H621" i="4"/>
  <c r="H567" i="6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729" i="6"/>
  <c r="H810" i="6"/>
  <c r="H689" i="6"/>
  <c r="H837" i="6"/>
  <c r="H824" i="5"/>
  <c r="H838" i="5" s="1"/>
  <c r="H702" i="5"/>
  <c r="H594" i="5"/>
  <c r="H581" i="5"/>
  <c r="H621" i="5"/>
  <c r="H648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716" i="4"/>
  <c r="H608" i="4"/>
  <c r="H622" i="4" s="1"/>
  <c r="H702" i="4"/>
  <c r="H837" i="4"/>
  <c r="H756" i="4"/>
  <c r="H743" i="4"/>
  <c r="H757" i="4" s="1"/>
  <c r="H581" i="4"/>
  <c r="H770" i="4"/>
  <c r="H635" i="4"/>
  <c r="H648" i="4"/>
  <c r="H729" i="4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675" i="4"/>
  <c r="H797" i="5"/>
  <c r="H324" i="5"/>
  <c r="H797" i="4"/>
  <c r="H783" i="6"/>
  <c r="H675" i="6"/>
  <c r="H662" i="4"/>
  <c r="H783" i="5"/>
  <c r="H554" i="5"/>
  <c r="H540" i="6"/>
  <c r="H810" i="4"/>
  <c r="H689" i="4"/>
  <c r="H810" i="5"/>
  <c r="H595" i="4" l="1"/>
  <c r="H838" i="4"/>
  <c r="T270" i="5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811" i="6"/>
  <c r="T811" i="6" s="1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514" i="6"/>
  <c r="H676" i="6"/>
  <c r="H676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34" i="1"/>
  <c r="J34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H474" i="6" s="1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H472" i="6" s="1"/>
  <c r="J472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Q457" i="6"/>
  <c r="Q456" i="6"/>
  <c r="Q455" i="6"/>
  <c r="Q454" i="6"/>
  <c r="Q453" i="6"/>
  <c r="Q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M455" i="3"/>
  <c r="M454" i="3"/>
  <c r="M453" i="3"/>
  <c r="M452" i="3"/>
  <c r="G452" i="3"/>
  <c r="M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G446" i="3" s="1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F406" i="3" s="1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H474" i="4" s="1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G406" i="4" s="1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J474" i="6" l="1"/>
  <c r="J486" i="6" s="1"/>
  <c r="T486" i="6" s="1"/>
  <c r="H486" i="6"/>
  <c r="J474" i="4"/>
  <c r="J486" i="4" s="1"/>
  <c r="T486" i="4" s="1"/>
  <c r="H486" i="4"/>
  <c r="H471" i="5"/>
  <c r="J471" i="5" s="1"/>
  <c r="H472" i="5"/>
  <c r="J472" i="5" s="1"/>
  <c r="H471" i="4"/>
  <c r="J471" i="4" s="1"/>
  <c r="H472" i="4"/>
  <c r="J472" i="4" s="1"/>
  <c r="H470" i="6"/>
  <c r="J470" i="6" s="1"/>
  <c r="H471" i="6"/>
  <c r="J471" i="6" s="1"/>
  <c r="H469" i="5"/>
  <c r="J469" i="5" s="1"/>
  <c r="H470" i="5"/>
  <c r="J470" i="5" s="1"/>
  <c r="H469" i="4"/>
  <c r="J469" i="4" s="1"/>
  <c r="H470" i="4"/>
  <c r="J470" i="4" s="1"/>
  <c r="H468" i="6"/>
  <c r="J468" i="6" s="1"/>
  <c r="H469" i="6"/>
  <c r="J469" i="6" s="1"/>
  <c r="H467" i="5"/>
  <c r="J467" i="5" s="1"/>
  <c r="H468" i="5"/>
  <c r="J468" i="5" s="1"/>
  <c r="H467" i="4"/>
  <c r="J467" i="4" s="1"/>
  <c r="H468" i="4"/>
  <c r="J468" i="4" s="1"/>
  <c r="H466" i="6"/>
  <c r="J466" i="6" s="1"/>
  <c r="H467" i="6"/>
  <c r="J467" i="6" s="1"/>
  <c r="H465" i="4"/>
  <c r="J465" i="4" s="1"/>
  <c r="H466" i="4"/>
  <c r="J466" i="4" s="1"/>
  <c r="H465" i="5"/>
  <c r="J465" i="5" s="1"/>
  <c r="H466" i="5"/>
  <c r="J466" i="5" s="1"/>
  <c r="H464" i="6"/>
  <c r="J464" i="6" s="1"/>
  <c r="H465" i="6"/>
  <c r="J465" i="6" s="1"/>
  <c r="H463" i="5"/>
  <c r="J463" i="5" s="1"/>
  <c r="H464" i="5"/>
  <c r="J464" i="5" s="1"/>
  <c r="H463" i="4"/>
  <c r="J463" i="4" s="1"/>
  <c r="H464" i="4"/>
  <c r="J464" i="4" s="1"/>
  <c r="H462" i="6"/>
  <c r="J462" i="6" s="1"/>
  <c r="H463" i="6"/>
  <c r="J463" i="6" s="1"/>
  <c r="H461" i="5"/>
  <c r="H462" i="5"/>
  <c r="J462" i="5" s="1"/>
  <c r="H461" i="4"/>
  <c r="H462" i="4"/>
  <c r="J462" i="4" s="1"/>
  <c r="G487" i="6"/>
  <c r="H461" i="6"/>
  <c r="J461" i="5"/>
  <c r="J473" i="5" s="1"/>
  <c r="H473" i="5"/>
  <c r="H487" i="5" s="1"/>
  <c r="J461" i="4"/>
  <c r="J473" i="4" s="1"/>
  <c r="H473" i="4"/>
  <c r="H487" i="4" s="1"/>
  <c r="H457" i="6"/>
  <c r="J457" i="6" s="1"/>
  <c r="H458" i="6"/>
  <c r="J458" i="6" s="1"/>
  <c r="H457" i="5"/>
  <c r="J457" i="5" s="1"/>
  <c r="H458" i="5"/>
  <c r="J458" i="5" s="1"/>
  <c r="H457" i="4"/>
  <c r="J457" i="4" s="1"/>
  <c r="H458" i="4"/>
  <c r="J458" i="4" s="1"/>
  <c r="H455" i="6"/>
  <c r="J455" i="6" s="1"/>
  <c r="H456" i="6"/>
  <c r="J456" i="6" s="1"/>
  <c r="H455" i="5"/>
  <c r="J455" i="5" s="1"/>
  <c r="H456" i="5"/>
  <c r="J456" i="5" s="1"/>
  <c r="H455" i="4"/>
  <c r="J455" i="4" s="1"/>
  <c r="H456" i="4"/>
  <c r="J456" i="4" s="1"/>
  <c r="H453" i="6"/>
  <c r="J453" i="6" s="1"/>
  <c r="H454" i="6"/>
  <c r="J454" i="6" s="1"/>
  <c r="H453" i="5"/>
  <c r="J453" i="5" s="1"/>
  <c r="H454" i="5"/>
  <c r="J454" i="5" s="1"/>
  <c r="H453" i="4"/>
  <c r="J453" i="4" s="1"/>
  <c r="H454" i="4"/>
  <c r="J454" i="4" s="1"/>
  <c r="H451" i="6"/>
  <c r="J451" i="6" s="1"/>
  <c r="H452" i="6"/>
  <c r="J452" i="6" s="1"/>
  <c r="H451" i="5"/>
  <c r="J451" i="5" s="1"/>
  <c r="H452" i="5"/>
  <c r="J452" i="5" s="1"/>
  <c r="H451" i="4"/>
  <c r="J451" i="4" s="1"/>
  <c r="H452" i="4"/>
  <c r="J452" i="4" s="1"/>
  <c r="H449" i="4"/>
  <c r="J449" i="4" s="1"/>
  <c r="H450" i="4"/>
  <c r="J450" i="4" s="1"/>
  <c r="H449" i="5"/>
  <c r="J449" i="5" s="1"/>
  <c r="H450" i="5"/>
  <c r="J450" i="5" s="1"/>
  <c r="H449" i="6"/>
  <c r="J449" i="6" s="1"/>
  <c r="H450" i="6"/>
  <c r="J450" i="6" s="1"/>
  <c r="H447" i="6"/>
  <c r="H448" i="6"/>
  <c r="J448" i="6" s="1"/>
  <c r="H447" i="5"/>
  <c r="H448" i="5"/>
  <c r="J448" i="5" s="1"/>
  <c r="H447" i="4"/>
  <c r="H448" i="4"/>
  <c r="J448" i="4" s="1"/>
  <c r="J447" i="6"/>
  <c r="J459" i="6" s="1"/>
  <c r="T459" i="6" s="1"/>
  <c r="H459" i="6"/>
  <c r="J447" i="5"/>
  <c r="J459" i="5" s="1"/>
  <c r="T459" i="5" s="1"/>
  <c r="H459" i="5"/>
  <c r="J447" i="4"/>
  <c r="J459" i="4" s="1"/>
  <c r="T459" i="4" s="1"/>
  <c r="H459" i="4"/>
  <c r="H444" i="6"/>
  <c r="J444" i="6" s="1"/>
  <c r="H445" i="6"/>
  <c r="J445" i="6" s="1"/>
  <c r="H444" i="5"/>
  <c r="J444" i="5" s="1"/>
  <c r="H445" i="5"/>
  <c r="J445" i="5" s="1"/>
  <c r="H444" i="4"/>
  <c r="J444" i="4" s="1"/>
  <c r="H445" i="4"/>
  <c r="J445" i="4" s="1"/>
  <c r="H442" i="6"/>
  <c r="J442" i="6" s="1"/>
  <c r="H443" i="6"/>
  <c r="J443" i="6" s="1"/>
  <c r="H442" i="5"/>
  <c r="J442" i="5" s="1"/>
  <c r="H443" i="5"/>
  <c r="J443" i="5" s="1"/>
  <c r="H442" i="4"/>
  <c r="J442" i="4" s="1"/>
  <c r="H443" i="4"/>
  <c r="J443" i="4" s="1"/>
  <c r="H440" i="6"/>
  <c r="J440" i="6" s="1"/>
  <c r="H441" i="6"/>
  <c r="J441" i="6" s="1"/>
  <c r="H440" i="5"/>
  <c r="J440" i="5" s="1"/>
  <c r="H441" i="5"/>
  <c r="J441" i="5" s="1"/>
  <c r="H440" i="4"/>
  <c r="J440" i="4" s="1"/>
  <c r="H441" i="4"/>
  <c r="J441" i="4" s="1"/>
  <c r="H438" i="6"/>
  <c r="J438" i="6" s="1"/>
  <c r="H439" i="6"/>
  <c r="J439" i="6" s="1"/>
  <c r="H438" i="5"/>
  <c r="J438" i="5" s="1"/>
  <c r="H439" i="5"/>
  <c r="J439" i="5" s="1"/>
  <c r="H438" i="4"/>
  <c r="J438" i="4" s="1"/>
  <c r="H439" i="4"/>
  <c r="J439" i="4" s="1"/>
  <c r="H436" i="6"/>
  <c r="J436" i="6" s="1"/>
  <c r="H437" i="6"/>
  <c r="J437" i="6" s="1"/>
  <c r="H436" i="5"/>
  <c r="J436" i="5" s="1"/>
  <c r="H437" i="5"/>
  <c r="J437" i="5" s="1"/>
  <c r="H436" i="4"/>
  <c r="J436" i="4" s="1"/>
  <c r="H437" i="4"/>
  <c r="J437" i="4" s="1"/>
  <c r="H434" i="6"/>
  <c r="H435" i="6"/>
  <c r="J435" i="6" s="1"/>
  <c r="H434" i="5"/>
  <c r="H435" i="5"/>
  <c r="J435" i="5" s="1"/>
  <c r="H434" i="4"/>
  <c r="H435" i="4"/>
  <c r="J435" i="4" s="1"/>
  <c r="J434" i="6"/>
  <c r="J446" i="6" s="1"/>
  <c r="H446" i="6"/>
  <c r="H460" i="6" s="1"/>
  <c r="J434" i="5"/>
  <c r="J446" i="5" s="1"/>
  <c r="H446" i="5"/>
  <c r="H460" i="5" s="1"/>
  <c r="J434" i="4"/>
  <c r="J446" i="4" s="1"/>
  <c r="H446" i="4"/>
  <c r="H460" i="4" s="1"/>
  <c r="H310" i="4"/>
  <c r="J310" i="4" s="1"/>
  <c r="H300" i="4"/>
  <c r="H301" i="4"/>
  <c r="H302" i="4"/>
  <c r="H303" i="4"/>
  <c r="H304" i="4"/>
  <c r="H305" i="4"/>
  <c r="H306" i="4"/>
  <c r="J306" i="4" s="1"/>
  <c r="H307" i="4"/>
  <c r="J307" i="4" s="1"/>
  <c r="H308" i="4"/>
  <c r="J308" i="4" s="1"/>
  <c r="H309" i="4"/>
  <c r="J309" i="4" s="1"/>
  <c r="H299" i="4"/>
  <c r="H312" i="4"/>
  <c r="J312" i="4" s="1"/>
  <c r="H313" i="4"/>
  <c r="H314" i="4"/>
  <c r="H315" i="4"/>
  <c r="H316" i="4"/>
  <c r="H317" i="4"/>
  <c r="H318" i="4"/>
  <c r="H319" i="4"/>
  <c r="H320" i="4"/>
  <c r="H321" i="4"/>
  <c r="H322" i="4"/>
  <c r="H323" i="4"/>
  <c r="H430" i="5"/>
  <c r="J430" i="5" s="1"/>
  <c r="H431" i="5"/>
  <c r="J431" i="5" s="1"/>
  <c r="H430" i="6"/>
  <c r="J430" i="6" s="1"/>
  <c r="H431" i="6"/>
  <c r="J431" i="6" s="1"/>
  <c r="H430" i="4"/>
  <c r="J430" i="4" s="1"/>
  <c r="H431" i="4"/>
  <c r="J431" i="4" s="1"/>
  <c r="H428" i="6"/>
  <c r="J428" i="6" s="1"/>
  <c r="H429" i="6"/>
  <c r="J429" i="6" s="1"/>
  <c r="H428" i="5"/>
  <c r="J428" i="5" s="1"/>
  <c r="H429" i="5"/>
  <c r="J429" i="5" s="1"/>
  <c r="H428" i="4"/>
  <c r="J428" i="4" s="1"/>
  <c r="H429" i="4"/>
  <c r="J429" i="4" s="1"/>
  <c r="H426" i="6"/>
  <c r="J426" i="6" s="1"/>
  <c r="H427" i="6"/>
  <c r="J427" i="6" s="1"/>
  <c r="H426" i="5"/>
  <c r="J426" i="5" s="1"/>
  <c r="H427" i="5"/>
  <c r="J427" i="5" s="1"/>
  <c r="H426" i="4"/>
  <c r="J426" i="4" s="1"/>
  <c r="H427" i="4"/>
  <c r="J427" i="4" s="1"/>
  <c r="H424" i="6"/>
  <c r="J424" i="6" s="1"/>
  <c r="H425" i="6"/>
  <c r="J425" i="6" s="1"/>
  <c r="H424" i="5"/>
  <c r="J424" i="5" s="1"/>
  <c r="H425" i="5"/>
  <c r="J425" i="5" s="1"/>
  <c r="H424" i="4"/>
  <c r="J424" i="4" s="1"/>
  <c r="H425" i="4"/>
  <c r="J425" i="4" s="1"/>
  <c r="H422" i="6"/>
  <c r="J422" i="6" s="1"/>
  <c r="H423" i="6"/>
  <c r="J423" i="6" s="1"/>
  <c r="H422" i="5"/>
  <c r="J422" i="5" s="1"/>
  <c r="H423" i="5"/>
  <c r="J423" i="5" s="1"/>
  <c r="H422" i="4"/>
  <c r="J422" i="4" s="1"/>
  <c r="H423" i="4"/>
  <c r="J423" i="4" s="1"/>
  <c r="H420" i="6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J461" i="6" l="1"/>
  <c r="J473" i="6" s="1"/>
  <c r="H473" i="6"/>
  <c r="H487" i="6" s="1"/>
  <c r="T473" i="5"/>
  <c r="J487" i="5"/>
  <c r="T487" i="5" s="1"/>
  <c r="T473" i="4"/>
  <c r="J487" i="4"/>
  <c r="T487" i="4" s="1"/>
  <c r="T446" i="6"/>
  <c r="J460" i="6"/>
  <c r="T460" i="6" s="1"/>
  <c r="T446" i="5"/>
  <c r="J460" i="5"/>
  <c r="T460" i="5" s="1"/>
  <c r="T446" i="4"/>
  <c r="J460" i="4"/>
  <c r="T460" i="4" s="1"/>
  <c r="H20" i="1" s="1"/>
  <c r="J20" i="1" s="1"/>
  <c r="K406" i="4"/>
  <c r="H419" i="4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87" i="6" l="1"/>
  <c r="T487" i="6" s="1"/>
  <c r="H21" i="1" s="1"/>
  <c r="J21" i="1" s="1"/>
  <c r="T473" i="6"/>
  <c r="J433" i="4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<sst xmlns="http://schemas.openxmlformats.org/spreadsheetml/2006/main" count="8063" uniqueCount="376">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</sst>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80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164" fontId="28" fillId="8" borderId="1" xfId="0" applyNumberFormat="1" applyFont="1" applyFill="1" applyBorder="1" applyAlignment="1" applyProtection="1">
      <alignment horizontal="center" vertical="center"/>
      <protection locked="0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9" fontId="6" fillId="8" borderId="10" xfId="1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6"/>
  <sheetViews>
    <sheetView showGridLines="0" topLeftCell="B1" zoomScaleNormal="100" workbookViewId="0">
      <pane ySplit="3" topLeftCell="A4" activePane="bottomLeft" state="frozen"/>
      <selection pane="bottomLeft" activeCell="N22" sqref="N22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7" width="8.5703125" customWidth="1"/>
    <col min="8" max="8" width="19" customWidth="1"/>
    <col min="9" max="9" width="18.5703125" customWidth="1"/>
    <col min="10" max="10" width="13.140625" customWidth="1"/>
    <col min="11" max="11" width="22.140625" customWidth="1"/>
    <col min="12" max="13" width="8.5703125" customWidth="1"/>
  </cols>
  <sheetData>
    <row r="1" spans="1:11" ht="31.5" customHeight="1">
      <c r="A1" s="166" t="s">
        <v>0</v>
      </c>
      <c r="B1" s="167"/>
      <c r="C1" s="167"/>
      <c r="D1" s="167"/>
      <c r="E1" s="167"/>
      <c r="F1" s="167"/>
      <c r="G1" s="167"/>
      <c r="H1" s="167"/>
      <c r="I1" s="167"/>
      <c r="J1" s="167"/>
      <c r="K1" s="167"/>
    </row>
    <row r="2" spans="1:11" ht="30" customHeight="1">
      <c r="A2" s="164"/>
      <c r="B2" s="16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>
        <v>1008.89</v>
      </c>
      <c r="J18" s="129">
        <f t="shared" si="1"/>
        <v>0.82232197134469875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3462210</v>
      </c>
      <c r="D19" s="11">
        <f>IFERROR('Linha 1'!S433,"")</f>
        <v>1289250</v>
      </c>
      <c r="E19" s="11">
        <f>IFERROR('Linha 2'!S433,"")</f>
        <v>627770</v>
      </c>
      <c r="F19" s="11">
        <f>IFERROR('Linha 3'!S433,"")</f>
        <v>1393440</v>
      </c>
      <c r="G19" s="12">
        <f t="shared" si="0"/>
        <v>3310460</v>
      </c>
      <c r="H19" s="96">
        <f>IFERROR('Linha 1'!T433+'Linha 2'!T433+'Linha 3'!T433,0)</f>
        <v>476.70623999999998</v>
      </c>
      <c r="I19" s="96">
        <v>483.33</v>
      </c>
      <c r="J19" s="129">
        <f t="shared" si="1"/>
        <v>0.9861051535637545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3981060</v>
      </c>
      <c r="D20" s="8">
        <f>IFERROR('Linha 1'!S460,"")</f>
        <v>1187750</v>
      </c>
      <c r="E20" s="8">
        <f>IFERROR('Linha 2'!S460,"")</f>
        <v>861190</v>
      </c>
      <c r="F20" s="8">
        <f>IFERROR('Linha 3'!S460,"")</f>
        <v>1858200</v>
      </c>
      <c r="G20" s="9">
        <f t="shared" si="0"/>
        <v>3907140</v>
      </c>
      <c r="H20" s="96">
        <f>IFERROR('Linha 1'!T460+'Linha 2'!T460+'Linha 3'!T460,0)</f>
        <v>767.1243122694566</v>
      </c>
      <c r="I20" s="96">
        <v>430.62</v>
      </c>
      <c r="J20" s="129">
        <f t="shared" si="1"/>
        <v>0.56134317882072593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2284390</v>
      </c>
      <c r="D21" s="11">
        <f>IFERROR('Linha 1'!S487,"")</f>
        <v>824760</v>
      </c>
      <c r="E21" s="11">
        <f>IFERROR('Linha 2'!S487,"")</f>
        <v>353640</v>
      </c>
      <c r="F21" s="11">
        <f>IFERROR('Linha 3'!S487,"")</f>
        <v>738810</v>
      </c>
      <c r="G21" s="12">
        <f t="shared" si="0"/>
        <v>1917210</v>
      </c>
      <c r="H21" s="96">
        <f>IFERROR('Linha 1'!T487+'Linha 2'!T487+'Linha 3'!T487,0)</f>
        <v>402.61409999999995</v>
      </c>
      <c r="I21" s="96"/>
      <c r="J21" s="129">
        <f t="shared" si="1"/>
        <v>0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5" t="s">
        <v>14</v>
      </c>
      <c r="B35" s="165"/>
      <c r="C35" s="13">
        <f t="shared" ref="C35:H35" si="2">IFERROR(SUM(C4:C34),"")</f>
        <v>66120180</v>
      </c>
      <c r="D35" s="13">
        <f t="shared" si="2"/>
        <v>21549780</v>
      </c>
      <c r="E35" s="13">
        <f t="shared" si="2"/>
        <v>11277270</v>
      </c>
      <c r="F35" s="13">
        <f t="shared" si="2"/>
        <v>27499380</v>
      </c>
      <c r="G35" s="13">
        <f t="shared" si="2"/>
        <v>60326430</v>
      </c>
      <c r="H35" s="97">
        <f t="shared" si="2"/>
        <v>4856.7399450601888</v>
      </c>
      <c r="I35" s="97">
        <f>IFERROR(SUM(I4:I34),"")</f>
        <v>4326.08</v>
      </c>
      <c r="J35" s="130">
        <f>IFERROR(AVERAGE(J4:J34),"-")</f>
        <v>0.74921162731186064</v>
      </c>
      <c r="K35" s="157">
        <f>SUM(K4:K34)</f>
        <v>450.78</v>
      </c>
    </row>
    <row r="36" spans="1:11">
      <c r="J36" s="179"/>
    </row>
  </sheetData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O21" sqref="O21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8" t="s">
        <v>15</v>
      </c>
      <c r="B1" s="168"/>
      <c r="C1" s="168"/>
      <c r="D1" s="168"/>
      <c r="E1" s="168"/>
      <c r="F1" s="168"/>
      <c r="G1" s="168"/>
      <c r="H1" s="168"/>
      <c r="I1" s="168"/>
      <c r="J1" s="168"/>
      <c r="K1" s="168"/>
      <c r="L1" s="168"/>
      <c r="M1" s="169"/>
      <c r="N1" s="170" t="s">
        <v>16</v>
      </c>
      <c r="O1" s="170"/>
      <c r="P1" s="170"/>
      <c r="Q1" s="170"/>
      <c r="R1" s="170"/>
    </row>
    <row r="2" spans="1:18" ht="4.5" customHeight="1">
      <c r="M2" s="169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9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9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9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9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9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9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9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9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9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69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69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69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69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69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69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69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69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69"/>
      <c r="N20" s="16"/>
      <c r="O20" s="16" t="s">
        <v>128</v>
      </c>
      <c r="P20" s="16" t="s">
        <v>129</v>
      </c>
      <c r="Q20" s="16"/>
      <c r="R20" s="16" t="s">
        <v>130</v>
      </c>
    </row>
    <row r="21" spans="1:18" ht="15.75" customHeight="1">
      <c r="A21" s="17"/>
      <c r="C21" s="17"/>
      <c r="J21" s="17"/>
      <c r="L21" s="17" t="s">
        <v>131</v>
      </c>
      <c r="M21" s="169"/>
      <c r="N21" s="17"/>
      <c r="O21" s="17"/>
      <c r="P21" s="17" t="s">
        <v>132</v>
      </c>
      <c r="Q21" s="17"/>
      <c r="R21" s="17" t="s">
        <v>133</v>
      </c>
    </row>
    <row r="22" spans="1:18" ht="15.75" customHeight="1">
      <c r="A22" s="16"/>
      <c r="C22" s="16"/>
      <c r="J22" s="16"/>
      <c r="L22" s="16" t="s">
        <v>134</v>
      </c>
      <c r="M22" s="169"/>
      <c r="N22" s="16"/>
      <c r="O22" s="16"/>
      <c r="P22" s="16" t="s">
        <v>135</v>
      </c>
      <c r="Q22" s="16"/>
      <c r="R22" s="16" t="s">
        <v>136</v>
      </c>
    </row>
    <row r="23" spans="1:18" ht="15.75" customHeight="1">
      <c r="A23" s="17"/>
      <c r="C23" s="17"/>
      <c r="J23" s="17"/>
      <c r="L23" s="17" t="s">
        <v>137</v>
      </c>
      <c r="M23" s="169"/>
      <c r="N23" s="17"/>
      <c r="O23" s="17"/>
      <c r="P23" s="17" t="s">
        <v>138</v>
      </c>
      <c r="Q23" s="17"/>
      <c r="R23" s="17" t="s">
        <v>139</v>
      </c>
    </row>
    <row r="24" spans="1:18" ht="15.75" customHeight="1">
      <c r="A24" s="16"/>
      <c r="C24" s="16"/>
      <c r="J24" s="16"/>
      <c r="L24" s="16" t="s">
        <v>140</v>
      </c>
      <c r="M24" s="169"/>
      <c r="N24" s="16"/>
      <c r="O24" s="16"/>
      <c r="P24" s="16" t="s">
        <v>141</v>
      </c>
      <c r="Q24" s="16"/>
      <c r="R24" s="16" t="s">
        <v>142</v>
      </c>
    </row>
    <row r="25" spans="1:18" ht="15.75" customHeight="1">
      <c r="A25" s="17"/>
      <c r="C25" s="17"/>
      <c r="J25" s="17"/>
      <c r="L25" s="17" t="s">
        <v>143</v>
      </c>
      <c r="M25" s="169"/>
      <c r="N25" s="17"/>
      <c r="O25" s="17"/>
      <c r="P25" s="17" t="s">
        <v>144</v>
      </c>
      <c r="Q25" s="17"/>
      <c r="R25" s="17" t="s">
        <v>145</v>
      </c>
    </row>
    <row r="26" spans="1:18" ht="15.75" customHeight="1">
      <c r="A26" s="16"/>
      <c r="C26" s="16"/>
      <c r="J26" s="16"/>
      <c r="L26" s="16" t="s">
        <v>146</v>
      </c>
      <c r="M26" s="169"/>
      <c r="N26" s="16"/>
      <c r="O26" s="16"/>
      <c r="P26" s="16" t="s">
        <v>147</v>
      </c>
      <c r="Q26" s="16"/>
      <c r="R26" s="16"/>
    </row>
    <row r="27" spans="1:18" ht="15.75" customHeight="1">
      <c r="A27" s="17"/>
      <c r="C27" s="17"/>
      <c r="J27" s="17"/>
      <c r="L27" s="17" t="s">
        <v>148</v>
      </c>
      <c r="M27" s="169"/>
      <c r="N27" s="17"/>
      <c r="O27" s="17"/>
      <c r="P27" s="17" t="s">
        <v>139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149</v>
      </c>
      <c r="M28" s="169"/>
      <c r="N28" s="16"/>
      <c r="O28" s="16"/>
      <c r="P28" s="16" t="s">
        <v>142</v>
      </c>
      <c r="Q28" s="16"/>
      <c r="R28" s="16" t="s">
        <v>150</v>
      </c>
    </row>
    <row r="29" spans="1:18" ht="15.75" customHeight="1">
      <c r="A29" s="17"/>
      <c r="C29" s="17"/>
      <c r="J29" s="17"/>
      <c r="L29" s="17" t="s">
        <v>151</v>
      </c>
      <c r="M29" s="169"/>
      <c r="N29" s="17"/>
      <c r="O29" s="17"/>
      <c r="P29" s="17" t="s">
        <v>152</v>
      </c>
      <c r="Q29" s="17"/>
      <c r="R29" s="17" t="s">
        <v>153</v>
      </c>
    </row>
    <row r="30" spans="1:18" ht="15.75" customHeight="1">
      <c r="A30" s="16"/>
      <c r="C30" s="16"/>
      <c r="J30" s="16"/>
      <c r="L30" s="16" t="s">
        <v>154</v>
      </c>
      <c r="M30" s="169"/>
      <c r="N30" s="16"/>
      <c r="O30" s="16"/>
      <c r="P30" s="16" t="s">
        <v>155</v>
      </c>
      <c r="Q30" s="16"/>
      <c r="R30" s="16" t="s">
        <v>156</v>
      </c>
    </row>
    <row r="31" spans="1:18" ht="15.75" customHeight="1">
      <c r="A31" s="17"/>
      <c r="C31" s="17"/>
      <c r="J31" s="17"/>
      <c r="L31" s="17" t="s">
        <v>157</v>
      </c>
      <c r="M31" s="169"/>
      <c r="N31" s="17"/>
      <c r="O31" s="17"/>
      <c r="P31" s="18" t="s">
        <v>158</v>
      </c>
      <c r="Q31" s="17"/>
      <c r="R31" s="17" t="s">
        <v>159</v>
      </c>
    </row>
    <row r="32" spans="1:18" ht="15.75" customHeight="1">
      <c r="A32" s="16"/>
      <c r="C32" s="16"/>
      <c r="J32" s="16"/>
      <c r="L32" s="16" t="s">
        <v>160</v>
      </c>
      <c r="M32" s="169"/>
      <c r="N32" s="16"/>
      <c r="O32" s="16"/>
      <c r="P32" s="16" t="s">
        <v>161</v>
      </c>
      <c r="Q32" s="16"/>
      <c r="R32" t="s">
        <v>162</v>
      </c>
    </row>
    <row r="33" spans="1:18" ht="15.75" customHeight="1">
      <c r="A33" s="17"/>
      <c r="C33" s="131" t="s">
        <v>163</v>
      </c>
      <c r="E33" s="113">
        <v>1000</v>
      </c>
      <c r="J33" s="17"/>
      <c r="L33" s="17" t="s">
        <v>164</v>
      </c>
      <c r="M33" s="169"/>
      <c r="N33" s="17"/>
      <c r="O33" s="17"/>
      <c r="P33" s="18" t="s">
        <v>165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166</v>
      </c>
      <c r="M34" s="169"/>
      <c r="N34" s="16"/>
      <c r="O34" s="16"/>
      <c r="P34" s="16" t="s">
        <v>86</v>
      </c>
      <c r="Q34" s="16"/>
      <c r="R34" s="16" t="s">
        <v>167</v>
      </c>
    </row>
    <row r="35" spans="1:18" ht="15.75" customHeight="1">
      <c r="A35" s="17"/>
      <c r="C35" s="17"/>
      <c r="J35" s="17"/>
      <c r="L35" s="17" t="s">
        <v>168</v>
      </c>
      <c r="M35" s="169"/>
      <c r="N35" s="17"/>
      <c r="O35" s="17"/>
      <c r="P35" s="17" t="s">
        <v>169</v>
      </c>
      <c r="Q35" s="17"/>
      <c r="R35" s="17" t="s">
        <v>170</v>
      </c>
    </row>
    <row r="36" spans="1:18" ht="15.75" customHeight="1">
      <c r="A36" s="16"/>
      <c r="C36" s="16"/>
      <c r="J36" s="16"/>
      <c r="L36" s="16" t="s">
        <v>171</v>
      </c>
      <c r="M36" s="169"/>
      <c r="N36" s="16"/>
      <c r="O36" s="16"/>
      <c r="P36" s="16" t="s">
        <v>172</v>
      </c>
      <c r="Q36" s="16"/>
      <c r="R36" s="16" t="s">
        <v>173</v>
      </c>
    </row>
    <row r="37" spans="1:18" ht="15.75" customHeight="1">
      <c r="A37" s="17"/>
      <c r="C37" s="17"/>
      <c r="J37" s="17"/>
      <c r="L37" s="17" t="s">
        <v>174</v>
      </c>
      <c r="M37" s="169"/>
      <c r="N37" s="17"/>
      <c r="O37" s="17"/>
      <c r="P37" s="17" t="s">
        <v>175</v>
      </c>
      <c r="Q37" s="17"/>
      <c r="R37" s="17" t="s">
        <v>176</v>
      </c>
    </row>
    <row r="38" spans="1:18" ht="15.75" customHeight="1">
      <c r="A38" s="16"/>
      <c r="C38" s="16"/>
      <c r="J38" s="16"/>
      <c r="L38" s="16" t="s">
        <v>177</v>
      </c>
      <c r="M38" s="169"/>
      <c r="N38" s="16"/>
      <c r="O38" s="16"/>
      <c r="P38" s="16" t="s">
        <v>178</v>
      </c>
      <c r="Q38" s="16"/>
      <c r="R38" s="16" t="s">
        <v>179</v>
      </c>
    </row>
    <row r="39" spans="1:18" ht="15.75" customHeight="1">
      <c r="A39" s="17"/>
      <c r="C39" s="17"/>
      <c r="J39" s="17"/>
      <c r="L39" s="17"/>
      <c r="M39" s="169"/>
      <c r="N39" s="17"/>
      <c r="O39" s="17"/>
      <c r="P39" s="17" t="s">
        <v>180</v>
      </c>
      <c r="Q39" s="17"/>
      <c r="R39" s="17" t="s">
        <v>181</v>
      </c>
    </row>
    <row r="40" spans="1:18" ht="15.75" customHeight="1">
      <c r="A40" s="16"/>
      <c r="C40" s="16"/>
      <c r="J40" s="16"/>
      <c r="L40" s="16"/>
      <c r="M40" s="169"/>
      <c r="N40" s="16"/>
      <c r="O40" s="16"/>
      <c r="P40" s="16" t="s">
        <v>182</v>
      </c>
      <c r="Q40" s="16"/>
      <c r="R40" s="16" t="s">
        <v>183</v>
      </c>
    </row>
    <row r="41" spans="1:18" ht="15.75" customHeight="1">
      <c r="A41" s="17"/>
      <c r="C41" s="17"/>
      <c r="J41" s="17"/>
      <c r="L41" s="17"/>
      <c r="M41" s="169"/>
      <c r="N41" s="17"/>
      <c r="O41" s="17"/>
      <c r="P41" s="17" t="s">
        <v>184</v>
      </c>
      <c r="Q41" s="17"/>
      <c r="R41" s="17" t="s">
        <v>185</v>
      </c>
    </row>
    <row r="42" spans="1:18" ht="15.75" customHeight="1">
      <c r="A42" s="16"/>
      <c r="C42" s="16"/>
      <c r="J42" s="16"/>
      <c r="L42" s="16"/>
      <c r="M42" s="169"/>
      <c r="N42" s="16"/>
      <c r="O42" s="16"/>
      <c r="P42" s="16" t="s">
        <v>186</v>
      </c>
      <c r="Q42" s="16"/>
      <c r="R42" s="16" t="s">
        <v>187</v>
      </c>
    </row>
    <row r="43" spans="1:18" ht="15.75" customHeight="1">
      <c r="A43" s="17"/>
      <c r="C43" s="17"/>
      <c r="J43" s="17"/>
      <c r="L43" s="17"/>
      <c r="M43" s="169"/>
      <c r="N43" s="17"/>
      <c r="O43" s="17"/>
      <c r="P43" s="17" t="s">
        <v>188</v>
      </c>
      <c r="Q43" s="17"/>
      <c r="R43" s="17" t="s">
        <v>189</v>
      </c>
    </row>
    <row r="44" spans="1:18" ht="15.75" customHeight="1">
      <c r="A44" s="16"/>
      <c r="C44" s="16"/>
      <c r="J44" s="16"/>
      <c r="L44" s="16"/>
      <c r="M44" s="169"/>
      <c r="N44" s="16"/>
      <c r="O44" s="16"/>
      <c r="P44" s="16" t="s">
        <v>190</v>
      </c>
      <c r="Q44" s="16"/>
      <c r="R44" s="16" t="s">
        <v>191</v>
      </c>
    </row>
    <row r="45" spans="1:18" ht="15.75" customHeight="1">
      <c r="A45" s="17"/>
      <c r="C45" s="17"/>
      <c r="J45" s="17"/>
      <c r="L45" s="17"/>
      <c r="M45" s="169"/>
      <c r="N45" s="17"/>
      <c r="O45" s="17"/>
      <c r="P45" s="17"/>
      <c r="Q45" s="17"/>
      <c r="R45" s="17" t="s">
        <v>192</v>
      </c>
    </row>
    <row r="46" spans="1:18" ht="15.75" customHeight="1">
      <c r="A46" s="16"/>
      <c r="C46" s="16"/>
      <c r="J46" s="16"/>
      <c r="L46" s="16"/>
      <c r="M46" s="169"/>
      <c r="N46" s="16"/>
      <c r="O46" s="16"/>
      <c r="P46" s="16" t="s">
        <v>193</v>
      </c>
      <c r="Q46" s="16"/>
      <c r="R46" s="16" t="s">
        <v>194</v>
      </c>
    </row>
    <row r="47" spans="1:18" ht="15.75" customHeight="1">
      <c r="A47" s="17"/>
      <c r="C47" s="17"/>
      <c r="J47" s="17"/>
      <c r="L47" s="17"/>
      <c r="M47" s="169"/>
      <c r="N47" s="17"/>
      <c r="O47" s="17"/>
      <c r="P47" s="17" t="s">
        <v>195</v>
      </c>
      <c r="Q47" s="17"/>
      <c r="R47" s="17" t="s">
        <v>196</v>
      </c>
    </row>
    <row r="48" spans="1:18" ht="15.75" customHeight="1">
      <c r="A48" s="16"/>
      <c r="C48" s="16"/>
      <c r="J48" s="16"/>
      <c r="L48" s="16"/>
      <c r="M48" s="169"/>
      <c r="N48" s="16"/>
      <c r="O48" s="16"/>
      <c r="P48" s="16" t="s">
        <v>197</v>
      </c>
      <c r="Q48" s="16"/>
      <c r="R48" s="16" t="s">
        <v>198</v>
      </c>
    </row>
    <row r="49" spans="1:18" ht="18" customHeight="1">
      <c r="M49" s="169"/>
      <c r="N49" s="17"/>
      <c r="O49" s="17"/>
      <c r="P49" s="17" t="s">
        <v>199</v>
      </c>
      <c r="Q49" s="17"/>
      <c r="R49" s="17" t="s">
        <v>200</v>
      </c>
    </row>
    <row r="50" spans="1:18" ht="21" customHeight="1">
      <c r="A50" s="19" t="s">
        <v>201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9"/>
      <c r="N50" s="16"/>
      <c r="O50" s="16"/>
      <c r="P50" s="16" t="s">
        <v>202</v>
      </c>
      <c r="Q50" s="16"/>
      <c r="R50" s="16" t="s">
        <v>203</v>
      </c>
    </row>
    <row r="51" spans="1:18" ht="24" customHeight="1">
      <c r="M51" s="169"/>
      <c r="N51" s="17"/>
      <c r="O51" s="17"/>
      <c r="P51" s="17" t="s">
        <v>204</v>
      </c>
      <c r="Q51" s="17"/>
      <c r="R51" s="17" t="s">
        <v>205</v>
      </c>
    </row>
    <row r="52" spans="1:18" ht="24" customHeight="1">
      <c r="M52" s="169"/>
      <c r="N52" s="16"/>
      <c r="O52" s="16"/>
      <c r="P52" s="16" t="s">
        <v>206</v>
      </c>
      <c r="Q52" s="16"/>
      <c r="R52" s="16" t="s">
        <v>207</v>
      </c>
    </row>
    <row r="53" spans="1:18" ht="36" customHeight="1">
      <c r="M53" s="169"/>
      <c r="N53" s="17"/>
      <c r="O53" s="17"/>
      <c r="P53" s="17" t="s">
        <v>208</v>
      </c>
      <c r="Q53" s="17"/>
      <c r="R53" s="17" t="s">
        <v>209</v>
      </c>
    </row>
    <row r="54" spans="1:18" ht="15" customHeight="1">
      <c r="M54" s="169"/>
      <c r="N54" s="16"/>
      <c r="O54" s="16"/>
      <c r="P54" s="16" t="s">
        <v>210</v>
      </c>
      <c r="Q54" s="16"/>
      <c r="R54" s="16" t="s">
        <v>211</v>
      </c>
    </row>
    <row r="55" spans="1:18" ht="15" customHeight="1">
      <c r="M55" s="169"/>
      <c r="N55" s="17"/>
      <c r="O55" s="17"/>
      <c r="P55" s="17" t="s">
        <v>212</v>
      </c>
      <c r="Q55" s="17"/>
      <c r="R55" s="17" t="s">
        <v>213</v>
      </c>
    </row>
    <row r="56" spans="1:18" ht="15" customHeight="1">
      <c r="M56" s="169"/>
      <c r="N56" s="16"/>
      <c r="O56" s="16"/>
      <c r="P56" s="16" t="s">
        <v>214</v>
      </c>
      <c r="Q56" s="16"/>
      <c r="R56" s="16" t="s">
        <v>215</v>
      </c>
    </row>
    <row r="57" spans="1:18" ht="15" customHeight="1">
      <c r="M57" s="169"/>
      <c r="N57" s="17"/>
      <c r="O57" s="17"/>
      <c r="P57" s="17" t="s">
        <v>57</v>
      </c>
      <c r="Q57" s="17"/>
      <c r="R57" s="17" t="s">
        <v>216</v>
      </c>
    </row>
    <row r="58" spans="1:18" ht="15" customHeight="1">
      <c r="M58" s="169"/>
      <c r="N58" s="16"/>
      <c r="O58" s="16"/>
      <c r="P58" s="16" t="s">
        <v>217</v>
      </c>
      <c r="Q58" s="16"/>
      <c r="R58" s="16" t="s">
        <v>218</v>
      </c>
    </row>
    <row r="59" spans="1:18" ht="15" customHeight="1">
      <c r="M59" s="169"/>
      <c r="N59" s="17"/>
      <c r="O59" s="17"/>
      <c r="P59" s="17" t="s">
        <v>219</v>
      </c>
      <c r="Q59" s="17"/>
      <c r="R59" s="17"/>
    </row>
    <row r="60" spans="1:18" ht="15" customHeight="1">
      <c r="M60" s="169"/>
      <c r="N60" s="16"/>
      <c r="O60" s="16"/>
      <c r="P60" s="77" t="s">
        <v>112</v>
      </c>
      <c r="Q60" s="16"/>
      <c r="R60" s="16"/>
    </row>
    <row r="61" spans="1:18" ht="15" customHeight="1">
      <c r="M61" s="169"/>
      <c r="N61" s="17"/>
      <c r="O61" s="17"/>
      <c r="P61" s="17" t="s">
        <v>220</v>
      </c>
      <c r="Q61" s="17"/>
      <c r="R61" s="17"/>
    </row>
    <row r="62" spans="1:18" ht="15" customHeight="1">
      <c r="M62" s="169"/>
      <c r="N62" s="16"/>
      <c r="O62" s="16"/>
      <c r="P62" s="16" t="s">
        <v>221</v>
      </c>
      <c r="Q62" s="16"/>
      <c r="R62" s="16"/>
    </row>
    <row r="63" spans="1:18" ht="15" customHeight="1">
      <c r="M63" s="169"/>
      <c r="N63" s="17"/>
      <c r="O63" s="17"/>
      <c r="P63" s="17" t="s">
        <v>222</v>
      </c>
      <c r="Q63" s="17"/>
      <c r="R63" s="17"/>
    </row>
    <row r="64" spans="1:18" ht="15" customHeight="1">
      <c r="M64" s="169"/>
      <c r="N64" s="16"/>
      <c r="O64" s="16"/>
      <c r="P64" s="16" t="s">
        <v>223</v>
      </c>
      <c r="Q64" s="16"/>
      <c r="R64" s="16"/>
    </row>
    <row r="65" spans="13:18" ht="15" customHeight="1">
      <c r="M65" s="169"/>
      <c r="N65" s="17"/>
      <c r="O65" s="17"/>
      <c r="P65" s="17" t="s">
        <v>224</v>
      </c>
      <c r="Q65" s="17"/>
      <c r="R65" s="17"/>
    </row>
    <row r="66" spans="13:18" ht="15" customHeight="1">
      <c r="M66" s="169"/>
      <c r="N66" s="16"/>
      <c r="O66" s="16"/>
      <c r="P66" s="16" t="s">
        <v>225</v>
      </c>
      <c r="Q66" s="16"/>
      <c r="R66" s="16"/>
    </row>
    <row r="67" spans="13:18" ht="15" customHeight="1">
      <c r="M67" s="169"/>
      <c r="N67" s="17"/>
      <c r="O67" s="17"/>
      <c r="P67" s="17" t="s">
        <v>226</v>
      </c>
      <c r="Q67" s="17"/>
      <c r="R67" s="17"/>
    </row>
    <row r="68" spans="13:18" ht="15" customHeight="1">
      <c r="M68" s="169"/>
      <c r="N68" s="16"/>
      <c r="O68" s="16"/>
      <c r="P68" s="16" t="s">
        <v>227</v>
      </c>
      <c r="Q68" s="16"/>
      <c r="R68" s="16"/>
    </row>
    <row r="69" spans="13:18" ht="15" customHeight="1">
      <c r="M69" s="169"/>
      <c r="N69" s="17"/>
      <c r="O69" s="17"/>
      <c r="P69" s="17" t="s">
        <v>228</v>
      </c>
      <c r="Q69" s="17"/>
      <c r="R69" s="17"/>
    </row>
    <row r="70" spans="13:18" ht="15" customHeight="1">
      <c r="M70" s="169"/>
      <c r="N70" s="16"/>
      <c r="O70" s="16"/>
      <c r="P70" s="16" t="s">
        <v>229</v>
      </c>
      <c r="Q70" s="16"/>
      <c r="R70" s="16"/>
    </row>
    <row r="71" spans="13:18" ht="15" customHeight="1">
      <c r="M71" s="169"/>
      <c r="N71" s="17"/>
      <c r="O71" s="17"/>
      <c r="P71" s="17" t="s">
        <v>230</v>
      </c>
      <c r="Q71" s="17"/>
      <c r="R71" s="17"/>
    </row>
    <row r="72" spans="13:18" ht="15" customHeight="1">
      <c r="M72" s="169"/>
      <c r="N72" s="16"/>
      <c r="O72" s="16"/>
      <c r="P72" s="16" t="s">
        <v>231</v>
      </c>
      <c r="Q72" s="16"/>
      <c r="R72" s="16"/>
    </row>
    <row r="73" spans="13:18" ht="15" customHeight="1">
      <c r="M73" s="169"/>
      <c r="N73" s="17"/>
      <c r="O73" s="17"/>
      <c r="P73" s="17" t="s">
        <v>232</v>
      </c>
      <c r="Q73" s="17"/>
      <c r="R73" s="17"/>
    </row>
    <row r="74" spans="13:18" ht="15" customHeight="1">
      <c r="M74" s="169"/>
      <c r="N74" s="16"/>
      <c r="O74" s="16"/>
      <c r="P74" s="16" t="s">
        <v>233</v>
      </c>
      <c r="Q74" s="16"/>
      <c r="R74" s="16"/>
    </row>
    <row r="75" spans="13:18" ht="15" customHeight="1">
      <c r="M75" s="169"/>
      <c r="N75" s="17"/>
      <c r="O75" s="17"/>
      <c r="P75" s="17" t="s">
        <v>234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58" activePane="bottomLeft" state="frozen"/>
      <selection pane="bottomLeft" activeCell="F475" sqref="F475"/>
      <selection sqref="A1:G409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23" t="s">
        <v>237</v>
      </c>
      <c r="G1" s="23" t="s">
        <v>238</v>
      </c>
      <c r="H1" s="23" t="s">
        <v>21</v>
      </c>
      <c r="I1" s="23" t="s">
        <v>22</v>
      </c>
      <c r="J1" s="23" t="s">
        <v>239</v>
      </c>
      <c r="K1" s="23" t="s">
        <v>240</v>
      </c>
      <c r="L1" s="23" t="s">
        <v>241</v>
      </c>
      <c r="M1" s="24" t="s">
        <v>242</v>
      </c>
      <c r="N1" s="23" t="s">
        <v>243</v>
      </c>
      <c r="O1" s="23" t="s">
        <v>244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245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245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245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245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245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245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245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245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245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245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245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245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62" t="s">
        <v>246</v>
      </c>
      <c r="B14" s="163"/>
      <c r="C14" s="163"/>
      <c r="D14" s="163"/>
      <c r="E14" s="17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247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245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139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245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245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248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245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245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245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245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245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245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245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62" t="s">
        <v>249</v>
      </c>
      <c r="B27" s="163"/>
      <c r="C27" s="163"/>
      <c r="D27" s="163"/>
      <c r="E27" s="17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247</v>
      </c>
      <c r="O27" s="39">
        <v>997910</v>
      </c>
    </row>
    <row r="28" spans="1:15" ht="18" customHeight="1">
      <c r="A28" s="160" t="s">
        <v>250</v>
      </c>
      <c r="B28" s="161"/>
      <c r="C28" s="161"/>
      <c r="D28" s="161"/>
      <c r="E28" s="177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251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245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245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138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252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245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248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245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245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245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245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245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245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62" t="s">
        <v>246</v>
      </c>
      <c r="B41" s="163"/>
      <c r="C41" s="163"/>
      <c r="D41" s="163"/>
      <c r="E41" s="178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247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245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253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245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245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245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245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245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245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245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62" t="s">
        <v>249</v>
      </c>
      <c r="B54" s="163"/>
      <c r="C54" s="163"/>
      <c r="D54" s="163"/>
      <c r="E54" s="17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247</v>
      </c>
      <c r="O54" s="39">
        <v>981310</v>
      </c>
    </row>
    <row r="55" spans="1:15" ht="18" customHeight="1">
      <c r="A55" s="160" t="s">
        <v>250</v>
      </c>
      <c r="B55" s="161"/>
      <c r="C55" s="161"/>
      <c r="D55" s="161"/>
      <c r="E55" s="177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251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245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245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142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245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245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245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245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245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245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245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245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245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245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62" t="s">
        <v>246</v>
      </c>
      <c r="B68" s="163"/>
      <c r="C68" s="163"/>
      <c r="D68" s="163"/>
      <c r="E68" s="17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247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245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245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254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245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245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245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245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245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245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245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245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62" t="s">
        <v>249</v>
      </c>
      <c r="B81" s="163"/>
      <c r="C81" s="163"/>
      <c r="D81" s="163"/>
      <c r="E81" s="178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247</v>
      </c>
      <c r="O81" s="39">
        <v>1547910</v>
      </c>
    </row>
    <row r="82" spans="1:15" ht="18" customHeight="1">
      <c r="A82" s="160" t="s">
        <v>250</v>
      </c>
      <c r="B82" s="161"/>
      <c r="C82" s="161"/>
      <c r="D82" s="161"/>
      <c r="E82" s="177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251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245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245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142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245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153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255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245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245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245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245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245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245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245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62" t="s">
        <v>246</v>
      </c>
      <c r="B95" s="163"/>
      <c r="C95" s="163"/>
      <c r="D95" s="163"/>
      <c r="E95" s="178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247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245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245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245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245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245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245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256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245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245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245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245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245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62" t="s">
        <v>249</v>
      </c>
      <c r="B108" s="163"/>
      <c r="C108" s="163"/>
      <c r="D108" s="163"/>
      <c r="E108" s="178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247</v>
      </c>
      <c r="O108" s="39">
        <v>3156240</v>
      </c>
    </row>
    <row r="109" spans="1:15" ht="18" customHeight="1">
      <c r="A109" s="160" t="s">
        <v>250</v>
      </c>
      <c r="B109" s="161"/>
      <c r="C109" s="161"/>
      <c r="D109" s="161"/>
      <c r="E109" s="177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251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245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245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245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245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245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62" t="s">
        <v>246</v>
      </c>
      <c r="B122" s="163"/>
      <c r="C122" s="163"/>
      <c r="D122" s="163"/>
      <c r="E122" s="178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247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245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245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245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245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245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245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245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245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245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245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245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245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62" t="s">
        <v>249</v>
      </c>
      <c r="B135" s="163"/>
      <c r="C135" s="163"/>
      <c r="D135" s="163"/>
      <c r="E135" s="178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247</v>
      </c>
      <c r="O135" s="39">
        <v>2875180</v>
      </c>
    </row>
    <row r="136" spans="1:15" ht="18" customHeight="1">
      <c r="A136" s="160" t="s">
        <v>250</v>
      </c>
      <c r="B136" s="161"/>
      <c r="C136" s="161"/>
      <c r="D136" s="161"/>
      <c r="E136" s="177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251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245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257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245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245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245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245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245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245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245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245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245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62" t="s">
        <v>246</v>
      </c>
      <c r="B149" s="163"/>
      <c r="C149" s="163"/>
      <c r="D149" s="163"/>
      <c r="E149" s="178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247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245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142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245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258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245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142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245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245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153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245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245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245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245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245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62" t="s">
        <v>249</v>
      </c>
      <c r="B162" s="163"/>
      <c r="C162" s="163"/>
      <c r="D162" s="163"/>
      <c r="E162" s="178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247</v>
      </c>
      <c r="O162" s="44">
        <v>842000</v>
      </c>
    </row>
    <row r="163" spans="1:15" ht="18" customHeight="1">
      <c r="A163" s="160" t="s">
        <v>250</v>
      </c>
      <c r="B163" s="161"/>
      <c r="C163" s="161"/>
      <c r="D163" s="161"/>
      <c r="E163" s="177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251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245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259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245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245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245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245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245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245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245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245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245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245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245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62" t="s">
        <v>246</v>
      </c>
      <c r="B176" s="163"/>
      <c r="C176" s="163"/>
      <c r="D176" s="163"/>
      <c r="E176" s="178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247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245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260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245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245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245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245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245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245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245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261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245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245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245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62" t="s">
        <v>249</v>
      </c>
      <c r="B189" s="163"/>
      <c r="C189" s="163"/>
      <c r="D189" s="163"/>
      <c r="E189" s="178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247</v>
      </c>
      <c r="O189" s="39">
        <v>1901630</v>
      </c>
    </row>
    <row r="190" spans="1:15" ht="18" customHeight="1">
      <c r="A190" s="160" t="s">
        <v>250</v>
      </c>
      <c r="B190" s="161"/>
      <c r="C190" s="161"/>
      <c r="D190" s="161"/>
      <c r="E190" s="177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251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245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245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245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262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245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245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245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245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245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245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245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245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62" t="s">
        <v>246</v>
      </c>
      <c r="B203" s="163"/>
      <c r="C203" s="163"/>
      <c r="D203" s="163"/>
      <c r="E203" s="178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247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245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245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245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245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245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245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245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245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245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245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245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245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62" t="s">
        <v>249</v>
      </c>
      <c r="B216" s="163"/>
      <c r="C216" s="163"/>
      <c r="D216" s="163"/>
      <c r="E216" s="178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247</v>
      </c>
      <c r="O216" s="45">
        <v>1852295</v>
      </c>
    </row>
    <row r="217" spans="1:15" ht="18" customHeight="1">
      <c r="A217" s="160" t="s">
        <v>250</v>
      </c>
      <c r="B217" s="161"/>
      <c r="C217" s="161"/>
      <c r="D217" s="161"/>
      <c r="E217" s="177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251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245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175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245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245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211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263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245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245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245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245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245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245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245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71" t="s">
        <v>246</v>
      </c>
      <c r="B230" s="172"/>
      <c r="C230" s="172"/>
      <c r="D230" s="172"/>
      <c r="E230" s="173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247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245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211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245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153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245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153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264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264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264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264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264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264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264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264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264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62" t="s">
        <v>249</v>
      </c>
      <c r="B243" s="163"/>
      <c r="C243" s="163"/>
      <c r="D243" s="163"/>
      <c r="E243" s="178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247</v>
      </c>
      <c r="O243" s="39">
        <v>991010</v>
      </c>
    </row>
    <row r="244" spans="1:15" ht="18" customHeight="1">
      <c r="A244" s="160" t="s">
        <v>250</v>
      </c>
      <c r="B244" s="161"/>
      <c r="C244" s="161"/>
      <c r="D244" s="161"/>
      <c r="E244" s="177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251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245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216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245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245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245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245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265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245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245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245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245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245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245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245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62" t="s">
        <v>246</v>
      </c>
      <c r="B257" s="163"/>
      <c r="C257" s="163"/>
      <c r="D257" s="163"/>
      <c r="E257" s="178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247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266</v>
      </c>
      <c r="E258" s="62" t="s">
        <v>245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266</v>
      </c>
      <c r="E259" s="62" t="s">
        <v>245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142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266</v>
      </c>
      <c r="E260" s="62" t="s">
        <v>245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266</v>
      </c>
      <c r="E261" s="62" t="s">
        <v>245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266</v>
      </c>
      <c r="E262" s="62" t="s">
        <v>245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266</v>
      </c>
      <c r="E263" s="62" t="s">
        <v>245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266</v>
      </c>
      <c r="E264" s="62" t="s">
        <v>245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266</v>
      </c>
      <c r="E265" s="62" t="s">
        <v>245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266</v>
      </c>
      <c r="E266" s="62" t="s">
        <v>245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266</v>
      </c>
      <c r="E267" s="62" t="s">
        <v>245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266</v>
      </c>
      <c r="E268" s="62" t="s">
        <v>245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266</v>
      </c>
      <c r="E269" s="62" t="s">
        <v>245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62" t="s">
        <v>249</v>
      </c>
      <c r="B270" s="163"/>
      <c r="C270" s="163"/>
      <c r="D270" s="163"/>
      <c r="E270" s="178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247</v>
      </c>
      <c r="O270" s="39">
        <v>1544700</v>
      </c>
    </row>
    <row r="271" spans="1:15" ht="18" customHeight="1">
      <c r="A271" s="160" t="s">
        <v>250</v>
      </c>
      <c r="B271" s="161"/>
      <c r="C271" s="161"/>
      <c r="D271" s="161"/>
      <c r="E271" s="177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251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266</v>
      </c>
      <c r="E272" s="59" t="s">
        <v>245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175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266</v>
      </c>
      <c r="E273" s="59" t="s">
        <v>245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142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266</v>
      </c>
      <c r="E274" s="59" t="s">
        <v>245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266</v>
      </c>
      <c r="E275" s="59" t="s">
        <v>245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216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266</v>
      </c>
      <c r="E276" s="59" t="s">
        <v>245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266</v>
      </c>
      <c r="E277" s="59" t="s">
        <v>245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267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266</v>
      </c>
      <c r="E278" s="59" t="s">
        <v>245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266</v>
      </c>
      <c r="E279" s="59" t="s">
        <v>245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266</v>
      </c>
      <c r="E280" s="59" t="s">
        <v>245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266</v>
      </c>
      <c r="E281" s="59" t="s">
        <v>245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266</v>
      </c>
      <c r="E282" s="59" t="s">
        <v>245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266</v>
      </c>
      <c r="E283" s="59" t="s">
        <v>245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62" t="s">
        <v>246</v>
      </c>
      <c r="B284" s="163"/>
      <c r="C284" s="163"/>
      <c r="D284" s="163"/>
      <c r="E284" s="178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247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266</v>
      </c>
      <c r="E285" s="62" t="s">
        <v>261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266</v>
      </c>
      <c r="E286" s="62" t="s">
        <v>261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266</v>
      </c>
      <c r="E287" s="62" t="s">
        <v>261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266</v>
      </c>
      <c r="E288" s="62" t="s">
        <v>261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266</v>
      </c>
      <c r="E289" s="62" t="s">
        <v>261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266</v>
      </c>
      <c r="E290" s="62" t="s">
        <v>261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266</v>
      </c>
      <c r="E291" s="62" t="s">
        <v>261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266</v>
      </c>
      <c r="E292" s="62" t="s">
        <v>261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266</v>
      </c>
      <c r="E293" s="62" t="s">
        <v>261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266</v>
      </c>
      <c r="E294" s="62" t="s">
        <v>261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266</v>
      </c>
      <c r="E295" s="62" t="s">
        <v>261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266</v>
      </c>
      <c r="E296" s="62" t="s">
        <v>261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62" t="s">
        <v>249</v>
      </c>
      <c r="B297" s="163"/>
      <c r="C297" s="163"/>
      <c r="D297" s="163"/>
      <c r="E297" s="178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247</v>
      </c>
      <c r="O297" s="39">
        <v>1715230</v>
      </c>
    </row>
    <row r="298" spans="1:15" ht="18" customHeight="1">
      <c r="A298" s="160" t="s">
        <v>250</v>
      </c>
      <c r="B298" s="161"/>
      <c r="C298" s="161"/>
      <c r="D298" s="161"/>
      <c r="E298" s="177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251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245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233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245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142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245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245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268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245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245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245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245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245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245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245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245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62" t="s">
        <v>246</v>
      </c>
      <c r="B311" s="163"/>
      <c r="C311" s="163"/>
      <c r="D311" s="163"/>
      <c r="E311" s="178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247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245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245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245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245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245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245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245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245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245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245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245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245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62" t="s">
        <v>249</v>
      </c>
      <c r="B324" s="163"/>
      <c r="C324" s="163"/>
      <c r="D324" s="163"/>
      <c r="E324" s="178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247</v>
      </c>
      <c r="O324" s="39">
        <v>2216340</v>
      </c>
    </row>
    <row r="325" spans="1:15" ht="18" customHeight="1">
      <c r="A325" s="160" t="s">
        <v>250</v>
      </c>
      <c r="B325" s="161"/>
      <c r="C325" s="161"/>
      <c r="D325" s="161"/>
      <c r="E325" s="177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251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142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211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269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245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245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245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270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245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245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245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245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62" t="s">
        <v>246</v>
      </c>
      <c r="B338" s="163"/>
      <c r="C338" s="163"/>
      <c r="D338" s="163"/>
      <c r="E338" s="178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247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245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245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245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245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245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245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245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245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245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245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245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245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62" t="s">
        <v>249</v>
      </c>
      <c r="B351" s="163"/>
      <c r="C351" s="163"/>
      <c r="D351" s="163"/>
      <c r="E351" s="178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247</v>
      </c>
      <c r="O351" s="39">
        <v>2154990</v>
      </c>
    </row>
    <row r="352" spans="1:15" ht="18" customHeight="1">
      <c r="A352" s="160" t="s">
        <v>250</v>
      </c>
      <c r="B352" s="161"/>
      <c r="C352" s="161"/>
      <c r="D352" s="161"/>
      <c r="E352" s="177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251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245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245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142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245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245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245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245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261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245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245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245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245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245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62" t="s">
        <v>246</v>
      </c>
      <c r="B365" s="163"/>
      <c r="C365" s="163"/>
      <c r="D365" s="163"/>
      <c r="E365" s="178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247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245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245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245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245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245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245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245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245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245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245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245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245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62" t="s">
        <v>249</v>
      </c>
      <c r="B378" s="163"/>
      <c r="C378" s="163"/>
      <c r="D378" s="163"/>
      <c r="E378" s="178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247</v>
      </c>
      <c r="O378" s="39">
        <v>2614830</v>
      </c>
    </row>
    <row r="379" spans="1:15" ht="18" customHeight="1">
      <c r="A379" s="160" t="s">
        <v>250</v>
      </c>
      <c r="B379" s="161"/>
      <c r="C379" s="161"/>
      <c r="D379" s="161"/>
      <c r="E379" s="177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251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245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245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245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245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245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245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245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245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245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245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245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245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62" t="s">
        <v>246</v>
      </c>
      <c r="B392" s="163"/>
      <c r="C392" s="163"/>
      <c r="D392" s="163"/>
      <c r="E392" s="178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247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245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165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271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245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245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245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245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245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245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245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245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245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245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245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62" t="s">
        <v>249</v>
      </c>
      <c r="B405" s="163"/>
      <c r="C405" s="163"/>
      <c r="D405" s="163"/>
      <c r="E405" s="178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247</v>
      </c>
      <c r="O405" s="39">
        <v>2612000</v>
      </c>
    </row>
    <row r="406" spans="1:15" ht="18" customHeight="1">
      <c r="A406" s="160" t="s">
        <v>250</v>
      </c>
      <c r="B406" s="161"/>
      <c r="C406" s="161"/>
      <c r="D406" s="161"/>
      <c r="E406" s="177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251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245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245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245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245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245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245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245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245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245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245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245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245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62" t="s">
        <v>246</v>
      </c>
      <c r="B419" s="163"/>
      <c r="C419" s="163"/>
      <c r="D419" s="163"/>
      <c r="E419" s="178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247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245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227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245</v>
      </c>
      <c r="F421" s="27">
        <v>40</v>
      </c>
      <c r="G421" s="34">
        <f t="shared" si="88"/>
        <v>200</v>
      </c>
      <c r="H421" s="33" t="s">
        <v>27</v>
      </c>
      <c r="I421" s="33" t="s">
        <v>30</v>
      </c>
      <c r="J421" s="33" t="s">
        <v>142</v>
      </c>
      <c r="K421" s="29">
        <v>8.819444444444445E-2</v>
      </c>
      <c r="L421" s="29">
        <v>9.4444444444444442E-2</v>
      </c>
      <c r="M421" s="35">
        <f t="shared" ca="1" si="89"/>
        <v>6.2499999999999917E-3</v>
      </c>
      <c r="N421" s="46" t="s">
        <v>272</v>
      </c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245</v>
      </c>
      <c r="F422" s="27">
        <v>20</v>
      </c>
      <c r="G422" s="28">
        <f t="shared" si="88"/>
        <v>100</v>
      </c>
      <c r="H422" s="33" t="s">
        <v>27</v>
      </c>
      <c r="I422" s="33" t="s">
        <v>30</v>
      </c>
      <c r="J422" s="33" t="s">
        <v>142</v>
      </c>
      <c r="K422" s="29">
        <v>0.10972222222222222</v>
      </c>
      <c r="L422" s="29">
        <v>0.12152777777777778</v>
      </c>
      <c r="M422" s="30">
        <f t="shared" ca="1" si="89"/>
        <v>1.1805555555555555E-2</v>
      </c>
      <c r="N422" s="46" t="s">
        <v>272</v>
      </c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245</v>
      </c>
      <c r="F423" s="27">
        <v>20</v>
      </c>
      <c r="G423" s="34">
        <f t="shared" si="88"/>
        <v>100</v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245</v>
      </c>
      <c r="F424" s="27">
        <v>30</v>
      </c>
      <c r="G424" s="28">
        <f t="shared" si="88"/>
        <v>150</v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245</v>
      </c>
      <c r="F425" s="27">
        <v>20</v>
      </c>
      <c r="G425" s="34">
        <f t="shared" si="88"/>
        <v>100</v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245</v>
      </c>
      <c r="F426" s="27">
        <v>40</v>
      </c>
      <c r="G426" s="28">
        <f t="shared" si="88"/>
        <v>200</v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245</v>
      </c>
      <c r="F427" s="27">
        <v>20</v>
      </c>
      <c r="G427" s="34">
        <f t="shared" si="88"/>
        <v>100</v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245</v>
      </c>
      <c r="F428" s="27">
        <v>30</v>
      </c>
      <c r="G428" s="28">
        <f t="shared" si="88"/>
        <v>150</v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245</v>
      </c>
      <c r="F429" s="27">
        <v>25</v>
      </c>
      <c r="G429" s="34">
        <f t="shared" si="88"/>
        <v>125</v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245</v>
      </c>
      <c r="F430" s="27">
        <v>40</v>
      </c>
      <c r="G430" s="28">
        <f t="shared" si="88"/>
        <v>200</v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245</v>
      </c>
      <c r="F431" s="27">
        <v>35</v>
      </c>
      <c r="G431" s="34">
        <f t="shared" si="88"/>
        <v>175</v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62" t="s">
        <v>249</v>
      </c>
      <c r="B432" s="163"/>
      <c r="C432" s="163"/>
      <c r="D432" s="163"/>
      <c r="E432" s="178">
        <f>SUM(E420:E431)</f>
        <v>0</v>
      </c>
      <c r="F432" s="36">
        <f>SUM(F420:F431)</f>
        <v>335</v>
      </c>
      <c r="G432" s="36">
        <f>SUM(G420:G431)</f>
        <v>1675</v>
      </c>
      <c r="H432" s="37"/>
      <c r="I432" s="37"/>
      <c r="J432" s="37"/>
      <c r="K432" s="37"/>
      <c r="L432" s="37"/>
      <c r="M432" s="38">
        <f ca="1">IFERROR(SUM(M420:M431),"")</f>
        <v>4.5833333333333337E-2</v>
      </c>
      <c r="N432" s="36" t="s">
        <v>247</v>
      </c>
      <c r="O432" s="39">
        <v>2266710</v>
      </c>
    </row>
    <row r="433" spans="1:15" ht="18" customHeight="1">
      <c r="A433" s="160" t="s">
        <v>250</v>
      </c>
      <c r="B433" s="161"/>
      <c r="C433" s="161"/>
      <c r="D433" s="161"/>
      <c r="E433" s="177">
        <f>E419+E432</f>
        <v>0</v>
      </c>
      <c r="F433" s="40">
        <f>F419+F432</f>
        <v>545</v>
      </c>
      <c r="G433" s="40">
        <f>G419+G432</f>
        <v>2725</v>
      </c>
      <c r="H433" s="41"/>
      <c r="I433" s="41"/>
      <c r="J433" s="41"/>
      <c r="K433" s="41"/>
      <c r="L433" s="41"/>
      <c r="M433" s="42">
        <f ca="1">IFERROR(M419+M432,"")</f>
        <v>0.27847222222222223</v>
      </c>
      <c r="N433" s="40" t="s">
        <v>251</v>
      </c>
      <c r="O433" s="48">
        <f>IFERROR(O419+O432,"")</f>
        <v>3462210</v>
      </c>
    </row>
    <row r="434" spans="1:15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59" t="s">
        <v>245</v>
      </c>
      <c r="F434" s="27">
        <v>11</v>
      </c>
      <c r="G434" s="28">
        <f t="shared" ref="G434:G445" si="91">IF(F434="","",IF(E434="PC 17",F434*4.2,IF(E434="PC 19",F434*5,IF(E434="CB",F434*35,""))))</f>
        <v>55</v>
      </c>
      <c r="H434" s="26" t="s">
        <v>25</v>
      </c>
      <c r="I434" s="26" t="s">
        <v>30</v>
      </c>
      <c r="J434" s="26" t="s">
        <v>165</v>
      </c>
      <c r="K434" s="29">
        <v>0.52638888888888891</v>
      </c>
      <c r="L434" s="29">
        <v>0.54791666666666672</v>
      </c>
      <c r="M434" s="30">
        <f t="shared" ref="M434:M445" ca="1" si="92">IFERROR(IF(K434="","",IF(L434="",MOD(NOW()-K434,1),IF(L434&gt;=K434,L434-K434,L434+1-K434))),"")</f>
        <v>2.1527777777777812E-2</v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 t="s">
        <v>52</v>
      </c>
      <c r="D435" s="59" t="s">
        <v>29</v>
      </c>
      <c r="E435" s="59" t="s">
        <v>245</v>
      </c>
      <c r="F435" s="27">
        <v>8</v>
      </c>
      <c r="G435" s="28">
        <f t="shared" si="91"/>
        <v>40</v>
      </c>
      <c r="H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 t="s">
        <v>52</v>
      </c>
      <c r="D436" s="59" t="s">
        <v>29</v>
      </c>
      <c r="E436" s="59" t="s">
        <v>245</v>
      </c>
      <c r="F436" s="27">
        <v>21</v>
      </c>
      <c r="G436" s="28">
        <f t="shared" si="91"/>
        <v>105</v>
      </c>
      <c r="H436" s="26" t="s">
        <v>26</v>
      </c>
      <c r="I436" s="33" t="s">
        <v>30</v>
      </c>
      <c r="J436" s="26" t="s">
        <v>74</v>
      </c>
      <c r="K436" s="29">
        <v>0.60972222222222228</v>
      </c>
      <c r="L436" s="29">
        <v>0.6791666666666667</v>
      </c>
      <c r="M436" s="30">
        <f t="shared" ca="1" si="92"/>
        <v>6.944444444444442E-2</v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 t="s">
        <v>52</v>
      </c>
      <c r="D437" s="59" t="s">
        <v>29</v>
      </c>
      <c r="E437" s="59" t="s">
        <v>245</v>
      </c>
      <c r="F437" s="27">
        <v>15</v>
      </c>
      <c r="G437" s="34">
        <f t="shared" si="91"/>
        <v>75</v>
      </c>
      <c r="H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 t="s">
        <v>52</v>
      </c>
      <c r="D438" s="59" t="s">
        <v>29</v>
      </c>
      <c r="E438" s="59" t="s">
        <v>245</v>
      </c>
      <c r="F438" s="27">
        <v>15</v>
      </c>
      <c r="G438" s="28">
        <f t="shared" si="91"/>
        <v>75</v>
      </c>
      <c r="H438" s="26" t="s">
        <v>26</v>
      </c>
      <c r="I438" s="26" t="s">
        <v>30</v>
      </c>
      <c r="J438" s="26" t="s">
        <v>120</v>
      </c>
      <c r="K438" s="29">
        <v>0.69861111111111107</v>
      </c>
      <c r="L438" s="29">
        <v>0.73611111111111116</v>
      </c>
      <c r="M438" s="30">
        <f t="shared" ca="1" si="92"/>
        <v>3.7500000000000089E-2</v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 t="s">
        <v>52</v>
      </c>
      <c r="D439" s="59" t="s">
        <v>29</v>
      </c>
      <c r="E439" s="59" t="s">
        <v>245</v>
      </c>
      <c r="F439" s="27">
        <v>32</v>
      </c>
      <c r="G439" s="34">
        <f t="shared" si="91"/>
        <v>160</v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 t="s">
        <v>52</v>
      </c>
      <c r="D440" s="59" t="s">
        <v>29</v>
      </c>
      <c r="E440" s="59" t="s">
        <v>245</v>
      </c>
      <c r="F440" s="27">
        <v>5</v>
      </c>
      <c r="G440" s="28">
        <f t="shared" si="91"/>
        <v>25</v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 t="s">
        <v>52</v>
      </c>
      <c r="D441" s="59" t="s">
        <v>29</v>
      </c>
      <c r="E441" s="59" t="s">
        <v>245</v>
      </c>
      <c r="F441" s="27">
        <v>13</v>
      </c>
      <c r="G441" s="34">
        <f t="shared" si="91"/>
        <v>65</v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 t="s">
        <v>52</v>
      </c>
      <c r="D442" s="59" t="s">
        <v>29</v>
      </c>
      <c r="E442" s="59" t="s">
        <v>245</v>
      </c>
      <c r="F442" s="27">
        <v>0</v>
      </c>
      <c r="G442" s="28">
        <f t="shared" si="91"/>
        <v>0</v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 t="s">
        <v>52</v>
      </c>
      <c r="D443" s="59" t="s">
        <v>29</v>
      </c>
      <c r="E443" s="59" t="s">
        <v>245</v>
      </c>
      <c r="F443" s="27">
        <v>8</v>
      </c>
      <c r="G443" s="34">
        <f t="shared" si="91"/>
        <v>40</v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 t="s">
        <v>52</v>
      </c>
      <c r="D444" s="59" t="s">
        <v>29</v>
      </c>
      <c r="E444" s="59" t="s">
        <v>245</v>
      </c>
      <c r="F444" s="27">
        <v>13</v>
      </c>
      <c r="G444" s="28">
        <f t="shared" si="91"/>
        <v>65</v>
      </c>
      <c r="H444" s="26"/>
      <c r="I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 t="s">
        <v>52</v>
      </c>
      <c r="D445" s="59" t="s">
        <v>29</v>
      </c>
      <c r="E445" s="59" t="s">
        <v>245</v>
      </c>
      <c r="F445" s="27">
        <v>27</v>
      </c>
      <c r="G445" s="34">
        <f t="shared" si="91"/>
        <v>135</v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62" t="s">
        <v>246</v>
      </c>
      <c r="B446" s="163"/>
      <c r="C446" s="163"/>
      <c r="D446" s="163"/>
      <c r="E446" s="178">
        <f>SUM(E434:E445)</f>
        <v>0</v>
      </c>
      <c r="F446" s="36">
        <f>SUM(F434:F445)</f>
        <v>168</v>
      </c>
      <c r="G446" s="81">
        <f>SUM(G434:G445)</f>
        <v>840</v>
      </c>
      <c r="H446" s="37"/>
      <c r="I446" s="37"/>
      <c r="J446" s="37"/>
      <c r="K446" s="37"/>
      <c r="L446" s="37"/>
      <c r="M446" s="38">
        <f ca="1">IFERROR(SUM(M434:M445),"")</f>
        <v>0.12847222222222232</v>
      </c>
      <c r="N446" s="36" t="s">
        <v>247</v>
      </c>
      <c r="O446" s="39">
        <v>1619380</v>
      </c>
    </row>
    <row r="447" spans="1:15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62" t="s">
        <v>245</v>
      </c>
      <c r="F447" s="27">
        <v>50</v>
      </c>
      <c r="G447" s="34">
        <f t="shared" ref="G447:G458" si="94">IF(F447="","",IF(E447="PC 17",F447*4.2,IF(E447="PC 19",F447*5,IF(E447="CB",F447*35,""))))</f>
        <v>250</v>
      </c>
      <c r="H447" s="33" t="s">
        <v>27</v>
      </c>
      <c r="I447" s="33" t="s">
        <v>30</v>
      </c>
      <c r="J447" s="33" t="s">
        <v>142</v>
      </c>
      <c r="K447" s="29">
        <v>0.92013888888888884</v>
      </c>
      <c r="L447" s="29">
        <v>0.95833333333333337</v>
      </c>
      <c r="M447" s="35">
        <f t="shared" ref="M447:M458" ca="1" si="95">IFERROR(IF(K447="","",IF(L447="",MOD(NOW()-K447,1),IF(L447&gt;=K447,L447-K447,L447+1-K447))),"")</f>
        <v>3.8194444444444531E-2</v>
      </c>
      <c r="N447" s="46" t="s">
        <v>273</v>
      </c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 t="s">
        <v>28</v>
      </c>
      <c r="D448" s="62" t="s">
        <v>29</v>
      </c>
      <c r="E448" s="62" t="s">
        <v>245</v>
      </c>
      <c r="F448" s="27">
        <v>60</v>
      </c>
      <c r="G448" s="28">
        <f t="shared" si="94"/>
        <v>300</v>
      </c>
      <c r="H448" s="26" t="s">
        <v>24</v>
      </c>
      <c r="I448" s="26" t="s">
        <v>30</v>
      </c>
      <c r="J448" s="26" t="s">
        <v>128</v>
      </c>
      <c r="K448" s="29">
        <v>0.96180555555555558</v>
      </c>
      <c r="L448" s="29">
        <v>2.2222222222222223E-2</v>
      </c>
      <c r="M448" s="30">
        <f t="shared" ca="1" si="95"/>
        <v>6.0416666666666563E-2</v>
      </c>
      <c r="N448" s="46" t="s">
        <v>274</v>
      </c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 t="s">
        <v>28</v>
      </c>
      <c r="D449" s="62" t="s">
        <v>29</v>
      </c>
      <c r="E449" s="62" t="s">
        <v>245</v>
      </c>
      <c r="F449" s="27">
        <v>25</v>
      </c>
      <c r="G449" s="34">
        <f t="shared" si="94"/>
        <v>125</v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 t="s">
        <v>28</v>
      </c>
      <c r="D450" s="62" t="s">
        <v>29</v>
      </c>
      <c r="E450" s="62" t="s">
        <v>245</v>
      </c>
      <c r="F450" s="27">
        <v>17</v>
      </c>
      <c r="G450" s="28">
        <f t="shared" si="94"/>
        <v>85</v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 t="s">
        <v>28</v>
      </c>
      <c r="D451" s="62" t="s">
        <v>29</v>
      </c>
      <c r="E451" s="62" t="s">
        <v>245</v>
      </c>
      <c r="F451" s="27">
        <v>10</v>
      </c>
      <c r="G451" s="34">
        <f>IF(F451="","",IF(E451="PC 17",F451*4.2,IF(E451="PC 19",F451*5,IF(E451="CB",F451*35,""))))</f>
        <v>50</v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 t="s">
        <v>28</v>
      </c>
      <c r="D452" s="62" t="s">
        <v>29</v>
      </c>
      <c r="E452" s="62" t="s">
        <v>245</v>
      </c>
      <c r="F452" s="27">
        <v>20</v>
      </c>
      <c r="G452" s="28">
        <f t="shared" si="94"/>
        <v>100</v>
      </c>
      <c r="H452" s="26"/>
      <c r="I452" s="26"/>
      <c r="J452" s="26"/>
      <c r="K452" s="29"/>
      <c r="L452" s="29"/>
      <c r="M452" s="30" t="str">
        <f t="shared" ca="1" si="95"/>
        <v/>
      </c>
      <c r="N452" s="46" t="s">
        <v>275</v>
      </c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 t="s">
        <v>28</v>
      </c>
      <c r="D453" s="62" t="s">
        <v>29</v>
      </c>
      <c r="E453" s="62" t="s">
        <v>245</v>
      </c>
      <c r="F453" s="27">
        <v>40</v>
      </c>
      <c r="G453" s="151">
        <f>IF(F453="","",IF(E453="PC 17",F453*4.2,IF(E453="PC 19",F453*5,IF(E453="CB",F453*35,""))))</f>
        <v>200</v>
      </c>
      <c r="H453" s="33"/>
      <c r="I453" s="33"/>
      <c r="J453" s="33"/>
      <c r="K453" s="29"/>
      <c r="L453" s="29"/>
      <c r="M453" s="35" t="str">
        <f t="shared" ca="1" si="95"/>
        <v/>
      </c>
      <c r="N453" s="46" t="s">
        <v>276</v>
      </c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 t="s">
        <v>28</v>
      </c>
      <c r="D454" s="62" t="s">
        <v>29</v>
      </c>
      <c r="E454" s="62" t="s">
        <v>245</v>
      </c>
      <c r="F454" s="27">
        <v>50</v>
      </c>
      <c r="G454" s="28">
        <f>IF(F454="","",IF(E454="PC 17",F454*4.2,IF(E454="PC 19",F454*5,IF(E454="CB",F454*35,""))))</f>
        <v>250</v>
      </c>
      <c r="H454" s="26"/>
      <c r="I454" s="26"/>
      <c r="J454" s="26"/>
      <c r="K454" s="29"/>
      <c r="L454" s="29"/>
      <c r="M454" s="30" t="str">
        <f t="shared" ca="1" si="95"/>
        <v/>
      </c>
      <c r="N454" s="46" t="s">
        <v>277</v>
      </c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 t="s">
        <v>28</v>
      </c>
      <c r="D455" s="62" t="s">
        <v>29</v>
      </c>
      <c r="E455" s="62" t="s">
        <v>245</v>
      </c>
      <c r="F455" s="27">
        <v>35</v>
      </c>
      <c r="G455" s="28">
        <f t="shared" ref="G455:G456" si="97">IF(F455="","",IF(E455="PC 17",F455*4.2,IF(E455="PC 19",F455*5,IF(E455="CB",F455*35,""))))</f>
        <v>175</v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 t="s">
        <v>28</v>
      </c>
      <c r="D456" s="62" t="s">
        <v>29</v>
      </c>
      <c r="E456" s="62" t="s">
        <v>245</v>
      </c>
      <c r="F456" s="27">
        <v>40</v>
      </c>
      <c r="G456" s="28">
        <f t="shared" si="97"/>
        <v>200</v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 t="s">
        <v>28</v>
      </c>
      <c r="D457" s="62" t="s">
        <v>29</v>
      </c>
      <c r="E457" s="62" t="s">
        <v>245</v>
      </c>
      <c r="F457" s="27">
        <v>35</v>
      </c>
      <c r="G457" s="151">
        <f t="shared" si="94"/>
        <v>175</v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 t="s">
        <v>28</v>
      </c>
      <c r="D458" s="62" t="s">
        <v>29</v>
      </c>
      <c r="E458" s="62" t="s">
        <v>245</v>
      </c>
      <c r="F458" s="27">
        <v>25</v>
      </c>
      <c r="G458" s="28">
        <f t="shared" si="94"/>
        <v>125</v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62" t="s">
        <v>249</v>
      </c>
      <c r="B459" s="163"/>
      <c r="C459" s="163"/>
      <c r="D459" s="163"/>
      <c r="E459" s="178">
        <f>SUM(E447:E458)</f>
        <v>0</v>
      </c>
      <c r="F459" s="36">
        <f>SUM(F447:F458)</f>
        <v>407</v>
      </c>
      <c r="G459" s="36">
        <f>SUM(G447:G458)</f>
        <v>2035</v>
      </c>
      <c r="H459" s="37"/>
      <c r="I459" s="37"/>
      <c r="J459" s="37"/>
      <c r="K459" s="37"/>
      <c r="L459" s="37"/>
      <c r="M459" s="38">
        <f ca="1">IFERROR(SUM(M447:M458),"")</f>
        <v>9.8611111111111094E-2</v>
      </c>
      <c r="N459" s="36" t="s">
        <v>247</v>
      </c>
      <c r="O459" s="39">
        <v>2361680</v>
      </c>
    </row>
    <row r="460" spans="1:15" ht="18" customHeight="1">
      <c r="A460" s="160" t="s">
        <v>250</v>
      </c>
      <c r="B460" s="161"/>
      <c r="C460" s="161"/>
      <c r="D460" s="161"/>
      <c r="E460" s="177">
        <f>E446+E459</f>
        <v>0</v>
      </c>
      <c r="F460" s="40">
        <f>F446+F459</f>
        <v>575</v>
      </c>
      <c r="G460" s="40">
        <f>G446+G459</f>
        <v>2875</v>
      </c>
      <c r="H460" s="41"/>
      <c r="I460" s="41"/>
      <c r="J460" s="41"/>
      <c r="K460" s="41"/>
      <c r="L460" s="41"/>
      <c r="M460" s="42">
        <f ca="1">IFERROR(M446+M459,"")</f>
        <v>0.22708333333333341</v>
      </c>
      <c r="N460" s="40" t="s">
        <v>251</v>
      </c>
      <c r="O460" s="48">
        <f>IFERROR(O446+O459,"")</f>
        <v>3981060</v>
      </c>
    </row>
    <row r="461" spans="1:15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62" t="s">
        <v>245</v>
      </c>
      <c r="F461" s="27">
        <v>50</v>
      </c>
      <c r="G461" s="34">
        <f t="shared" ref="G461:G472" si="98">IF(F461="","",IF(E461="PC 17",F461*4.2,IF(E461="PC 19",F461*5,IF(E461="CB",F461*35,""))))</f>
        <v>250</v>
      </c>
      <c r="H461" s="33" t="s">
        <v>26</v>
      </c>
      <c r="I461" s="33" t="s">
        <v>30</v>
      </c>
      <c r="J461" s="33" t="s">
        <v>57</v>
      </c>
      <c r="K461" s="29">
        <v>0.6875</v>
      </c>
      <c r="L461" s="29">
        <v>0.71944444444444444</v>
      </c>
      <c r="M461" s="35">
        <f t="shared" ref="M461:M472" ca="1" si="99">IFERROR(IF(K461="","",IF(L461="",MOD(NOW()-K461,1),IF(L461&gt;=K461,L461-K461,L461+1-K461))),"")</f>
        <v>3.1944444444444442E-2</v>
      </c>
      <c r="N461" s="46" t="s">
        <v>278</v>
      </c>
      <c r="O461" s="47"/>
    </row>
    <row r="462" spans="1:15" ht="15" customHeight="1">
      <c r="A462" s="67">
        <v>46252</v>
      </c>
      <c r="B462" s="25">
        <f t="shared" ref="B462:B472" si="100">B461+TIME(0,60,0)</f>
        <v>0.37499999999999967</v>
      </c>
      <c r="C462" s="33" t="s">
        <v>52</v>
      </c>
      <c r="D462" s="62" t="s">
        <v>29</v>
      </c>
      <c r="E462" s="62" t="s">
        <v>245</v>
      </c>
      <c r="F462" s="27">
        <v>50</v>
      </c>
      <c r="G462" s="28">
        <f t="shared" si="98"/>
        <v>250</v>
      </c>
      <c r="H462" s="26"/>
      <c r="I462" s="26"/>
      <c r="J462" s="26"/>
      <c r="K462" s="29"/>
      <c r="L462" s="29"/>
      <c r="M462" s="30" t="str">
        <f t="shared" ca="1" si="99"/>
        <v/>
      </c>
      <c r="N462" s="46"/>
      <c r="O462" s="47"/>
    </row>
    <row r="463" spans="1:15" ht="15" customHeight="1">
      <c r="A463" s="68">
        <v>46252</v>
      </c>
      <c r="B463" s="32">
        <f t="shared" si="100"/>
        <v>0.41666666666666635</v>
      </c>
      <c r="C463" s="33" t="s">
        <v>52</v>
      </c>
      <c r="D463" s="62" t="s">
        <v>29</v>
      </c>
      <c r="E463" s="62" t="s">
        <v>245</v>
      </c>
      <c r="F463" s="27">
        <v>50</v>
      </c>
      <c r="G463" s="34">
        <f t="shared" si="98"/>
        <v>250</v>
      </c>
      <c r="H463" s="33"/>
      <c r="I463" s="33"/>
      <c r="J463" s="33"/>
      <c r="K463" s="29"/>
      <c r="L463" s="29"/>
      <c r="M463" s="51" t="str">
        <f t="shared" ca="1" si="99"/>
        <v/>
      </c>
      <c r="N463" s="52"/>
      <c r="O463" s="47"/>
    </row>
    <row r="464" spans="1:15" ht="15" customHeight="1">
      <c r="A464" s="67">
        <v>46252</v>
      </c>
      <c r="B464" s="25">
        <f t="shared" si="100"/>
        <v>0.45833333333333304</v>
      </c>
      <c r="C464" s="33" t="s">
        <v>52</v>
      </c>
      <c r="D464" s="62" t="s">
        <v>29</v>
      </c>
      <c r="E464" s="62" t="s">
        <v>245</v>
      </c>
      <c r="F464" s="27">
        <v>22</v>
      </c>
      <c r="G464" s="28">
        <f t="shared" si="98"/>
        <v>110</v>
      </c>
      <c r="H464" s="26"/>
      <c r="I464" s="26"/>
      <c r="J464" s="26"/>
      <c r="K464" s="29"/>
      <c r="L464" s="29"/>
      <c r="M464" s="30" t="str">
        <f t="shared" ca="1" si="99"/>
        <v/>
      </c>
      <c r="N464" s="46"/>
      <c r="O464" s="47"/>
    </row>
    <row r="465" spans="1:15" ht="15" customHeight="1">
      <c r="A465" s="68">
        <v>46252</v>
      </c>
      <c r="B465" s="32">
        <f t="shared" si="100"/>
        <v>0.49999999999999972</v>
      </c>
      <c r="C465" s="33" t="s">
        <v>52</v>
      </c>
      <c r="D465" s="62" t="s">
        <v>29</v>
      </c>
      <c r="E465" s="62" t="s">
        <v>245</v>
      </c>
      <c r="F465" s="27">
        <v>20</v>
      </c>
      <c r="G465" s="34">
        <f t="shared" si="98"/>
        <v>100</v>
      </c>
      <c r="H465" s="33"/>
      <c r="I465" s="33"/>
      <c r="J465" s="33"/>
      <c r="K465" s="29"/>
      <c r="L465" s="29"/>
      <c r="M465" s="35" t="str">
        <f t="shared" ca="1" si="99"/>
        <v/>
      </c>
      <c r="N465" s="53"/>
      <c r="O465" s="47"/>
    </row>
    <row r="466" spans="1:15" ht="15" customHeight="1">
      <c r="A466" s="67">
        <v>46252</v>
      </c>
      <c r="B466" s="25">
        <f t="shared" si="100"/>
        <v>0.54166666666666641</v>
      </c>
      <c r="C466" s="33" t="s">
        <v>52</v>
      </c>
      <c r="D466" s="62" t="s">
        <v>29</v>
      </c>
      <c r="E466" s="62" t="s">
        <v>245</v>
      </c>
      <c r="F466" s="27">
        <v>29</v>
      </c>
      <c r="G466" s="28">
        <f>IF(F466="","",IF(E466="PC 17",F466*4.2,IF(E466="PC 19",F466*5,IF(E466="CB",F466*35,""))))</f>
        <v>145</v>
      </c>
      <c r="H466" s="26"/>
      <c r="I466" s="26"/>
      <c r="J466" s="26"/>
      <c r="K466" s="29"/>
      <c r="L466" s="29"/>
      <c r="M466" s="30" t="str">
        <f t="shared" ca="1" si="99"/>
        <v/>
      </c>
      <c r="N466" s="53"/>
      <c r="O466" s="47"/>
    </row>
    <row r="467" spans="1:15" ht="15" customHeight="1">
      <c r="A467" s="68">
        <v>46252</v>
      </c>
      <c r="B467" s="32">
        <f t="shared" si="100"/>
        <v>0.58333333333333304</v>
      </c>
      <c r="C467" s="33" t="s">
        <v>52</v>
      </c>
      <c r="D467" s="62" t="s">
        <v>29</v>
      </c>
      <c r="E467" s="62" t="s">
        <v>245</v>
      </c>
      <c r="F467" s="27">
        <v>45</v>
      </c>
      <c r="G467" s="34">
        <f t="shared" si="98"/>
        <v>225</v>
      </c>
      <c r="H467" s="33"/>
      <c r="I467" s="33"/>
      <c r="J467" s="33"/>
      <c r="K467" s="29"/>
      <c r="L467" s="29"/>
      <c r="M467" s="35" t="str">
        <f t="shared" ca="1" si="99"/>
        <v/>
      </c>
      <c r="N467" s="46"/>
      <c r="O467" s="47"/>
    </row>
    <row r="468" spans="1:15" ht="15" customHeight="1">
      <c r="A468" s="67">
        <v>46252</v>
      </c>
      <c r="B468" s="25">
        <f t="shared" si="100"/>
        <v>0.62499999999999967</v>
      </c>
      <c r="C468" s="33" t="s">
        <v>52</v>
      </c>
      <c r="D468" s="62" t="s">
        <v>29</v>
      </c>
      <c r="E468" s="62" t="s">
        <v>245</v>
      </c>
      <c r="F468" s="27">
        <v>15</v>
      </c>
      <c r="G468" s="28">
        <f t="shared" si="98"/>
        <v>75</v>
      </c>
      <c r="H468" s="26"/>
      <c r="I468" s="26"/>
      <c r="J468" s="26"/>
      <c r="K468" s="29"/>
      <c r="L468" s="29"/>
      <c r="M468" s="30" t="str">
        <f t="shared" ca="1" si="99"/>
        <v/>
      </c>
      <c r="N468" s="46"/>
      <c r="O468" s="47"/>
    </row>
    <row r="469" spans="1:15" ht="15" customHeight="1">
      <c r="A469" s="68">
        <v>46252</v>
      </c>
      <c r="B469" s="32">
        <f t="shared" si="100"/>
        <v>0.6666666666666663</v>
      </c>
      <c r="C469" s="33" t="s">
        <v>52</v>
      </c>
      <c r="D469" s="62" t="s">
        <v>29</v>
      </c>
      <c r="E469" s="62" t="s">
        <v>245</v>
      </c>
      <c r="F469" s="27">
        <v>23</v>
      </c>
      <c r="G469" s="34">
        <f t="shared" si="98"/>
        <v>115</v>
      </c>
      <c r="H469" s="33"/>
      <c r="I469" s="33"/>
      <c r="J469" s="33"/>
      <c r="K469" s="29"/>
      <c r="L469" s="29"/>
      <c r="M469" s="35" t="str">
        <f t="shared" ca="1" si="99"/>
        <v/>
      </c>
      <c r="N469" s="46"/>
      <c r="O469" s="47"/>
    </row>
    <row r="470" spans="1:15" ht="15" customHeight="1">
      <c r="A470" s="67">
        <v>46252</v>
      </c>
      <c r="B470" s="25">
        <f t="shared" si="100"/>
        <v>0.70833333333333293</v>
      </c>
      <c r="C470" s="33" t="s">
        <v>52</v>
      </c>
      <c r="D470" s="62" t="s">
        <v>29</v>
      </c>
      <c r="E470" s="62" t="s">
        <v>245</v>
      </c>
      <c r="F470" s="27">
        <v>19</v>
      </c>
      <c r="G470" s="28">
        <f t="shared" si="98"/>
        <v>95</v>
      </c>
      <c r="H470" s="26"/>
      <c r="I470" s="26"/>
      <c r="J470" s="26"/>
      <c r="K470" s="29"/>
      <c r="L470" s="29"/>
      <c r="M470" s="30" t="str">
        <f t="shared" ca="1" si="99"/>
        <v/>
      </c>
      <c r="N470" s="46"/>
      <c r="O470" s="47"/>
    </row>
    <row r="471" spans="1:15" ht="15" customHeight="1">
      <c r="A471" s="68">
        <v>46252</v>
      </c>
      <c r="B471" s="32">
        <f t="shared" si="100"/>
        <v>0.74999999999999956</v>
      </c>
      <c r="C471" s="33" t="s">
        <v>52</v>
      </c>
      <c r="D471" s="62" t="s">
        <v>29</v>
      </c>
      <c r="E471" s="62" t="s">
        <v>245</v>
      </c>
      <c r="F471" s="27">
        <v>16</v>
      </c>
      <c r="G471" s="34">
        <f t="shared" si="98"/>
        <v>80</v>
      </c>
      <c r="H471" s="33"/>
      <c r="I471" s="33"/>
      <c r="J471" s="33"/>
      <c r="K471" s="29"/>
      <c r="L471" s="29"/>
      <c r="M471" s="35" t="str">
        <f t="shared" ca="1" si="99"/>
        <v/>
      </c>
      <c r="N471" s="46"/>
      <c r="O471" s="47"/>
    </row>
    <row r="472" spans="1:15" ht="15" customHeight="1">
      <c r="A472" s="67">
        <v>46252</v>
      </c>
      <c r="B472" s="25">
        <f t="shared" si="100"/>
        <v>0.79166666666666619</v>
      </c>
      <c r="C472" s="33" t="s">
        <v>52</v>
      </c>
      <c r="D472" s="62" t="s">
        <v>29</v>
      </c>
      <c r="E472" s="62" t="s">
        <v>245</v>
      </c>
      <c r="F472" s="27">
        <v>8</v>
      </c>
      <c r="G472" s="28">
        <f t="shared" si="98"/>
        <v>40</v>
      </c>
      <c r="H472" s="26"/>
      <c r="I472" s="26"/>
      <c r="J472" s="26"/>
      <c r="K472" s="29"/>
      <c r="L472" s="29"/>
      <c r="M472" s="30" t="str">
        <f t="shared" ca="1" si="99"/>
        <v/>
      </c>
      <c r="N472" s="46"/>
      <c r="O472" s="47"/>
    </row>
    <row r="473" spans="1:15" ht="15.75" customHeight="1">
      <c r="A473" s="162" t="s">
        <v>246</v>
      </c>
      <c r="B473" s="163"/>
      <c r="C473" s="163"/>
      <c r="D473" s="163"/>
      <c r="E473" s="178">
        <f>SUM(E461:E472)</f>
        <v>0</v>
      </c>
      <c r="F473" s="36">
        <f>SUM(F461:F472)</f>
        <v>347</v>
      </c>
      <c r="G473" s="36">
        <f>SUM(G461:G472)</f>
        <v>1735</v>
      </c>
      <c r="H473" s="37"/>
      <c r="I473" s="37"/>
      <c r="J473" s="37"/>
      <c r="K473" s="37"/>
      <c r="L473" s="37"/>
      <c r="M473" s="38">
        <f ca="1">IFERROR(SUM(M461:M472),"")</f>
        <v>3.1944444444444442E-2</v>
      </c>
      <c r="N473" s="36" t="s">
        <v>247</v>
      </c>
      <c r="O473" s="39">
        <v>2284390</v>
      </c>
    </row>
    <row r="474" spans="1:15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59" t="s">
        <v>245</v>
      </c>
      <c r="F474" s="27">
        <v>40</v>
      </c>
      <c r="G474" s="28">
        <f t="shared" ref="G474:G485" si="101">IF(F474="","",IF(E474="PC 17",F474*4.2,IF(E474="PC 19",F474*5,IF(E474="CB",F474*35,""))))</f>
        <v>200</v>
      </c>
      <c r="H474" s="26"/>
      <c r="I474" s="26"/>
      <c r="J474" s="26"/>
      <c r="K474" s="29"/>
      <c r="L474" s="29"/>
      <c r="M474" s="30" t="str">
        <f t="shared" ref="M474:M485" ca="1" si="102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3">B474+TIME(0,60,0)</f>
        <v>0.87499999999999967</v>
      </c>
      <c r="C475" s="26" t="s">
        <v>36</v>
      </c>
      <c r="D475" s="59" t="s">
        <v>29</v>
      </c>
      <c r="E475" s="59"/>
      <c r="F475" s="27"/>
      <c r="G475" s="34" t="str">
        <f t="shared" si="101"/>
        <v/>
      </c>
      <c r="H475" s="33"/>
      <c r="I475" s="33"/>
      <c r="J475" s="33"/>
      <c r="K475" s="29"/>
      <c r="L475" s="29"/>
      <c r="M475" s="35" t="str">
        <f t="shared" ca="1" si="102"/>
        <v/>
      </c>
      <c r="N475" s="46"/>
      <c r="O475" s="47"/>
    </row>
    <row r="476" spans="1:15" ht="15" customHeight="1">
      <c r="A476" s="67">
        <v>46252</v>
      </c>
      <c r="B476" s="25">
        <f t="shared" si="103"/>
        <v>0.9166666666666663</v>
      </c>
      <c r="C476" s="26" t="s">
        <v>36</v>
      </c>
      <c r="D476" s="59" t="s">
        <v>29</v>
      </c>
      <c r="E476" s="59"/>
      <c r="F476" s="27"/>
      <c r="G476" s="28" t="str">
        <f t="shared" si="101"/>
        <v/>
      </c>
      <c r="H476" s="26"/>
      <c r="I476" s="26"/>
      <c r="J476" s="26"/>
      <c r="K476" s="29"/>
      <c r="L476" s="29"/>
      <c r="M476" s="30" t="str">
        <f t="shared" ca="1" si="102"/>
        <v/>
      </c>
      <c r="N476" s="46"/>
      <c r="O476" s="47"/>
    </row>
    <row r="477" spans="1:15" ht="15" customHeight="1">
      <c r="A477" s="68">
        <v>46252</v>
      </c>
      <c r="B477" s="32">
        <f t="shared" si="103"/>
        <v>0.95833333333333293</v>
      </c>
      <c r="C477" s="26" t="s">
        <v>36</v>
      </c>
      <c r="D477" s="59" t="s">
        <v>29</v>
      </c>
      <c r="E477" s="59"/>
      <c r="F477" s="27"/>
      <c r="G477" s="34" t="str">
        <f t="shared" si="101"/>
        <v/>
      </c>
      <c r="H477" s="33"/>
      <c r="I477" s="33"/>
      <c r="J477" s="33"/>
      <c r="K477" s="29"/>
      <c r="L477" s="29"/>
      <c r="M477" s="35" t="str">
        <f t="shared" ca="1" si="102"/>
        <v/>
      </c>
      <c r="N477" s="46"/>
      <c r="O477" s="47"/>
    </row>
    <row r="478" spans="1:15" ht="15" customHeight="1">
      <c r="A478" s="67">
        <v>46252</v>
      </c>
      <c r="B478" s="25">
        <f t="shared" si="103"/>
        <v>0.99999999999999956</v>
      </c>
      <c r="C478" s="26" t="s">
        <v>36</v>
      </c>
      <c r="D478" s="59" t="s">
        <v>29</v>
      </c>
      <c r="E478" s="59"/>
      <c r="F478" s="27"/>
      <c r="G478" s="28" t="str">
        <f t="shared" si="101"/>
        <v/>
      </c>
      <c r="H478" s="26"/>
      <c r="I478" s="26"/>
      <c r="J478" s="26"/>
      <c r="K478" s="29"/>
      <c r="L478" s="29"/>
      <c r="M478" s="30" t="str">
        <f t="shared" ca="1" si="102"/>
        <v/>
      </c>
      <c r="N478" s="46"/>
      <c r="O478" s="47"/>
    </row>
    <row r="479" spans="1:15" ht="15" customHeight="1">
      <c r="A479" s="68">
        <v>46252</v>
      </c>
      <c r="B479" s="32">
        <f t="shared" si="103"/>
        <v>1.0416666666666663</v>
      </c>
      <c r="C479" s="26" t="s">
        <v>36</v>
      </c>
      <c r="D479" s="59" t="s">
        <v>29</v>
      </c>
      <c r="E479" s="59"/>
      <c r="F479" s="27"/>
      <c r="G479" s="34" t="str">
        <f t="shared" si="101"/>
        <v/>
      </c>
      <c r="H479" s="33"/>
      <c r="I479" s="33"/>
      <c r="J479" s="33"/>
      <c r="K479" s="29"/>
      <c r="L479" s="29"/>
      <c r="M479" s="35" t="str">
        <f t="shared" ca="1" si="102"/>
        <v/>
      </c>
      <c r="N479" s="46"/>
      <c r="O479" s="47"/>
    </row>
    <row r="480" spans="1:15" ht="15" customHeight="1">
      <c r="A480" s="67">
        <v>46252</v>
      </c>
      <c r="B480" s="25">
        <f t="shared" si="103"/>
        <v>1.083333333333333</v>
      </c>
      <c r="C480" s="26" t="s">
        <v>36</v>
      </c>
      <c r="D480" s="59" t="s">
        <v>29</v>
      </c>
      <c r="E480" s="59"/>
      <c r="F480" s="27"/>
      <c r="G480" s="28" t="str">
        <f t="shared" si="101"/>
        <v/>
      </c>
      <c r="H480" s="26"/>
      <c r="I480" s="26"/>
      <c r="J480" s="26"/>
      <c r="K480" s="29"/>
      <c r="L480" s="29"/>
      <c r="M480" s="30" t="str">
        <f t="shared" ca="1" si="102"/>
        <v/>
      </c>
      <c r="N480" s="46"/>
      <c r="O480" s="47"/>
    </row>
    <row r="481" spans="1:15" ht="15" customHeight="1">
      <c r="A481" s="68">
        <v>46252</v>
      </c>
      <c r="B481" s="32">
        <f t="shared" si="103"/>
        <v>1.1249999999999998</v>
      </c>
      <c r="C481" s="26" t="s">
        <v>36</v>
      </c>
      <c r="D481" s="59" t="s">
        <v>29</v>
      </c>
      <c r="E481" s="59"/>
      <c r="F481" s="27"/>
      <c r="G481" s="34" t="str">
        <f t="shared" si="101"/>
        <v/>
      </c>
      <c r="H481" s="33"/>
      <c r="I481" s="33"/>
      <c r="J481" s="33"/>
      <c r="K481" s="29"/>
      <c r="L481" s="29"/>
      <c r="M481" s="35" t="str">
        <f t="shared" ca="1" si="102"/>
        <v/>
      </c>
      <c r="N481" s="46"/>
      <c r="O481" s="47"/>
    </row>
    <row r="482" spans="1:15" ht="15" customHeight="1">
      <c r="A482" s="67">
        <v>46252</v>
      </c>
      <c r="B482" s="25">
        <f t="shared" si="103"/>
        <v>1.1666666666666665</v>
      </c>
      <c r="C482" s="26" t="s">
        <v>36</v>
      </c>
      <c r="D482" s="59" t="s">
        <v>29</v>
      </c>
      <c r="E482" s="59"/>
      <c r="F482" s="27"/>
      <c r="G482" s="28" t="str">
        <f t="shared" si="101"/>
        <v/>
      </c>
      <c r="H482" s="26"/>
      <c r="I482" s="26"/>
      <c r="J482" s="26"/>
      <c r="K482" s="29"/>
      <c r="L482" s="29"/>
      <c r="M482" s="30" t="str">
        <f t="shared" ca="1" si="102"/>
        <v/>
      </c>
      <c r="N482" s="46"/>
      <c r="O482" s="47"/>
    </row>
    <row r="483" spans="1:15" ht="15" customHeight="1">
      <c r="A483" s="68">
        <v>46252</v>
      </c>
      <c r="B483" s="32">
        <f t="shared" si="103"/>
        <v>1.2083333333333333</v>
      </c>
      <c r="C483" s="26" t="s">
        <v>36</v>
      </c>
      <c r="D483" s="59" t="s">
        <v>29</v>
      </c>
      <c r="E483" s="59"/>
      <c r="F483" s="27"/>
      <c r="G483" s="34" t="str">
        <f t="shared" si="101"/>
        <v/>
      </c>
      <c r="H483" s="33"/>
      <c r="I483" s="33"/>
      <c r="J483" s="33"/>
      <c r="K483" s="29"/>
      <c r="L483" s="29"/>
      <c r="M483" s="35" t="str">
        <f t="shared" ca="1" si="102"/>
        <v/>
      </c>
      <c r="N483" s="46"/>
      <c r="O483" s="47"/>
    </row>
    <row r="484" spans="1:15" ht="15" customHeight="1">
      <c r="A484" s="67">
        <v>46252</v>
      </c>
      <c r="B484" s="25">
        <f t="shared" si="103"/>
        <v>1.25</v>
      </c>
      <c r="C484" s="26" t="s">
        <v>36</v>
      </c>
      <c r="D484" s="59" t="s">
        <v>29</v>
      </c>
      <c r="E484" s="59"/>
      <c r="F484" s="27"/>
      <c r="G484" s="28" t="str">
        <f t="shared" si="101"/>
        <v/>
      </c>
      <c r="H484" s="26"/>
      <c r="I484" s="26"/>
      <c r="J484" s="26"/>
      <c r="K484" s="29"/>
      <c r="L484" s="29"/>
      <c r="M484" s="30" t="str">
        <f t="shared" ca="1" si="102"/>
        <v/>
      </c>
      <c r="N484" s="46"/>
      <c r="O484" s="47"/>
    </row>
    <row r="485" spans="1:15" ht="15" customHeight="1">
      <c r="A485" s="68">
        <v>46252</v>
      </c>
      <c r="B485" s="32">
        <f t="shared" si="103"/>
        <v>1.2916666666666667</v>
      </c>
      <c r="C485" s="26" t="s">
        <v>36</v>
      </c>
      <c r="D485" s="59" t="s">
        <v>29</v>
      </c>
      <c r="E485" s="59"/>
      <c r="F485" s="27"/>
      <c r="G485" s="34" t="str">
        <f t="shared" si="101"/>
        <v/>
      </c>
      <c r="H485" s="33"/>
      <c r="I485" s="33"/>
      <c r="J485" s="33"/>
      <c r="K485" s="29"/>
      <c r="L485" s="29"/>
      <c r="M485" s="35" t="str">
        <f t="shared" ca="1" si="102"/>
        <v/>
      </c>
      <c r="N485" s="46"/>
      <c r="O485" s="47"/>
    </row>
    <row r="486" spans="1:15" ht="15.75" customHeight="1">
      <c r="A486" s="162" t="s">
        <v>249</v>
      </c>
      <c r="B486" s="163"/>
      <c r="C486" s="163"/>
      <c r="D486" s="163"/>
      <c r="E486" s="178">
        <f>SUM(E474:E485)</f>
        <v>0</v>
      </c>
      <c r="F486" s="36">
        <f>SUM(F474:F485)</f>
        <v>40</v>
      </c>
      <c r="G486" s="36">
        <f>SUM(G474:G485)</f>
        <v>200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247</v>
      </c>
      <c r="O486" s="39"/>
    </row>
    <row r="487" spans="1:15" ht="18" customHeight="1">
      <c r="A487" s="160" t="s">
        <v>250</v>
      </c>
      <c r="B487" s="161"/>
      <c r="C487" s="161"/>
      <c r="D487" s="161"/>
      <c r="E487" s="177">
        <f>E473+E486</f>
        <v>0</v>
      </c>
      <c r="F487" s="40">
        <f>F473+F486</f>
        <v>387</v>
      </c>
      <c r="G487" s="40">
        <f>G473+G486</f>
        <v>1935</v>
      </c>
      <c r="H487" s="41"/>
      <c r="I487" s="41"/>
      <c r="J487" s="41"/>
      <c r="K487" s="41"/>
      <c r="L487" s="41"/>
      <c r="M487" s="42">
        <f ca="1">IFERROR(M473+M486,"")</f>
        <v>3.1944444444444442E-2</v>
      </c>
      <c r="N487" s="40" t="s">
        <v>251</v>
      </c>
      <c r="O487" s="48">
        <f>IFERROR(O473+O486,"")</f>
        <v>2284390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4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5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6">B488+TIME(0,60,0)</f>
        <v>0.37499999999999967</v>
      </c>
      <c r="C489" s="26"/>
      <c r="D489" s="59"/>
      <c r="E489" s="59"/>
      <c r="F489" s="27"/>
      <c r="G489" s="34" t="str">
        <f t="shared" si="104"/>
        <v/>
      </c>
      <c r="H489" s="33"/>
      <c r="I489" s="33"/>
      <c r="J489" s="33"/>
      <c r="K489" s="29"/>
      <c r="L489" s="29"/>
      <c r="M489" s="35" t="str">
        <f t="shared" ca="1" si="105"/>
        <v/>
      </c>
      <c r="N489" s="46"/>
      <c r="O489" s="47"/>
    </row>
    <row r="490" spans="1:15" ht="15" customHeight="1">
      <c r="A490" s="67">
        <v>46253</v>
      </c>
      <c r="B490" s="25">
        <f t="shared" si="106"/>
        <v>0.41666666666666635</v>
      </c>
      <c r="C490" s="26"/>
      <c r="D490" s="59"/>
      <c r="E490" s="59"/>
      <c r="F490" s="27"/>
      <c r="G490" s="28" t="str">
        <f t="shared" si="104"/>
        <v/>
      </c>
      <c r="H490" s="26"/>
      <c r="I490" s="26"/>
      <c r="J490" s="26"/>
      <c r="K490" s="29"/>
      <c r="L490" s="29"/>
      <c r="M490" s="30" t="str">
        <f t="shared" ca="1" si="105"/>
        <v/>
      </c>
      <c r="N490" s="46"/>
      <c r="O490" s="47"/>
    </row>
    <row r="491" spans="1:15" ht="15" customHeight="1">
      <c r="A491" s="68">
        <v>46253</v>
      </c>
      <c r="B491" s="32">
        <f t="shared" si="106"/>
        <v>0.45833333333333304</v>
      </c>
      <c r="C491" s="26"/>
      <c r="D491" s="59"/>
      <c r="E491" s="59"/>
      <c r="F491" s="27"/>
      <c r="G491" s="34" t="str">
        <f t="shared" si="104"/>
        <v/>
      </c>
      <c r="H491" s="33"/>
      <c r="I491" s="33"/>
      <c r="J491" s="33"/>
      <c r="K491" s="29"/>
      <c r="L491" s="29"/>
      <c r="M491" s="35" t="str">
        <f t="shared" ca="1" si="105"/>
        <v/>
      </c>
      <c r="N491" s="46"/>
      <c r="O491" s="47"/>
    </row>
    <row r="492" spans="1:15" ht="15" customHeight="1">
      <c r="A492" s="67">
        <v>46253</v>
      </c>
      <c r="B492" s="25">
        <f t="shared" si="106"/>
        <v>0.49999999999999972</v>
      </c>
      <c r="C492" s="26"/>
      <c r="D492" s="59"/>
      <c r="E492" s="59"/>
      <c r="F492" s="27"/>
      <c r="G492" s="28" t="str">
        <f t="shared" si="104"/>
        <v/>
      </c>
      <c r="H492" s="26"/>
      <c r="I492" s="26"/>
      <c r="J492" s="26"/>
      <c r="K492" s="29"/>
      <c r="L492" s="29"/>
      <c r="M492" s="30" t="str">
        <f t="shared" ca="1" si="105"/>
        <v/>
      </c>
      <c r="N492" s="46"/>
      <c r="O492" s="47"/>
    </row>
    <row r="493" spans="1:15" ht="15" customHeight="1">
      <c r="A493" s="68">
        <v>46253</v>
      </c>
      <c r="B493" s="32">
        <f t="shared" si="106"/>
        <v>0.54166666666666641</v>
      </c>
      <c r="C493" s="26"/>
      <c r="D493" s="59"/>
      <c r="E493" s="59"/>
      <c r="F493" s="27"/>
      <c r="G493" s="34" t="str">
        <f t="shared" si="104"/>
        <v/>
      </c>
      <c r="H493" s="33"/>
      <c r="I493" s="33"/>
      <c r="J493" s="33"/>
      <c r="K493" s="29"/>
      <c r="L493" s="29"/>
      <c r="M493" s="35" t="str">
        <f t="shared" ca="1" si="105"/>
        <v/>
      </c>
      <c r="N493" s="46"/>
      <c r="O493" s="47"/>
    </row>
    <row r="494" spans="1:15" ht="15" customHeight="1">
      <c r="A494" s="67">
        <v>46253</v>
      </c>
      <c r="B494" s="25">
        <f t="shared" si="106"/>
        <v>0.58333333333333304</v>
      </c>
      <c r="C494" s="26"/>
      <c r="D494" s="59"/>
      <c r="E494" s="59"/>
      <c r="F494" s="27"/>
      <c r="G494" s="28" t="str">
        <f t="shared" si="104"/>
        <v/>
      </c>
      <c r="H494" s="26"/>
      <c r="I494" s="26"/>
      <c r="J494" s="26"/>
      <c r="K494" s="29"/>
      <c r="L494" s="29"/>
      <c r="M494" s="30" t="str">
        <f t="shared" ca="1" si="105"/>
        <v/>
      </c>
      <c r="N494" s="46"/>
      <c r="O494" s="47"/>
    </row>
    <row r="495" spans="1:15" ht="15" customHeight="1">
      <c r="A495" s="68">
        <v>46253</v>
      </c>
      <c r="B495" s="32">
        <f t="shared" si="106"/>
        <v>0.62499999999999967</v>
      </c>
      <c r="C495" s="26"/>
      <c r="D495" s="59"/>
      <c r="E495" s="59"/>
      <c r="F495" s="27"/>
      <c r="G495" s="34" t="str">
        <f t="shared" si="104"/>
        <v/>
      </c>
      <c r="H495" s="33"/>
      <c r="I495" s="33"/>
      <c r="J495" s="33"/>
      <c r="K495" s="29"/>
      <c r="L495" s="29"/>
      <c r="M495" s="35" t="str">
        <f t="shared" ca="1" si="105"/>
        <v/>
      </c>
      <c r="N495" s="46"/>
      <c r="O495" s="47"/>
    </row>
    <row r="496" spans="1:15" ht="15" customHeight="1">
      <c r="A496" s="67">
        <v>46253</v>
      </c>
      <c r="B496" s="25">
        <f t="shared" si="106"/>
        <v>0.6666666666666663</v>
      </c>
      <c r="C496" s="26"/>
      <c r="D496" s="59"/>
      <c r="E496" s="59"/>
      <c r="F496" s="27"/>
      <c r="G496" s="28" t="str">
        <f t="shared" si="104"/>
        <v/>
      </c>
      <c r="H496" s="26"/>
      <c r="I496" s="26"/>
      <c r="J496" s="26"/>
      <c r="K496" s="29"/>
      <c r="L496" s="29"/>
      <c r="M496" s="30" t="str">
        <f t="shared" ca="1" si="105"/>
        <v/>
      </c>
      <c r="N496" s="46"/>
      <c r="O496" s="47"/>
    </row>
    <row r="497" spans="1:15" ht="15" customHeight="1">
      <c r="A497" s="68">
        <v>46253</v>
      </c>
      <c r="B497" s="32">
        <f t="shared" si="106"/>
        <v>0.70833333333333293</v>
      </c>
      <c r="C497" s="26"/>
      <c r="D497" s="59"/>
      <c r="E497" s="59"/>
      <c r="F497" s="27"/>
      <c r="G497" s="34" t="str">
        <f t="shared" si="104"/>
        <v/>
      </c>
      <c r="H497" s="33"/>
      <c r="I497" s="33"/>
      <c r="J497" s="33"/>
      <c r="K497" s="29"/>
      <c r="L497" s="29"/>
      <c r="M497" s="35" t="str">
        <f t="shared" ca="1" si="105"/>
        <v/>
      </c>
      <c r="N497" s="46"/>
      <c r="O497" s="47"/>
    </row>
    <row r="498" spans="1:15" ht="15" customHeight="1">
      <c r="A498" s="67">
        <v>46253</v>
      </c>
      <c r="B498" s="25">
        <f t="shared" si="106"/>
        <v>0.74999999999999956</v>
      </c>
      <c r="C498" s="26"/>
      <c r="D498" s="59"/>
      <c r="E498" s="59"/>
      <c r="F498" s="27"/>
      <c r="G498" s="28" t="str">
        <f t="shared" si="104"/>
        <v/>
      </c>
      <c r="H498" s="26"/>
      <c r="I498" s="26"/>
      <c r="J498" s="26"/>
      <c r="K498" s="29"/>
      <c r="L498" s="29"/>
      <c r="M498" s="30" t="str">
        <f t="shared" ca="1" si="105"/>
        <v/>
      </c>
      <c r="N498" s="46"/>
      <c r="O498" s="47"/>
    </row>
    <row r="499" spans="1:15" ht="15" customHeight="1">
      <c r="A499" s="68">
        <v>46253</v>
      </c>
      <c r="B499" s="32">
        <f t="shared" si="106"/>
        <v>0.79166666666666619</v>
      </c>
      <c r="C499" s="26"/>
      <c r="D499" s="59"/>
      <c r="E499" s="59"/>
      <c r="F499" s="27"/>
      <c r="G499" s="34" t="str">
        <f t="shared" si="104"/>
        <v/>
      </c>
      <c r="H499" s="33"/>
      <c r="I499" s="33"/>
      <c r="J499" s="33"/>
      <c r="K499" s="29"/>
      <c r="L499" s="29"/>
      <c r="M499" s="35" t="str">
        <f t="shared" ca="1" si="105"/>
        <v/>
      </c>
      <c r="N499" s="46"/>
      <c r="O499" s="47"/>
    </row>
    <row r="500" spans="1:15" ht="15.75" customHeight="1">
      <c r="A500" s="162" t="s">
        <v>246</v>
      </c>
      <c r="B500" s="163"/>
      <c r="C500" s="163"/>
      <c r="D500" s="163"/>
      <c r="E500" s="17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247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7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8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9">B501+TIME(0,60,0)</f>
        <v>0.87499999999999967</v>
      </c>
      <c r="C502" s="33"/>
      <c r="D502" s="62"/>
      <c r="E502" s="62"/>
      <c r="F502" s="27"/>
      <c r="G502" s="28" t="str">
        <f t="shared" si="107"/>
        <v/>
      </c>
      <c r="H502" s="26"/>
      <c r="I502" s="26"/>
      <c r="J502" s="26"/>
      <c r="K502" s="29"/>
      <c r="L502" s="29"/>
      <c r="M502" s="30" t="str">
        <f t="shared" ca="1" si="108"/>
        <v/>
      </c>
      <c r="N502" s="46"/>
      <c r="O502" s="47"/>
    </row>
    <row r="503" spans="1:15" ht="15" customHeight="1">
      <c r="A503" s="68">
        <v>46253</v>
      </c>
      <c r="B503" s="32">
        <f t="shared" si="109"/>
        <v>0.9166666666666663</v>
      </c>
      <c r="C503" s="33"/>
      <c r="D503" s="62"/>
      <c r="E503" s="62"/>
      <c r="F503" s="27"/>
      <c r="G503" s="34" t="str">
        <f t="shared" si="107"/>
        <v/>
      </c>
      <c r="H503" s="33"/>
      <c r="I503" s="33"/>
      <c r="J503" s="33"/>
      <c r="K503" s="29"/>
      <c r="L503" s="29"/>
      <c r="M503" s="35" t="str">
        <f t="shared" ca="1" si="108"/>
        <v/>
      </c>
      <c r="N503" s="46"/>
      <c r="O503" s="47"/>
    </row>
    <row r="504" spans="1:15" ht="15" customHeight="1">
      <c r="A504" s="67">
        <v>46253</v>
      </c>
      <c r="B504" s="25">
        <f t="shared" si="109"/>
        <v>0.95833333333333293</v>
      </c>
      <c r="C504" s="33"/>
      <c r="D504" s="62"/>
      <c r="E504" s="62"/>
      <c r="F504" s="27"/>
      <c r="G504" s="28" t="str">
        <f t="shared" si="107"/>
        <v/>
      </c>
      <c r="H504" s="26"/>
      <c r="I504" s="26"/>
      <c r="J504" s="26"/>
      <c r="K504" s="29"/>
      <c r="L504" s="29"/>
      <c r="M504" s="30" t="str">
        <f t="shared" ca="1" si="108"/>
        <v/>
      </c>
      <c r="N504" s="46"/>
      <c r="O504" s="47"/>
    </row>
    <row r="505" spans="1:15" ht="15" customHeight="1">
      <c r="A505" s="68">
        <v>46253</v>
      </c>
      <c r="B505" s="32">
        <f t="shared" si="109"/>
        <v>0.99999999999999956</v>
      </c>
      <c r="C505" s="33"/>
      <c r="D505" s="62"/>
      <c r="E505" s="62"/>
      <c r="F505" s="27"/>
      <c r="G505" s="34" t="str">
        <f t="shared" si="107"/>
        <v/>
      </c>
      <c r="H505" s="33"/>
      <c r="I505" s="33"/>
      <c r="J505" s="33"/>
      <c r="K505" s="29"/>
      <c r="L505" s="29"/>
      <c r="M505" s="35" t="str">
        <f t="shared" ca="1" si="108"/>
        <v/>
      </c>
      <c r="N505" s="46"/>
      <c r="O505" s="47"/>
    </row>
    <row r="506" spans="1:15" ht="15" customHeight="1">
      <c r="A506" s="67">
        <v>46253</v>
      </c>
      <c r="B506" s="25">
        <f t="shared" si="109"/>
        <v>1.0416666666666663</v>
      </c>
      <c r="C506" s="33"/>
      <c r="D506" s="62"/>
      <c r="E506" s="62"/>
      <c r="F506" s="27"/>
      <c r="G506" s="28" t="str">
        <f t="shared" si="107"/>
        <v/>
      </c>
      <c r="H506" s="26"/>
      <c r="I506" s="26"/>
      <c r="J506" s="26"/>
      <c r="K506" s="29"/>
      <c r="L506" s="29"/>
      <c r="M506" s="30" t="str">
        <f t="shared" ca="1" si="108"/>
        <v/>
      </c>
      <c r="N506" s="46"/>
      <c r="O506" s="47"/>
    </row>
    <row r="507" spans="1:15" ht="15" customHeight="1">
      <c r="A507" s="68">
        <v>46253</v>
      </c>
      <c r="B507" s="32">
        <f t="shared" si="109"/>
        <v>1.083333333333333</v>
      </c>
      <c r="C507" s="33"/>
      <c r="D507" s="62"/>
      <c r="E507" s="62"/>
      <c r="F507" s="27"/>
      <c r="G507" s="34" t="str">
        <f t="shared" si="107"/>
        <v/>
      </c>
      <c r="H507" s="33"/>
      <c r="I507" s="33"/>
      <c r="J507" s="33"/>
      <c r="K507" s="29"/>
      <c r="L507" s="29"/>
      <c r="M507" s="35" t="str">
        <f t="shared" ca="1" si="108"/>
        <v/>
      </c>
      <c r="N507" s="46"/>
      <c r="O507" s="47"/>
    </row>
    <row r="508" spans="1:15" ht="15" customHeight="1">
      <c r="A508" s="67">
        <v>46253</v>
      </c>
      <c r="B508" s="25">
        <f t="shared" si="109"/>
        <v>1.1249999999999998</v>
      </c>
      <c r="C508" s="33"/>
      <c r="D508" s="62"/>
      <c r="E508" s="62"/>
      <c r="F508" s="27"/>
      <c r="G508" s="28" t="str">
        <f t="shared" si="107"/>
        <v/>
      </c>
      <c r="H508" s="26"/>
      <c r="I508" s="26"/>
      <c r="J508" s="26"/>
      <c r="K508" s="29"/>
      <c r="L508" s="29"/>
      <c r="M508" s="30" t="str">
        <f t="shared" ca="1" si="108"/>
        <v/>
      </c>
      <c r="N508" s="46"/>
      <c r="O508" s="47"/>
    </row>
    <row r="509" spans="1:15" ht="15" customHeight="1">
      <c r="A509" s="68">
        <v>46253</v>
      </c>
      <c r="B509" s="32">
        <f t="shared" si="109"/>
        <v>1.1666666666666665</v>
      </c>
      <c r="C509" s="33"/>
      <c r="D509" s="62"/>
      <c r="E509" s="62"/>
      <c r="F509" s="27"/>
      <c r="G509" s="34" t="str">
        <f t="shared" si="107"/>
        <v/>
      </c>
      <c r="H509" s="33"/>
      <c r="I509" s="33"/>
      <c r="J509" s="33"/>
      <c r="K509" s="29"/>
      <c r="L509" s="29"/>
      <c r="M509" s="35" t="str">
        <f t="shared" ca="1" si="108"/>
        <v/>
      </c>
      <c r="N509" s="46"/>
      <c r="O509" s="47"/>
    </row>
    <row r="510" spans="1:15" ht="15" customHeight="1">
      <c r="A510" s="67">
        <v>46253</v>
      </c>
      <c r="B510" s="25">
        <f t="shared" si="109"/>
        <v>1.2083333333333333</v>
      </c>
      <c r="C510" s="33"/>
      <c r="D510" s="62"/>
      <c r="E510" s="62"/>
      <c r="F510" s="27"/>
      <c r="G510" s="28" t="str">
        <f t="shared" si="107"/>
        <v/>
      </c>
      <c r="H510" s="26"/>
      <c r="I510" s="26"/>
      <c r="J510" s="26"/>
      <c r="K510" s="29"/>
      <c r="L510" s="29"/>
      <c r="M510" s="30" t="str">
        <f t="shared" ca="1" si="108"/>
        <v/>
      </c>
      <c r="N510" s="46"/>
      <c r="O510" s="47"/>
    </row>
    <row r="511" spans="1:15" ht="15" customHeight="1">
      <c r="A511" s="68">
        <v>46253</v>
      </c>
      <c r="B511" s="32">
        <f t="shared" si="109"/>
        <v>1.25</v>
      </c>
      <c r="C511" s="33"/>
      <c r="D511" s="62"/>
      <c r="E511" s="62"/>
      <c r="F511" s="27"/>
      <c r="G511" s="34" t="str">
        <f t="shared" si="107"/>
        <v/>
      </c>
      <c r="H511" s="33"/>
      <c r="I511" s="33"/>
      <c r="J511" s="33"/>
      <c r="K511" s="29"/>
      <c r="L511" s="29"/>
      <c r="M511" s="35" t="str">
        <f t="shared" ca="1" si="108"/>
        <v/>
      </c>
      <c r="N511" s="46"/>
      <c r="O511" s="47"/>
    </row>
    <row r="512" spans="1:15" ht="15" customHeight="1">
      <c r="A512" s="67">
        <v>46253</v>
      </c>
      <c r="B512" s="25">
        <f t="shared" si="109"/>
        <v>1.2916666666666667</v>
      </c>
      <c r="C512" s="33"/>
      <c r="D512" s="62"/>
      <c r="E512" s="62"/>
      <c r="F512" s="27"/>
      <c r="G512" s="28" t="str">
        <f t="shared" si="107"/>
        <v/>
      </c>
      <c r="H512" s="26"/>
      <c r="I512" s="26"/>
      <c r="J512" s="26"/>
      <c r="K512" s="29"/>
      <c r="L512" s="29"/>
      <c r="M512" s="30" t="str">
        <f t="shared" ca="1" si="108"/>
        <v/>
      </c>
      <c r="N512" s="46"/>
      <c r="O512" s="47"/>
    </row>
    <row r="513" spans="1:15" ht="15.75" customHeight="1">
      <c r="A513" s="162" t="s">
        <v>249</v>
      </c>
      <c r="B513" s="163"/>
      <c r="C513" s="163"/>
      <c r="D513" s="163"/>
      <c r="E513" s="17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247</v>
      </c>
      <c r="O513" s="39"/>
    </row>
    <row r="514" spans="1:15" ht="18" customHeight="1">
      <c r="A514" s="160" t="s">
        <v>250</v>
      </c>
      <c r="B514" s="161"/>
      <c r="C514" s="161"/>
      <c r="D514" s="161"/>
      <c r="E514" s="17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251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0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1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2">B515+TIME(0,60,0)</f>
        <v>0.37499999999999967</v>
      </c>
      <c r="C516" s="33"/>
      <c r="D516" s="62"/>
      <c r="E516" s="62"/>
      <c r="F516" s="27"/>
      <c r="G516" s="28" t="str">
        <f t="shared" si="110"/>
        <v/>
      </c>
      <c r="H516" s="49"/>
      <c r="I516" s="26"/>
      <c r="J516" s="49"/>
      <c r="K516" s="29"/>
      <c r="L516" s="29"/>
      <c r="M516" s="30" t="str">
        <f t="shared" ca="1" si="111"/>
        <v/>
      </c>
      <c r="N516" s="46"/>
      <c r="O516" s="47"/>
    </row>
    <row r="517" spans="1:15" ht="15" customHeight="1">
      <c r="A517" s="68">
        <v>46254</v>
      </c>
      <c r="B517" s="32">
        <f t="shared" si="112"/>
        <v>0.41666666666666635</v>
      </c>
      <c r="C517" s="33"/>
      <c r="D517" s="62"/>
      <c r="E517" s="62"/>
      <c r="F517" s="27"/>
      <c r="G517" s="34" t="str">
        <f t="shared" si="110"/>
        <v/>
      </c>
      <c r="H517" s="33"/>
      <c r="I517" s="33"/>
      <c r="J517" s="33"/>
      <c r="K517" s="29"/>
      <c r="L517" s="29"/>
      <c r="M517" s="35" t="str">
        <f t="shared" ca="1" si="111"/>
        <v/>
      </c>
      <c r="N517" s="46"/>
      <c r="O517" s="47"/>
    </row>
    <row r="518" spans="1:15" ht="15" customHeight="1">
      <c r="A518" s="67">
        <v>46254</v>
      </c>
      <c r="B518" s="25">
        <f t="shared" si="112"/>
        <v>0.45833333333333304</v>
      </c>
      <c r="C518" s="33"/>
      <c r="D518" s="62"/>
      <c r="E518" s="62"/>
      <c r="F518" s="27"/>
      <c r="G518" s="28" t="str">
        <f t="shared" si="110"/>
        <v/>
      </c>
      <c r="H518" s="33"/>
      <c r="I518" s="26"/>
      <c r="J518" s="26"/>
      <c r="K518" s="29"/>
      <c r="L518" s="29"/>
      <c r="M518" s="30" t="str">
        <f t="shared" ca="1" si="111"/>
        <v/>
      </c>
      <c r="N518" s="46"/>
      <c r="O518" s="47"/>
    </row>
    <row r="519" spans="1:15" ht="15" customHeight="1">
      <c r="A519" s="68">
        <v>46254</v>
      </c>
      <c r="B519" s="32">
        <f t="shared" si="112"/>
        <v>0.49999999999999972</v>
      </c>
      <c r="C519" s="33"/>
      <c r="D519" s="62"/>
      <c r="E519" s="62"/>
      <c r="F519" s="27"/>
      <c r="G519" s="34" t="str">
        <f t="shared" si="110"/>
        <v/>
      </c>
      <c r="H519" s="33"/>
      <c r="I519" s="33"/>
      <c r="J519" s="33"/>
      <c r="K519" s="29"/>
      <c r="L519" s="29"/>
      <c r="M519" s="35" t="str">
        <f t="shared" ca="1" si="111"/>
        <v/>
      </c>
      <c r="N519" s="46"/>
      <c r="O519" s="47"/>
    </row>
    <row r="520" spans="1:15" ht="15" customHeight="1">
      <c r="A520" s="67">
        <v>46254</v>
      </c>
      <c r="B520" s="25">
        <f t="shared" si="112"/>
        <v>0.54166666666666641</v>
      </c>
      <c r="C520" s="33"/>
      <c r="D520" s="62"/>
      <c r="E520" s="62"/>
      <c r="F520" s="27"/>
      <c r="G520" s="28" t="str">
        <f t="shared" si="110"/>
        <v/>
      </c>
      <c r="H520" s="26"/>
      <c r="I520" s="26"/>
      <c r="J520" s="26"/>
      <c r="K520" s="29"/>
      <c r="L520" s="29"/>
      <c r="M520" s="30" t="str">
        <f t="shared" ca="1" si="111"/>
        <v/>
      </c>
      <c r="N520" s="46"/>
      <c r="O520" s="47"/>
    </row>
    <row r="521" spans="1:15" ht="15" customHeight="1">
      <c r="A521" s="68">
        <v>46254</v>
      </c>
      <c r="B521" s="32">
        <f t="shared" si="112"/>
        <v>0.58333333333333304</v>
      </c>
      <c r="C521" s="33"/>
      <c r="D521" s="62"/>
      <c r="E521" s="62"/>
      <c r="F521" s="27"/>
      <c r="G521" s="34" t="str">
        <f t="shared" si="110"/>
        <v/>
      </c>
      <c r="H521" s="33"/>
      <c r="I521" s="33"/>
      <c r="J521" s="33"/>
      <c r="K521" s="29"/>
      <c r="L521" s="29"/>
      <c r="M521" s="35" t="str">
        <f t="shared" ca="1" si="111"/>
        <v/>
      </c>
      <c r="N521" s="46"/>
      <c r="O521" s="47"/>
    </row>
    <row r="522" spans="1:15" ht="15" customHeight="1">
      <c r="A522" s="67">
        <v>46254</v>
      </c>
      <c r="B522" s="25">
        <f t="shared" si="112"/>
        <v>0.62499999999999967</v>
      </c>
      <c r="C522" s="33"/>
      <c r="D522" s="62"/>
      <c r="E522" s="62"/>
      <c r="F522" s="27"/>
      <c r="G522" s="28" t="str">
        <f t="shared" si="110"/>
        <v/>
      </c>
      <c r="H522" s="26"/>
      <c r="I522" s="26"/>
      <c r="J522" s="26"/>
      <c r="K522" s="29"/>
      <c r="L522" s="29"/>
      <c r="M522" s="30" t="str">
        <f t="shared" ca="1" si="111"/>
        <v/>
      </c>
      <c r="N522" s="46"/>
      <c r="O522" s="47"/>
    </row>
    <row r="523" spans="1:15" ht="15" customHeight="1">
      <c r="A523" s="68">
        <v>46254</v>
      </c>
      <c r="B523" s="32">
        <f t="shared" si="112"/>
        <v>0.6666666666666663</v>
      </c>
      <c r="C523" s="33"/>
      <c r="D523" s="62"/>
      <c r="E523" s="62"/>
      <c r="F523" s="27"/>
      <c r="G523" s="34" t="str">
        <f t="shared" si="110"/>
        <v/>
      </c>
      <c r="H523" s="33"/>
      <c r="I523" s="33"/>
      <c r="J523" s="33"/>
      <c r="K523" s="29"/>
      <c r="L523" s="29"/>
      <c r="M523" s="35" t="str">
        <f t="shared" ca="1" si="111"/>
        <v/>
      </c>
      <c r="N523" s="46"/>
      <c r="O523" s="47"/>
    </row>
    <row r="524" spans="1:15" ht="15" customHeight="1">
      <c r="A524" s="67">
        <v>46254</v>
      </c>
      <c r="B524" s="25">
        <f t="shared" si="112"/>
        <v>0.70833333333333293</v>
      </c>
      <c r="C524" s="33"/>
      <c r="D524" s="62"/>
      <c r="E524" s="62"/>
      <c r="F524" s="27"/>
      <c r="G524" s="28" t="str">
        <f t="shared" si="110"/>
        <v/>
      </c>
      <c r="H524" s="26"/>
      <c r="I524" s="26"/>
      <c r="J524" s="26"/>
      <c r="K524" s="29"/>
      <c r="L524" s="29"/>
      <c r="M524" s="30" t="str">
        <f t="shared" ca="1" si="111"/>
        <v/>
      </c>
      <c r="N524" s="46"/>
      <c r="O524" s="47"/>
    </row>
    <row r="525" spans="1:15" ht="15" customHeight="1">
      <c r="A525" s="68">
        <v>46254</v>
      </c>
      <c r="B525" s="32">
        <f t="shared" si="112"/>
        <v>0.74999999999999956</v>
      </c>
      <c r="C525" s="33"/>
      <c r="D525" s="62"/>
      <c r="E525" s="62"/>
      <c r="F525" s="27"/>
      <c r="G525" s="34" t="str">
        <f t="shared" si="110"/>
        <v/>
      </c>
      <c r="H525" s="33"/>
      <c r="I525" s="33"/>
      <c r="J525" s="33"/>
      <c r="K525" s="29"/>
      <c r="L525" s="29"/>
      <c r="M525" s="35" t="str">
        <f t="shared" ca="1" si="111"/>
        <v/>
      </c>
      <c r="N525" s="46"/>
      <c r="O525" s="47"/>
    </row>
    <row r="526" spans="1:15" ht="15" customHeight="1">
      <c r="A526" s="67">
        <v>46254</v>
      </c>
      <c r="B526" s="25">
        <f t="shared" si="112"/>
        <v>0.79166666666666619</v>
      </c>
      <c r="C526" s="33"/>
      <c r="D526" s="62"/>
      <c r="E526" s="62"/>
      <c r="F526" s="27"/>
      <c r="G526" s="28" t="str">
        <f t="shared" si="110"/>
        <v/>
      </c>
      <c r="H526" s="26"/>
      <c r="I526" s="26"/>
      <c r="J526" s="26"/>
      <c r="K526" s="29"/>
      <c r="L526" s="29"/>
      <c r="M526" s="30" t="str">
        <f t="shared" ca="1" si="111"/>
        <v/>
      </c>
      <c r="N526" s="46"/>
      <c r="O526" s="47"/>
    </row>
    <row r="527" spans="1:15" ht="15.75" customHeight="1">
      <c r="A527" s="162" t="s">
        <v>246</v>
      </c>
      <c r="B527" s="163"/>
      <c r="C527" s="163"/>
      <c r="D527" s="163"/>
      <c r="E527" s="17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247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3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4">B528+TIME(0,60,0)</f>
        <v>0.87499999999999967</v>
      </c>
      <c r="C529" s="26"/>
      <c r="D529" s="59"/>
      <c r="E529" s="59"/>
      <c r="F529" s="27"/>
      <c r="G529" s="34" t="str">
        <f t="shared" si="113"/>
        <v/>
      </c>
      <c r="H529" s="33"/>
      <c r="I529" s="33"/>
      <c r="J529" s="33"/>
      <c r="K529" s="29"/>
      <c r="L529" s="29"/>
      <c r="M529" s="35" t="str">
        <f t="shared" ref="M529:M539" ca="1" si="115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4"/>
        <v>0.9166666666666663</v>
      </c>
      <c r="C530" s="26"/>
      <c r="D530" s="59"/>
      <c r="E530" s="59"/>
      <c r="F530" s="27"/>
      <c r="G530" s="28" t="str">
        <f t="shared" si="113"/>
        <v/>
      </c>
      <c r="H530" s="26"/>
      <c r="I530" s="26"/>
      <c r="J530" s="26"/>
      <c r="K530" s="29"/>
      <c r="L530" s="29"/>
      <c r="M530" s="30" t="str">
        <f t="shared" ca="1" si="115"/>
        <v/>
      </c>
      <c r="N530" s="46"/>
      <c r="O530" s="47"/>
    </row>
    <row r="531" spans="1:15" ht="15" customHeight="1">
      <c r="A531" s="68">
        <v>46254</v>
      </c>
      <c r="B531" s="32">
        <f t="shared" si="114"/>
        <v>0.95833333333333293</v>
      </c>
      <c r="C531" s="26"/>
      <c r="D531" s="59"/>
      <c r="E531" s="59"/>
      <c r="F531" s="27"/>
      <c r="G531" s="34" t="str">
        <f t="shared" si="113"/>
        <v/>
      </c>
      <c r="H531" s="33"/>
      <c r="I531" s="33"/>
      <c r="J531" s="33"/>
      <c r="K531" s="29"/>
      <c r="L531" s="29"/>
      <c r="M531" s="35" t="str">
        <f t="shared" ca="1" si="115"/>
        <v/>
      </c>
      <c r="N531" s="46"/>
      <c r="O531" s="47"/>
    </row>
    <row r="532" spans="1:15" ht="15" customHeight="1">
      <c r="A532" s="67">
        <v>46254</v>
      </c>
      <c r="B532" s="25">
        <f t="shared" si="114"/>
        <v>0.99999999999999956</v>
      </c>
      <c r="C532" s="26"/>
      <c r="D532" s="59"/>
      <c r="E532" s="59"/>
      <c r="F532" s="27"/>
      <c r="G532" s="28" t="str">
        <f t="shared" si="113"/>
        <v/>
      </c>
      <c r="H532" s="26"/>
      <c r="I532" s="26"/>
      <c r="J532" s="26"/>
      <c r="K532" s="29"/>
      <c r="L532" s="29"/>
      <c r="M532" s="30" t="str">
        <f t="shared" ca="1" si="115"/>
        <v/>
      </c>
      <c r="N532" s="46"/>
      <c r="O532" s="47"/>
    </row>
    <row r="533" spans="1:15" ht="15" customHeight="1">
      <c r="A533" s="68">
        <v>46254</v>
      </c>
      <c r="B533" s="32">
        <f t="shared" si="114"/>
        <v>1.0416666666666663</v>
      </c>
      <c r="C533" s="26"/>
      <c r="D533" s="59"/>
      <c r="E533" s="59"/>
      <c r="F533" s="27"/>
      <c r="G533" s="34" t="str">
        <f t="shared" si="113"/>
        <v/>
      </c>
      <c r="H533" s="33"/>
      <c r="I533" s="33"/>
      <c r="J533" s="33"/>
      <c r="K533" s="29"/>
      <c r="L533" s="29"/>
      <c r="M533" s="35" t="str">
        <f t="shared" ca="1" si="115"/>
        <v/>
      </c>
      <c r="N533" s="46"/>
      <c r="O533" s="47"/>
    </row>
    <row r="534" spans="1:15" ht="15" customHeight="1">
      <c r="A534" s="67">
        <v>46254</v>
      </c>
      <c r="B534" s="25">
        <f t="shared" si="114"/>
        <v>1.083333333333333</v>
      </c>
      <c r="C534" s="26"/>
      <c r="D534" s="59"/>
      <c r="E534" s="59"/>
      <c r="F534" s="27"/>
      <c r="G534" s="28" t="str">
        <f t="shared" si="113"/>
        <v/>
      </c>
      <c r="H534" s="26"/>
      <c r="I534" s="26"/>
      <c r="J534" s="26"/>
      <c r="K534" s="29"/>
      <c r="L534" s="29"/>
      <c r="M534" s="30" t="str">
        <f t="shared" ca="1" si="115"/>
        <v/>
      </c>
      <c r="N534" s="46"/>
      <c r="O534" s="47"/>
    </row>
    <row r="535" spans="1:15" ht="15" customHeight="1">
      <c r="A535" s="68">
        <v>46254</v>
      </c>
      <c r="B535" s="32">
        <f t="shared" si="114"/>
        <v>1.1249999999999998</v>
      </c>
      <c r="C535" s="26"/>
      <c r="D535" s="59"/>
      <c r="E535" s="59"/>
      <c r="F535" s="27"/>
      <c r="G535" s="34" t="str">
        <f t="shared" si="113"/>
        <v/>
      </c>
      <c r="H535" s="33"/>
      <c r="I535" s="33"/>
      <c r="J535" s="33"/>
      <c r="K535" s="29"/>
      <c r="L535" s="29"/>
      <c r="M535" s="35" t="str">
        <f t="shared" ca="1" si="115"/>
        <v/>
      </c>
      <c r="N535" s="46"/>
      <c r="O535" s="47"/>
    </row>
    <row r="536" spans="1:15" ht="15" customHeight="1">
      <c r="A536" s="67">
        <v>46254</v>
      </c>
      <c r="B536" s="25">
        <f t="shared" si="114"/>
        <v>1.1666666666666665</v>
      </c>
      <c r="C536" s="26"/>
      <c r="D536" s="59"/>
      <c r="E536" s="59"/>
      <c r="F536" s="27"/>
      <c r="G536" s="28" t="str">
        <f t="shared" si="113"/>
        <v/>
      </c>
      <c r="H536" s="26"/>
      <c r="I536" s="26"/>
      <c r="J536" s="26"/>
      <c r="K536" s="29"/>
      <c r="L536" s="29"/>
      <c r="M536" s="30" t="str">
        <f t="shared" ca="1" si="115"/>
        <v/>
      </c>
      <c r="N536" s="46"/>
      <c r="O536" s="47"/>
    </row>
    <row r="537" spans="1:15" ht="15" customHeight="1">
      <c r="A537" s="68">
        <v>46254</v>
      </c>
      <c r="B537" s="32">
        <f t="shared" si="114"/>
        <v>1.2083333333333333</v>
      </c>
      <c r="C537" s="26"/>
      <c r="D537" s="59"/>
      <c r="E537" s="59"/>
      <c r="F537" s="27"/>
      <c r="G537" s="34" t="str">
        <f t="shared" si="113"/>
        <v/>
      </c>
      <c r="H537" s="33"/>
      <c r="I537" s="33"/>
      <c r="J537" s="33"/>
      <c r="K537" s="29"/>
      <c r="L537" s="29"/>
      <c r="M537" s="35" t="str">
        <f t="shared" ca="1" si="115"/>
        <v/>
      </c>
      <c r="N537" s="46"/>
      <c r="O537" s="47"/>
    </row>
    <row r="538" spans="1:15" ht="15" customHeight="1">
      <c r="A538" s="67">
        <v>46254</v>
      </c>
      <c r="B538" s="25">
        <f t="shared" si="114"/>
        <v>1.25</v>
      </c>
      <c r="C538" s="26"/>
      <c r="D538" s="59"/>
      <c r="E538" s="59"/>
      <c r="F538" s="27"/>
      <c r="G538" s="28" t="str">
        <f t="shared" si="113"/>
        <v/>
      </c>
      <c r="H538" s="26"/>
      <c r="I538" s="26"/>
      <c r="J538" s="26"/>
      <c r="K538" s="29"/>
      <c r="L538" s="29"/>
      <c r="M538" s="30" t="str">
        <f t="shared" ca="1" si="115"/>
        <v/>
      </c>
      <c r="N538" s="46"/>
      <c r="O538" s="47"/>
    </row>
    <row r="539" spans="1:15" ht="15" customHeight="1">
      <c r="A539" s="68">
        <v>46254</v>
      </c>
      <c r="B539" s="32">
        <f t="shared" si="114"/>
        <v>1.2916666666666667</v>
      </c>
      <c r="C539" s="26"/>
      <c r="D539" s="59"/>
      <c r="E539" s="59"/>
      <c r="F539" s="27"/>
      <c r="G539" s="34" t="str">
        <f t="shared" si="113"/>
        <v/>
      </c>
      <c r="H539" s="33"/>
      <c r="I539" s="33"/>
      <c r="J539" s="33"/>
      <c r="K539" s="29"/>
      <c r="L539" s="29"/>
      <c r="M539" s="35" t="str">
        <f t="shared" ca="1" si="115"/>
        <v/>
      </c>
      <c r="N539" s="46"/>
      <c r="O539" s="47"/>
    </row>
    <row r="540" spans="1:15" ht="15.75" customHeight="1">
      <c r="A540" s="162" t="s">
        <v>249</v>
      </c>
      <c r="B540" s="163"/>
      <c r="C540" s="163"/>
      <c r="D540" s="163"/>
      <c r="E540" s="17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247</v>
      </c>
      <c r="O540" s="39"/>
    </row>
    <row r="541" spans="1:15" ht="18" customHeight="1">
      <c r="A541" s="160" t="s">
        <v>250</v>
      </c>
      <c r="B541" s="161"/>
      <c r="C541" s="161"/>
      <c r="D541" s="161"/>
      <c r="E541" s="17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251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6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7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8">B542+TIME(0,60,0)</f>
        <v>0.37499999999999967</v>
      </c>
      <c r="C543" s="26"/>
      <c r="D543" s="59"/>
      <c r="E543" s="59"/>
      <c r="F543" s="27"/>
      <c r="G543" s="34" t="str">
        <f t="shared" si="116"/>
        <v/>
      </c>
      <c r="H543" s="33"/>
      <c r="I543" s="33"/>
      <c r="J543" s="33"/>
      <c r="K543" s="29"/>
      <c r="L543" s="29"/>
      <c r="M543" s="35" t="str">
        <f t="shared" ca="1" si="117"/>
        <v/>
      </c>
      <c r="N543" s="46"/>
      <c r="O543" s="47"/>
    </row>
    <row r="544" spans="1:15" ht="15" customHeight="1">
      <c r="A544" s="67">
        <v>46255</v>
      </c>
      <c r="B544" s="25">
        <f t="shared" si="118"/>
        <v>0.41666666666666635</v>
      </c>
      <c r="C544" s="26"/>
      <c r="D544" s="59"/>
      <c r="E544" s="59"/>
      <c r="F544" s="27"/>
      <c r="G544" s="28" t="str">
        <f t="shared" si="116"/>
        <v/>
      </c>
      <c r="H544" s="26"/>
      <c r="I544" s="26"/>
      <c r="J544" s="26"/>
      <c r="K544" s="29"/>
      <c r="L544" s="29"/>
      <c r="M544" s="30" t="str">
        <f t="shared" ca="1" si="117"/>
        <v/>
      </c>
      <c r="N544" s="46"/>
      <c r="O544" s="47"/>
    </row>
    <row r="545" spans="1:15" ht="15" customHeight="1">
      <c r="A545" s="68">
        <v>46255</v>
      </c>
      <c r="B545" s="32">
        <f t="shared" si="118"/>
        <v>0.45833333333333304</v>
      </c>
      <c r="C545" s="26"/>
      <c r="D545" s="59"/>
      <c r="E545" s="59"/>
      <c r="F545" s="27"/>
      <c r="G545" s="34" t="str">
        <f t="shared" si="116"/>
        <v/>
      </c>
      <c r="H545" s="33"/>
      <c r="I545" s="33"/>
      <c r="J545" s="33"/>
      <c r="K545" s="29"/>
      <c r="L545" s="29"/>
      <c r="M545" s="35" t="str">
        <f t="shared" ca="1" si="117"/>
        <v/>
      </c>
      <c r="N545" s="46"/>
      <c r="O545" s="47"/>
    </row>
    <row r="546" spans="1:15" ht="15" customHeight="1">
      <c r="A546" s="67">
        <v>46255</v>
      </c>
      <c r="B546" s="25">
        <f t="shared" si="118"/>
        <v>0.49999999999999972</v>
      </c>
      <c r="C546" s="26"/>
      <c r="D546" s="59"/>
      <c r="E546" s="59"/>
      <c r="F546" s="27"/>
      <c r="G546" s="28" t="str">
        <f t="shared" si="116"/>
        <v/>
      </c>
      <c r="H546" s="26"/>
      <c r="I546" s="26"/>
      <c r="J546" s="26"/>
      <c r="K546" s="29"/>
      <c r="L546" s="29"/>
      <c r="M546" s="30" t="str">
        <f t="shared" ca="1" si="117"/>
        <v/>
      </c>
      <c r="N546" s="46"/>
      <c r="O546" s="47"/>
    </row>
    <row r="547" spans="1:15" ht="15" customHeight="1">
      <c r="A547" s="68">
        <v>46255</v>
      </c>
      <c r="B547" s="32">
        <f t="shared" si="118"/>
        <v>0.54166666666666641</v>
      </c>
      <c r="C547" s="26"/>
      <c r="D547" s="59"/>
      <c r="E547" s="59"/>
      <c r="F547" s="27"/>
      <c r="G547" s="34" t="str">
        <f t="shared" si="116"/>
        <v/>
      </c>
      <c r="H547" s="33"/>
      <c r="I547" s="33"/>
      <c r="J547" s="33"/>
      <c r="K547" s="29"/>
      <c r="L547" s="29"/>
      <c r="M547" s="35" t="str">
        <f t="shared" ca="1" si="117"/>
        <v/>
      </c>
      <c r="N547" s="46"/>
      <c r="O547" s="47"/>
    </row>
    <row r="548" spans="1:15" ht="15" customHeight="1">
      <c r="A548" s="67">
        <v>46255</v>
      </c>
      <c r="B548" s="25">
        <f t="shared" si="118"/>
        <v>0.58333333333333304</v>
      </c>
      <c r="C548" s="26"/>
      <c r="D548" s="59"/>
      <c r="E548" s="59"/>
      <c r="F548" s="27"/>
      <c r="G548" s="28" t="str">
        <f t="shared" si="116"/>
        <v/>
      </c>
      <c r="H548" s="26"/>
      <c r="I548" s="26"/>
      <c r="J548" s="26"/>
      <c r="K548" s="29"/>
      <c r="L548" s="29"/>
      <c r="M548" s="30" t="str">
        <f t="shared" ca="1" si="117"/>
        <v/>
      </c>
      <c r="N548" s="46"/>
      <c r="O548" s="47"/>
    </row>
    <row r="549" spans="1:15" ht="15" customHeight="1">
      <c r="A549" s="68">
        <v>46255</v>
      </c>
      <c r="B549" s="32">
        <f t="shared" si="118"/>
        <v>0.62499999999999967</v>
      </c>
      <c r="C549" s="26"/>
      <c r="D549" s="59"/>
      <c r="E549" s="59"/>
      <c r="F549" s="27"/>
      <c r="G549" s="34" t="str">
        <f t="shared" si="116"/>
        <v/>
      </c>
      <c r="H549" s="33"/>
      <c r="I549" s="33"/>
      <c r="J549" s="33"/>
      <c r="K549" s="29"/>
      <c r="L549" s="29"/>
      <c r="M549" s="35" t="str">
        <f t="shared" ca="1" si="117"/>
        <v/>
      </c>
      <c r="N549" s="46"/>
      <c r="O549" s="47"/>
    </row>
    <row r="550" spans="1:15" ht="15" customHeight="1">
      <c r="A550" s="67">
        <v>46255</v>
      </c>
      <c r="B550" s="25">
        <f t="shared" si="118"/>
        <v>0.6666666666666663</v>
      </c>
      <c r="C550" s="26"/>
      <c r="D550" s="59"/>
      <c r="E550" s="59"/>
      <c r="F550" s="27"/>
      <c r="G550" s="28" t="str">
        <f t="shared" si="116"/>
        <v/>
      </c>
      <c r="H550" s="26"/>
      <c r="I550" s="26"/>
      <c r="J550" s="26"/>
      <c r="K550" s="29"/>
      <c r="L550" s="29"/>
      <c r="M550" s="30" t="str">
        <f t="shared" ca="1" si="117"/>
        <v/>
      </c>
      <c r="N550" s="46"/>
      <c r="O550" s="47"/>
    </row>
    <row r="551" spans="1:15" ht="15" customHeight="1">
      <c r="A551" s="68">
        <v>46255</v>
      </c>
      <c r="B551" s="32">
        <f t="shared" si="118"/>
        <v>0.70833333333333293</v>
      </c>
      <c r="C551" s="26"/>
      <c r="D551" s="59"/>
      <c r="E551" s="59"/>
      <c r="F551" s="27"/>
      <c r="G551" s="34" t="str">
        <f t="shared" si="116"/>
        <v/>
      </c>
      <c r="H551" s="33"/>
      <c r="I551" s="33"/>
      <c r="J551" s="33"/>
      <c r="K551" s="29"/>
      <c r="L551" s="29"/>
      <c r="M551" s="35" t="str">
        <f t="shared" ca="1" si="117"/>
        <v/>
      </c>
      <c r="N551" s="46"/>
      <c r="O551" s="47"/>
    </row>
    <row r="552" spans="1:15" ht="15" customHeight="1">
      <c r="A552" s="67">
        <v>46255</v>
      </c>
      <c r="B552" s="25">
        <f t="shared" si="118"/>
        <v>0.74999999999999956</v>
      </c>
      <c r="C552" s="26"/>
      <c r="D552" s="59"/>
      <c r="E552" s="59"/>
      <c r="F552" s="27"/>
      <c r="G552" s="28" t="str">
        <f t="shared" si="116"/>
        <v/>
      </c>
      <c r="H552" s="26"/>
      <c r="I552" s="26"/>
      <c r="J552" s="26"/>
      <c r="K552" s="29"/>
      <c r="L552" s="29"/>
      <c r="M552" s="30" t="str">
        <f t="shared" ca="1" si="117"/>
        <v/>
      </c>
      <c r="N552" s="46"/>
      <c r="O552" s="47"/>
    </row>
    <row r="553" spans="1:15" ht="15" customHeight="1">
      <c r="A553" s="68">
        <v>46255</v>
      </c>
      <c r="B553" s="32">
        <f t="shared" si="118"/>
        <v>0.79166666666666619</v>
      </c>
      <c r="C553" s="26"/>
      <c r="D553" s="59"/>
      <c r="E553" s="59"/>
      <c r="F553" s="27"/>
      <c r="G553" s="34" t="str">
        <f t="shared" si="116"/>
        <v/>
      </c>
      <c r="H553" s="33"/>
      <c r="I553" s="33"/>
      <c r="J553" s="33"/>
      <c r="K553" s="29"/>
      <c r="L553" s="29"/>
      <c r="M553" s="35" t="str">
        <f t="shared" ca="1" si="117"/>
        <v/>
      </c>
      <c r="N553" s="46"/>
      <c r="O553" s="47"/>
    </row>
    <row r="554" spans="1:15" ht="15.75" customHeight="1">
      <c r="A554" s="162" t="s">
        <v>246</v>
      </c>
      <c r="B554" s="163"/>
      <c r="C554" s="163"/>
      <c r="D554" s="163"/>
      <c r="E554" s="17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247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9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0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1">B555+TIME(0,60,0)</f>
        <v>0.87499999999999967</v>
      </c>
      <c r="C556" s="33"/>
      <c r="D556" s="62"/>
      <c r="E556" s="62"/>
      <c r="F556" s="27"/>
      <c r="G556" s="28" t="str">
        <f t="shared" si="119"/>
        <v/>
      </c>
      <c r="H556" s="26"/>
      <c r="I556" s="26"/>
      <c r="J556" s="26"/>
      <c r="K556" s="29"/>
      <c r="L556" s="29"/>
      <c r="M556" s="30" t="str">
        <f t="shared" ca="1" si="120"/>
        <v/>
      </c>
      <c r="N556" s="46"/>
      <c r="O556" s="47"/>
    </row>
    <row r="557" spans="1:15" ht="15" customHeight="1">
      <c r="A557" s="68">
        <v>46255</v>
      </c>
      <c r="B557" s="32">
        <f t="shared" si="121"/>
        <v>0.9166666666666663</v>
      </c>
      <c r="C557" s="33"/>
      <c r="D557" s="62"/>
      <c r="E557" s="62"/>
      <c r="F557" s="27"/>
      <c r="G557" s="34" t="str">
        <f t="shared" si="119"/>
        <v/>
      </c>
      <c r="H557" s="33"/>
      <c r="I557" s="33"/>
      <c r="J557" s="33"/>
      <c r="K557" s="29"/>
      <c r="L557" s="29"/>
      <c r="M557" s="35" t="str">
        <f t="shared" ca="1" si="120"/>
        <v/>
      </c>
      <c r="N557" s="46"/>
      <c r="O557" s="47"/>
    </row>
    <row r="558" spans="1:15" ht="15" customHeight="1">
      <c r="A558" s="67">
        <v>46255</v>
      </c>
      <c r="B558" s="25">
        <f t="shared" si="121"/>
        <v>0.95833333333333293</v>
      </c>
      <c r="C558" s="33"/>
      <c r="D558" s="62"/>
      <c r="E558" s="62"/>
      <c r="F558" s="27"/>
      <c r="G558" s="28" t="str">
        <f t="shared" si="119"/>
        <v/>
      </c>
      <c r="H558" s="26"/>
      <c r="I558" s="26"/>
      <c r="J558" s="26"/>
      <c r="K558" s="29"/>
      <c r="L558" s="29"/>
      <c r="M558" s="30" t="str">
        <f t="shared" ca="1" si="120"/>
        <v/>
      </c>
      <c r="N558" s="46"/>
      <c r="O558" s="47"/>
    </row>
    <row r="559" spans="1:15" ht="15" customHeight="1">
      <c r="A559" s="68">
        <v>46255</v>
      </c>
      <c r="B559" s="32">
        <f t="shared" si="121"/>
        <v>0.99999999999999956</v>
      </c>
      <c r="C559" s="33"/>
      <c r="D559" s="62"/>
      <c r="E559" s="62"/>
      <c r="F559" s="27"/>
      <c r="G559" s="34" t="str">
        <f t="shared" si="119"/>
        <v/>
      </c>
      <c r="H559" s="33"/>
      <c r="I559" s="33"/>
      <c r="J559" s="33"/>
      <c r="K559" s="29"/>
      <c r="L559" s="29"/>
      <c r="M559" s="35" t="str">
        <f t="shared" ca="1" si="120"/>
        <v/>
      </c>
      <c r="N559" s="46"/>
      <c r="O559" s="47"/>
    </row>
    <row r="560" spans="1:15" ht="15" customHeight="1">
      <c r="A560" s="67">
        <v>46255</v>
      </c>
      <c r="B560" s="25">
        <f t="shared" si="121"/>
        <v>1.0416666666666663</v>
      </c>
      <c r="C560" s="33"/>
      <c r="D560" s="62"/>
      <c r="E560" s="62"/>
      <c r="F560" s="27"/>
      <c r="G560" s="28" t="str">
        <f t="shared" si="119"/>
        <v/>
      </c>
      <c r="H560" s="26"/>
      <c r="I560" s="26"/>
      <c r="J560" s="26"/>
      <c r="K560" s="29"/>
      <c r="L560" s="29"/>
      <c r="M560" s="30" t="str">
        <f t="shared" ca="1" si="120"/>
        <v/>
      </c>
      <c r="N560" s="46"/>
      <c r="O560" s="47"/>
    </row>
    <row r="561" spans="1:15" ht="15" customHeight="1">
      <c r="A561" s="68">
        <v>46255</v>
      </c>
      <c r="B561" s="32">
        <f t="shared" si="121"/>
        <v>1.083333333333333</v>
      </c>
      <c r="C561" s="33"/>
      <c r="D561" s="62"/>
      <c r="E561" s="62"/>
      <c r="F561" s="27"/>
      <c r="G561" s="34" t="str">
        <f t="shared" si="119"/>
        <v/>
      </c>
      <c r="H561" s="33"/>
      <c r="I561" s="33"/>
      <c r="J561" s="33"/>
      <c r="K561" s="29"/>
      <c r="L561" s="29"/>
      <c r="M561" s="35" t="str">
        <f t="shared" ca="1" si="120"/>
        <v/>
      </c>
      <c r="N561" s="46"/>
      <c r="O561" s="47"/>
    </row>
    <row r="562" spans="1:15" ht="15" customHeight="1">
      <c r="A562" s="67">
        <v>46255</v>
      </c>
      <c r="B562" s="25">
        <f t="shared" si="121"/>
        <v>1.1249999999999998</v>
      </c>
      <c r="C562" s="33"/>
      <c r="D562" s="62"/>
      <c r="E562" s="62"/>
      <c r="F562" s="27"/>
      <c r="G562" s="28" t="str">
        <f t="shared" si="119"/>
        <v/>
      </c>
      <c r="H562" s="26"/>
      <c r="I562" s="26"/>
      <c r="J562" s="26"/>
      <c r="K562" s="29"/>
      <c r="L562" s="29"/>
      <c r="M562" s="30" t="str">
        <f t="shared" ca="1" si="120"/>
        <v/>
      </c>
      <c r="N562" s="46"/>
      <c r="O562" s="47"/>
    </row>
    <row r="563" spans="1:15" ht="15" customHeight="1">
      <c r="A563" s="68">
        <v>46255</v>
      </c>
      <c r="B563" s="32">
        <f t="shared" si="121"/>
        <v>1.1666666666666665</v>
      </c>
      <c r="C563" s="33"/>
      <c r="D563" s="62"/>
      <c r="E563" s="62"/>
      <c r="F563" s="27"/>
      <c r="G563" s="34" t="str">
        <f t="shared" si="119"/>
        <v/>
      </c>
      <c r="H563" s="33"/>
      <c r="I563" s="33"/>
      <c r="J563" s="33"/>
      <c r="K563" s="29"/>
      <c r="L563" s="29"/>
      <c r="M563" s="35" t="str">
        <f t="shared" ca="1" si="120"/>
        <v/>
      </c>
      <c r="N563" s="46"/>
      <c r="O563" s="47"/>
    </row>
    <row r="564" spans="1:15" ht="15" customHeight="1">
      <c r="A564" s="67">
        <v>46255</v>
      </c>
      <c r="B564" s="25">
        <f t="shared" si="121"/>
        <v>1.2083333333333333</v>
      </c>
      <c r="C564" s="33"/>
      <c r="D564" s="62"/>
      <c r="E564" s="62"/>
      <c r="F564" s="27"/>
      <c r="G564" s="28" t="str">
        <f t="shared" si="119"/>
        <v/>
      </c>
      <c r="H564" s="26"/>
      <c r="I564" s="26"/>
      <c r="J564" s="26"/>
      <c r="K564" s="29"/>
      <c r="L564" s="29"/>
      <c r="M564" s="30" t="str">
        <f t="shared" ca="1" si="120"/>
        <v/>
      </c>
      <c r="N564" s="46"/>
      <c r="O564" s="47"/>
    </row>
    <row r="565" spans="1:15" ht="15" customHeight="1">
      <c r="A565" s="68">
        <v>46255</v>
      </c>
      <c r="B565" s="32">
        <f t="shared" si="121"/>
        <v>1.25</v>
      </c>
      <c r="C565" s="33"/>
      <c r="D565" s="62"/>
      <c r="E565" s="62"/>
      <c r="F565" s="27"/>
      <c r="G565" s="34" t="str">
        <f t="shared" si="119"/>
        <v/>
      </c>
      <c r="H565" s="33"/>
      <c r="I565" s="33"/>
      <c r="J565" s="33"/>
      <c r="K565" s="29"/>
      <c r="L565" s="29"/>
      <c r="M565" s="35" t="str">
        <f t="shared" ca="1" si="120"/>
        <v/>
      </c>
      <c r="N565" s="46"/>
      <c r="O565" s="47"/>
    </row>
    <row r="566" spans="1:15" ht="15" customHeight="1">
      <c r="A566" s="67">
        <v>46255</v>
      </c>
      <c r="B566" s="25">
        <f t="shared" si="121"/>
        <v>1.2916666666666667</v>
      </c>
      <c r="C566" s="33"/>
      <c r="D566" s="62"/>
      <c r="E566" s="62"/>
      <c r="F566" s="27"/>
      <c r="G566" s="28" t="str">
        <f t="shared" si="119"/>
        <v/>
      </c>
      <c r="H566" s="26"/>
      <c r="I566" s="26"/>
      <c r="J566" s="26"/>
      <c r="K566" s="29"/>
      <c r="L566" s="29"/>
      <c r="M566" s="30" t="str">
        <f t="shared" ca="1" si="120"/>
        <v/>
      </c>
      <c r="N566" s="46"/>
      <c r="O566" s="47"/>
    </row>
    <row r="567" spans="1:15" ht="15.75" customHeight="1">
      <c r="A567" s="162" t="s">
        <v>249</v>
      </c>
      <c r="B567" s="163"/>
      <c r="C567" s="163"/>
      <c r="D567" s="163"/>
      <c r="E567" s="17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247</v>
      </c>
      <c r="O567" s="39"/>
    </row>
    <row r="568" spans="1:15" ht="18" customHeight="1">
      <c r="A568" s="160" t="s">
        <v>250</v>
      </c>
      <c r="B568" s="161"/>
      <c r="C568" s="161"/>
      <c r="D568" s="161"/>
      <c r="E568" s="17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251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2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3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4">B569+TIME(0,60,0)</f>
        <v>0.37499999999999967</v>
      </c>
      <c r="C570" s="33"/>
      <c r="D570" s="62"/>
      <c r="E570" s="62"/>
      <c r="F570" s="27"/>
      <c r="G570" s="34" t="str">
        <f t="shared" si="122"/>
        <v/>
      </c>
      <c r="H570" s="26"/>
      <c r="I570" s="26"/>
      <c r="J570" s="26"/>
      <c r="K570" s="29"/>
      <c r="L570" s="29"/>
      <c r="M570" s="30" t="str">
        <f t="shared" ca="1" si="123"/>
        <v/>
      </c>
      <c r="N570" s="46"/>
      <c r="O570" s="47"/>
    </row>
    <row r="571" spans="1:15" ht="15" customHeight="1">
      <c r="A571" s="68">
        <v>46256</v>
      </c>
      <c r="B571" s="32">
        <f t="shared" si="124"/>
        <v>0.41666666666666635</v>
      </c>
      <c r="C571" s="33"/>
      <c r="D571" s="62"/>
      <c r="E571" s="62"/>
      <c r="F571" s="27"/>
      <c r="G571" s="34" t="str">
        <f t="shared" si="122"/>
        <v/>
      </c>
      <c r="H571" s="33"/>
      <c r="I571" s="33"/>
      <c r="J571" s="33"/>
      <c r="K571" s="29"/>
      <c r="L571" s="29"/>
      <c r="M571" s="35" t="str">
        <f t="shared" ca="1" si="123"/>
        <v/>
      </c>
      <c r="N571" s="46"/>
      <c r="O571" s="47"/>
    </row>
    <row r="572" spans="1:15" ht="15" customHeight="1">
      <c r="A572" s="67">
        <v>46256</v>
      </c>
      <c r="B572" s="25">
        <f t="shared" si="124"/>
        <v>0.45833333333333304</v>
      </c>
      <c r="C572" s="33"/>
      <c r="D572" s="62"/>
      <c r="E572" s="62"/>
      <c r="F572" s="27"/>
      <c r="G572" s="34" t="str">
        <f t="shared" si="122"/>
        <v/>
      </c>
      <c r="H572" s="26"/>
      <c r="I572" s="26"/>
      <c r="J572" s="26"/>
      <c r="K572" s="29"/>
      <c r="L572" s="29"/>
      <c r="M572" s="30" t="str">
        <f t="shared" ca="1" si="123"/>
        <v/>
      </c>
      <c r="N572" s="46"/>
      <c r="O572" s="47"/>
    </row>
    <row r="573" spans="1:15" ht="15" customHeight="1">
      <c r="A573" s="68">
        <v>46256</v>
      </c>
      <c r="B573" s="32">
        <f t="shared" si="124"/>
        <v>0.49999999999999972</v>
      </c>
      <c r="C573" s="33"/>
      <c r="D573" s="62"/>
      <c r="E573" s="62"/>
      <c r="F573" s="27"/>
      <c r="G573" s="34" t="str">
        <f t="shared" si="122"/>
        <v/>
      </c>
      <c r="H573" s="33"/>
      <c r="I573" s="33"/>
      <c r="J573" s="33"/>
      <c r="K573" s="29"/>
      <c r="L573" s="29"/>
      <c r="M573" s="35" t="str">
        <f t="shared" ca="1" si="123"/>
        <v/>
      </c>
      <c r="N573" s="46"/>
      <c r="O573" s="47"/>
    </row>
    <row r="574" spans="1:15" ht="15" customHeight="1">
      <c r="A574" s="67">
        <v>46256</v>
      </c>
      <c r="B574" s="25">
        <f t="shared" si="124"/>
        <v>0.54166666666666641</v>
      </c>
      <c r="C574" s="33"/>
      <c r="D574" s="62"/>
      <c r="E574" s="62"/>
      <c r="F574" s="27"/>
      <c r="G574" s="34" t="str">
        <f t="shared" si="122"/>
        <v/>
      </c>
      <c r="H574" s="26"/>
      <c r="I574" s="26"/>
      <c r="J574" s="26"/>
      <c r="K574" s="29"/>
      <c r="L574" s="29"/>
      <c r="M574" s="30" t="str">
        <f t="shared" ca="1" si="123"/>
        <v/>
      </c>
      <c r="N574" s="46"/>
      <c r="O574" s="47"/>
    </row>
    <row r="575" spans="1:15" ht="15" customHeight="1">
      <c r="A575" s="68">
        <v>46256</v>
      </c>
      <c r="B575" s="32">
        <f t="shared" si="124"/>
        <v>0.58333333333333304</v>
      </c>
      <c r="C575" s="33"/>
      <c r="D575" s="62"/>
      <c r="E575" s="62"/>
      <c r="F575" s="27"/>
      <c r="G575" s="34" t="str">
        <f t="shared" si="122"/>
        <v/>
      </c>
      <c r="H575" s="33"/>
      <c r="I575" s="33"/>
      <c r="J575" s="33"/>
      <c r="K575" s="29"/>
      <c r="L575" s="29"/>
      <c r="M575" s="35" t="str">
        <f t="shared" ca="1" si="123"/>
        <v/>
      </c>
      <c r="N575" s="46"/>
      <c r="O575" s="47"/>
    </row>
    <row r="576" spans="1:15" ht="15" customHeight="1">
      <c r="A576" s="67">
        <v>46256</v>
      </c>
      <c r="B576" s="25">
        <f t="shared" si="124"/>
        <v>0.62499999999999967</v>
      </c>
      <c r="C576" s="33"/>
      <c r="D576" s="62"/>
      <c r="E576" s="62"/>
      <c r="F576" s="55"/>
      <c r="G576" s="34" t="str">
        <f t="shared" si="122"/>
        <v/>
      </c>
      <c r="H576" s="26"/>
      <c r="I576" s="26"/>
      <c r="J576" s="26"/>
      <c r="K576" s="29"/>
      <c r="L576" s="29"/>
      <c r="M576" s="30" t="str">
        <f t="shared" ca="1" si="123"/>
        <v/>
      </c>
      <c r="N576" s="46"/>
      <c r="O576" s="47"/>
    </row>
    <row r="577" spans="1:15" ht="15" customHeight="1">
      <c r="A577" s="68">
        <v>46256</v>
      </c>
      <c r="B577" s="32">
        <f t="shared" si="124"/>
        <v>0.6666666666666663</v>
      </c>
      <c r="C577" s="33"/>
      <c r="D577" s="62"/>
      <c r="E577" s="62"/>
      <c r="F577" s="27"/>
      <c r="G577" s="34" t="str">
        <f t="shared" si="122"/>
        <v/>
      </c>
      <c r="H577" s="33"/>
      <c r="I577" s="33"/>
      <c r="J577" s="33"/>
      <c r="K577" s="29"/>
      <c r="L577" s="29"/>
      <c r="M577" s="35" t="str">
        <f t="shared" ca="1" si="123"/>
        <v/>
      </c>
      <c r="N577" s="46"/>
      <c r="O577" s="47"/>
    </row>
    <row r="578" spans="1:15" ht="15" customHeight="1">
      <c r="A578" s="67">
        <v>46256</v>
      </c>
      <c r="B578" s="25">
        <f t="shared" si="124"/>
        <v>0.70833333333333293</v>
      </c>
      <c r="C578" s="33"/>
      <c r="D578" s="62"/>
      <c r="E578" s="62"/>
      <c r="F578" s="27"/>
      <c r="G578" s="34" t="str">
        <f t="shared" si="122"/>
        <v/>
      </c>
      <c r="H578" s="26"/>
      <c r="I578" s="26"/>
      <c r="J578" s="26"/>
      <c r="K578" s="29"/>
      <c r="L578" s="29"/>
      <c r="M578" s="30" t="str">
        <f t="shared" ca="1" si="123"/>
        <v/>
      </c>
      <c r="N578" s="46"/>
      <c r="O578" s="47"/>
    </row>
    <row r="579" spans="1:15" ht="15" customHeight="1">
      <c r="A579" s="68">
        <v>46256</v>
      </c>
      <c r="B579" s="32">
        <f t="shared" si="124"/>
        <v>0.74999999999999956</v>
      </c>
      <c r="C579" s="33"/>
      <c r="D579" s="62"/>
      <c r="E579" s="62"/>
      <c r="F579" s="27"/>
      <c r="G579" s="34" t="str">
        <f t="shared" si="122"/>
        <v/>
      </c>
      <c r="H579" s="33"/>
      <c r="I579" s="33"/>
      <c r="J579" s="33"/>
      <c r="K579" s="29"/>
      <c r="L579" s="29"/>
      <c r="M579" s="35" t="str">
        <f t="shared" ca="1" si="123"/>
        <v/>
      </c>
      <c r="N579" s="46"/>
      <c r="O579" s="47"/>
    </row>
    <row r="580" spans="1:15" ht="15" customHeight="1">
      <c r="A580" s="67">
        <v>46256</v>
      </c>
      <c r="B580" s="25">
        <f t="shared" si="124"/>
        <v>0.79166666666666619</v>
      </c>
      <c r="C580" s="33"/>
      <c r="D580" s="62"/>
      <c r="E580" s="62"/>
      <c r="F580" s="27"/>
      <c r="G580" s="34" t="str">
        <f t="shared" si="122"/>
        <v/>
      </c>
      <c r="H580" s="26"/>
      <c r="I580" s="26"/>
      <c r="J580" s="26"/>
      <c r="K580" s="29"/>
      <c r="L580" s="29"/>
      <c r="M580" s="30" t="str">
        <f t="shared" ca="1" si="123"/>
        <v/>
      </c>
      <c r="N580" s="46"/>
      <c r="O580" s="47"/>
    </row>
    <row r="581" spans="1:15" ht="15.75" customHeight="1">
      <c r="A581" s="162" t="s">
        <v>246</v>
      </c>
      <c r="B581" s="163"/>
      <c r="C581" s="163"/>
      <c r="D581" s="163"/>
      <c r="E581" s="17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247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5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6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7">B582+TIME(0,60,0)</f>
        <v>0.87499999999999967</v>
      </c>
      <c r="C583" s="26"/>
      <c r="D583" s="59"/>
      <c r="E583" s="59"/>
      <c r="F583" s="27"/>
      <c r="G583" s="34" t="str">
        <f t="shared" si="125"/>
        <v/>
      </c>
      <c r="H583" s="33"/>
      <c r="I583" s="33"/>
      <c r="J583" s="33"/>
      <c r="K583" s="29"/>
      <c r="L583" s="29"/>
      <c r="M583" s="35" t="str">
        <f t="shared" ca="1" si="126"/>
        <v/>
      </c>
      <c r="N583" s="46"/>
      <c r="O583" s="47"/>
    </row>
    <row r="584" spans="1:15" ht="15" customHeight="1">
      <c r="A584" s="67">
        <v>46256</v>
      </c>
      <c r="B584" s="25">
        <f t="shared" si="127"/>
        <v>0.9166666666666663</v>
      </c>
      <c r="C584" s="26"/>
      <c r="D584" s="59"/>
      <c r="E584" s="59"/>
      <c r="F584" s="27"/>
      <c r="G584" s="28" t="str">
        <f t="shared" si="125"/>
        <v/>
      </c>
      <c r="H584" s="26"/>
      <c r="I584" s="26"/>
      <c r="J584" s="26"/>
      <c r="K584" s="29"/>
      <c r="L584" s="29"/>
      <c r="M584" s="30" t="str">
        <f t="shared" ca="1" si="126"/>
        <v/>
      </c>
      <c r="N584" s="46"/>
      <c r="O584" s="47"/>
    </row>
    <row r="585" spans="1:15" ht="15" customHeight="1">
      <c r="A585" s="68">
        <v>46256</v>
      </c>
      <c r="B585" s="32">
        <f t="shared" si="127"/>
        <v>0.95833333333333293</v>
      </c>
      <c r="C585" s="26"/>
      <c r="D585" s="59"/>
      <c r="E585" s="59"/>
      <c r="F585" s="27"/>
      <c r="G585" s="34" t="str">
        <f t="shared" si="125"/>
        <v/>
      </c>
      <c r="H585" s="33"/>
      <c r="I585" s="33"/>
      <c r="J585" s="33"/>
      <c r="K585" s="29"/>
      <c r="L585" s="29"/>
      <c r="M585" s="35" t="str">
        <f t="shared" ca="1" si="126"/>
        <v/>
      </c>
      <c r="N585" s="46"/>
      <c r="O585" s="47"/>
    </row>
    <row r="586" spans="1:15" ht="15" customHeight="1">
      <c r="A586" s="67">
        <v>46256</v>
      </c>
      <c r="B586" s="25">
        <f t="shared" si="127"/>
        <v>0.99999999999999956</v>
      </c>
      <c r="C586" s="26"/>
      <c r="D586" s="59"/>
      <c r="E586" s="59"/>
      <c r="F586" s="27"/>
      <c r="G586" s="28" t="str">
        <f t="shared" si="125"/>
        <v/>
      </c>
      <c r="H586" s="26"/>
      <c r="I586" s="26"/>
      <c r="J586" s="26"/>
      <c r="K586" s="29"/>
      <c r="L586" s="29"/>
      <c r="M586" s="30" t="str">
        <f t="shared" ca="1" si="126"/>
        <v/>
      </c>
      <c r="N586" s="46"/>
      <c r="O586" s="47"/>
    </row>
    <row r="587" spans="1:15" ht="15" customHeight="1">
      <c r="A587" s="68">
        <v>46256</v>
      </c>
      <c r="B587" s="32">
        <f t="shared" si="127"/>
        <v>1.0416666666666663</v>
      </c>
      <c r="C587" s="26"/>
      <c r="D587" s="59"/>
      <c r="E587" s="59"/>
      <c r="F587" s="27"/>
      <c r="G587" s="34" t="str">
        <f t="shared" si="125"/>
        <v/>
      </c>
      <c r="H587" s="33"/>
      <c r="I587" s="33"/>
      <c r="J587" s="33"/>
      <c r="K587" s="29"/>
      <c r="L587" s="29"/>
      <c r="M587" s="35" t="str">
        <f t="shared" ca="1" si="126"/>
        <v/>
      </c>
      <c r="N587" s="46"/>
      <c r="O587" s="47"/>
    </row>
    <row r="588" spans="1:15" ht="15" customHeight="1">
      <c r="A588" s="67">
        <v>46256</v>
      </c>
      <c r="B588" s="25">
        <f t="shared" si="127"/>
        <v>1.083333333333333</v>
      </c>
      <c r="C588" s="26"/>
      <c r="D588" s="59"/>
      <c r="E588" s="59"/>
      <c r="F588" s="27"/>
      <c r="G588" s="28" t="str">
        <f t="shared" si="125"/>
        <v/>
      </c>
      <c r="H588" s="26"/>
      <c r="I588" s="26"/>
      <c r="J588" s="26"/>
      <c r="K588" s="29"/>
      <c r="L588" s="29"/>
      <c r="M588" s="30" t="str">
        <f t="shared" ca="1" si="126"/>
        <v/>
      </c>
      <c r="N588" s="46"/>
      <c r="O588" s="47"/>
    </row>
    <row r="589" spans="1:15" ht="15" customHeight="1">
      <c r="A589" s="68">
        <v>46256</v>
      </c>
      <c r="B589" s="32">
        <f t="shared" si="127"/>
        <v>1.1249999999999998</v>
      </c>
      <c r="C589" s="26"/>
      <c r="D589" s="59"/>
      <c r="E589" s="59"/>
      <c r="F589" s="27"/>
      <c r="G589" s="34" t="str">
        <f t="shared" si="125"/>
        <v/>
      </c>
      <c r="H589" s="33"/>
      <c r="I589" s="33"/>
      <c r="J589" s="33"/>
      <c r="K589" s="29"/>
      <c r="L589" s="29"/>
      <c r="M589" s="35" t="str">
        <f t="shared" ca="1" si="126"/>
        <v/>
      </c>
      <c r="N589" s="46"/>
      <c r="O589" s="47"/>
    </row>
    <row r="590" spans="1:15" ht="15" customHeight="1">
      <c r="A590" s="67">
        <v>46256</v>
      </c>
      <c r="B590" s="25">
        <f t="shared" si="127"/>
        <v>1.1666666666666665</v>
      </c>
      <c r="C590" s="26"/>
      <c r="D590" s="59"/>
      <c r="E590" s="59"/>
      <c r="F590" s="27"/>
      <c r="G590" s="28" t="str">
        <f t="shared" si="125"/>
        <v/>
      </c>
      <c r="H590" s="26"/>
      <c r="I590" s="26"/>
      <c r="J590" s="26"/>
      <c r="K590" s="29"/>
      <c r="L590" s="29"/>
      <c r="M590" s="30" t="str">
        <f t="shared" ca="1" si="126"/>
        <v/>
      </c>
      <c r="N590" s="46"/>
      <c r="O590" s="47"/>
    </row>
    <row r="591" spans="1:15" ht="15" customHeight="1">
      <c r="A591" s="68">
        <v>46256</v>
      </c>
      <c r="B591" s="32">
        <f t="shared" si="127"/>
        <v>1.2083333333333333</v>
      </c>
      <c r="C591" s="26"/>
      <c r="D591" s="59"/>
      <c r="E591" s="59"/>
      <c r="F591" s="27"/>
      <c r="G591" s="34" t="str">
        <f t="shared" si="125"/>
        <v/>
      </c>
      <c r="H591" s="33"/>
      <c r="I591" s="33"/>
      <c r="J591" s="33"/>
      <c r="K591" s="29"/>
      <c r="L591" s="29"/>
      <c r="M591" s="35" t="str">
        <f t="shared" ca="1" si="126"/>
        <v/>
      </c>
      <c r="N591" s="46"/>
      <c r="O591" s="47"/>
    </row>
    <row r="592" spans="1:15" ht="15" customHeight="1">
      <c r="A592" s="67">
        <v>46256</v>
      </c>
      <c r="B592" s="25">
        <f t="shared" si="127"/>
        <v>1.25</v>
      </c>
      <c r="C592" s="26"/>
      <c r="D592" s="59"/>
      <c r="E592" s="59"/>
      <c r="F592" s="27"/>
      <c r="G592" s="28" t="str">
        <f t="shared" si="125"/>
        <v/>
      </c>
      <c r="H592" s="26"/>
      <c r="I592" s="26"/>
      <c r="J592" s="26"/>
      <c r="K592" s="29"/>
      <c r="L592" s="29"/>
      <c r="M592" s="30" t="str">
        <f t="shared" ca="1" si="126"/>
        <v/>
      </c>
      <c r="N592" s="46"/>
      <c r="O592" s="47"/>
    </row>
    <row r="593" spans="1:15" ht="15" customHeight="1">
      <c r="A593" s="68">
        <v>46256</v>
      </c>
      <c r="B593" s="32">
        <f t="shared" si="127"/>
        <v>1.2916666666666667</v>
      </c>
      <c r="C593" s="26"/>
      <c r="D593" s="59"/>
      <c r="E593" s="59"/>
      <c r="F593" s="27"/>
      <c r="G593" s="34" t="str">
        <f t="shared" si="125"/>
        <v/>
      </c>
      <c r="H593" s="33"/>
      <c r="I593" s="33"/>
      <c r="J593" s="33"/>
      <c r="K593" s="29"/>
      <c r="L593" s="29"/>
      <c r="M593" s="35" t="str">
        <f t="shared" ca="1" si="126"/>
        <v/>
      </c>
      <c r="N593" s="46"/>
      <c r="O593" s="47"/>
    </row>
    <row r="594" spans="1:15" ht="15.75" customHeight="1">
      <c r="A594" s="162" t="s">
        <v>249</v>
      </c>
      <c r="B594" s="163"/>
      <c r="C594" s="163"/>
      <c r="D594" s="163"/>
      <c r="E594" s="17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247</v>
      </c>
      <c r="O594" s="39"/>
    </row>
    <row r="595" spans="1:15" ht="18" customHeight="1">
      <c r="A595" s="160" t="s">
        <v>250</v>
      </c>
      <c r="B595" s="161"/>
      <c r="C595" s="161"/>
      <c r="D595" s="161"/>
      <c r="E595" s="17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251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8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9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30">B596+TIME(0,60,0)</f>
        <v>0.37499999999999967</v>
      </c>
      <c r="C597" s="26"/>
      <c r="D597" s="59"/>
      <c r="E597" s="59"/>
      <c r="F597" s="27"/>
      <c r="G597" s="34" t="str">
        <f t="shared" si="128"/>
        <v/>
      </c>
      <c r="H597" s="33"/>
      <c r="I597" s="33"/>
      <c r="J597" s="33"/>
      <c r="K597" s="29"/>
      <c r="L597" s="29"/>
      <c r="M597" s="35" t="str">
        <f t="shared" ca="1" si="129"/>
        <v/>
      </c>
      <c r="N597" s="46"/>
      <c r="O597" s="47"/>
    </row>
    <row r="598" spans="1:15" ht="15" customHeight="1">
      <c r="A598" s="67">
        <v>46257</v>
      </c>
      <c r="B598" s="25">
        <f t="shared" si="130"/>
        <v>0.41666666666666635</v>
      </c>
      <c r="C598" s="26"/>
      <c r="D598" s="59"/>
      <c r="E598" s="59"/>
      <c r="F598" s="27"/>
      <c r="G598" s="28" t="str">
        <f t="shared" si="128"/>
        <v/>
      </c>
      <c r="H598" s="26"/>
      <c r="I598" s="26"/>
      <c r="J598" s="26"/>
      <c r="K598" s="29"/>
      <c r="L598" s="29"/>
      <c r="M598" s="30" t="str">
        <f t="shared" ca="1" si="129"/>
        <v/>
      </c>
      <c r="N598" s="46"/>
      <c r="O598" s="47"/>
    </row>
    <row r="599" spans="1:15" ht="15" customHeight="1">
      <c r="A599" s="68">
        <v>46257</v>
      </c>
      <c r="B599" s="32">
        <f t="shared" si="130"/>
        <v>0.45833333333333304</v>
      </c>
      <c r="C599" s="26"/>
      <c r="D599" s="59"/>
      <c r="E599" s="59"/>
      <c r="F599" s="27"/>
      <c r="G599" s="34" t="str">
        <f t="shared" si="128"/>
        <v/>
      </c>
      <c r="H599" s="33"/>
      <c r="I599" s="33"/>
      <c r="J599" s="33"/>
      <c r="K599" s="29"/>
      <c r="L599" s="29"/>
      <c r="M599" s="35" t="str">
        <f t="shared" ca="1" si="129"/>
        <v/>
      </c>
      <c r="N599" s="46"/>
      <c r="O599" s="47"/>
    </row>
    <row r="600" spans="1:15" ht="15" customHeight="1">
      <c r="A600" s="67">
        <v>46257</v>
      </c>
      <c r="B600" s="25">
        <f t="shared" si="130"/>
        <v>0.49999999999999972</v>
      </c>
      <c r="C600" s="26"/>
      <c r="D600" s="59"/>
      <c r="E600" s="59"/>
      <c r="F600" s="27"/>
      <c r="G600" s="28" t="str">
        <f t="shared" si="128"/>
        <v/>
      </c>
      <c r="H600" s="26"/>
      <c r="I600" s="26"/>
      <c r="J600" s="26"/>
      <c r="K600" s="29"/>
      <c r="L600" s="29"/>
      <c r="M600" s="30" t="str">
        <f t="shared" ca="1" si="129"/>
        <v/>
      </c>
      <c r="N600" s="46"/>
      <c r="O600" s="47"/>
    </row>
    <row r="601" spans="1:15" ht="15" customHeight="1">
      <c r="A601" s="68">
        <v>46257</v>
      </c>
      <c r="B601" s="32">
        <f t="shared" si="130"/>
        <v>0.54166666666666641</v>
      </c>
      <c r="C601" s="26"/>
      <c r="D601" s="59"/>
      <c r="E601" s="59"/>
      <c r="F601" s="27"/>
      <c r="G601" s="34" t="str">
        <f t="shared" si="128"/>
        <v/>
      </c>
      <c r="H601" s="33"/>
      <c r="I601" s="33"/>
      <c r="J601" s="33"/>
      <c r="K601" s="29"/>
      <c r="L601" s="29"/>
      <c r="M601" s="35" t="str">
        <f t="shared" ca="1" si="129"/>
        <v/>
      </c>
      <c r="N601" s="46"/>
      <c r="O601" s="47"/>
    </row>
    <row r="602" spans="1:15" ht="15" customHeight="1">
      <c r="A602" s="67">
        <v>46257</v>
      </c>
      <c r="B602" s="25">
        <f t="shared" si="130"/>
        <v>0.58333333333333304</v>
      </c>
      <c r="C602" s="26"/>
      <c r="D602" s="59"/>
      <c r="E602" s="59"/>
      <c r="F602" s="27"/>
      <c r="G602" s="28" t="str">
        <f t="shared" si="128"/>
        <v/>
      </c>
      <c r="H602" s="26"/>
      <c r="I602" s="26"/>
      <c r="J602" s="26"/>
      <c r="K602" s="29"/>
      <c r="L602" s="29"/>
      <c r="M602" s="30" t="str">
        <f t="shared" ca="1" si="129"/>
        <v/>
      </c>
      <c r="N602" s="46"/>
      <c r="O602" s="47"/>
    </row>
    <row r="603" spans="1:15" ht="15" customHeight="1">
      <c r="A603" s="68">
        <v>46257</v>
      </c>
      <c r="B603" s="32">
        <f t="shared" si="130"/>
        <v>0.62499999999999967</v>
      </c>
      <c r="C603" s="26"/>
      <c r="D603" s="59"/>
      <c r="E603" s="59"/>
      <c r="F603" s="27"/>
      <c r="G603" s="34" t="str">
        <f t="shared" si="128"/>
        <v/>
      </c>
      <c r="H603" s="33"/>
      <c r="I603" s="33"/>
      <c r="J603" s="33"/>
      <c r="K603" s="29"/>
      <c r="L603" s="29"/>
      <c r="M603" s="35" t="str">
        <f t="shared" ca="1" si="129"/>
        <v/>
      </c>
      <c r="N603" s="46"/>
      <c r="O603" s="47"/>
    </row>
    <row r="604" spans="1:15" ht="15" customHeight="1">
      <c r="A604" s="67">
        <v>46257</v>
      </c>
      <c r="B604" s="25">
        <f t="shared" si="130"/>
        <v>0.6666666666666663</v>
      </c>
      <c r="C604" s="26"/>
      <c r="D604" s="59"/>
      <c r="E604" s="59"/>
      <c r="F604" s="27"/>
      <c r="G604" s="28" t="str">
        <f t="shared" si="128"/>
        <v/>
      </c>
      <c r="H604" s="26"/>
      <c r="I604" s="26"/>
      <c r="J604" s="26"/>
      <c r="K604" s="29"/>
      <c r="L604" s="29"/>
      <c r="M604" s="30" t="str">
        <f t="shared" ca="1" si="129"/>
        <v/>
      </c>
      <c r="N604" s="46"/>
      <c r="O604" s="47"/>
    </row>
    <row r="605" spans="1:15" ht="15" customHeight="1">
      <c r="A605" s="68">
        <v>46257</v>
      </c>
      <c r="B605" s="32">
        <f t="shared" si="130"/>
        <v>0.70833333333333293</v>
      </c>
      <c r="C605" s="26"/>
      <c r="D605" s="59"/>
      <c r="E605" s="59"/>
      <c r="F605" s="27"/>
      <c r="G605" s="34" t="str">
        <f t="shared" si="128"/>
        <v/>
      </c>
      <c r="H605" s="33"/>
      <c r="I605" s="33"/>
      <c r="J605" s="33"/>
      <c r="K605" s="29"/>
      <c r="L605" s="29"/>
      <c r="M605" s="35" t="str">
        <f t="shared" ca="1" si="129"/>
        <v/>
      </c>
      <c r="N605" s="46"/>
      <c r="O605" s="47"/>
    </row>
    <row r="606" spans="1:15" ht="15" customHeight="1">
      <c r="A606" s="67">
        <v>46257</v>
      </c>
      <c r="B606" s="25">
        <f t="shared" si="130"/>
        <v>0.74999999999999956</v>
      </c>
      <c r="C606" s="26"/>
      <c r="D606" s="59"/>
      <c r="E606" s="59"/>
      <c r="F606" s="27"/>
      <c r="G606" s="28" t="str">
        <f t="shared" si="128"/>
        <v/>
      </c>
      <c r="H606" s="26"/>
      <c r="I606" s="26"/>
      <c r="J606" s="26"/>
      <c r="K606" s="29"/>
      <c r="L606" s="29"/>
      <c r="M606" s="30" t="str">
        <f t="shared" ca="1" si="129"/>
        <v/>
      </c>
      <c r="N606" s="46"/>
      <c r="O606" s="47"/>
    </row>
    <row r="607" spans="1:15" ht="15" customHeight="1">
      <c r="A607" s="68">
        <v>46257</v>
      </c>
      <c r="B607" s="32">
        <f t="shared" si="130"/>
        <v>0.79166666666666619</v>
      </c>
      <c r="C607" s="26"/>
      <c r="D607" s="59"/>
      <c r="E607" s="59"/>
      <c r="F607" s="27"/>
      <c r="G607" s="34" t="str">
        <f t="shared" si="128"/>
        <v/>
      </c>
      <c r="H607" s="33"/>
      <c r="I607" s="33"/>
      <c r="J607" s="33"/>
      <c r="K607" s="29"/>
      <c r="L607" s="29"/>
      <c r="M607" s="35" t="str">
        <f t="shared" ca="1" si="129"/>
        <v/>
      </c>
      <c r="N607" s="46"/>
      <c r="O607" s="47"/>
    </row>
    <row r="608" spans="1:15" ht="15.75" customHeight="1">
      <c r="A608" s="162" t="s">
        <v>246</v>
      </c>
      <c r="B608" s="163"/>
      <c r="C608" s="163"/>
      <c r="D608" s="163"/>
      <c r="E608" s="17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247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1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2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3">B609+TIME(0,60,0)</f>
        <v>0.87499999999999967</v>
      </c>
      <c r="C610" s="33"/>
      <c r="D610" s="62"/>
      <c r="E610" s="62"/>
      <c r="F610" s="27"/>
      <c r="G610" s="28" t="str">
        <f t="shared" si="131"/>
        <v/>
      </c>
      <c r="H610" s="26"/>
      <c r="I610" s="26"/>
      <c r="J610" s="26"/>
      <c r="K610" s="29"/>
      <c r="L610" s="29"/>
      <c r="M610" s="30" t="str">
        <f t="shared" ca="1" si="132"/>
        <v/>
      </c>
      <c r="N610" s="46"/>
      <c r="O610" s="47"/>
    </row>
    <row r="611" spans="1:15" ht="15" customHeight="1">
      <c r="A611" s="68">
        <v>46257</v>
      </c>
      <c r="B611" s="32">
        <f t="shared" si="133"/>
        <v>0.9166666666666663</v>
      </c>
      <c r="C611" s="33"/>
      <c r="D611" s="62"/>
      <c r="E611" s="62"/>
      <c r="F611" s="27"/>
      <c r="G611" s="34" t="str">
        <f t="shared" si="131"/>
        <v/>
      </c>
      <c r="H611" s="33"/>
      <c r="I611" s="33"/>
      <c r="J611" s="33"/>
      <c r="K611" s="29"/>
      <c r="L611" s="29"/>
      <c r="M611" s="35" t="str">
        <f t="shared" ca="1" si="132"/>
        <v/>
      </c>
      <c r="N611" s="46"/>
      <c r="O611" s="47"/>
    </row>
    <row r="612" spans="1:15" ht="15" customHeight="1">
      <c r="A612" s="67">
        <v>46257</v>
      </c>
      <c r="B612" s="25">
        <f t="shared" si="133"/>
        <v>0.95833333333333293</v>
      </c>
      <c r="C612" s="33"/>
      <c r="D612" s="62"/>
      <c r="E612" s="62"/>
      <c r="F612" s="27"/>
      <c r="G612" s="28" t="str">
        <f t="shared" si="131"/>
        <v/>
      </c>
      <c r="H612" s="26"/>
      <c r="I612" s="26"/>
      <c r="J612" s="26"/>
      <c r="K612" s="29"/>
      <c r="L612" s="29"/>
      <c r="M612" s="30" t="str">
        <f t="shared" ca="1" si="132"/>
        <v/>
      </c>
      <c r="N612" s="46"/>
      <c r="O612" s="47"/>
    </row>
    <row r="613" spans="1:15" ht="15" customHeight="1">
      <c r="A613" s="68">
        <v>46257</v>
      </c>
      <c r="B613" s="32">
        <f t="shared" si="133"/>
        <v>0.99999999999999956</v>
      </c>
      <c r="C613" s="33"/>
      <c r="D613" s="62"/>
      <c r="E613" s="62"/>
      <c r="F613" s="27"/>
      <c r="G613" s="34" t="str">
        <f t="shared" si="131"/>
        <v/>
      </c>
      <c r="H613" s="33"/>
      <c r="I613" s="33"/>
      <c r="J613" s="33"/>
      <c r="K613" s="29"/>
      <c r="L613" s="29"/>
      <c r="M613" s="35" t="str">
        <f t="shared" ca="1" si="132"/>
        <v/>
      </c>
      <c r="N613" s="46"/>
      <c r="O613" s="47"/>
    </row>
    <row r="614" spans="1:15" ht="15" customHeight="1">
      <c r="A614" s="67">
        <v>46257</v>
      </c>
      <c r="B614" s="25">
        <f t="shared" si="133"/>
        <v>1.0416666666666663</v>
      </c>
      <c r="C614" s="33"/>
      <c r="D614" s="62"/>
      <c r="E614" s="62"/>
      <c r="F614" s="27"/>
      <c r="G614" s="28" t="str">
        <f t="shared" si="131"/>
        <v/>
      </c>
      <c r="H614" s="26"/>
      <c r="I614" s="26"/>
      <c r="J614" s="26"/>
      <c r="K614" s="29"/>
      <c r="L614" s="29"/>
      <c r="M614" s="30" t="str">
        <f t="shared" ca="1" si="132"/>
        <v/>
      </c>
      <c r="N614" s="46"/>
      <c r="O614" s="47"/>
    </row>
    <row r="615" spans="1:15" ht="15" customHeight="1">
      <c r="A615" s="68">
        <v>46257</v>
      </c>
      <c r="B615" s="32">
        <f t="shared" si="133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2"/>
        <v/>
      </c>
      <c r="N615" s="46"/>
      <c r="O615" s="47"/>
    </row>
    <row r="616" spans="1:15" ht="15" customHeight="1">
      <c r="A616" s="67">
        <v>46257</v>
      </c>
      <c r="B616" s="25">
        <f t="shared" si="133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2"/>
        <v/>
      </c>
      <c r="N616" s="46"/>
      <c r="O616" s="47"/>
    </row>
    <row r="617" spans="1:15" ht="15" customHeight="1">
      <c r="A617" s="68">
        <v>46257</v>
      </c>
      <c r="B617" s="32">
        <f t="shared" si="133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2"/>
        <v/>
      </c>
      <c r="N617" s="46"/>
      <c r="O617" s="47"/>
    </row>
    <row r="618" spans="1:15" ht="15" customHeight="1">
      <c r="A618" s="67">
        <v>46257</v>
      </c>
      <c r="B618" s="25">
        <f t="shared" si="133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2"/>
        <v/>
      </c>
      <c r="N618" s="46"/>
      <c r="O618" s="47"/>
    </row>
    <row r="619" spans="1:15" ht="15" customHeight="1">
      <c r="A619" s="68">
        <v>46257</v>
      </c>
      <c r="B619" s="32">
        <f t="shared" si="133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2"/>
        <v/>
      </c>
      <c r="N619" s="46"/>
      <c r="O619" s="47"/>
    </row>
    <row r="620" spans="1:15" ht="15" customHeight="1">
      <c r="A620" s="67">
        <v>46257</v>
      </c>
      <c r="B620" s="25">
        <f t="shared" si="133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2"/>
        <v/>
      </c>
      <c r="N620" s="46"/>
      <c r="O620" s="47"/>
    </row>
    <row r="621" spans="1:15" ht="15.75" customHeight="1">
      <c r="A621" s="162" t="s">
        <v>249</v>
      </c>
      <c r="B621" s="163"/>
      <c r="C621" s="163"/>
      <c r="D621" s="163"/>
      <c r="E621" s="17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247</v>
      </c>
      <c r="O621" s="39"/>
    </row>
    <row r="622" spans="1:15" ht="18" customHeight="1">
      <c r="A622" s="160" t="s">
        <v>250</v>
      </c>
      <c r="B622" s="161"/>
      <c r="C622" s="161"/>
      <c r="D622" s="161"/>
      <c r="E622" s="17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251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4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5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6">B623+TIME(0,60,0)</f>
        <v>0.37499999999999967</v>
      </c>
      <c r="C624" s="33"/>
      <c r="D624" s="62"/>
      <c r="E624" s="62"/>
      <c r="F624" s="27"/>
      <c r="G624" s="28" t="str">
        <f t="shared" si="134"/>
        <v/>
      </c>
      <c r="H624" s="26"/>
      <c r="I624" s="26"/>
      <c r="J624" s="26"/>
      <c r="K624" s="29"/>
      <c r="L624" s="29"/>
      <c r="M624" s="30" t="str">
        <f t="shared" ca="1" si="135"/>
        <v/>
      </c>
      <c r="N624" s="46"/>
      <c r="O624" s="47"/>
    </row>
    <row r="625" spans="1:15" ht="15" customHeight="1">
      <c r="A625" s="68">
        <v>46258</v>
      </c>
      <c r="B625" s="32">
        <f t="shared" si="136"/>
        <v>0.41666666666666635</v>
      </c>
      <c r="C625" s="33"/>
      <c r="D625" s="62"/>
      <c r="E625" s="62"/>
      <c r="F625" s="27"/>
      <c r="G625" s="34" t="str">
        <f t="shared" si="134"/>
        <v/>
      </c>
      <c r="H625" s="33"/>
      <c r="I625" s="33"/>
      <c r="J625" s="33"/>
      <c r="K625" s="29"/>
      <c r="L625" s="29"/>
      <c r="M625" s="35" t="str">
        <f t="shared" ca="1" si="135"/>
        <v/>
      </c>
      <c r="N625" s="46"/>
      <c r="O625" s="47"/>
    </row>
    <row r="626" spans="1:15" ht="15" customHeight="1">
      <c r="A626" s="67">
        <v>46258</v>
      </c>
      <c r="B626" s="25">
        <f t="shared" si="136"/>
        <v>0.45833333333333304</v>
      </c>
      <c r="C626" s="33"/>
      <c r="D626" s="62"/>
      <c r="E626" s="62"/>
      <c r="F626" s="27"/>
      <c r="G626" s="28" t="str">
        <f t="shared" si="134"/>
        <v/>
      </c>
      <c r="H626" s="26"/>
      <c r="I626" s="26"/>
      <c r="J626" s="26"/>
      <c r="K626" s="29"/>
      <c r="L626" s="29"/>
      <c r="M626" s="30" t="str">
        <f t="shared" ca="1" si="135"/>
        <v/>
      </c>
      <c r="N626" s="46"/>
      <c r="O626" s="47"/>
    </row>
    <row r="627" spans="1:15" ht="15" customHeight="1">
      <c r="A627" s="68">
        <v>46258</v>
      </c>
      <c r="B627" s="32">
        <f t="shared" si="136"/>
        <v>0.49999999999999972</v>
      </c>
      <c r="C627" s="33"/>
      <c r="D627" s="62"/>
      <c r="E627" s="62"/>
      <c r="F627" s="27"/>
      <c r="G627" s="34" t="str">
        <f t="shared" si="134"/>
        <v/>
      </c>
      <c r="H627" s="33"/>
      <c r="I627" s="33"/>
      <c r="J627" s="33"/>
      <c r="K627" s="29"/>
      <c r="L627" s="29"/>
      <c r="M627" s="35" t="str">
        <f t="shared" ca="1" si="135"/>
        <v/>
      </c>
      <c r="N627" s="46"/>
      <c r="O627" s="47"/>
    </row>
    <row r="628" spans="1:15" ht="15" customHeight="1">
      <c r="A628" s="67">
        <v>46258</v>
      </c>
      <c r="B628" s="25">
        <f t="shared" si="136"/>
        <v>0.54166666666666641</v>
      </c>
      <c r="C628" s="33"/>
      <c r="D628" s="62"/>
      <c r="E628" s="62"/>
      <c r="F628" s="27"/>
      <c r="G628" s="28" t="str">
        <f t="shared" si="134"/>
        <v/>
      </c>
      <c r="H628" s="26"/>
      <c r="I628" s="26"/>
      <c r="J628" s="26"/>
      <c r="K628" s="29"/>
      <c r="L628" s="29"/>
      <c r="M628" s="30" t="str">
        <f t="shared" ca="1" si="135"/>
        <v/>
      </c>
      <c r="N628" s="46"/>
      <c r="O628" s="47"/>
    </row>
    <row r="629" spans="1:15" ht="15" customHeight="1">
      <c r="A629" s="68">
        <v>46258</v>
      </c>
      <c r="B629" s="32">
        <f t="shared" si="136"/>
        <v>0.58333333333333304</v>
      </c>
      <c r="C629" s="33"/>
      <c r="D629" s="62"/>
      <c r="E629" s="62"/>
      <c r="F629" s="27"/>
      <c r="G629" s="34" t="str">
        <f t="shared" si="134"/>
        <v/>
      </c>
      <c r="H629" s="33"/>
      <c r="I629" s="33"/>
      <c r="J629" s="33"/>
      <c r="K629" s="29"/>
      <c r="L629" s="29"/>
      <c r="M629" s="35" t="str">
        <f t="shared" ca="1" si="135"/>
        <v/>
      </c>
      <c r="N629" s="46"/>
      <c r="O629" s="47"/>
    </row>
    <row r="630" spans="1:15" ht="15" customHeight="1">
      <c r="A630" s="67">
        <v>46258</v>
      </c>
      <c r="B630" s="25">
        <f t="shared" si="136"/>
        <v>0.62499999999999967</v>
      </c>
      <c r="C630" s="33"/>
      <c r="D630" s="62"/>
      <c r="E630" s="62"/>
      <c r="F630" s="27"/>
      <c r="G630" s="28" t="str">
        <f t="shared" si="134"/>
        <v/>
      </c>
      <c r="H630" s="26"/>
      <c r="I630" s="26"/>
      <c r="J630" s="26"/>
      <c r="K630" s="29"/>
      <c r="L630" s="29"/>
      <c r="M630" s="30" t="str">
        <f t="shared" ca="1" si="135"/>
        <v/>
      </c>
      <c r="N630" s="46"/>
      <c r="O630" s="47"/>
    </row>
    <row r="631" spans="1:15" ht="15" customHeight="1">
      <c r="A631" s="68">
        <v>46258</v>
      </c>
      <c r="B631" s="32">
        <f t="shared" si="136"/>
        <v>0.6666666666666663</v>
      </c>
      <c r="C631" s="33"/>
      <c r="D631" s="62"/>
      <c r="E631" s="62"/>
      <c r="F631" s="27"/>
      <c r="G631" s="34" t="str">
        <f t="shared" si="134"/>
        <v/>
      </c>
      <c r="H631" s="33"/>
      <c r="I631" s="33"/>
      <c r="J631" s="33"/>
      <c r="K631" s="29"/>
      <c r="L631" s="29"/>
      <c r="M631" s="35" t="str">
        <f t="shared" ca="1" si="135"/>
        <v/>
      </c>
      <c r="N631" s="46"/>
      <c r="O631" s="47"/>
    </row>
    <row r="632" spans="1:15" ht="15" customHeight="1">
      <c r="A632" s="67">
        <v>46258</v>
      </c>
      <c r="B632" s="25">
        <f t="shared" si="136"/>
        <v>0.70833333333333293</v>
      </c>
      <c r="C632" s="33"/>
      <c r="D632" s="62"/>
      <c r="E632" s="62"/>
      <c r="F632" s="27"/>
      <c r="G632" s="28" t="str">
        <f t="shared" si="134"/>
        <v/>
      </c>
      <c r="H632" s="26"/>
      <c r="I632" s="26"/>
      <c r="J632" s="26"/>
      <c r="K632" s="29"/>
      <c r="L632" s="29"/>
      <c r="M632" s="30" t="str">
        <f t="shared" ca="1" si="135"/>
        <v/>
      </c>
      <c r="N632" s="46"/>
      <c r="O632" s="47"/>
    </row>
    <row r="633" spans="1:15" ht="15" customHeight="1">
      <c r="A633" s="68">
        <v>46258</v>
      </c>
      <c r="B633" s="32">
        <f t="shared" si="136"/>
        <v>0.74999999999999956</v>
      </c>
      <c r="C633" s="33"/>
      <c r="D633" s="62"/>
      <c r="E633" s="62"/>
      <c r="F633" s="27"/>
      <c r="G633" s="34" t="str">
        <f t="shared" si="134"/>
        <v/>
      </c>
      <c r="H633" s="33"/>
      <c r="I633" s="33"/>
      <c r="J633" s="33"/>
      <c r="K633" s="29"/>
      <c r="L633" s="29"/>
      <c r="M633" s="35" t="str">
        <f t="shared" ca="1" si="135"/>
        <v/>
      </c>
      <c r="N633" s="46"/>
      <c r="O633" s="47"/>
    </row>
    <row r="634" spans="1:15" ht="15" customHeight="1">
      <c r="A634" s="67">
        <v>46258</v>
      </c>
      <c r="B634" s="25">
        <f t="shared" si="136"/>
        <v>0.79166666666666619</v>
      </c>
      <c r="C634" s="33"/>
      <c r="D634" s="62"/>
      <c r="E634" s="62"/>
      <c r="F634" s="27"/>
      <c r="G634" s="28" t="str">
        <f t="shared" si="134"/>
        <v/>
      </c>
      <c r="H634" s="26"/>
      <c r="I634" s="26"/>
      <c r="J634" s="26"/>
      <c r="K634" s="29"/>
      <c r="L634" s="29"/>
      <c r="M634" s="30" t="str">
        <f t="shared" ca="1" si="135"/>
        <v/>
      </c>
      <c r="N634" s="46"/>
      <c r="O634" s="47"/>
    </row>
    <row r="635" spans="1:15" ht="15.75" customHeight="1">
      <c r="A635" s="162" t="s">
        <v>246</v>
      </c>
      <c r="B635" s="163"/>
      <c r="C635" s="163"/>
      <c r="D635" s="163"/>
      <c r="E635" s="17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247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7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8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9">B636+TIME(0,60,0)</f>
        <v>0.87499999999999967</v>
      </c>
      <c r="C637" s="26"/>
      <c r="D637" s="59"/>
      <c r="E637" s="59"/>
      <c r="F637" s="27"/>
      <c r="G637" s="34" t="str">
        <f t="shared" si="137"/>
        <v/>
      </c>
      <c r="H637" s="33"/>
      <c r="I637" s="33"/>
      <c r="J637" s="33"/>
      <c r="K637" s="29"/>
      <c r="L637" s="29"/>
      <c r="M637" s="35" t="str">
        <f t="shared" ca="1" si="138"/>
        <v/>
      </c>
      <c r="N637" s="46"/>
      <c r="O637" s="47"/>
    </row>
    <row r="638" spans="1:15" ht="15" customHeight="1">
      <c r="A638" s="67">
        <v>46258</v>
      </c>
      <c r="B638" s="25">
        <f t="shared" si="139"/>
        <v>0.9166666666666663</v>
      </c>
      <c r="C638" s="26"/>
      <c r="D638" s="59"/>
      <c r="E638" s="59"/>
      <c r="F638" s="27"/>
      <c r="G638" s="28" t="str">
        <f t="shared" si="137"/>
        <v/>
      </c>
      <c r="H638" s="26"/>
      <c r="I638" s="26"/>
      <c r="J638" s="26"/>
      <c r="K638" s="29"/>
      <c r="L638" s="29"/>
      <c r="M638" s="30" t="str">
        <f t="shared" ca="1" si="138"/>
        <v/>
      </c>
      <c r="N638" s="46"/>
      <c r="O638" s="47"/>
    </row>
    <row r="639" spans="1:15" ht="15" customHeight="1">
      <c r="A639" s="68">
        <v>46258</v>
      </c>
      <c r="B639" s="32">
        <f t="shared" si="139"/>
        <v>0.95833333333333293</v>
      </c>
      <c r="C639" s="26"/>
      <c r="D639" s="59"/>
      <c r="E639" s="59"/>
      <c r="F639" s="27"/>
      <c r="G639" s="34" t="str">
        <f t="shared" si="137"/>
        <v/>
      </c>
      <c r="H639" s="33"/>
      <c r="I639" s="33"/>
      <c r="J639" s="33"/>
      <c r="K639" s="29"/>
      <c r="L639" s="29"/>
      <c r="M639" s="35" t="str">
        <f t="shared" ca="1" si="138"/>
        <v/>
      </c>
      <c r="N639" s="46"/>
      <c r="O639" s="47"/>
    </row>
    <row r="640" spans="1:15" ht="15" customHeight="1">
      <c r="A640" s="67">
        <v>46258</v>
      </c>
      <c r="B640" s="25">
        <f t="shared" si="139"/>
        <v>0.99999999999999956</v>
      </c>
      <c r="C640" s="26"/>
      <c r="D640" s="59"/>
      <c r="E640" s="59"/>
      <c r="F640" s="27"/>
      <c r="G640" s="28" t="str">
        <f t="shared" si="137"/>
        <v/>
      </c>
      <c r="H640" s="26"/>
      <c r="I640" s="26"/>
      <c r="J640" s="26"/>
      <c r="K640" s="29"/>
      <c r="L640" s="29"/>
      <c r="M640" s="30" t="str">
        <f t="shared" ca="1" si="138"/>
        <v/>
      </c>
      <c r="N640" s="46"/>
      <c r="O640" s="47"/>
    </row>
    <row r="641" spans="1:15" ht="15" customHeight="1">
      <c r="A641" s="68">
        <v>46258</v>
      </c>
      <c r="B641" s="32">
        <f t="shared" si="139"/>
        <v>1.0416666666666663</v>
      </c>
      <c r="C641" s="26"/>
      <c r="D641" s="59"/>
      <c r="E641" s="59"/>
      <c r="F641" s="27"/>
      <c r="G641" s="34" t="str">
        <f t="shared" si="137"/>
        <v/>
      </c>
      <c r="H641" s="33"/>
      <c r="I641" s="33"/>
      <c r="J641" s="33"/>
      <c r="K641" s="29"/>
      <c r="L641" s="29"/>
      <c r="M641" s="35" t="str">
        <f t="shared" ca="1" si="138"/>
        <v/>
      </c>
      <c r="N641" s="46"/>
      <c r="O641" s="47"/>
    </row>
    <row r="642" spans="1:15" ht="15" customHeight="1">
      <c r="A642" s="67">
        <v>46258</v>
      </c>
      <c r="B642" s="25">
        <f t="shared" si="139"/>
        <v>1.083333333333333</v>
      </c>
      <c r="C642" s="26"/>
      <c r="D642" s="59"/>
      <c r="E642" s="59"/>
      <c r="F642" s="27"/>
      <c r="G642" s="28" t="str">
        <f t="shared" si="137"/>
        <v/>
      </c>
      <c r="H642" s="26"/>
      <c r="I642" s="26"/>
      <c r="J642" s="26"/>
      <c r="K642" s="29"/>
      <c r="L642" s="29"/>
      <c r="M642" s="30" t="str">
        <f t="shared" ca="1" si="138"/>
        <v/>
      </c>
      <c r="N642" s="46"/>
      <c r="O642" s="47"/>
    </row>
    <row r="643" spans="1:15" ht="15" customHeight="1">
      <c r="A643" s="68">
        <v>46258</v>
      </c>
      <c r="B643" s="32">
        <f t="shared" si="139"/>
        <v>1.1249999999999998</v>
      </c>
      <c r="C643" s="26"/>
      <c r="D643" s="59"/>
      <c r="E643" s="59"/>
      <c r="F643" s="27"/>
      <c r="G643" s="34" t="str">
        <f t="shared" si="137"/>
        <v/>
      </c>
      <c r="H643" s="33"/>
      <c r="I643" s="33"/>
      <c r="J643" s="33"/>
      <c r="K643" s="29"/>
      <c r="L643" s="29"/>
      <c r="M643" s="35" t="str">
        <f t="shared" ca="1" si="138"/>
        <v/>
      </c>
      <c r="N643" s="46"/>
      <c r="O643" s="47"/>
    </row>
    <row r="644" spans="1:15" ht="15" customHeight="1">
      <c r="A644" s="67">
        <v>46258</v>
      </c>
      <c r="B644" s="25">
        <f t="shared" si="139"/>
        <v>1.1666666666666665</v>
      </c>
      <c r="C644" s="26"/>
      <c r="D644" s="59"/>
      <c r="E644" s="59"/>
      <c r="F644" s="27"/>
      <c r="G644" s="28" t="str">
        <f t="shared" si="137"/>
        <v/>
      </c>
      <c r="H644" s="26"/>
      <c r="I644" s="26"/>
      <c r="J644" s="26"/>
      <c r="K644" s="29"/>
      <c r="L644" s="29"/>
      <c r="M644" s="30" t="str">
        <f t="shared" ca="1" si="138"/>
        <v/>
      </c>
      <c r="N644" s="46"/>
      <c r="O644" s="47"/>
    </row>
    <row r="645" spans="1:15" ht="15" customHeight="1">
      <c r="A645" s="68">
        <v>46258</v>
      </c>
      <c r="B645" s="32">
        <f t="shared" si="139"/>
        <v>1.2083333333333333</v>
      </c>
      <c r="C645" s="26"/>
      <c r="D645" s="59"/>
      <c r="E645" s="59"/>
      <c r="F645" s="27"/>
      <c r="G645" s="34" t="str">
        <f t="shared" si="137"/>
        <v/>
      </c>
      <c r="H645" s="33"/>
      <c r="I645" s="33"/>
      <c r="J645" s="33"/>
      <c r="K645" s="29"/>
      <c r="L645" s="29"/>
      <c r="M645" s="35" t="str">
        <f t="shared" ca="1" si="138"/>
        <v/>
      </c>
      <c r="N645" s="46"/>
      <c r="O645" s="47"/>
    </row>
    <row r="646" spans="1:15" ht="15" customHeight="1">
      <c r="A646" s="67">
        <v>46258</v>
      </c>
      <c r="B646" s="25">
        <f t="shared" si="139"/>
        <v>1.25</v>
      </c>
      <c r="C646" s="26"/>
      <c r="D646" s="59"/>
      <c r="E646" s="59"/>
      <c r="F646" s="27"/>
      <c r="G646" s="28" t="str">
        <f t="shared" si="137"/>
        <v/>
      </c>
      <c r="H646" s="26"/>
      <c r="I646" s="26"/>
      <c r="J646" s="26"/>
      <c r="K646" s="29"/>
      <c r="L646" s="29"/>
      <c r="M646" s="30" t="str">
        <f t="shared" ca="1" si="138"/>
        <v/>
      </c>
      <c r="N646" s="46"/>
      <c r="O646" s="47"/>
    </row>
    <row r="647" spans="1:15" ht="15" customHeight="1">
      <c r="A647" s="68">
        <v>46258</v>
      </c>
      <c r="B647" s="32">
        <f t="shared" si="139"/>
        <v>1.2916666666666667</v>
      </c>
      <c r="C647" s="26"/>
      <c r="D647" s="59"/>
      <c r="E647" s="59"/>
      <c r="F647" s="27"/>
      <c r="G647" s="34" t="str">
        <f t="shared" si="137"/>
        <v/>
      </c>
      <c r="H647" s="33"/>
      <c r="I647" s="33"/>
      <c r="J647" s="33"/>
      <c r="K647" s="29"/>
      <c r="L647" s="29"/>
      <c r="M647" s="35" t="str">
        <f t="shared" ca="1" si="138"/>
        <v/>
      </c>
      <c r="N647" s="46"/>
      <c r="O647" s="47"/>
    </row>
    <row r="648" spans="1:15" ht="15.75" customHeight="1">
      <c r="A648" s="162" t="s">
        <v>249</v>
      </c>
      <c r="B648" s="163"/>
      <c r="C648" s="163"/>
      <c r="D648" s="163"/>
      <c r="E648" s="17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247</v>
      </c>
      <c r="O648" s="39"/>
    </row>
    <row r="649" spans="1:15" ht="18" customHeight="1">
      <c r="A649" s="160" t="s">
        <v>250</v>
      </c>
      <c r="B649" s="161"/>
      <c r="C649" s="161"/>
      <c r="D649" s="161"/>
      <c r="E649" s="17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251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0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1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2">B650+TIME(0,60,0)</f>
        <v>0.37499999999999967</v>
      </c>
      <c r="C651" s="26"/>
      <c r="D651" s="59"/>
      <c r="E651" s="59"/>
      <c r="F651" s="27"/>
      <c r="G651" s="34" t="str">
        <f t="shared" si="140"/>
        <v/>
      </c>
      <c r="H651" s="33"/>
      <c r="I651" s="33"/>
      <c r="J651" s="33"/>
      <c r="K651" s="29"/>
      <c r="L651" s="29"/>
      <c r="M651" s="35" t="str">
        <f t="shared" ca="1" si="141"/>
        <v/>
      </c>
      <c r="N651" s="46"/>
      <c r="O651" s="47"/>
    </row>
    <row r="652" spans="1:15" ht="15" customHeight="1">
      <c r="A652" s="67">
        <v>46259</v>
      </c>
      <c r="B652" s="25">
        <f t="shared" si="142"/>
        <v>0.41666666666666635</v>
      </c>
      <c r="C652" s="26"/>
      <c r="D652" s="59"/>
      <c r="E652" s="59"/>
      <c r="F652" s="27"/>
      <c r="G652" s="34" t="str">
        <f t="shared" si="140"/>
        <v/>
      </c>
      <c r="H652" s="26"/>
      <c r="I652" s="26"/>
      <c r="J652" s="26"/>
      <c r="K652" s="29"/>
      <c r="L652" s="29"/>
      <c r="M652" s="30" t="str">
        <f t="shared" ca="1" si="141"/>
        <v/>
      </c>
      <c r="N652" s="46"/>
      <c r="O652" s="47"/>
    </row>
    <row r="653" spans="1:15" ht="15" customHeight="1">
      <c r="A653" s="68">
        <v>46259</v>
      </c>
      <c r="B653" s="32">
        <f t="shared" si="142"/>
        <v>0.45833333333333304</v>
      </c>
      <c r="C653" s="26"/>
      <c r="D653" s="59"/>
      <c r="E653" s="59"/>
      <c r="F653" s="27"/>
      <c r="G653" s="34" t="str">
        <f t="shared" si="140"/>
        <v/>
      </c>
      <c r="H653" s="33"/>
      <c r="I653" s="33"/>
      <c r="J653" s="33"/>
      <c r="K653" s="29"/>
      <c r="L653" s="29"/>
      <c r="M653" s="35" t="str">
        <f t="shared" ca="1" si="141"/>
        <v/>
      </c>
      <c r="N653" s="46"/>
      <c r="O653" s="47"/>
    </row>
    <row r="654" spans="1:15" ht="15" customHeight="1">
      <c r="A654" s="67">
        <v>46259</v>
      </c>
      <c r="B654" s="25">
        <f t="shared" si="142"/>
        <v>0.49999999999999972</v>
      </c>
      <c r="C654" s="26"/>
      <c r="D654" s="59"/>
      <c r="E654" s="59"/>
      <c r="F654" s="27"/>
      <c r="G654" s="28" t="str">
        <f t="shared" si="140"/>
        <v/>
      </c>
      <c r="H654" s="26"/>
      <c r="I654" s="26"/>
      <c r="J654" s="26"/>
      <c r="K654" s="29"/>
      <c r="L654" s="29"/>
      <c r="M654" s="30" t="str">
        <f t="shared" ca="1" si="141"/>
        <v/>
      </c>
      <c r="N654" s="46"/>
      <c r="O654" s="47"/>
    </row>
    <row r="655" spans="1:15" ht="15" customHeight="1">
      <c r="A655" s="68">
        <v>46259</v>
      </c>
      <c r="B655" s="32">
        <f t="shared" si="142"/>
        <v>0.54166666666666641</v>
      </c>
      <c r="C655" s="26"/>
      <c r="D655" s="59"/>
      <c r="E655" s="59"/>
      <c r="F655" s="27"/>
      <c r="G655" s="34" t="str">
        <f t="shared" si="140"/>
        <v/>
      </c>
      <c r="H655" s="33"/>
      <c r="I655" s="33"/>
      <c r="J655" s="33"/>
      <c r="K655" s="29"/>
      <c r="L655" s="29"/>
      <c r="M655" s="35" t="str">
        <f t="shared" ca="1" si="141"/>
        <v/>
      </c>
      <c r="N655" s="46"/>
      <c r="O655" s="47"/>
    </row>
    <row r="656" spans="1:15" ht="15" customHeight="1">
      <c r="A656" s="67">
        <v>46259</v>
      </c>
      <c r="B656" s="25">
        <f t="shared" si="142"/>
        <v>0.58333333333333304</v>
      </c>
      <c r="C656" s="26"/>
      <c r="D656" s="59"/>
      <c r="E656" s="59"/>
      <c r="F656" s="27"/>
      <c r="G656" s="28" t="str">
        <f t="shared" si="140"/>
        <v/>
      </c>
      <c r="H656" s="26"/>
      <c r="I656" s="26"/>
      <c r="J656" s="26"/>
      <c r="K656" s="29"/>
      <c r="L656" s="29"/>
      <c r="M656" s="30" t="str">
        <f t="shared" ca="1" si="141"/>
        <v/>
      </c>
      <c r="N656" s="46"/>
      <c r="O656" s="47"/>
    </row>
    <row r="657" spans="1:15" ht="15" customHeight="1">
      <c r="A657" s="68">
        <v>46259</v>
      </c>
      <c r="B657" s="32">
        <f t="shared" si="142"/>
        <v>0.62499999999999967</v>
      </c>
      <c r="C657" s="26"/>
      <c r="D657" s="59"/>
      <c r="E657" s="59"/>
      <c r="F657" s="27"/>
      <c r="G657" s="34" t="str">
        <f t="shared" si="140"/>
        <v/>
      </c>
      <c r="H657" s="33"/>
      <c r="I657" s="33"/>
      <c r="J657" s="33"/>
      <c r="K657" s="29"/>
      <c r="L657" s="29"/>
      <c r="M657" s="35" t="str">
        <f t="shared" ca="1" si="141"/>
        <v/>
      </c>
      <c r="N657" s="46"/>
      <c r="O657" s="47"/>
    </row>
    <row r="658" spans="1:15" ht="15" customHeight="1">
      <c r="A658" s="67">
        <v>46259</v>
      </c>
      <c r="B658" s="25">
        <f t="shared" si="142"/>
        <v>0.6666666666666663</v>
      </c>
      <c r="C658" s="26"/>
      <c r="D658" s="59"/>
      <c r="E658" s="59"/>
      <c r="F658" s="27"/>
      <c r="G658" s="28" t="str">
        <f t="shared" si="140"/>
        <v/>
      </c>
      <c r="H658" s="26"/>
      <c r="I658" s="26"/>
      <c r="J658" s="26"/>
      <c r="K658" s="29"/>
      <c r="L658" s="29"/>
      <c r="M658" s="30" t="str">
        <f t="shared" ca="1" si="141"/>
        <v/>
      </c>
      <c r="N658" s="46"/>
      <c r="O658" s="47"/>
    </row>
    <row r="659" spans="1:15" ht="15" customHeight="1">
      <c r="A659" s="68">
        <v>46259</v>
      </c>
      <c r="B659" s="32">
        <f t="shared" si="142"/>
        <v>0.70833333333333293</v>
      </c>
      <c r="C659" s="26"/>
      <c r="D659" s="59"/>
      <c r="E659" s="59"/>
      <c r="F659" s="27"/>
      <c r="G659" s="34" t="str">
        <f t="shared" si="140"/>
        <v/>
      </c>
      <c r="H659" s="33"/>
      <c r="I659" s="33"/>
      <c r="J659" s="33"/>
      <c r="K659" s="29"/>
      <c r="L659" s="29"/>
      <c r="M659" s="35" t="str">
        <f t="shared" ca="1" si="141"/>
        <v/>
      </c>
      <c r="N659" s="46"/>
      <c r="O659" s="47"/>
    </row>
    <row r="660" spans="1:15" ht="15" customHeight="1">
      <c r="A660" s="67">
        <v>46259</v>
      </c>
      <c r="B660" s="25">
        <f t="shared" si="142"/>
        <v>0.74999999999999956</v>
      </c>
      <c r="C660" s="26"/>
      <c r="D660" s="59"/>
      <c r="E660" s="59"/>
      <c r="F660" s="27"/>
      <c r="G660" s="28" t="str">
        <f t="shared" si="140"/>
        <v/>
      </c>
      <c r="H660" s="26"/>
      <c r="I660" s="26"/>
      <c r="J660" s="26"/>
      <c r="K660" s="29"/>
      <c r="L660" s="29"/>
      <c r="M660" s="30" t="str">
        <f t="shared" ca="1" si="141"/>
        <v/>
      </c>
      <c r="N660" s="46"/>
      <c r="O660" s="47"/>
    </row>
    <row r="661" spans="1:15" ht="15" customHeight="1">
      <c r="A661" s="68">
        <v>46259</v>
      </c>
      <c r="B661" s="32">
        <f t="shared" si="142"/>
        <v>0.79166666666666619</v>
      </c>
      <c r="C661" s="26"/>
      <c r="D661" s="59"/>
      <c r="E661" s="59"/>
      <c r="F661" s="27"/>
      <c r="G661" s="34" t="str">
        <f t="shared" si="140"/>
        <v/>
      </c>
      <c r="H661" s="33"/>
      <c r="I661" s="33"/>
      <c r="J661" s="33"/>
      <c r="K661" s="29"/>
      <c r="L661" s="29"/>
      <c r="M661" s="35" t="str">
        <f t="shared" ca="1" si="141"/>
        <v/>
      </c>
      <c r="N661" s="46"/>
      <c r="O661" s="47"/>
    </row>
    <row r="662" spans="1:15" ht="15.75" customHeight="1">
      <c r="A662" s="162" t="s">
        <v>246</v>
      </c>
      <c r="B662" s="163"/>
      <c r="C662" s="163"/>
      <c r="D662" s="163"/>
      <c r="E662" s="17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247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3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4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5">B663+TIME(0,60,0)</f>
        <v>0.87499999999999967</v>
      </c>
      <c r="C664" s="33"/>
      <c r="D664" s="62"/>
      <c r="E664" s="62"/>
      <c r="F664" s="27"/>
      <c r="G664" s="28" t="str">
        <f t="shared" si="143"/>
        <v/>
      </c>
      <c r="H664" s="26"/>
      <c r="I664" s="26"/>
      <c r="J664" s="26"/>
      <c r="K664" s="29"/>
      <c r="L664" s="29"/>
      <c r="M664" s="30" t="str">
        <f t="shared" ca="1" si="144"/>
        <v/>
      </c>
      <c r="N664" s="46"/>
      <c r="O664" s="47"/>
    </row>
    <row r="665" spans="1:15" ht="15" customHeight="1">
      <c r="A665" s="68">
        <v>46259</v>
      </c>
      <c r="B665" s="32">
        <f t="shared" si="145"/>
        <v>0.9166666666666663</v>
      </c>
      <c r="C665" s="33"/>
      <c r="D665" s="62"/>
      <c r="E665" s="62"/>
      <c r="F665" s="27"/>
      <c r="G665" s="34" t="str">
        <f t="shared" si="143"/>
        <v/>
      </c>
      <c r="H665" s="33"/>
      <c r="I665" s="33"/>
      <c r="J665" s="33"/>
      <c r="K665" s="29"/>
      <c r="L665" s="29"/>
      <c r="M665" s="35" t="str">
        <f t="shared" ca="1" si="144"/>
        <v/>
      </c>
      <c r="N665" s="46"/>
      <c r="O665" s="47"/>
    </row>
    <row r="666" spans="1:15" ht="15" customHeight="1">
      <c r="A666" s="67">
        <v>46259</v>
      </c>
      <c r="B666" s="25">
        <f t="shared" si="145"/>
        <v>0.95833333333333293</v>
      </c>
      <c r="C666" s="33"/>
      <c r="D666" s="62"/>
      <c r="E666" s="62"/>
      <c r="F666" s="27"/>
      <c r="G666" s="28" t="str">
        <f t="shared" si="143"/>
        <v/>
      </c>
      <c r="H666" s="26"/>
      <c r="I666" s="26"/>
      <c r="J666" s="26"/>
      <c r="K666" s="29"/>
      <c r="L666" s="29"/>
      <c r="M666" s="30" t="str">
        <f t="shared" ca="1" si="144"/>
        <v/>
      </c>
      <c r="N666" s="46"/>
      <c r="O666" s="47"/>
    </row>
    <row r="667" spans="1:15" ht="15" customHeight="1">
      <c r="A667" s="68">
        <v>46259</v>
      </c>
      <c r="B667" s="32">
        <f t="shared" si="145"/>
        <v>0.99999999999999956</v>
      </c>
      <c r="C667" s="33"/>
      <c r="D667" s="62"/>
      <c r="E667" s="62"/>
      <c r="F667" s="27"/>
      <c r="G667" s="34" t="str">
        <f t="shared" si="143"/>
        <v/>
      </c>
      <c r="H667" s="33"/>
      <c r="I667" s="33"/>
      <c r="J667" s="33"/>
      <c r="K667" s="29"/>
      <c r="L667" s="29"/>
      <c r="M667" s="35" t="str">
        <f t="shared" ca="1" si="144"/>
        <v/>
      </c>
      <c r="N667" s="46"/>
      <c r="O667" s="47"/>
    </row>
    <row r="668" spans="1:15" ht="15" customHeight="1">
      <c r="A668" s="67">
        <v>46259</v>
      </c>
      <c r="B668" s="25">
        <f t="shared" si="145"/>
        <v>1.0416666666666663</v>
      </c>
      <c r="C668" s="33"/>
      <c r="D668" s="62"/>
      <c r="E668" s="62"/>
      <c r="F668" s="27"/>
      <c r="G668" s="28" t="str">
        <f t="shared" si="143"/>
        <v/>
      </c>
      <c r="H668" s="26"/>
      <c r="I668" s="26"/>
      <c r="J668" s="26"/>
      <c r="K668" s="29"/>
      <c r="L668" s="29"/>
      <c r="M668" s="30" t="str">
        <f t="shared" ca="1" si="144"/>
        <v/>
      </c>
      <c r="N668" s="46"/>
      <c r="O668" s="47"/>
    </row>
    <row r="669" spans="1:15" ht="15" customHeight="1">
      <c r="A669" s="68">
        <v>46259</v>
      </c>
      <c r="B669" s="32">
        <f t="shared" si="145"/>
        <v>1.083333333333333</v>
      </c>
      <c r="C669" s="33"/>
      <c r="D669" s="62"/>
      <c r="E669" s="62"/>
      <c r="F669" s="27"/>
      <c r="G669" s="34" t="str">
        <f t="shared" si="143"/>
        <v/>
      </c>
      <c r="H669" s="33"/>
      <c r="I669" s="33"/>
      <c r="J669" s="33"/>
      <c r="K669" s="29"/>
      <c r="L669" s="29"/>
      <c r="M669" s="35" t="str">
        <f t="shared" ca="1" si="144"/>
        <v/>
      </c>
      <c r="N669" s="46"/>
      <c r="O669" s="47"/>
    </row>
    <row r="670" spans="1:15" ht="15" customHeight="1">
      <c r="A670" s="67">
        <v>46259</v>
      </c>
      <c r="B670" s="25">
        <f t="shared" si="145"/>
        <v>1.1249999999999998</v>
      </c>
      <c r="C670" s="33"/>
      <c r="D670" s="62"/>
      <c r="E670" s="62"/>
      <c r="F670" s="27"/>
      <c r="G670" s="28" t="str">
        <f t="shared" si="143"/>
        <v/>
      </c>
      <c r="H670" s="26"/>
      <c r="I670" s="26"/>
      <c r="J670" s="26"/>
      <c r="K670" s="29"/>
      <c r="L670" s="29"/>
      <c r="M670" s="30" t="str">
        <f t="shared" ca="1" si="144"/>
        <v/>
      </c>
      <c r="N670" s="46"/>
      <c r="O670" s="47"/>
    </row>
    <row r="671" spans="1:15" ht="15" customHeight="1">
      <c r="A671" s="68">
        <v>46259</v>
      </c>
      <c r="B671" s="32">
        <f t="shared" si="145"/>
        <v>1.1666666666666665</v>
      </c>
      <c r="C671" s="33"/>
      <c r="D671" s="62"/>
      <c r="E671" s="62"/>
      <c r="F671" s="27"/>
      <c r="G671" s="34" t="str">
        <f t="shared" si="143"/>
        <v/>
      </c>
      <c r="H671" s="33"/>
      <c r="I671" s="33"/>
      <c r="J671" s="33"/>
      <c r="K671" s="29"/>
      <c r="L671" s="29"/>
      <c r="M671" s="35" t="str">
        <f t="shared" ca="1" si="144"/>
        <v/>
      </c>
      <c r="N671" s="46"/>
      <c r="O671" s="47"/>
    </row>
    <row r="672" spans="1:15" ht="15" customHeight="1">
      <c r="A672" s="67">
        <v>46259</v>
      </c>
      <c r="B672" s="25">
        <f t="shared" si="145"/>
        <v>1.2083333333333333</v>
      </c>
      <c r="C672" s="33"/>
      <c r="D672" s="62"/>
      <c r="E672" s="62"/>
      <c r="F672" s="27"/>
      <c r="G672" s="28" t="str">
        <f t="shared" si="143"/>
        <v/>
      </c>
      <c r="H672" s="26"/>
      <c r="I672" s="26"/>
      <c r="J672" s="26"/>
      <c r="K672" s="29"/>
      <c r="L672" s="29"/>
      <c r="M672" s="30" t="str">
        <f t="shared" ca="1" si="144"/>
        <v/>
      </c>
      <c r="N672" s="46"/>
      <c r="O672" s="47"/>
    </row>
    <row r="673" spans="1:15" ht="15" customHeight="1">
      <c r="A673" s="68">
        <v>46259</v>
      </c>
      <c r="B673" s="32">
        <f t="shared" si="145"/>
        <v>1.25</v>
      </c>
      <c r="C673" s="33"/>
      <c r="D673" s="62"/>
      <c r="E673" s="62"/>
      <c r="F673" s="27"/>
      <c r="G673" s="34" t="str">
        <f t="shared" si="143"/>
        <v/>
      </c>
      <c r="H673" s="33"/>
      <c r="I673" s="33"/>
      <c r="J673" s="33"/>
      <c r="K673" s="29"/>
      <c r="L673" s="29"/>
      <c r="M673" s="35" t="str">
        <f t="shared" ca="1" si="144"/>
        <v/>
      </c>
      <c r="N673" s="46"/>
      <c r="O673" s="47"/>
    </row>
    <row r="674" spans="1:15" ht="15" customHeight="1">
      <c r="A674" s="67">
        <v>46259</v>
      </c>
      <c r="B674" s="25">
        <f t="shared" si="145"/>
        <v>1.2916666666666667</v>
      </c>
      <c r="C674" s="26"/>
      <c r="D674" s="59"/>
      <c r="E674" s="59"/>
      <c r="F674" s="27"/>
      <c r="G674" s="28" t="str">
        <f t="shared" si="143"/>
        <v/>
      </c>
      <c r="H674" s="26"/>
      <c r="I674" s="26"/>
      <c r="J674" s="26"/>
      <c r="K674" s="29"/>
      <c r="L674" s="29"/>
      <c r="M674" s="30" t="str">
        <f t="shared" ca="1" si="144"/>
        <v/>
      </c>
      <c r="N674" s="46"/>
      <c r="O674" s="47"/>
    </row>
    <row r="675" spans="1:15" ht="15.75" customHeight="1">
      <c r="A675" s="162" t="s">
        <v>249</v>
      </c>
      <c r="B675" s="163"/>
      <c r="C675" s="163"/>
      <c r="D675" s="163"/>
      <c r="E675" s="17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247</v>
      </c>
      <c r="O675" s="39"/>
    </row>
    <row r="676" spans="1:15" ht="18" customHeight="1">
      <c r="A676" s="160" t="s">
        <v>250</v>
      </c>
      <c r="B676" s="161"/>
      <c r="C676" s="161"/>
      <c r="D676" s="161"/>
      <c r="E676" s="17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251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6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7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8">B677+TIME(0,60,0)</f>
        <v>0.37499999999999967</v>
      </c>
      <c r="C678" s="33"/>
      <c r="D678" s="62"/>
      <c r="E678" s="62"/>
      <c r="F678" s="27"/>
      <c r="G678" s="28" t="str">
        <f t="shared" si="146"/>
        <v/>
      </c>
      <c r="H678" s="26"/>
      <c r="I678" s="26"/>
      <c r="J678" s="26"/>
      <c r="K678" s="29"/>
      <c r="L678" s="29"/>
      <c r="M678" s="30" t="str">
        <f t="shared" ca="1" si="147"/>
        <v/>
      </c>
      <c r="N678" s="46"/>
      <c r="O678" s="47"/>
    </row>
    <row r="679" spans="1:15" ht="15" customHeight="1">
      <c r="A679" s="68">
        <v>46260</v>
      </c>
      <c r="B679" s="32">
        <f t="shared" si="148"/>
        <v>0.41666666666666635</v>
      </c>
      <c r="C679" s="33"/>
      <c r="D679" s="62"/>
      <c r="E679" s="62"/>
      <c r="F679" s="27"/>
      <c r="G679" s="34" t="str">
        <f t="shared" si="146"/>
        <v/>
      </c>
      <c r="H679" s="33"/>
      <c r="I679" s="33"/>
      <c r="J679" s="33"/>
      <c r="K679" s="29"/>
      <c r="L679" s="29"/>
      <c r="M679" s="35" t="str">
        <f t="shared" ca="1" si="147"/>
        <v/>
      </c>
      <c r="N679" s="46"/>
      <c r="O679" s="47"/>
    </row>
    <row r="680" spans="1:15" ht="15" customHeight="1">
      <c r="A680" s="67">
        <v>46260</v>
      </c>
      <c r="B680" s="25">
        <f t="shared" si="148"/>
        <v>0.45833333333333304</v>
      </c>
      <c r="C680" s="33"/>
      <c r="D680" s="62"/>
      <c r="E680" s="62"/>
      <c r="F680" s="27"/>
      <c r="G680" s="28" t="str">
        <f t="shared" si="146"/>
        <v/>
      </c>
      <c r="H680" s="26"/>
      <c r="I680" s="26"/>
      <c r="J680" s="26"/>
      <c r="K680" s="29"/>
      <c r="L680" s="29"/>
      <c r="M680" s="30" t="str">
        <f t="shared" ca="1" si="147"/>
        <v/>
      </c>
      <c r="N680" s="46"/>
      <c r="O680" s="47"/>
    </row>
    <row r="681" spans="1:15" ht="15" customHeight="1">
      <c r="A681" s="68">
        <v>46260</v>
      </c>
      <c r="B681" s="32">
        <f t="shared" si="148"/>
        <v>0.49999999999999972</v>
      </c>
      <c r="C681" s="33"/>
      <c r="D681" s="62"/>
      <c r="E681" s="62"/>
      <c r="F681" s="27"/>
      <c r="G681" s="34" t="str">
        <f t="shared" si="146"/>
        <v/>
      </c>
      <c r="H681" s="33"/>
      <c r="I681" s="33"/>
      <c r="J681" s="33"/>
      <c r="K681" s="29"/>
      <c r="L681" s="29"/>
      <c r="M681" s="35" t="str">
        <f t="shared" ca="1" si="147"/>
        <v/>
      </c>
      <c r="N681" s="46"/>
      <c r="O681" s="47"/>
    </row>
    <row r="682" spans="1:15" ht="15" customHeight="1">
      <c r="A682" s="67">
        <v>46260</v>
      </c>
      <c r="B682" s="25">
        <f t="shared" si="148"/>
        <v>0.54166666666666641</v>
      </c>
      <c r="C682" s="33"/>
      <c r="D682" s="62"/>
      <c r="E682" s="62"/>
      <c r="F682" s="27"/>
      <c r="G682" s="28" t="str">
        <f t="shared" si="146"/>
        <v/>
      </c>
      <c r="H682" s="26"/>
      <c r="I682" s="26"/>
      <c r="J682" s="26"/>
      <c r="K682" s="29"/>
      <c r="L682" s="29"/>
      <c r="M682" s="30" t="str">
        <f t="shared" ca="1" si="147"/>
        <v/>
      </c>
      <c r="N682" s="46"/>
      <c r="O682" s="47"/>
    </row>
    <row r="683" spans="1:15" ht="15" customHeight="1">
      <c r="A683" s="68">
        <v>46260</v>
      </c>
      <c r="B683" s="32">
        <f t="shared" si="148"/>
        <v>0.58333333333333304</v>
      </c>
      <c r="C683" s="33"/>
      <c r="D683" s="62"/>
      <c r="E683" s="62"/>
      <c r="F683" s="27"/>
      <c r="G683" s="34" t="str">
        <f t="shared" si="146"/>
        <v/>
      </c>
      <c r="H683" s="33"/>
      <c r="I683" s="33"/>
      <c r="J683" s="33"/>
      <c r="K683" s="29"/>
      <c r="L683" s="29"/>
      <c r="M683" s="35" t="str">
        <f t="shared" ca="1" si="147"/>
        <v/>
      </c>
      <c r="N683" s="46"/>
      <c r="O683" s="47"/>
    </row>
    <row r="684" spans="1:15" ht="15" customHeight="1">
      <c r="A684" s="67">
        <v>46260</v>
      </c>
      <c r="B684" s="25">
        <f t="shared" si="148"/>
        <v>0.62499999999999967</v>
      </c>
      <c r="C684" s="33"/>
      <c r="D684" s="62"/>
      <c r="E684" s="62"/>
      <c r="F684" s="27"/>
      <c r="G684" s="28" t="str">
        <f t="shared" si="146"/>
        <v/>
      </c>
      <c r="H684" s="26"/>
      <c r="I684" s="26"/>
      <c r="J684" s="26"/>
      <c r="K684" s="29"/>
      <c r="L684" s="29"/>
      <c r="M684" s="30" t="str">
        <f t="shared" ca="1" si="147"/>
        <v/>
      </c>
      <c r="N684" s="46"/>
      <c r="O684" s="47"/>
    </row>
    <row r="685" spans="1:15" ht="15" customHeight="1">
      <c r="A685" s="68">
        <v>46260</v>
      </c>
      <c r="B685" s="32">
        <f t="shared" si="148"/>
        <v>0.6666666666666663</v>
      </c>
      <c r="C685" s="33"/>
      <c r="D685" s="62"/>
      <c r="E685" s="62"/>
      <c r="F685" s="27"/>
      <c r="G685" s="34" t="str">
        <f t="shared" si="146"/>
        <v/>
      </c>
      <c r="H685" s="33"/>
      <c r="I685" s="33"/>
      <c r="J685" s="33"/>
      <c r="K685" s="29"/>
      <c r="L685" s="29"/>
      <c r="M685" s="35" t="str">
        <f t="shared" ca="1" si="147"/>
        <v/>
      </c>
      <c r="N685" s="46"/>
      <c r="O685" s="47"/>
    </row>
    <row r="686" spans="1:15" ht="15" customHeight="1">
      <c r="A686" s="67">
        <v>46260</v>
      </c>
      <c r="B686" s="25">
        <f t="shared" si="148"/>
        <v>0.70833333333333293</v>
      </c>
      <c r="C686" s="33"/>
      <c r="D686" s="62"/>
      <c r="E686" s="62"/>
      <c r="F686" s="27"/>
      <c r="G686" s="28" t="str">
        <f t="shared" si="146"/>
        <v/>
      </c>
      <c r="H686" s="26"/>
      <c r="I686" s="26"/>
      <c r="J686" s="26"/>
      <c r="K686" s="29"/>
      <c r="L686" s="29"/>
      <c r="M686" s="30" t="str">
        <f t="shared" ca="1" si="147"/>
        <v/>
      </c>
      <c r="N686" s="46"/>
      <c r="O686" s="47"/>
    </row>
    <row r="687" spans="1:15" ht="15" customHeight="1">
      <c r="A687" s="68">
        <v>46260</v>
      </c>
      <c r="B687" s="32">
        <f t="shared" si="148"/>
        <v>0.74999999999999956</v>
      </c>
      <c r="C687" s="33"/>
      <c r="D687" s="62"/>
      <c r="E687" s="62"/>
      <c r="F687" s="27"/>
      <c r="G687" s="34" t="str">
        <f t="shared" si="146"/>
        <v/>
      </c>
      <c r="H687" s="33"/>
      <c r="I687" s="33"/>
      <c r="J687" s="33"/>
      <c r="K687" s="29"/>
      <c r="L687" s="29"/>
      <c r="M687" s="35" t="str">
        <f t="shared" ca="1" si="147"/>
        <v/>
      </c>
      <c r="N687" s="46"/>
      <c r="O687" s="47"/>
    </row>
    <row r="688" spans="1:15" ht="15" customHeight="1">
      <c r="A688" s="67">
        <v>46260</v>
      </c>
      <c r="B688" s="25">
        <f t="shared" si="148"/>
        <v>0.79166666666666619</v>
      </c>
      <c r="C688" s="33"/>
      <c r="D688" s="62"/>
      <c r="E688" s="62"/>
      <c r="F688" s="27"/>
      <c r="G688" s="28" t="str">
        <f t="shared" si="146"/>
        <v/>
      </c>
      <c r="H688" s="26"/>
      <c r="I688" s="26"/>
      <c r="J688" s="26"/>
      <c r="K688" s="29"/>
      <c r="L688" s="29"/>
      <c r="M688" s="30" t="str">
        <f t="shared" ca="1" si="147"/>
        <v/>
      </c>
      <c r="N688" s="46"/>
      <c r="O688" s="47"/>
    </row>
    <row r="689" spans="1:15" ht="15.75" customHeight="1">
      <c r="A689" s="162" t="s">
        <v>246</v>
      </c>
      <c r="B689" s="163"/>
      <c r="C689" s="163"/>
      <c r="D689" s="163"/>
      <c r="E689" s="17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247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9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0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1">B690+TIME(0,60,0)</f>
        <v>0.87499999999999967</v>
      </c>
      <c r="C691" s="26"/>
      <c r="D691" s="59"/>
      <c r="E691" s="59"/>
      <c r="F691" s="27"/>
      <c r="G691" s="34" t="str">
        <f t="shared" si="149"/>
        <v/>
      </c>
      <c r="H691" s="33"/>
      <c r="I691" s="33"/>
      <c r="J691" s="33"/>
      <c r="K691" s="29"/>
      <c r="L691" s="29"/>
      <c r="M691" s="35" t="str">
        <f t="shared" ca="1" si="150"/>
        <v/>
      </c>
      <c r="N691" s="46"/>
      <c r="O691" s="47"/>
    </row>
    <row r="692" spans="1:15" ht="15" customHeight="1">
      <c r="A692" s="67">
        <v>46260</v>
      </c>
      <c r="B692" s="25">
        <f t="shared" si="151"/>
        <v>0.9166666666666663</v>
      </c>
      <c r="C692" s="26"/>
      <c r="D692" s="59"/>
      <c r="E692" s="59"/>
      <c r="F692" s="27"/>
      <c r="G692" s="28" t="str">
        <f t="shared" si="149"/>
        <v/>
      </c>
      <c r="H692" s="26"/>
      <c r="I692" s="26"/>
      <c r="J692" s="26"/>
      <c r="K692" s="29"/>
      <c r="L692" s="29"/>
      <c r="M692" s="30" t="str">
        <f t="shared" ca="1" si="150"/>
        <v/>
      </c>
      <c r="N692" s="46"/>
      <c r="O692" s="47"/>
    </row>
    <row r="693" spans="1:15" ht="15" customHeight="1">
      <c r="A693" s="68">
        <v>46260</v>
      </c>
      <c r="B693" s="32">
        <f t="shared" si="151"/>
        <v>0.95833333333333293</v>
      </c>
      <c r="C693" s="26"/>
      <c r="D693" s="59"/>
      <c r="E693" s="59"/>
      <c r="F693" s="27"/>
      <c r="G693" s="34" t="str">
        <f t="shared" si="149"/>
        <v/>
      </c>
      <c r="H693" s="33"/>
      <c r="I693" s="33"/>
      <c r="J693" s="33"/>
      <c r="K693" s="29"/>
      <c r="L693" s="29"/>
      <c r="M693" s="35" t="str">
        <f t="shared" ca="1" si="150"/>
        <v/>
      </c>
      <c r="N693" s="46"/>
      <c r="O693" s="47"/>
    </row>
    <row r="694" spans="1:15" ht="15" customHeight="1">
      <c r="A694" s="67">
        <v>46260</v>
      </c>
      <c r="B694" s="25">
        <f t="shared" si="151"/>
        <v>0.99999999999999956</v>
      </c>
      <c r="C694" s="26"/>
      <c r="D694" s="59"/>
      <c r="E694" s="59"/>
      <c r="F694" s="27"/>
      <c r="G694" s="28" t="str">
        <f t="shared" si="149"/>
        <v/>
      </c>
      <c r="H694" s="26"/>
      <c r="I694" s="26"/>
      <c r="J694" s="26"/>
      <c r="K694" s="29"/>
      <c r="L694" s="29"/>
      <c r="M694" s="30" t="str">
        <f t="shared" ca="1" si="150"/>
        <v/>
      </c>
      <c r="N694" s="46"/>
      <c r="O694" s="47"/>
    </row>
    <row r="695" spans="1:15" ht="15" customHeight="1">
      <c r="A695" s="68">
        <v>46260</v>
      </c>
      <c r="B695" s="32">
        <f t="shared" si="151"/>
        <v>1.0416666666666663</v>
      </c>
      <c r="C695" s="26"/>
      <c r="D695" s="59"/>
      <c r="E695" s="59"/>
      <c r="F695" s="27"/>
      <c r="G695" s="34" t="str">
        <f t="shared" si="149"/>
        <v/>
      </c>
      <c r="H695" s="33"/>
      <c r="I695" s="33"/>
      <c r="J695" s="33"/>
      <c r="K695" s="29"/>
      <c r="L695" s="29"/>
      <c r="M695" s="35" t="str">
        <f t="shared" ca="1" si="150"/>
        <v/>
      </c>
      <c r="N695" s="46"/>
      <c r="O695" s="47"/>
    </row>
    <row r="696" spans="1:15" ht="15" customHeight="1">
      <c r="A696" s="67">
        <v>46260</v>
      </c>
      <c r="B696" s="25">
        <f t="shared" si="151"/>
        <v>1.083333333333333</v>
      </c>
      <c r="C696" s="26"/>
      <c r="D696" s="59"/>
      <c r="E696" s="59"/>
      <c r="F696" s="27"/>
      <c r="G696" s="28" t="str">
        <f t="shared" si="149"/>
        <v/>
      </c>
      <c r="H696" s="26"/>
      <c r="I696" s="26"/>
      <c r="J696" s="26"/>
      <c r="K696" s="29"/>
      <c r="L696" s="29"/>
      <c r="M696" s="30" t="str">
        <f t="shared" ca="1" si="150"/>
        <v/>
      </c>
      <c r="N696" s="46"/>
      <c r="O696" s="47"/>
    </row>
    <row r="697" spans="1:15" ht="15" customHeight="1">
      <c r="A697" s="68">
        <v>46260</v>
      </c>
      <c r="B697" s="32">
        <f t="shared" si="151"/>
        <v>1.1249999999999998</v>
      </c>
      <c r="C697" s="26"/>
      <c r="D697" s="59"/>
      <c r="E697" s="59"/>
      <c r="F697" s="27"/>
      <c r="G697" s="34" t="str">
        <f t="shared" si="149"/>
        <v/>
      </c>
      <c r="H697" s="33"/>
      <c r="I697" s="33"/>
      <c r="J697" s="33"/>
      <c r="K697" s="29"/>
      <c r="L697" s="29"/>
      <c r="M697" s="35" t="str">
        <f t="shared" ca="1" si="150"/>
        <v/>
      </c>
      <c r="N697" s="46"/>
      <c r="O697" s="47"/>
    </row>
    <row r="698" spans="1:15" ht="15" customHeight="1">
      <c r="A698" s="67">
        <v>46260</v>
      </c>
      <c r="B698" s="25">
        <f t="shared" si="151"/>
        <v>1.1666666666666665</v>
      </c>
      <c r="C698" s="26"/>
      <c r="D698" s="59"/>
      <c r="E698" s="59"/>
      <c r="F698" s="27"/>
      <c r="G698" s="28" t="str">
        <f t="shared" si="149"/>
        <v/>
      </c>
      <c r="H698" s="26"/>
      <c r="I698" s="26"/>
      <c r="J698" s="26"/>
      <c r="K698" s="29"/>
      <c r="L698" s="29"/>
      <c r="M698" s="30" t="str">
        <f t="shared" ca="1" si="150"/>
        <v/>
      </c>
      <c r="N698" s="46"/>
      <c r="O698" s="47"/>
    </row>
    <row r="699" spans="1:15" ht="15" customHeight="1">
      <c r="A699" s="68">
        <v>46260</v>
      </c>
      <c r="B699" s="32">
        <f t="shared" si="151"/>
        <v>1.2083333333333333</v>
      </c>
      <c r="C699" s="26"/>
      <c r="D699" s="59"/>
      <c r="E699" s="59"/>
      <c r="F699" s="27"/>
      <c r="G699" s="34" t="str">
        <f t="shared" si="149"/>
        <v/>
      </c>
      <c r="H699" s="33"/>
      <c r="I699" s="33"/>
      <c r="J699" s="33"/>
      <c r="K699" s="29"/>
      <c r="L699" s="29"/>
      <c r="M699" s="35" t="str">
        <f t="shared" ca="1" si="150"/>
        <v/>
      </c>
      <c r="N699" s="46"/>
      <c r="O699" s="47"/>
    </row>
    <row r="700" spans="1:15" ht="15" customHeight="1">
      <c r="A700" s="67">
        <v>46260</v>
      </c>
      <c r="B700" s="25">
        <f t="shared" si="151"/>
        <v>1.25</v>
      </c>
      <c r="C700" s="26"/>
      <c r="D700" s="59"/>
      <c r="E700" s="59"/>
      <c r="F700" s="27"/>
      <c r="G700" s="28" t="str">
        <f t="shared" si="149"/>
        <v/>
      </c>
      <c r="H700" s="26"/>
      <c r="I700" s="26"/>
      <c r="J700" s="26"/>
      <c r="K700" s="29"/>
      <c r="L700" s="29"/>
      <c r="M700" s="30" t="str">
        <f t="shared" ca="1" si="150"/>
        <v/>
      </c>
      <c r="N700" s="46"/>
      <c r="O700" s="47"/>
    </row>
    <row r="701" spans="1:15" ht="15" customHeight="1">
      <c r="A701" s="68">
        <v>46260</v>
      </c>
      <c r="B701" s="32">
        <f t="shared" si="151"/>
        <v>1.2916666666666667</v>
      </c>
      <c r="C701" s="26"/>
      <c r="D701" s="59"/>
      <c r="E701" s="59"/>
      <c r="F701" s="27"/>
      <c r="G701" s="34" t="str">
        <f t="shared" si="149"/>
        <v/>
      </c>
      <c r="H701" s="33"/>
      <c r="I701" s="33"/>
      <c r="J701" s="33"/>
      <c r="K701" s="29"/>
      <c r="L701" s="29"/>
      <c r="M701" s="35" t="str">
        <f t="shared" ca="1" si="150"/>
        <v/>
      </c>
      <c r="N701" s="46"/>
      <c r="O701" s="47"/>
    </row>
    <row r="702" spans="1:15" ht="15.75" customHeight="1">
      <c r="A702" s="162" t="s">
        <v>249</v>
      </c>
      <c r="B702" s="163"/>
      <c r="C702" s="163"/>
      <c r="D702" s="163"/>
      <c r="E702" s="17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247</v>
      </c>
      <c r="O702" s="39"/>
    </row>
    <row r="703" spans="1:15" ht="18" customHeight="1">
      <c r="A703" s="160" t="s">
        <v>250</v>
      </c>
      <c r="B703" s="161"/>
      <c r="C703" s="161"/>
      <c r="D703" s="161"/>
      <c r="E703" s="17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251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2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3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4">B704+TIME(0,60,0)</f>
        <v>0.37499999999999967</v>
      </c>
      <c r="C705" s="26"/>
      <c r="D705" s="59"/>
      <c r="E705" s="59"/>
      <c r="F705" s="27"/>
      <c r="G705" s="34" t="str">
        <f t="shared" si="152"/>
        <v/>
      </c>
      <c r="H705" s="33"/>
      <c r="I705" s="33"/>
      <c r="J705" s="33"/>
      <c r="K705" s="29"/>
      <c r="L705" s="29"/>
      <c r="M705" s="35" t="str">
        <f t="shared" ca="1" si="153"/>
        <v/>
      </c>
      <c r="N705" s="46"/>
      <c r="O705" s="47"/>
    </row>
    <row r="706" spans="1:15" ht="15" customHeight="1">
      <c r="A706" s="67">
        <v>46261</v>
      </c>
      <c r="B706" s="25">
        <f t="shared" si="154"/>
        <v>0.41666666666666635</v>
      </c>
      <c r="C706" s="26"/>
      <c r="D706" s="59"/>
      <c r="E706" s="59"/>
      <c r="F706" s="27"/>
      <c r="G706" s="28" t="str">
        <f t="shared" si="152"/>
        <v/>
      </c>
      <c r="H706" s="26"/>
      <c r="I706" s="26"/>
      <c r="J706" s="26"/>
      <c r="K706" s="29"/>
      <c r="L706" s="29"/>
      <c r="M706" s="30" t="str">
        <f t="shared" ca="1" si="153"/>
        <v/>
      </c>
      <c r="N706" s="46"/>
      <c r="O706" s="47"/>
    </row>
    <row r="707" spans="1:15" ht="15" customHeight="1">
      <c r="A707" s="68">
        <v>46261</v>
      </c>
      <c r="B707" s="32">
        <f t="shared" si="154"/>
        <v>0.45833333333333304</v>
      </c>
      <c r="C707" s="26"/>
      <c r="D707" s="59"/>
      <c r="E707" s="59"/>
      <c r="F707" s="27"/>
      <c r="G707" s="34" t="str">
        <f t="shared" si="152"/>
        <v/>
      </c>
      <c r="H707" s="33"/>
      <c r="I707" s="33"/>
      <c r="J707" s="33"/>
      <c r="K707" s="29"/>
      <c r="L707" s="29"/>
      <c r="M707" s="35" t="str">
        <f t="shared" ca="1" si="153"/>
        <v/>
      </c>
      <c r="N707" s="46"/>
      <c r="O707" s="47"/>
    </row>
    <row r="708" spans="1:15" ht="15" customHeight="1">
      <c r="A708" s="67">
        <v>46261</v>
      </c>
      <c r="B708" s="25">
        <f t="shared" si="154"/>
        <v>0.49999999999999972</v>
      </c>
      <c r="C708" s="26"/>
      <c r="D708" s="59"/>
      <c r="E708" s="59"/>
      <c r="F708" s="27"/>
      <c r="G708" s="28" t="str">
        <f t="shared" si="152"/>
        <v/>
      </c>
      <c r="H708" s="26"/>
      <c r="I708" s="26"/>
      <c r="J708" s="26"/>
      <c r="K708" s="29"/>
      <c r="L708" s="29"/>
      <c r="M708" s="30" t="str">
        <f t="shared" ca="1" si="153"/>
        <v/>
      </c>
      <c r="N708" s="46"/>
      <c r="O708" s="47"/>
    </row>
    <row r="709" spans="1:15" ht="15" customHeight="1">
      <c r="A709" s="68">
        <v>46261</v>
      </c>
      <c r="B709" s="32">
        <f t="shared" si="154"/>
        <v>0.54166666666666641</v>
      </c>
      <c r="C709" s="26"/>
      <c r="D709" s="59"/>
      <c r="E709" s="59"/>
      <c r="F709" s="27"/>
      <c r="G709" s="34" t="str">
        <f t="shared" si="152"/>
        <v/>
      </c>
      <c r="H709" s="33"/>
      <c r="I709" s="33"/>
      <c r="J709" s="33"/>
      <c r="K709" s="29"/>
      <c r="L709" s="29"/>
      <c r="M709" s="35" t="str">
        <f t="shared" ca="1" si="153"/>
        <v/>
      </c>
      <c r="N709" s="46"/>
      <c r="O709" s="47"/>
    </row>
    <row r="710" spans="1:15" ht="15" customHeight="1">
      <c r="A710" s="67">
        <v>46261</v>
      </c>
      <c r="B710" s="25">
        <f t="shared" si="154"/>
        <v>0.58333333333333304</v>
      </c>
      <c r="C710" s="26"/>
      <c r="D710" s="59"/>
      <c r="E710" s="59"/>
      <c r="F710" s="27"/>
      <c r="G710" s="28" t="str">
        <f t="shared" si="152"/>
        <v/>
      </c>
      <c r="H710" s="26"/>
      <c r="I710" s="26"/>
      <c r="J710" s="26"/>
      <c r="K710" s="29"/>
      <c r="L710" s="29"/>
      <c r="M710" s="30" t="str">
        <f t="shared" ca="1" si="153"/>
        <v/>
      </c>
      <c r="N710" s="46"/>
      <c r="O710" s="47"/>
    </row>
    <row r="711" spans="1:15" ht="15" customHeight="1">
      <c r="A711" s="68">
        <v>46261</v>
      </c>
      <c r="B711" s="32">
        <f t="shared" si="154"/>
        <v>0.62499999999999967</v>
      </c>
      <c r="C711" s="26"/>
      <c r="D711" s="59"/>
      <c r="E711" s="59"/>
      <c r="F711" s="27"/>
      <c r="G711" s="34" t="str">
        <f t="shared" si="152"/>
        <v/>
      </c>
      <c r="H711" s="33"/>
      <c r="I711" s="33"/>
      <c r="J711" s="33"/>
      <c r="K711" s="29"/>
      <c r="L711" s="29"/>
      <c r="M711" s="35" t="str">
        <f t="shared" ca="1" si="153"/>
        <v/>
      </c>
      <c r="N711" s="46"/>
      <c r="O711" s="47"/>
    </row>
    <row r="712" spans="1:15" ht="15" customHeight="1">
      <c r="A712" s="67">
        <v>46261</v>
      </c>
      <c r="B712" s="25">
        <f t="shared" si="154"/>
        <v>0.6666666666666663</v>
      </c>
      <c r="C712" s="26"/>
      <c r="D712" s="59"/>
      <c r="E712" s="59"/>
      <c r="F712" s="27"/>
      <c r="G712" s="28" t="str">
        <f t="shared" si="152"/>
        <v/>
      </c>
      <c r="H712" s="26"/>
      <c r="I712" s="26"/>
      <c r="J712" s="26"/>
      <c r="K712" s="29"/>
      <c r="L712" s="29"/>
      <c r="M712" s="30" t="str">
        <f t="shared" ca="1" si="153"/>
        <v/>
      </c>
      <c r="N712" s="46"/>
      <c r="O712" s="47"/>
    </row>
    <row r="713" spans="1:15" ht="15" customHeight="1">
      <c r="A713" s="68">
        <v>46261</v>
      </c>
      <c r="B713" s="32">
        <f t="shared" si="154"/>
        <v>0.70833333333333293</v>
      </c>
      <c r="C713" s="26"/>
      <c r="D713" s="59"/>
      <c r="E713" s="59"/>
      <c r="F713" s="27"/>
      <c r="G713" s="34" t="str">
        <f t="shared" si="152"/>
        <v/>
      </c>
      <c r="H713" s="33"/>
      <c r="I713" s="33"/>
      <c r="J713" s="33"/>
      <c r="K713" s="29"/>
      <c r="L713" s="29"/>
      <c r="M713" s="35" t="str">
        <f t="shared" ca="1" si="153"/>
        <v/>
      </c>
      <c r="N713" s="46"/>
      <c r="O713" s="47"/>
    </row>
    <row r="714" spans="1:15" ht="15" customHeight="1">
      <c r="A714" s="67">
        <v>46261</v>
      </c>
      <c r="B714" s="25">
        <f t="shared" si="154"/>
        <v>0.74999999999999956</v>
      </c>
      <c r="C714" s="26"/>
      <c r="D714" s="59"/>
      <c r="E714" s="59"/>
      <c r="F714" s="27"/>
      <c r="G714" s="28" t="str">
        <f t="shared" si="152"/>
        <v/>
      </c>
      <c r="H714" s="26"/>
      <c r="I714" s="26"/>
      <c r="J714" s="26"/>
      <c r="K714" s="29"/>
      <c r="L714" s="29"/>
      <c r="M714" s="30" t="str">
        <f t="shared" ca="1" si="153"/>
        <v/>
      </c>
      <c r="N714" s="46"/>
      <c r="O714" s="47"/>
    </row>
    <row r="715" spans="1:15" ht="15" customHeight="1">
      <c r="A715" s="68">
        <v>46261</v>
      </c>
      <c r="B715" s="32">
        <f t="shared" si="154"/>
        <v>0.79166666666666619</v>
      </c>
      <c r="C715" s="26"/>
      <c r="D715" s="59"/>
      <c r="E715" s="59"/>
      <c r="F715" s="27"/>
      <c r="G715" s="34" t="str">
        <f t="shared" si="152"/>
        <v/>
      </c>
      <c r="H715" s="33"/>
      <c r="I715" s="33"/>
      <c r="J715" s="33"/>
      <c r="K715" s="29"/>
      <c r="L715" s="29"/>
      <c r="M715" s="35" t="str">
        <f t="shared" ca="1" si="153"/>
        <v/>
      </c>
      <c r="N715" s="46"/>
      <c r="O715" s="47"/>
    </row>
    <row r="716" spans="1:15" ht="15.75" customHeight="1">
      <c r="A716" s="162" t="s">
        <v>246</v>
      </c>
      <c r="B716" s="163"/>
      <c r="C716" s="163"/>
      <c r="D716" s="163"/>
      <c r="E716" s="17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247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5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6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7">B717+TIME(0,60,0)</f>
        <v>0.87499999999999967</v>
      </c>
      <c r="C718" s="26"/>
      <c r="D718" s="59"/>
      <c r="E718" s="59"/>
      <c r="F718" s="27"/>
      <c r="G718" s="28" t="str">
        <f t="shared" si="155"/>
        <v/>
      </c>
      <c r="H718" s="26"/>
      <c r="I718" s="26"/>
      <c r="J718" s="26"/>
      <c r="K718" s="29"/>
      <c r="L718" s="29"/>
      <c r="M718" s="30" t="str">
        <f t="shared" ca="1" si="156"/>
        <v/>
      </c>
      <c r="N718" s="46"/>
      <c r="O718" s="47"/>
    </row>
    <row r="719" spans="1:15" ht="15" customHeight="1">
      <c r="A719" s="68">
        <v>46261</v>
      </c>
      <c r="B719" s="32">
        <f t="shared" si="157"/>
        <v>0.9166666666666663</v>
      </c>
      <c r="C719" s="33"/>
      <c r="D719" s="62"/>
      <c r="E719" s="62"/>
      <c r="F719" s="27"/>
      <c r="G719" s="34" t="str">
        <f t="shared" si="155"/>
        <v/>
      </c>
      <c r="H719" s="33"/>
      <c r="I719" s="33"/>
      <c r="J719" s="33"/>
      <c r="K719" s="29"/>
      <c r="L719" s="29"/>
      <c r="M719" s="35" t="str">
        <f t="shared" ca="1" si="156"/>
        <v/>
      </c>
      <c r="N719" s="46"/>
      <c r="O719" s="47"/>
    </row>
    <row r="720" spans="1:15" ht="15" customHeight="1">
      <c r="A720" s="67">
        <v>46261</v>
      </c>
      <c r="B720" s="25">
        <f t="shared" si="157"/>
        <v>0.95833333333333293</v>
      </c>
      <c r="C720" s="26"/>
      <c r="D720" s="59"/>
      <c r="E720" s="59"/>
      <c r="F720" s="27"/>
      <c r="G720" s="28" t="str">
        <f t="shared" si="155"/>
        <v/>
      </c>
      <c r="H720" s="26"/>
      <c r="I720" s="26"/>
      <c r="J720" s="26"/>
      <c r="K720" s="29"/>
      <c r="L720" s="29"/>
      <c r="M720" s="30" t="str">
        <f t="shared" ca="1" si="156"/>
        <v/>
      </c>
      <c r="N720" s="46"/>
      <c r="O720" s="47"/>
    </row>
    <row r="721" spans="1:15" ht="15" customHeight="1">
      <c r="A721" s="68">
        <v>46261</v>
      </c>
      <c r="B721" s="32">
        <f t="shared" si="157"/>
        <v>0.99999999999999956</v>
      </c>
      <c r="C721" s="33"/>
      <c r="D721" s="62"/>
      <c r="E721" s="62"/>
      <c r="F721" s="27"/>
      <c r="G721" s="34" t="str">
        <f t="shared" si="155"/>
        <v/>
      </c>
      <c r="H721" s="33"/>
      <c r="I721" s="33"/>
      <c r="J721" s="33"/>
      <c r="K721" s="29"/>
      <c r="L721" s="29"/>
      <c r="M721" s="35" t="str">
        <f t="shared" ca="1" si="156"/>
        <v/>
      </c>
      <c r="N721" s="46"/>
      <c r="O721" s="47"/>
    </row>
    <row r="722" spans="1:15" ht="15" customHeight="1">
      <c r="A722" s="67">
        <v>46261</v>
      </c>
      <c r="B722" s="25">
        <f t="shared" si="157"/>
        <v>1.0416666666666663</v>
      </c>
      <c r="C722" s="26"/>
      <c r="D722" s="59"/>
      <c r="E722" s="59"/>
      <c r="F722" s="27"/>
      <c r="G722" s="28" t="str">
        <f t="shared" si="155"/>
        <v/>
      </c>
      <c r="H722" s="26"/>
      <c r="I722" s="26"/>
      <c r="J722" s="26"/>
      <c r="K722" s="29"/>
      <c r="L722" s="29"/>
      <c r="M722" s="30" t="str">
        <f t="shared" ca="1" si="156"/>
        <v/>
      </c>
      <c r="N722" s="46"/>
      <c r="O722" s="47"/>
    </row>
    <row r="723" spans="1:15" ht="15" customHeight="1">
      <c r="A723" s="68">
        <v>46261</v>
      </c>
      <c r="B723" s="32">
        <f t="shared" si="157"/>
        <v>1.083333333333333</v>
      </c>
      <c r="C723" s="33"/>
      <c r="D723" s="62"/>
      <c r="E723" s="62"/>
      <c r="F723" s="27"/>
      <c r="G723" s="34" t="str">
        <f t="shared" si="155"/>
        <v/>
      </c>
      <c r="H723" s="33"/>
      <c r="I723" s="33"/>
      <c r="J723" s="33"/>
      <c r="K723" s="29"/>
      <c r="L723" s="29"/>
      <c r="M723" s="35" t="str">
        <f t="shared" ca="1" si="156"/>
        <v/>
      </c>
      <c r="N723" s="46"/>
      <c r="O723" s="47"/>
    </row>
    <row r="724" spans="1:15" ht="15" customHeight="1">
      <c r="A724" s="67">
        <v>46261</v>
      </c>
      <c r="B724" s="25">
        <f t="shared" si="157"/>
        <v>1.1249999999999998</v>
      </c>
      <c r="C724" s="26"/>
      <c r="D724" s="59"/>
      <c r="E724" s="59"/>
      <c r="F724" s="27"/>
      <c r="G724" s="28" t="str">
        <f t="shared" si="155"/>
        <v/>
      </c>
      <c r="H724" s="26"/>
      <c r="I724" s="26"/>
      <c r="J724" s="26"/>
      <c r="K724" s="29"/>
      <c r="L724" s="29"/>
      <c r="M724" s="30" t="str">
        <f t="shared" ca="1" si="156"/>
        <v/>
      </c>
      <c r="N724" s="46"/>
      <c r="O724" s="47"/>
    </row>
    <row r="725" spans="1:15" ht="15" customHeight="1">
      <c r="A725" s="68">
        <v>46261</v>
      </c>
      <c r="B725" s="32">
        <f t="shared" si="157"/>
        <v>1.1666666666666665</v>
      </c>
      <c r="C725" s="33"/>
      <c r="D725" s="62"/>
      <c r="E725" s="62"/>
      <c r="F725" s="27"/>
      <c r="G725" s="34" t="str">
        <f t="shared" si="155"/>
        <v/>
      </c>
      <c r="H725" s="33"/>
      <c r="I725" s="33"/>
      <c r="J725" s="33"/>
      <c r="K725" s="29"/>
      <c r="L725" s="29"/>
      <c r="M725" s="35" t="str">
        <f t="shared" ca="1" si="156"/>
        <v/>
      </c>
      <c r="N725" s="46"/>
      <c r="O725" s="47"/>
    </row>
    <row r="726" spans="1:15" ht="15" customHeight="1">
      <c r="A726" s="67">
        <v>46261</v>
      </c>
      <c r="B726" s="25">
        <f t="shared" si="157"/>
        <v>1.2083333333333333</v>
      </c>
      <c r="C726" s="26"/>
      <c r="D726" s="59"/>
      <c r="E726" s="59"/>
      <c r="F726" s="27"/>
      <c r="G726" s="28" t="str">
        <f t="shared" si="155"/>
        <v/>
      </c>
      <c r="H726" s="26"/>
      <c r="I726" s="26"/>
      <c r="J726" s="26"/>
      <c r="K726" s="29"/>
      <c r="L726" s="29"/>
      <c r="M726" s="30" t="str">
        <f t="shared" ca="1" si="156"/>
        <v/>
      </c>
      <c r="N726" s="46"/>
      <c r="O726" s="47"/>
    </row>
    <row r="727" spans="1:15" ht="15" customHeight="1">
      <c r="A727" s="68">
        <v>46261</v>
      </c>
      <c r="B727" s="32">
        <f t="shared" si="157"/>
        <v>1.25</v>
      </c>
      <c r="C727" s="33"/>
      <c r="D727" s="62"/>
      <c r="E727" s="62"/>
      <c r="F727" s="27"/>
      <c r="G727" s="34" t="str">
        <f t="shared" si="155"/>
        <v/>
      </c>
      <c r="H727" s="33"/>
      <c r="I727" s="33"/>
      <c r="J727" s="33"/>
      <c r="K727" s="29"/>
      <c r="L727" s="29"/>
      <c r="M727" s="35" t="str">
        <f t="shared" ca="1" si="156"/>
        <v/>
      </c>
      <c r="N727" s="46"/>
      <c r="O727" s="47"/>
    </row>
    <row r="728" spans="1:15" ht="15" customHeight="1">
      <c r="A728" s="67">
        <v>46261</v>
      </c>
      <c r="B728" s="25">
        <f t="shared" si="157"/>
        <v>1.2916666666666667</v>
      </c>
      <c r="C728" s="26"/>
      <c r="D728" s="59"/>
      <c r="E728" s="59"/>
      <c r="F728" s="27"/>
      <c r="G728" s="28" t="str">
        <f t="shared" si="155"/>
        <v/>
      </c>
      <c r="H728" s="26"/>
      <c r="I728" s="26"/>
      <c r="J728" s="26"/>
      <c r="K728" s="29"/>
      <c r="L728" s="29"/>
      <c r="M728" s="30" t="str">
        <f t="shared" ca="1" si="156"/>
        <v/>
      </c>
      <c r="N728" s="46"/>
      <c r="O728" s="47"/>
    </row>
    <row r="729" spans="1:15" ht="15.75" customHeight="1">
      <c r="A729" s="162" t="s">
        <v>249</v>
      </c>
      <c r="B729" s="163"/>
      <c r="C729" s="163"/>
      <c r="D729" s="163"/>
      <c r="E729" s="17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247</v>
      </c>
      <c r="O729" s="39"/>
    </row>
    <row r="730" spans="1:15" ht="18" customHeight="1">
      <c r="A730" s="160" t="s">
        <v>250</v>
      </c>
      <c r="B730" s="161"/>
      <c r="C730" s="161"/>
      <c r="D730" s="161"/>
      <c r="E730" s="17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251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8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9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60">B731+TIME(0,60,0)</f>
        <v>0.37499999999999967</v>
      </c>
      <c r="C732" s="26"/>
      <c r="D732" s="59"/>
      <c r="E732" s="59"/>
      <c r="F732" s="27"/>
      <c r="G732" s="28" t="str">
        <f t="shared" si="158"/>
        <v/>
      </c>
      <c r="H732" s="26"/>
      <c r="I732" s="26"/>
      <c r="J732" s="26"/>
      <c r="K732" s="29"/>
      <c r="L732" s="29"/>
      <c r="M732" s="30" t="str">
        <f t="shared" ca="1" si="159"/>
        <v/>
      </c>
      <c r="N732" s="46"/>
      <c r="O732" s="47"/>
    </row>
    <row r="733" spans="1:15" ht="15" customHeight="1">
      <c r="A733" s="68">
        <v>46262</v>
      </c>
      <c r="B733" s="32">
        <f t="shared" si="160"/>
        <v>0.41666666666666635</v>
      </c>
      <c r="C733" s="33"/>
      <c r="D733" s="62"/>
      <c r="E733" s="62"/>
      <c r="F733" s="27"/>
      <c r="G733" s="34" t="str">
        <f t="shared" si="158"/>
        <v/>
      </c>
      <c r="H733" s="33"/>
      <c r="I733" s="33"/>
      <c r="J733" s="33"/>
      <c r="K733" s="29"/>
      <c r="L733" s="29"/>
      <c r="M733" s="35" t="str">
        <f t="shared" ca="1" si="159"/>
        <v/>
      </c>
      <c r="N733" s="46"/>
      <c r="O733" s="47"/>
    </row>
    <row r="734" spans="1:15" ht="15" customHeight="1">
      <c r="A734" s="67">
        <v>46262</v>
      </c>
      <c r="B734" s="25">
        <f t="shared" si="160"/>
        <v>0.45833333333333304</v>
      </c>
      <c r="C734" s="26"/>
      <c r="D734" s="59"/>
      <c r="E734" s="59"/>
      <c r="F734" s="27"/>
      <c r="G734" s="28" t="str">
        <f t="shared" si="158"/>
        <v/>
      </c>
      <c r="H734" s="26"/>
      <c r="I734" s="26"/>
      <c r="J734" s="26"/>
      <c r="K734" s="29"/>
      <c r="L734" s="29"/>
      <c r="M734" s="30" t="str">
        <f t="shared" ca="1" si="159"/>
        <v/>
      </c>
      <c r="N734" s="46"/>
      <c r="O734" s="47"/>
    </row>
    <row r="735" spans="1:15" ht="15" customHeight="1">
      <c r="A735" s="68">
        <v>46262</v>
      </c>
      <c r="B735" s="32">
        <f t="shared" si="160"/>
        <v>0.49999999999999972</v>
      </c>
      <c r="C735" s="33"/>
      <c r="D735" s="62"/>
      <c r="E735" s="62"/>
      <c r="F735" s="27"/>
      <c r="G735" s="34" t="str">
        <f t="shared" si="158"/>
        <v/>
      </c>
      <c r="H735" s="33"/>
      <c r="I735" s="33"/>
      <c r="J735" s="33"/>
      <c r="K735" s="29"/>
      <c r="L735" s="29"/>
      <c r="M735" s="35" t="str">
        <f t="shared" ca="1" si="159"/>
        <v/>
      </c>
      <c r="N735" s="46"/>
      <c r="O735" s="47"/>
    </row>
    <row r="736" spans="1:15" ht="15" customHeight="1">
      <c r="A736" s="67">
        <v>46262</v>
      </c>
      <c r="B736" s="25">
        <f t="shared" si="160"/>
        <v>0.54166666666666641</v>
      </c>
      <c r="C736" s="26"/>
      <c r="D736" s="59"/>
      <c r="E736" s="59"/>
      <c r="F736" s="27"/>
      <c r="G736" s="28" t="str">
        <f t="shared" si="158"/>
        <v/>
      </c>
      <c r="H736" s="26"/>
      <c r="I736" s="26"/>
      <c r="J736" s="26"/>
      <c r="K736" s="29"/>
      <c r="L736" s="29"/>
      <c r="M736" s="30" t="str">
        <f t="shared" ca="1" si="159"/>
        <v/>
      </c>
      <c r="N736" s="46"/>
      <c r="O736" s="47"/>
    </row>
    <row r="737" spans="1:15" ht="15" customHeight="1">
      <c r="A737" s="68">
        <v>46262</v>
      </c>
      <c r="B737" s="32">
        <f t="shared" si="160"/>
        <v>0.58333333333333304</v>
      </c>
      <c r="C737" s="33"/>
      <c r="D737" s="62"/>
      <c r="E737" s="62"/>
      <c r="F737" s="27"/>
      <c r="G737" s="34" t="str">
        <f t="shared" si="158"/>
        <v/>
      </c>
      <c r="H737" s="33"/>
      <c r="I737" s="33"/>
      <c r="J737" s="33"/>
      <c r="K737" s="29"/>
      <c r="L737" s="29"/>
      <c r="M737" s="35" t="str">
        <f t="shared" ca="1" si="159"/>
        <v/>
      </c>
      <c r="N737" s="46"/>
      <c r="O737" s="47"/>
    </row>
    <row r="738" spans="1:15" ht="15" customHeight="1">
      <c r="A738" s="67">
        <v>46262</v>
      </c>
      <c r="B738" s="25">
        <f t="shared" si="160"/>
        <v>0.62499999999999967</v>
      </c>
      <c r="C738" s="26"/>
      <c r="D738" s="59"/>
      <c r="E738" s="59"/>
      <c r="F738" s="27"/>
      <c r="G738" s="28" t="str">
        <f t="shared" si="158"/>
        <v/>
      </c>
      <c r="H738" s="26"/>
      <c r="I738" s="26"/>
      <c r="J738" s="26"/>
      <c r="K738" s="29"/>
      <c r="L738" s="29"/>
      <c r="M738" s="30" t="str">
        <f t="shared" ca="1" si="159"/>
        <v/>
      </c>
      <c r="N738" s="46"/>
      <c r="O738" s="47"/>
    </row>
    <row r="739" spans="1:15" ht="15" customHeight="1">
      <c r="A739" s="68">
        <v>46262</v>
      </c>
      <c r="B739" s="32">
        <f t="shared" si="160"/>
        <v>0.6666666666666663</v>
      </c>
      <c r="C739" s="33"/>
      <c r="D739" s="62"/>
      <c r="E739" s="62"/>
      <c r="F739" s="27"/>
      <c r="G739" s="34" t="str">
        <f t="shared" si="158"/>
        <v/>
      </c>
      <c r="H739" s="33"/>
      <c r="I739" s="33"/>
      <c r="J739" s="33"/>
      <c r="K739" s="29"/>
      <c r="L739" s="29"/>
      <c r="M739" s="35" t="str">
        <f t="shared" ca="1" si="159"/>
        <v/>
      </c>
      <c r="N739" s="46"/>
      <c r="O739" s="47"/>
    </row>
    <row r="740" spans="1:15" ht="15" customHeight="1">
      <c r="A740" s="67">
        <v>46262</v>
      </c>
      <c r="B740" s="25">
        <f t="shared" si="160"/>
        <v>0.70833333333333293</v>
      </c>
      <c r="C740" s="26"/>
      <c r="D740" s="59"/>
      <c r="E740" s="59"/>
      <c r="F740" s="27"/>
      <c r="G740" s="28" t="str">
        <f t="shared" si="158"/>
        <v/>
      </c>
      <c r="H740" s="26"/>
      <c r="I740" s="26"/>
      <c r="J740" s="26"/>
      <c r="K740" s="29"/>
      <c r="L740" s="29"/>
      <c r="M740" s="30" t="str">
        <f t="shared" ca="1" si="159"/>
        <v/>
      </c>
      <c r="N740" s="46"/>
      <c r="O740" s="47"/>
    </row>
    <row r="741" spans="1:15" ht="15" customHeight="1">
      <c r="A741" s="68">
        <v>46262</v>
      </c>
      <c r="B741" s="32">
        <f t="shared" si="160"/>
        <v>0.74999999999999956</v>
      </c>
      <c r="C741" s="33"/>
      <c r="D741" s="62"/>
      <c r="E741" s="62"/>
      <c r="F741" s="27"/>
      <c r="G741" s="34" t="str">
        <f t="shared" si="158"/>
        <v/>
      </c>
      <c r="H741" s="33"/>
      <c r="I741" s="33"/>
      <c r="J741" s="33"/>
      <c r="K741" s="29"/>
      <c r="L741" s="29"/>
      <c r="M741" s="35" t="str">
        <f t="shared" ca="1" si="159"/>
        <v/>
      </c>
      <c r="N741" s="46"/>
      <c r="O741" s="47"/>
    </row>
    <row r="742" spans="1:15" ht="15" customHeight="1">
      <c r="A742" s="67">
        <v>46262</v>
      </c>
      <c r="B742" s="25">
        <f t="shared" si="160"/>
        <v>0.79166666666666619</v>
      </c>
      <c r="C742" s="26"/>
      <c r="D742" s="59"/>
      <c r="E742" s="59"/>
      <c r="F742" s="27"/>
      <c r="G742" s="28" t="str">
        <f t="shared" si="158"/>
        <v/>
      </c>
      <c r="H742" s="26"/>
      <c r="I742" s="26"/>
      <c r="J742" s="26"/>
      <c r="K742" s="29"/>
      <c r="L742" s="29"/>
      <c r="M742" s="30" t="str">
        <f t="shared" ca="1" si="159"/>
        <v/>
      </c>
      <c r="N742" s="46"/>
      <c r="O742" s="47"/>
    </row>
    <row r="743" spans="1:15" ht="15.75" customHeight="1">
      <c r="A743" s="162" t="s">
        <v>246</v>
      </c>
      <c r="B743" s="163"/>
      <c r="C743" s="163"/>
      <c r="D743" s="163"/>
      <c r="E743" s="17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247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1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2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3">B744+TIME(0,60,0)</f>
        <v>0.87499999999999967</v>
      </c>
      <c r="C745" s="33"/>
      <c r="D745" s="62"/>
      <c r="E745" s="62"/>
      <c r="F745" s="27"/>
      <c r="G745" s="34" t="str">
        <f t="shared" si="161"/>
        <v/>
      </c>
      <c r="H745" s="33"/>
      <c r="I745" s="33"/>
      <c r="J745" s="33"/>
      <c r="K745" s="29"/>
      <c r="L745" s="29"/>
      <c r="M745" s="35" t="str">
        <f t="shared" ca="1" si="162"/>
        <v/>
      </c>
      <c r="N745" s="46"/>
      <c r="O745" s="47"/>
    </row>
    <row r="746" spans="1:15" ht="15" customHeight="1">
      <c r="A746" s="67">
        <v>46262</v>
      </c>
      <c r="B746" s="25">
        <f t="shared" si="163"/>
        <v>0.9166666666666663</v>
      </c>
      <c r="C746" s="26"/>
      <c r="D746" s="59"/>
      <c r="E746" s="59"/>
      <c r="F746" s="27"/>
      <c r="G746" s="28" t="str">
        <f t="shared" si="161"/>
        <v/>
      </c>
      <c r="H746" s="26"/>
      <c r="I746" s="26"/>
      <c r="J746" s="26"/>
      <c r="K746" s="29"/>
      <c r="L746" s="29"/>
      <c r="M746" s="30" t="str">
        <f t="shared" ca="1" si="162"/>
        <v/>
      </c>
      <c r="N746" s="46"/>
      <c r="O746" s="47"/>
    </row>
    <row r="747" spans="1:15" ht="15" customHeight="1">
      <c r="A747" s="68">
        <v>46262</v>
      </c>
      <c r="B747" s="32">
        <f t="shared" si="163"/>
        <v>0.95833333333333293</v>
      </c>
      <c r="C747" s="33"/>
      <c r="D747" s="62"/>
      <c r="E747" s="62"/>
      <c r="F747" s="27"/>
      <c r="G747" s="34" t="str">
        <f t="shared" si="161"/>
        <v/>
      </c>
      <c r="H747" s="33"/>
      <c r="I747" s="33"/>
      <c r="J747" s="33"/>
      <c r="K747" s="29"/>
      <c r="L747" s="29"/>
      <c r="M747" s="35" t="str">
        <f t="shared" ca="1" si="162"/>
        <v/>
      </c>
      <c r="N747" s="46"/>
      <c r="O747" s="47"/>
    </row>
    <row r="748" spans="1:15" ht="15" customHeight="1">
      <c r="A748" s="67">
        <v>46262</v>
      </c>
      <c r="B748" s="25">
        <f t="shared" si="163"/>
        <v>0.99999999999999956</v>
      </c>
      <c r="C748" s="26"/>
      <c r="D748" s="59"/>
      <c r="E748" s="59"/>
      <c r="F748" s="27"/>
      <c r="G748" s="28" t="str">
        <f t="shared" si="161"/>
        <v/>
      </c>
      <c r="H748" s="26"/>
      <c r="I748" s="26"/>
      <c r="J748" s="26"/>
      <c r="K748" s="29"/>
      <c r="L748" s="29"/>
      <c r="M748" s="30" t="str">
        <f t="shared" ca="1" si="162"/>
        <v/>
      </c>
      <c r="N748" s="46"/>
      <c r="O748" s="47"/>
    </row>
    <row r="749" spans="1:15" ht="15" customHeight="1">
      <c r="A749" s="68">
        <v>46262</v>
      </c>
      <c r="B749" s="32">
        <f t="shared" si="163"/>
        <v>1.0416666666666663</v>
      </c>
      <c r="C749" s="33"/>
      <c r="D749" s="62"/>
      <c r="E749" s="62"/>
      <c r="F749" s="27"/>
      <c r="G749" s="34" t="str">
        <f t="shared" si="161"/>
        <v/>
      </c>
      <c r="H749" s="33"/>
      <c r="I749" s="33"/>
      <c r="J749" s="33"/>
      <c r="K749" s="29"/>
      <c r="L749" s="29"/>
      <c r="M749" s="35" t="str">
        <f t="shared" ca="1" si="162"/>
        <v/>
      </c>
      <c r="N749" s="46"/>
      <c r="O749" s="47"/>
    </row>
    <row r="750" spans="1:15" ht="15" customHeight="1">
      <c r="A750" s="67">
        <v>46262</v>
      </c>
      <c r="B750" s="25">
        <f t="shared" si="163"/>
        <v>1.083333333333333</v>
      </c>
      <c r="C750" s="26"/>
      <c r="D750" s="59"/>
      <c r="E750" s="59"/>
      <c r="F750" s="27"/>
      <c r="G750" s="28" t="str">
        <f t="shared" si="161"/>
        <v/>
      </c>
      <c r="H750" s="26"/>
      <c r="I750" s="26"/>
      <c r="J750" s="26"/>
      <c r="K750" s="29"/>
      <c r="L750" s="29"/>
      <c r="M750" s="30" t="str">
        <f t="shared" ca="1" si="162"/>
        <v/>
      </c>
      <c r="N750" s="46"/>
      <c r="O750" s="47"/>
    </row>
    <row r="751" spans="1:15" ht="15" customHeight="1">
      <c r="A751" s="68">
        <v>46262</v>
      </c>
      <c r="B751" s="32">
        <f t="shared" si="163"/>
        <v>1.1249999999999998</v>
      </c>
      <c r="C751" s="33"/>
      <c r="D751" s="62"/>
      <c r="E751" s="62"/>
      <c r="F751" s="27"/>
      <c r="G751" s="34" t="str">
        <f t="shared" si="161"/>
        <v/>
      </c>
      <c r="H751" s="33"/>
      <c r="I751" s="33"/>
      <c r="J751" s="33"/>
      <c r="K751" s="29"/>
      <c r="L751" s="29"/>
      <c r="M751" s="35" t="str">
        <f t="shared" ca="1" si="162"/>
        <v/>
      </c>
      <c r="N751" s="46"/>
      <c r="O751" s="47"/>
    </row>
    <row r="752" spans="1:15" ht="15" customHeight="1">
      <c r="A752" s="67">
        <v>46262</v>
      </c>
      <c r="B752" s="25">
        <f t="shared" si="163"/>
        <v>1.1666666666666665</v>
      </c>
      <c r="C752" s="26"/>
      <c r="D752" s="59"/>
      <c r="E752" s="59"/>
      <c r="F752" s="27"/>
      <c r="G752" s="28" t="str">
        <f t="shared" si="161"/>
        <v/>
      </c>
      <c r="H752" s="26"/>
      <c r="I752" s="26"/>
      <c r="J752" s="26"/>
      <c r="K752" s="29"/>
      <c r="L752" s="29"/>
      <c r="M752" s="30" t="str">
        <f t="shared" ca="1" si="162"/>
        <v/>
      </c>
      <c r="N752" s="46"/>
      <c r="O752" s="47"/>
    </row>
    <row r="753" spans="1:15" ht="15" customHeight="1">
      <c r="A753" s="68">
        <v>46262</v>
      </c>
      <c r="B753" s="32">
        <f t="shared" si="163"/>
        <v>1.2083333333333333</v>
      </c>
      <c r="C753" s="33"/>
      <c r="D753" s="62"/>
      <c r="E753" s="62"/>
      <c r="F753" s="27"/>
      <c r="G753" s="34" t="str">
        <f t="shared" si="161"/>
        <v/>
      </c>
      <c r="H753" s="33"/>
      <c r="I753" s="33"/>
      <c r="J753" s="33"/>
      <c r="K753" s="29"/>
      <c r="L753" s="29"/>
      <c r="M753" s="35" t="str">
        <f t="shared" ca="1" si="162"/>
        <v/>
      </c>
      <c r="N753" s="46"/>
      <c r="O753" s="47"/>
    </row>
    <row r="754" spans="1:15" ht="15" customHeight="1">
      <c r="A754" s="67">
        <v>46262</v>
      </c>
      <c r="B754" s="25">
        <f t="shared" si="163"/>
        <v>1.25</v>
      </c>
      <c r="C754" s="26"/>
      <c r="D754" s="59"/>
      <c r="E754" s="59"/>
      <c r="F754" s="27"/>
      <c r="G754" s="28" t="str">
        <f t="shared" si="161"/>
        <v/>
      </c>
      <c r="H754" s="26"/>
      <c r="I754" s="26"/>
      <c r="J754" s="26"/>
      <c r="K754" s="29"/>
      <c r="L754" s="29"/>
      <c r="M754" s="30" t="str">
        <f t="shared" ca="1" si="162"/>
        <v/>
      </c>
      <c r="N754" s="46"/>
      <c r="O754" s="47"/>
    </row>
    <row r="755" spans="1:15" ht="15" customHeight="1">
      <c r="A755" s="68">
        <v>46262</v>
      </c>
      <c r="B755" s="32">
        <f t="shared" si="163"/>
        <v>1.2916666666666667</v>
      </c>
      <c r="C755" s="33"/>
      <c r="D755" s="62"/>
      <c r="E755" s="62"/>
      <c r="F755" s="27"/>
      <c r="G755" s="34" t="str">
        <f t="shared" si="161"/>
        <v/>
      </c>
      <c r="H755" s="33"/>
      <c r="I755" s="33"/>
      <c r="J755" s="33"/>
      <c r="K755" s="29"/>
      <c r="L755" s="29"/>
      <c r="M755" s="35" t="str">
        <f t="shared" ca="1" si="162"/>
        <v/>
      </c>
      <c r="N755" s="46"/>
      <c r="O755" s="47"/>
    </row>
    <row r="756" spans="1:15" ht="15.75" customHeight="1">
      <c r="A756" s="162" t="s">
        <v>249</v>
      </c>
      <c r="B756" s="163"/>
      <c r="C756" s="163"/>
      <c r="D756" s="163"/>
      <c r="E756" s="17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247</v>
      </c>
      <c r="O756" s="39"/>
    </row>
    <row r="757" spans="1:15" ht="18" customHeight="1">
      <c r="A757" s="160" t="s">
        <v>250</v>
      </c>
      <c r="B757" s="161"/>
      <c r="C757" s="161"/>
      <c r="D757" s="161"/>
      <c r="E757" s="17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251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4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5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6">B758+TIME(0,60,0)</f>
        <v>0.37499999999999967</v>
      </c>
      <c r="C759" s="33"/>
      <c r="D759" s="62"/>
      <c r="E759" s="62"/>
      <c r="F759" s="27"/>
      <c r="G759" s="34" t="str">
        <f t="shared" si="164"/>
        <v/>
      </c>
      <c r="H759" s="33"/>
      <c r="I759" s="33"/>
      <c r="J759" s="33"/>
      <c r="K759" s="29"/>
      <c r="L759" s="29"/>
      <c r="M759" s="35" t="str">
        <f t="shared" ca="1" si="165"/>
        <v/>
      </c>
      <c r="N759" s="46"/>
      <c r="O759" s="47"/>
    </row>
    <row r="760" spans="1:15" ht="15" customHeight="1">
      <c r="A760" s="67">
        <v>46263</v>
      </c>
      <c r="B760" s="25">
        <f t="shared" si="166"/>
        <v>0.41666666666666635</v>
      </c>
      <c r="C760" s="26"/>
      <c r="D760" s="59"/>
      <c r="E760" s="59"/>
      <c r="F760" s="27"/>
      <c r="G760" s="28" t="str">
        <f t="shared" si="164"/>
        <v/>
      </c>
      <c r="H760" s="26"/>
      <c r="I760" s="26"/>
      <c r="J760" s="26"/>
      <c r="K760" s="29"/>
      <c r="L760" s="29"/>
      <c r="M760" s="30" t="str">
        <f t="shared" ca="1" si="165"/>
        <v/>
      </c>
      <c r="N760" s="46"/>
      <c r="O760" s="47"/>
    </row>
    <row r="761" spans="1:15" ht="15" customHeight="1">
      <c r="A761" s="68">
        <v>46263</v>
      </c>
      <c r="B761" s="32">
        <f t="shared" si="166"/>
        <v>0.45833333333333304</v>
      </c>
      <c r="C761" s="33"/>
      <c r="D761" s="62"/>
      <c r="E761" s="62"/>
      <c r="F761" s="27"/>
      <c r="G761" s="34" t="str">
        <f t="shared" si="164"/>
        <v/>
      </c>
      <c r="H761" s="33"/>
      <c r="I761" s="33"/>
      <c r="J761" s="33"/>
      <c r="K761" s="29"/>
      <c r="L761" s="29"/>
      <c r="M761" s="35" t="str">
        <f t="shared" ca="1" si="165"/>
        <v/>
      </c>
      <c r="N761" s="46"/>
      <c r="O761" s="47"/>
    </row>
    <row r="762" spans="1:15" ht="15" customHeight="1">
      <c r="A762" s="67">
        <v>46263</v>
      </c>
      <c r="B762" s="25">
        <f t="shared" si="166"/>
        <v>0.49999999999999972</v>
      </c>
      <c r="C762" s="26"/>
      <c r="D762" s="59"/>
      <c r="E762" s="59"/>
      <c r="F762" s="27"/>
      <c r="G762" s="28" t="str">
        <f t="shared" si="164"/>
        <v/>
      </c>
      <c r="H762" s="26"/>
      <c r="I762" s="26"/>
      <c r="J762" s="26"/>
      <c r="K762" s="29"/>
      <c r="L762" s="29"/>
      <c r="M762" s="30" t="str">
        <f t="shared" ca="1" si="165"/>
        <v/>
      </c>
      <c r="N762" s="46"/>
      <c r="O762" s="47"/>
    </row>
    <row r="763" spans="1:15" ht="15" customHeight="1">
      <c r="A763" s="68">
        <v>46263</v>
      </c>
      <c r="B763" s="32">
        <f t="shared" si="166"/>
        <v>0.54166666666666641</v>
      </c>
      <c r="C763" s="33"/>
      <c r="D763" s="62"/>
      <c r="E763" s="62"/>
      <c r="F763" s="27"/>
      <c r="G763" s="34" t="str">
        <f t="shared" si="164"/>
        <v/>
      </c>
      <c r="H763" s="33"/>
      <c r="I763" s="33"/>
      <c r="J763" s="33"/>
      <c r="K763" s="29"/>
      <c r="L763" s="29"/>
      <c r="M763" s="35" t="str">
        <f t="shared" ca="1" si="165"/>
        <v/>
      </c>
      <c r="N763" s="46"/>
      <c r="O763" s="47"/>
    </row>
    <row r="764" spans="1:15" ht="15" customHeight="1">
      <c r="A764" s="67">
        <v>46263</v>
      </c>
      <c r="B764" s="25">
        <f t="shared" si="166"/>
        <v>0.58333333333333304</v>
      </c>
      <c r="C764" s="26"/>
      <c r="D764" s="59"/>
      <c r="E764" s="59"/>
      <c r="F764" s="27"/>
      <c r="G764" s="28" t="str">
        <f t="shared" si="164"/>
        <v/>
      </c>
      <c r="H764" s="26"/>
      <c r="I764" s="26"/>
      <c r="J764" s="26"/>
      <c r="K764" s="29"/>
      <c r="L764" s="29"/>
      <c r="M764" s="30" t="str">
        <f t="shared" ca="1" si="165"/>
        <v/>
      </c>
      <c r="N764" s="46"/>
      <c r="O764" s="47"/>
    </row>
    <row r="765" spans="1:15" ht="15" customHeight="1">
      <c r="A765" s="68">
        <v>46263</v>
      </c>
      <c r="B765" s="32">
        <f t="shared" si="166"/>
        <v>0.62499999999999967</v>
      </c>
      <c r="C765" s="33"/>
      <c r="D765" s="62"/>
      <c r="E765" s="62"/>
      <c r="F765" s="27"/>
      <c r="G765" s="34" t="str">
        <f t="shared" si="164"/>
        <v/>
      </c>
      <c r="H765" s="33"/>
      <c r="I765" s="33"/>
      <c r="J765" s="33"/>
      <c r="K765" s="29"/>
      <c r="L765" s="29"/>
      <c r="M765" s="35" t="str">
        <f t="shared" ca="1" si="165"/>
        <v/>
      </c>
      <c r="N765" s="46"/>
      <c r="O765" s="47"/>
    </row>
    <row r="766" spans="1:15" ht="15" customHeight="1">
      <c r="A766" s="67">
        <v>46263</v>
      </c>
      <c r="B766" s="25">
        <f t="shared" si="166"/>
        <v>0.6666666666666663</v>
      </c>
      <c r="C766" s="26"/>
      <c r="D766" s="59"/>
      <c r="E766" s="59"/>
      <c r="F766" s="27"/>
      <c r="G766" s="28" t="str">
        <f t="shared" si="164"/>
        <v/>
      </c>
      <c r="H766" s="26"/>
      <c r="I766" s="26"/>
      <c r="J766" s="26"/>
      <c r="K766" s="29"/>
      <c r="L766" s="29"/>
      <c r="M766" s="30" t="str">
        <f t="shared" ca="1" si="165"/>
        <v/>
      </c>
      <c r="N766" s="46"/>
      <c r="O766" s="47"/>
    </row>
    <row r="767" spans="1:15" ht="15" customHeight="1">
      <c r="A767" s="68">
        <v>46263</v>
      </c>
      <c r="B767" s="32">
        <f t="shared" si="166"/>
        <v>0.70833333333333293</v>
      </c>
      <c r="C767" s="33"/>
      <c r="D767" s="62"/>
      <c r="E767" s="62"/>
      <c r="F767" s="27"/>
      <c r="G767" s="34" t="str">
        <f t="shared" si="164"/>
        <v/>
      </c>
      <c r="H767" s="33"/>
      <c r="I767" s="33"/>
      <c r="J767" s="33"/>
      <c r="K767" s="29"/>
      <c r="L767" s="29"/>
      <c r="M767" s="35" t="str">
        <f t="shared" ca="1" si="165"/>
        <v/>
      </c>
      <c r="N767" s="46"/>
      <c r="O767" s="47"/>
    </row>
    <row r="768" spans="1:15" ht="15" customHeight="1">
      <c r="A768" s="67">
        <v>46263</v>
      </c>
      <c r="B768" s="25">
        <f t="shared" si="166"/>
        <v>0.74999999999999956</v>
      </c>
      <c r="C768" s="26"/>
      <c r="D768" s="59"/>
      <c r="E768" s="59"/>
      <c r="F768" s="27"/>
      <c r="G768" s="28" t="str">
        <f t="shared" si="164"/>
        <v/>
      </c>
      <c r="H768" s="26"/>
      <c r="I768" s="26"/>
      <c r="J768" s="26"/>
      <c r="K768" s="29"/>
      <c r="L768" s="29"/>
      <c r="M768" s="30" t="str">
        <f t="shared" ca="1" si="165"/>
        <v/>
      </c>
      <c r="N768" s="46"/>
      <c r="O768" s="47"/>
    </row>
    <row r="769" spans="1:15" ht="15" customHeight="1">
      <c r="A769" s="68">
        <v>46263</v>
      </c>
      <c r="B769" s="32">
        <f t="shared" si="166"/>
        <v>0.79166666666666619</v>
      </c>
      <c r="C769" s="33"/>
      <c r="D769" s="62"/>
      <c r="E769" s="62"/>
      <c r="F769" s="27"/>
      <c r="G769" s="34" t="str">
        <f t="shared" si="164"/>
        <v/>
      </c>
      <c r="H769" s="33"/>
      <c r="I769" s="33"/>
      <c r="J769" s="33"/>
      <c r="K769" s="29"/>
      <c r="L769" s="29"/>
      <c r="M769" s="35" t="str">
        <f t="shared" ca="1" si="165"/>
        <v/>
      </c>
      <c r="N769" s="46"/>
      <c r="O769" s="47"/>
    </row>
    <row r="770" spans="1:15" ht="15.75" customHeight="1">
      <c r="A770" s="162" t="s">
        <v>246</v>
      </c>
      <c r="B770" s="163"/>
      <c r="C770" s="163"/>
      <c r="D770" s="163"/>
      <c r="E770" s="17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247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7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8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9">B771+TIME(0,60,0)</f>
        <v>0.87499999999999967</v>
      </c>
      <c r="C772" s="26"/>
      <c r="D772" s="59"/>
      <c r="E772" s="59"/>
      <c r="F772" s="27"/>
      <c r="G772" s="28" t="str">
        <f t="shared" si="167"/>
        <v/>
      </c>
      <c r="H772" s="26"/>
      <c r="I772" s="26"/>
      <c r="J772" s="26"/>
      <c r="K772" s="29"/>
      <c r="L772" s="29"/>
      <c r="M772" s="30" t="str">
        <f t="shared" ca="1" si="168"/>
        <v/>
      </c>
      <c r="N772" s="46"/>
      <c r="O772" s="47"/>
    </row>
    <row r="773" spans="1:15" ht="15" customHeight="1">
      <c r="A773" s="68">
        <v>46263</v>
      </c>
      <c r="B773" s="32">
        <f t="shared" si="169"/>
        <v>0.9166666666666663</v>
      </c>
      <c r="C773" s="33"/>
      <c r="D773" s="62"/>
      <c r="E773" s="62"/>
      <c r="F773" s="27"/>
      <c r="G773" s="34" t="str">
        <f t="shared" si="167"/>
        <v/>
      </c>
      <c r="H773" s="33"/>
      <c r="I773" s="33"/>
      <c r="J773" s="33"/>
      <c r="K773" s="29"/>
      <c r="L773" s="29"/>
      <c r="M773" s="35" t="str">
        <f t="shared" ca="1" si="168"/>
        <v/>
      </c>
      <c r="N773" s="46"/>
      <c r="O773" s="47"/>
    </row>
    <row r="774" spans="1:15" ht="15" customHeight="1">
      <c r="A774" s="67">
        <v>46263</v>
      </c>
      <c r="B774" s="25">
        <f t="shared" si="169"/>
        <v>0.95833333333333293</v>
      </c>
      <c r="C774" s="26"/>
      <c r="D774" s="59"/>
      <c r="E774" s="59"/>
      <c r="F774" s="27"/>
      <c r="G774" s="28" t="str">
        <f t="shared" si="167"/>
        <v/>
      </c>
      <c r="H774" s="26"/>
      <c r="I774" s="26"/>
      <c r="J774" s="26"/>
      <c r="K774" s="29"/>
      <c r="L774" s="29"/>
      <c r="M774" s="30" t="str">
        <f t="shared" ca="1" si="168"/>
        <v/>
      </c>
      <c r="N774" s="46"/>
      <c r="O774" s="47"/>
    </row>
    <row r="775" spans="1:15" ht="15" customHeight="1">
      <c r="A775" s="68">
        <v>46263</v>
      </c>
      <c r="B775" s="32">
        <f t="shared" si="169"/>
        <v>0.99999999999999956</v>
      </c>
      <c r="C775" s="33"/>
      <c r="D775" s="62"/>
      <c r="E775" s="62"/>
      <c r="F775" s="27"/>
      <c r="G775" s="34" t="str">
        <f t="shared" si="167"/>
        <v/>
      </c>
      <c r="H775" s="33"/>
      <c r="I775" s="33"/>
      <c r="J775" s="33"/>
      <c r="K775" s="29"/>
      <c r="L775" s="29"/>
      <c r="M775" s="35" t="str">
        <f t="shared" ca="1" si="168"/>
        <v/>
      </c>
      <c r="N775" s="46"/>
      <c r="O775" s="47"/>
    </row>
    <row r="776" spans="1:15" ht="15" customHeight="1">
      <c r="A776" s="67">
        <v>46263</v>
      </c>
      <c r="B776" s="25">
        <f t="shared" si="169"/>
        <v>1.0416666666666663</v>
      </c>
      <c r="C776" s="26"/>
      <c r="D776" s="59"/>
      <c r="E776" s="59"/>
      <c r="F776" s="27"/>
      <c r="G776" s="28" t="str">
        <f t="shared" si="167"/>
        <v/>
      </c>
      <c r="H776" s="26"/>
      <c r="I776" s="26"/>
      <c r="J776" s="26"/>
      <c r="K776" s="29"/>
      <c r="L776" s="29"/>
      <c r="M776" s="30" t="str">
        <f t="shared" ca="1" si="168"/>
        <v/>
      </c>
      <c r="N776" s="46"/>
      <c r="O776" s="47"/>
    </row>
    <row r="777" spans="1:15" ht="15" customHeight="1">
      <c r="A777" s="68">
        <v>46263</v>
      </c>
      <c r="B777" s="32">
        <f t="shared" si="169"/>
        <v>1.083333333333333</v>
      </c>
      <c r="C777" s="33"/>
      <c r="D777" s="62"/>
      <c r="E777" s="62"/>
      <c r="F777" s="27"/>
      <c r="G777" s="34" t="str">
        <f t="shared" si="167"/>
        <v/>
      </c>
      <c r="H777" s="33"/>
      <c r="I777" s="33"/>
      <c r="J777" s="33"/>
      <c r="K777" s="29"/>
      <c r="L777" s="29"/>
      <c r="M777" s="35" t="str">
        <f t="shared" ca="1" si="168"/>
        <v/>
      </c>
      <c r="N777" s="46"/>
      <c r="O777" s="47"/>
    </row>
    <row r="778" spans="1:15" ht="15" customHeight="1">
      <c r="A778" s="67">
        <v>46263</v>
      </c>
      <c r="B778" s="25">
        <f t="shared" si="169"/>
        <v>1.1249999999999998</v>
      </c>
      <c r="C778" s="26"/>
      <c r="D778" s="59"/>
      <c r="E778" s="59"/>
      <c r="F778" s="27"/>
      <c r="G778" s="28" t="str">
        <f t="shared" si="167"/>
        <v/>
      </c>
      <c r="H778" s="26"/>
      <c r="I778" s="26"/>
      <c r="J778" s="26"/>
      <c r="K778" s="29"/>
      <c r="L778" s="29"/>
      <c r="M778" s="30" t="str">
        <f t="shared" ca="1" si="168"/>
        <v/>
      </c>
      <c r="N778" s="46"/>
      <c r="O778" s="47"/>
    </row>
    <row r="779" spans="1:15" ht="15" customHeight="1">
      <c r="A779" s="68">
        <v>46263</v>
      </c>
      <c r="B779" s="32">
        <f t="shared" si="169"/>
        <v>1.1666666666666665</v>
      </c>
      <c r="C779" s="33"/>
      <c r="D779" s="62"/>
      <c r="E779" s="62"/>
      <c r="F779" s="27"/>
      <c r="G779" s="34" t="str">
        <f t="shared" si="167"/>
        <v/>
      </c>
      <c r="H779" s="33"/>
      <c r="I779" s="33"/>
      <c r="J779" s="33"/>
      <c r="K779" s="29"/>
      <c r="L779" s="29"/>
      <c r="M779" s="35" t="str">
        <f t="shared" ca="1" si="168"/>
        <v/>
      </c>
      <c r="N779" s="46"/>
      <c r="O779" s="47"/>
    </row>
    <row r="780" spans="1:15" ht="15" customHeight="1">
      <c r="A780" s="67">
        <v>46263</v>
      </c>
      <c r="B780" s="25">
        <f t="shared" si="169"/>
        <v>1.2083333333333333</v>
      </c>
      <c r="C780" s="26"/>
      <c r="D780" s="59"/>
      <c r="E780" s="59"/>
      <c r="F780" s="27"/>
      <c r="G780" s="28" t="str">
        <f t="shared" si="167"/>
        <v/>
      </c>
      <c r="H780" s="26"/>
      <c r="I780" s="26"/>
      <c r="J780" s="26"/>
      <c r="K780" s="29"/>
      <c r="L780" s="29"/>
      <c r="M780" s="30" t="str">
        <f t="shared" ca="1" si="168"/>
        <v/>
      </c>
      <c r="N780" s="46"/>
      <c r="O780" s="47"/>
    </row>
    <row r="781" spans="1:15" ht="15" customHeight="1">
      <c r="A781" s="68">
        <v>46263</v>
      </c>
      <c r="B781" s="32">
        <f t="shared" si="169"/>
        <v>1.25</v>
      </c>
      <c r="C781" s="33"/>
      <c r="D781" s="62"/>
      <c r="E781" s="62"/>
      <c r="F781" s="27"/>
      <c r="G781" s="34" t="str">
        <f t="shared" si="167"/>
        <v/>
      </c>
      <c r="H781" s="33"/>
      <c r="I781" s="33"/>
      <c r="J781" s="33"/>
      <c r="K781" s="29"/>
      <c r="L781" s="29"/>
      <c r="M781" s="35" t="str">
        <f t="shared" ca="1" si="168"/>
        <v/>
      </c>
      <c r="N781" s="46"/>
      <c r="O781" s="47"/>
    </row>
    <row r="782" spans="1:15" ht="15" customHeight="1">
      <c r="A782" s="67">
        <v>46263</v>
      </c>
      <c r="B782" s="25">
        <f t="shared" si="169"/>
        <v>1.2916666666666667</v>
      </c>
      <c r="C782" s="26"/>
      <c r="D782" s="59"/>
      <c r="E782" s="59"/>
      <c r="F782" s="27"/>
      <c r="G782" s="28" t="str">
        <f t="shared" si="167"/>
        <v/>
      </c>
      <c r="H782" s="26"/>
      <c r="I782" s="26"/>
      <c r="J782" s="26"/>
      <c r="K782" s="29"/>
      <c r="L782" s="29"/>
      <c r="M782" s="30" t="str">
        <f t="shared" ca="1" si="168"/>
        <v/>
      </c>
      <c r="N782" s="46"/>
      <c r="O782" s="47"/>
    </row>
    <row r="783" spans="1:15" ht="15.75" customHeight="1">
      <c r="A783" s="162" t="s">
        <v>249</v>
      </c>
      <c r="B783" s="163"/>
      <c r="C783" s="163"/>
      <c r="D783" s="163"/>
      <c r="E783" s="17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247</v>
      </c>
      <c r="O783" s="39"/>
    </row>
    <row r="784" spans="1:15" ht="18" customHeight="1">
      <c r="A784" s="160" t="s">
        <v>250</v>
      </c>
      <c r="B784" s="161"/>
      <c r="C784" s="161"/>
      <c r="D784" s="161"/>
      <c r="E784" s="17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251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0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1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0"/>
        <v/>
      </c>
      <c r="N786" s="46"/>
      <c r="O786" s="47"/>
    </row>
    <row r="787" spans="1:15" ht="15" customHeight="1">
      <c r="A787" s="68">
        <v>46264</v>
      </c>
      <c r="B787" s="32">
        <f t="shared" si="171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0"/>
        <v/>
      </c>
      <c r="N787" s="46"/>
      <c r="O787" s="47"/>
    </row>
    <row r="788" spans="1:15" ht="15" customHeight="1">
      <c r="A788" s="67">
        <v>46264</v>
      </c>
      <c r="B788" s="25">
        <f t="shared" si="171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0"/>
        <v/>
      </c>
      <c r="N788" s="46"/>
      <c r="O788" s="47"/>
    </row>
    <row r="789" spans="1:15" ht="15" customHeight="1">
      <c r="A789" s="68">
        <v>46264</v>
      </c>
      <c r="B789" s="32">
        <f t="shared" si="171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0"/>
        <v/>
      </c>
      <c r="N789" s="46"/>
      <c r="O789" s="47"/>
    </row>
    <row r="790" spans="1:15" ht="15" customHeight="1">
      <c r="A790" s="67">
        <v>46264</v>
      </c>
      <c r="B790" s="25">
        <f t="shared" si="171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0"/>
        <v/>
      </c>
      <c r="N790" s="46"/>
      <c r="O790" s="47"/>
    </row>
    <row r="791" spans="1:15" ht="15" customHeight="1">
      <c r="A791" s="68">
        <v>46264</v>
      </c>
      <c r="B791" s="32">
        <f t="shared" si="171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0"/>
        <v/>
      </c>
      <c r="N791" s="46"/>
      <c r="O791" s="47"/>
    </row>
    <row r="792" spans="1:15" ht="15" customHeight="1">
      <c r="A792" s="67">
        <v>46264</v>
      </c>
      <c r="B792" s="25">
        <f t="shared" si="171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0"/>
        <v/>
      </c>
      <c r="N792" s="46"/>
      <c r="O792" s="47"/>
    </row>
    <row r="793" spans="1:15" ht="15" customHeight="1">
      <c r="A793" s="68">
        <v>46264</v>
      </c>
      <c r="B793" s="32">
        <f t="shared" si="171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0"/>
        <v/>
      </c>
      <c r="N793" s="46"/>
      <c r="O793" s="47"/>
    </row>
    <row r="794" spans="1:15" ht="15" customHeight="1">
      <c r="A794" s="67">
        <v>46264</v>
      </c>
      <c r="B794" s="25">
        <f t="shared" si="171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0"/>
        <v/>
      </c>
      <c r="N794" s="46"/>
      <c r="O794" s="47"/>
    </row>
    <row r="795" spans="1:15" ht="15" customHeight="1">
      <c r="A795" s="68">
        <v>46264</v>
      </c>
      <c r="B795" s="32">
        <f t="shared" si="171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0"/>
        <v/>
      </c>
      <c r="N795" s="46"/>
      <c r="O795" s="47"/>
    </row>
    <row r="796" spans="1:15" ht="15" customHeight="1">
      <c r="A796" s="67">
        <v>46264</v>
      </c>
      <c r="B796" s="25">
        <f t="shared" si="171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0"/>
        <v/>
      </c>
      <c r="N796" s="46"/>
      <c r="O796" s="47"/>
    </row>
    <row r="797" spans="1:15" ht="15.75" customHeight="1">
      <c r="A797" s="162" t="s">
        <v>246</v>
      </c>
      <c r="B797" s="163"/>
      <c r="C797" s="163"/>
      <c r="D797" s="163"/>
      <c r="E797" s="17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247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2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3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2"/>
        <v/>
      </c>
      <c r="N799" s="46"/>
      <c r="O799" s="47"/>
    </row>
    <row r="800" spans="1:15" ht="15" customHeight="1">
      <c r="A800" s="67">
        <v>46264</v>
      </c>
      <c r="B800" s="25">
        <f t="shared" si="173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2"/>
        <v/>
      </c>
      <c r="N800" s="46"/>
      <c r="O800" s="47"/>
    </row>
    <row r="801" spans="1:15" ht="15" customHeight="1">
      <c r="A801" s="68">
        <v>46264</v>
      </c>
      <c r="B801" s="32">
        <f t="shared" si="173"/>
        <v>0.95833333333333293</v>
      </c>
      <c r="C801" s="33"/>
      <c r="D801" s="62"/>
      <c r="E801" s="62"/>
      <c r="F801" s="27"/>
      <c r="G801" s="34" t="str">
        <f t="shared" ref="G801:G809" si="174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2"/>
        <v/>
      </c>
      <c r="N801" s="46"/>
      <c r="O801" s="47"/>
    </row>
    <row r="802" spans="1:15" ht="15" customHeight="1">
      <c r="A802" s="67">
        <v>46264</v>
      </c>
      <c r="B802" s="25">
        <f t="shared" si="173"/>
        <v>0.99999999999999956</v>
      </c>
      <c r="C802" s="26"/>
      <c r="D802" s="59"/>
      <c r="E802" s="59"/>
      <c r="F802" s="27"/>
      <c r="G802" s="28" t="str">
        <f t="shared" si="174"/>
        <v/>
      </c>
      <c r="H802" s="26"/>
      <c r="I802" s="26"/>
      <c r="J802" s="26"/>
      <c r="K802" s="29"/>
      <c r="L802" s="29"/>
      <c r="M802" s="30" t="str">
        <f t="shared" ca="1" si="172"/>
        <v/>
      </c>
      <c r="N802" s="46"/>
      <c r="O802" s="47"/>
    </row>
    <row r="803" spans="1:15" ht="15" customHeight="1">
      <c r="A803" s="68">
        <v>46264</v>
      </c>
      <c r="B803" s="32">
        <f t="shared" si="173"/>
        <v>1.0416666666666663</v>
      </c>
      <c r="C803" s="33"/>
      <c r="D803" s="62"/>
      <c r="E803" s="62"/>
      <c r="F803" s="27"/>
      <c r="G803" s="34" t="str">
        <f t="shared" si="174"/>
        <v/>
      </c>
      <c r="H803" s="33"/>
      <c r="I803" s="33"/>
      <c r="J803" s="33"/>
      <c r="K803" s="29"/>
      <c r="L803" s="29"/>
      <c r="M803" s="35" t="str">
        <f t="shared" ca="1" si="172"/>
        <v/>
      </c>
      <c r="N803" s="46"/>
      <c r="O803" s="47"/>
    </row>
    <row r="804" spans="1:15" ht="15" customHeight="1">
      <c r="A804" s="67">
        <v>46264</v>
      </c>
      <c r="B804" s="25">
        <f t="shared" si="173"/>
        <v>1.083333333333333</v>
      </c>
      <c r="C804" s="26"/>
      <c r="D804" s="59"/>
      <c r="E804" s="59"/>
      <c r="F804" s="27"/>
      <c r="G804" s="28" t="str">
        <f t="shared" si="174"/>
        <v/>
      </c>
      <c r="H804" s="26"/>
      <c r="I804" s="26"/>
      <c r="J804" s="26"/>
      <c r="K804" s="29"/>
      <c r="L804" s="29"/>
      <c r="M804" s="30" t="str">
        <f t="shared" ca="1" si="172"/>
        <v/>
      </c>
      <c r="N804" s="46"/>
      <c r="O804" s="47"/>
    </row>
    <row r="805" spans="1:15" ht="15" customHeight="1">
      <c r="A805" s="68">
        <v>46264</v>
      </c>
      <c r="B805" s="32">
        <f t="shared" si="173"/>
        <v>1.1249999999999998</v>
      </c>
      <c r="C805" s="33"/>
      <c r="D805" s="62"/>
      <c r="E805" s="62"/>
      <c r="F805" s="27"/>
      <c r="G805" s="34" t="str">
        <f t="shared" si="174"/>
        <v/>
      </c>
      <c r="H805" s="33"/>
      <c r="I805" s="33"/>
      <c r="J805" s="33"/>
      <c r="K805" s="29"/>
      <c r="L805" s="29"/>
      <c r="M805" s="35" t="str">
        <f t="shared" ca="1" si="172"/>
        <v/>
      </c>
      <c r="N805" s="46"/>
      <c r="O805" s="47"/>
    </row>
    <row r="806" spans="1:15" ht="15" customHeight="1">
      <c r="A806" s="67">
        <v>46264</v>
      </c>
      <c r="B806" s="25">
        <f t="shared" si="173"/>
        <v>1.1666666666666665</v>
      </c>
      <c r="C806" s="26"/>
      <c r="D806" s="59"/>
      <c r="E806" s="59"/>
      <c r="F806" s="27"/>
      <c r="G806" s="28" t="str">
        <f t="shared" si="174"/>
        <v/>
      </c>
      <c r="H806" s="26"/>
      <c r="I806" s="26"/>
      <c r="J806" s="26"/>
      <c r="K806" s="29"/>
      <c r="L806" s="29"/>
      <c r="M806" s="30" t="str">
        <f t="shared" ca="1" si="172"/>
        <v/>
      </c>
      <c r="N806" s="46"/>
      <c r="O806" s="47"/>
    </row>
    <row r="807" spans="1:15" ht="15" customHeight="1">
      <c r="A807" s="68">
        <v>46264</v>
      </c>
      <c r="B807" s="32">
        <f t="shared" si="173"/>
        <v>1.2083333333333333</v>
      </c>
      <c r="C807" s="33"/>
      <c r="D807" s="62"/>
      <c r="E807" s="62"/>
      <c r="F807" s="27"/>
      <c r="G807" s="34" t="str">
        <f t="shared" si="174"/>
        <v/>
      </c>
      <c r="H807" s="33"/>
      <c r="I807" s="33"/>
      <c r="J807" s="33"/>
      <c r="K807" s="29"/>
      <c r="L807" s="29"/>
      <c r="M807" s="35" t="str">
        <f t="shared" ca="1" si="172"/>
        <v/>
      </c>
      <c r="N807" s="46"/>
      <c r="O807" s="47"/>
    </row>
    <row r="808" spans="1:15" ht="15" customHeight="1">
      <c r="A808" s="67">
        <v>46264</v>
      </c>
      <c r="B808" s="25">
        <f t="shared" si="173"/>
        <v>1.25</v>
      </c>
      <c r="C808" s="26"/>
      <c r="D808" s="59"/>
      <c r="E808" s="59"/>
      <c r="F808" s="27"/>
      <c r="G808" s="28" t="str">
        <f t="shared" si="174"/>
        <v/>
      </c>
      <c r="H808" s="26"/>
      <c r="I808" s="26"/>
      <c r="J808" s="26"/>
      <c r="K808" s="29"/>
      <c r="L808" s="29"/>
      <c r="M808" s="30" t="str">
        <f t="shared" ca="1" si="172"/>
        <v/>
      </c>
      <c r="N808" s="46"/>
      <c r="O808" s="47"/>
    </row>
    <row r="809" spans="1:15" ht="15" customHeight="1">
      <c r="A809" s="68">
        <v>46264</v>
      </c>
      <c r="B809" s="32">
        <f t="shared" si="173"/>
        <v>1.2916666666666667</v>
      </c>
      <c r="C809" s="33"/>
      <c r="D809" s="62"/>
      <c r="E809" s="62"/>
      <c r="F809" s="27"/>
      <c r="G809" s="34" t="str">
        <f t="shared" si="174"/>
        <v/>
      </c>
      <c r="H809" s="33"/>
      <c r="I809" s="33"/>
      <c r="J809" s="33"/>
      <c r="K809" s="29"/>
      <c r="L809" s="29"/>
      <c r="M809" s="35" t="str">
        <f t="shared" ca="1" si="172"/>
        <v/>
      </c>
      <c r="N809" s="46"/>
      <c r="O809" s="47"/>
    </row>
    <row r="810" spans="1:15" ht="15.75" customHeight="1">
      <c r="A810" s="162" t="s">
        <v>249</v>
      </c>
      <c r="B810" s="163"/>
      <c r="C810" s="163"/>
      <c r="D810" s="163"/>
      <c r="E810" s="17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247</v>
      </c>
      <c r="O810" s="39"/>
    </row>
    <row r="811" spans="1:15" ht="18" customHeight="1">
      <c r="A811" s="174" t="s">
        <v>250</v>
      </c>
      <c r="B811" s="175"/>
      <c r="C811" s="175"/>
      <c r="D811" s="175"/>
      <c r="E811" s="176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251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5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6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7">B812+TIME(0,60,0)</f>
        <v>0.37499999999999967</v>
      </c>
      <c r="C813" s="26"/>
      <c r="D813" s="59"/>
      <c r="E813" s="59"/>
      <c r="F813" s="27"/>
      <c r="G813" s="34" t="str">
        <f t="shared" si="175"/>
        <v/>
      </c>
      <c r="H813" s="26"/>
      <c r="I813" s="26"/>
      <c r="J813" s="26"/>
      <c r="K813" s="29"/>
      <c r="L813" s="29"/>
      <c r="M813" s="30" t="str">
        <f t="shared" ca="1" si="176"/>
        <v/>
      </c>
      <c r="N813" s="27"/>
      <c r="O813" s="31"/>
    </row>
    <row r="814" spans="1:15" ht="15" customHeight="1">
      <c r="A814" s="67">
        <v>46265</v>
      </c>
      <c r="B814" s="25">
        <f t="shared" si="177"/>
        <v>0.41666666666666635</v>
      </c>
      <c r="C814" s="26"/>
      <c r="D814" s="59"/>
      <c r="E814" s="59"/>
      <c r="F814" s="27"/>
      <c r="G814" s="28" t="str">
        <f t="shared" si="175"/>
        <v/>
      </c>
      <c r="H814" s="33"/>
      <c r="I814" s="33"/>
      <c r="J814" s="33"/>
      <c r="K814" s="29"/>
      <c r="L814" s="29"/>
      <c r="M814" s="35" t="str">
        <f t="shared" ca="1" si="176"/>
        <v/>
      </c>
      <c r="N814" s="27"/>
      <c r="O814" s="31"/>
    </row>
    <row r="815" spans="1:15" ht="15" customHeight="1">
      <c r="A815" s="68">
        <v>46265</v>
      </c>
      <c r="B815" s="32">
        <f t="shared" si="177"/>
        <v>0.45833333333333304</v>
      </c>
      <c r="C815" s="26"/>
      <c r="D815" s="59"/>
      <c r="E815" s="59"/>
      <c r="F815" s="27"/>
      <c r="G815" s="34" t="str">
        <f t="shared" si="175"/>
        <v/>
      </c>
      <c r="H815" s="26"/>
      <c r="I815" s="26"/>
      <c r="J815" s="26"/>
      <c r="K815" s="29"/>
      <c r="L815" s="29"/>
      <c r="M815" s="30" t="str">
        <f t="shared" ca="1" si="176"/>
        <v/>
      </c>
      <c r="N815" s="27"/>
      <c r="O815" s="31"/>
    </row>
    <row r="816" spans="1:15" ht="15" customHeight="1">
      <c r="A816" s="67">
        <v>46265</v>
      </c>
      <c r="B816" s="25">
        <f t="shared" si="177"/>
        <v>0.49999999999999972</v>
      </c>
      <c r="C816" s="26"/>
      <c r="D816" s="59"/>
      <c r="E816" s="59"/>
      <c r="F816" s="27"/>
      <c r="G816" s="28" t="str">
        <f t="shared" si="175"/>
        <v/>
      </c>
      <c r="H816" s="33"/>
      <c r="I816" s="33"/>
      <c r="J816" s="33"/>
      <c r="K816" s="29"/>
      <c r="L816" s="29"/>
      <c r="M816" s="35" t="str">
        <f t="shared" ca="1" si="176"/>
        <v/>
      </c>
      <c r="N816" s="27"/>
      <c r="O816" s="31"/>
    </row>
    <row r="817" spans="1:15" ht="15" customHeight="1">
      <c r="A817" s="68">
        <v>46265</v>
      </c>
      <c r="B817" s="32">
        <f t="shared" si="177"/>
        <v>0.54166666666666641</v>
      </c>
      <c r="C817" s="26"/>
      <c r="D817" s="59"/>
      <c r="E817" s="59"/>
      <c r="F817" s="27"/>
      <c r="G817" s="34" t="str">
        <f t="shared" si="175"/>
        <v/>
      </c>
      <c r="H817" s="26"/>
      <c r="I817" s="26"/>
      <c r="J817" s="26"/>
      <c r="K817" s="29"/>
      <c r="L817" s="29"/>
      <c r="M817" s="30" t="str">
        <f t="shared" ca="1" si="176"/>
        <v/>
      </c>
      <c r="N817" s="27"/>
      <c r="O817" s="31"/>
    </row>
    <row r="818" spans="1:15" ht="15" customHeight="1">
      <c r="A818" s="67">
        <v>46265</v>
      </c>
      <c r="B818" s="25">
        <f t="shared" si="177"/>
        <v>0.58333333333333304</v>
      </c>
      <c r="C818" s="26"/>
      <c r="D818" s="59"/>
      <c r="E818" s="59"/>
      <c r="F818" s="27"/>
      <c r="G818" s="28" t="str">
        <f t="shared" si="175"/>
        <v/>
      </c>
      <c r="H818" s="33"/>
      <c r="I818" s="33"/>
      <c r="J818" s="33"/>
      <c r="K818" s="29"/>
      <c r="L818" s="29"/>
      <c r="M818" s="35" t="str">
        <f t="shared" ca="1" si="176"/>
        <v/>
      </c>
      <c r="N818" s="27"/>
      <c r="O818" s="31"/>
    </row>
    <row r="819" spans="1:15" ht="15" customHeight="1">
      <c r="A819" s="68">
        <v>46265</v>
      </c>
      <c r="B819" s="32">
        <f t="shared" si="177"/>
        <v>0.62499999999999967</v>
      </c>
      <c r="C819" s="26"/>
      <c r="D819" s="59"/>
      <c r="E819" s="59"/>
      <c r="F819" s="27"/>
      <c r="G819" s="34" t="str">
        <f t="shared" si="175"/>
        <v/>
      </c>
      <c r="H819" s="26"/>
      <c r="I819" s="26"/>
      <c r="J819" s="26"/>
      <c r="K819" s="29"/>
      <c r="L819" s="29"/>
      <c r="M819" s="30" t="str">
        <f t="shared" ca="1" si="176"/>
        <v/>
      </c>
      <c r="N819" s="27"/>
      <c r="O819" s="31"/>
    </row>
    <row r="820" spans="1:15" ht="15" customHeight="1">
      <c r="A820" s="67">
        <v>46265</v>
      </c>
      <c r="B820" s="25">
        <f t="shared" si="177"/>
        <v>0.6666666666666663</v>
      </c>
      <c r="C820" s="26"/>
      <c r="D820" s="59"/>
      <c r="E820" s="59"/>
      <c r="F820" s="27"/>
      <c r="G820" s="28" t="str">
        <f t="shared" si="175"/>
        <v/>
      </c>
      <c r="H820" s="33"/>
      <c r="I820" s="33"/>
      <c r="J820" s="33"/>
      <c r="K820" s="29"/>
      <c r="L820" s="29"/>
      <c r="M820" s="35" t="str">
        <f t="shared" ca="1" si="176"/>
        <v/>
      </c>
      <c r="N820" s="27"/>
      <c r="O820" s="31"/>
    </row>
    <row r="821" spans="1:15" ht="15" customHeight="1">
      <c r="A821" s="68">
        <v>46265</v>
      </c>
      <c r="B821" s="32">
        <f t="shared" si="177"/>
        <v>0.70833333333333293</v>
      </c>
      <c r="C821" s="26"/>
      <c r="D821" s="59"/>
      <c r="E821" s="59"/>
      <c r="F821" s="27"/>
      <c r="G821" s="34" t="str">
        <f t="shared" si="175"/>
        <v/>
      </c>
      <c r="H821" s="26"/>
      <c r="I821" s="26"/>
      <c r="J821" s="26"/>
      <c r="K821" s="29"/>
      <c r="L821" s="29"/>
      <c r="M821" s="30" t="str">
        <f t="shared" ca="1" si="176"/>
        <v/>
      </c>
      <c r="N821" s="27"/>
      <c r="O821" s="31"/>
    </row>
    <row r="822" spans="1:15" ht="15" customHeight="1">
      <c r="A822" s="67">
        <v>46265</v>
      </c>
      <c r="B822" s="25">
        <f t="shared" si="177"/>
        <v>0.74999999999999956</v>
      </c>
      <c r="C822" s="26"/>
      <c r="D822" s="59"/>
      <c r="E822" s="59"/>
      <c r="F822" s="27"/>
      <c r="G822" s="28" t="str">
        <f t="shared" si="175"/>
        <v/>
      </c>
      <c r="H822" s="33"/>
      <c r="I822" s="33"/>
      <c r="J822" s="33"/>
      <c r="K822" s="29"/>
      <c r="L822" s="29"/>
      <c r="M822" s="35" t="str">
        <f t="shared" ca="1" si="176"/>
        <v/>
      </c>
      <c r="N822" s="27"/>
      <c r="O822" s="31"/>
    </row>
    <row r="823" spans="1:15" ht="15" customHeight="1">
      <c r="A823" s="68">
        <v>46265</v>
      </c>
      <c r="B823" s="32">
        <f t="shared" si="177"/>
        <v>0.79166666666666619</v>
      </c>
      <c r="C823" s="26"/>
      <c r="D823" s="59"/>
      <c r="E823" s="59"/>
      <c r="F823" s="27"/>
      <c r="G823" s="34" t="str">
        <f t="shared" si="175"/>
        <v/>
      </c>
      <c r="H823" s="26"/>
      <c r="I823" s="26"/>
      <c r="J823" s="26"/>
      <c r="K823" s="29"/>
      <c r="L823" s="29"/>
      <c r="M823" s="30" t="str">
        <f t="shared" ca="1" si="176"/>
        <v/>
      </c>
      <c r="N823" s="27"/>
      <c r="O823" s="31"/>
    </row>
    <row r="824" spans="1:15" ht="15.75" customHeight="1">
      <c r="A824" s="162" t="s">
        <v>246</v>
      </c>
      <c r="B824" s="163"/>
      <c r="C824" s="163"/>
      <c r="D824" s="163"/>
      <c r="E824" s="17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247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8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9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80">B825+TIME(0,60,0)</f>
        <v>0.87499999999999967</v>
      </c>
      <c r="C826" s="33"/>
      <c r="D826" s="62"/>
      <c r="E826" s="62"/>
      <c r="F826" s="27"/>
      <c r="G826" s="28" t="str">
        <f t="shared" si="178"/>
        <v/>
      </c>
      <c r="H826" s="33"/>
      <c r="I826" s="33"/>
      <c r="J826" s="33"/>
      <c r="K826" s="29"/>
      <c r="L826" s="29"/>
      <c r="M826" s="35" t="str">
        <f t="shared" ca="1" si="179"/>
        <v/>
      </c>
      <c r="N826" s="27"/>
      <c r="O826" s="31"/>
    </row>
    <row r="827" spans="1:15" ht="15" customHeight="1">
      <c r="A827" s="68">
        <v>46265</v>
      </c>
      <c r="B827" s="32">
        <f t="shared" si="180"/>
        <v>0.9166666666666663</v>
      </c>
      <c r="C827" s="33"/>
      <c r="D827" s="62"/>
      <c r="E827" s="62"/>
      <c r="F827" s="27"/>
      <c r="G827" s="34" t="str">
        <f t="shared" si="178"/>
        <v/>
      </c>
      <c r="H827" s="26"/>
      <c r="I827" s="26"/>
      <c r="J827" s="26"/>
      <c r="K827" s="29"/>
      <c r="L827" s="29"/>
      <c r="M827" s="30" t="str">
        <f t="shared" ca="1" si="179"/>
        <v/>
      </c>
      <c r="N827" s="27"/>
      <c r="O827" s="31"/>
    </row>
    <row r="828" spans="1:15" ht="15" customHeight="1">
      <c r="A828" s="67">
        <v>46265</v>
      </c>
      <c r="B828" s="25">
        <f t="shared" si="180"/>
        <v>0.95833333333333293</v>
      </c>
      <c r="C828" s="33"/>
      <c r="D828" s="62"/>
      <c r="E828" s="62"/>
      <c r="F828" s="27"/>
      <c r="G828" s="28" t="str">
        <f t="shared" si="178"/>
        <v/>
      </c>
      <c r="H828" s="33"/>
      <c r="I828" s="33"/>
      <c r="J828" s="33"/>
      <c r="K828" s="29"/>
      <c r="L828" s="29"/>
      <c r="M828" s="35" t="str">
        <f t="shared" ca="1" si="179"/>
        <v/>
      </c>
      <c r="N828" s="27"/>
      <c r="O828" s="31"/>
    </row>
    <row r="829" spans="1:15" ht="15" customHeight="1">
      <c r="A829" s="68">
        <v>46265</v>
      </c>
      <c r="B829" s="32">
        <f t="shared" si="180"/>
        <v>0.99999999999999956</v>
      </c>
      <c r="C829" s="33"/>
      <c r="D829" s="62"/>
      <c r="E829" s="62"/>
      <c r="F829" s="27"/>
      <c r="G829" s="34" t="str">
        <f t="shared" si="178"/>
        <v/>
      </c>
      <c r="H829" s="26"/>
      <c r="I829" s="26"/>
      <c r="J829" s="26"/>
      <c r="K829" s="29"/>
      <c r="L829" s="29"/>
      <c r="M829" s="30" t="str">
        <f t="shared" ca="1" si="179"/>
        <v/>
      </c>
      <c r="N829" s="27"/>
      <c r="O829" s="31"/>
    </row>
    <row r="830" spans="1:15" ht="15" customHeight="1">
      <c r="A830" s="67">
        <v>46265</v>
      </c>
      <c r="B830" s="25">
        <f t="shared" si="180"/>
        <v>1.0416666666666663</v>
      </c>
      <c r="C830" s="33"/>
      <c r="D830" s="62"/>
      <c r="E830" s="62"/>
      <c r="F830" s="27"/>
      <c r="G830" s="28" t="str">
        <f t="shared" si="178"/>
        <v/>
      </c>
      <c r="H830" s="33"/>
      <c r="I830" s="33"/>
      <c r="J830" s="33"/>
      <c r="K830" s="29"/>
      <c r="L830" s="29"/>
      <c r="M830" s="35" t="str">
        <f t="shared" ca="1" si="179"/>
        <v/>
      </c>
      <c r="N830" s="27"/>
      <c r="O830" s="31"/>
    </row>
    <row r="831" spans="1:15" ht="15" customHeight="1">
      <c r="A831" s="68">
        <v>46265</v>
      </c>
      <c r="B831" s="32">
        <f t="shared" si="180"/>
        <v>1.083333333333333</v>
      </c>
      <c r="C831" s="33"/>
      <c r="D831" s="62"/>
      <c r="E831" s="62"/>
      <c r="F831" s="27"/>
      <c r="G831" s="34" t="str">
        <f t="shared" si="178"/>
        <v/>
      </c>
      <c r="H831" s="26"/>
      <c r="I831" s="26"/>
      <c r="J831" s="26"/>
      <c r="K831" s="29"/>
      <c r="L831" s="29"/>
      <c r="M831" s="30" t="str">
        <f t="shared" ca="1" si="179"/>
        <v/>
      </c>
      <c r="N831" s="27"/>
      <c r="O831" s="31"/>
    </row>
    <row r="832" spans="1:15" ht="15" customHeight="1">
      <c r="A832" s="67">
        <v>46265</v>
      </c>
      <c r="B832" s="25">
        <f t="shared" si="180"/>
        <v>1.1249999999999998</v>
      </c>
      <c r="C832" s="33"/>
      <c r="D832" s="62"/>
      <c r="E832" s="62"/>
      <c r="F832" s="27"/>
      <c r="G832" s="28" t="str">
        <f t="shared" si="178"/>
        <v/>
      </c>
      <c r="H832" s="33"/>
      <c r="I832" s="33"/>
      <c r="J832" s="33"/>
      <c r="K832" s="29"/>
      <c r="L832" s="29"/>
      <c r="M832" s="35" t="str">
        <f t="shared" ca="1" si="179"/>
        <v/>
      </c>
      <c r="N832" s="27"/>
      <c r="O832" s="31"/>
    </row>
    <row r="833" spans="1:15" ht="15" customHeight="1">
      <c r="A833" s="68">
        <v>46265</v>
      </c>
      <c r="B833" s="32">
        <f t="shared" si="180"/>
        <v>1.1666666666666665</v>
      </c>
      <c r="C833" s="33"/>
      <c r="D833" s="62"/>
      <c r="E833" s="62"/>
      <c r="F833" s="27"/>
      <c r="G833" s="34" t="str">
        <f t="shared" si="178"/>
        <v/>
      </c>
      <c r="H833" s="26"/>
      <c r="I833" s="26"/>
      <c r="J833" s="26"/>
      <c r="K833" s="29"/>
      <c r="L833" s="29"/>
      <c r="M833" s="30" t="str">
        <f t="shared" ca="1" si="179"/>
        <v/>
      </c>
      <c r="N833" s="27"/>
      <c r="O833" s="31"/>
    </row>
    <row r="834" spans="1:15" ht="15" customHeight="1">
      <c r="A834" s="67">
        <v>46265</v>
      </c>
      <c r="B834" s="25">
        <f t="shared" si="180"/>
        <v>1.2083333333333333</v>
      </c>
      <c r="C834" s="33"/>
      <c r="D834" s="62"/>
      <c r="E834" s="62"/>
      <c r="F834" s="27"/>
      <c r="G834" s="28" t="str">
        <f t="shared" si="178"/>
        <v/>
      </c>
      <c r="H834" s="33"/>
      <c r="I834" s="33"/>
      <c r="J834" s="33"/>
      <c r="K834" s="29"/>
      <c r="L834" s="29"/>
      <c r="M834" s="35" t="str">
        <f t="shared" ca="1" si="179"/>
        <v/>
      </c>
      <c r="N834" s="27"/>
      <c r="O834" s="31"/>
    </row>
    <row r="835" spans="1:15" ht="15" customHeight="1">
      <c r="A835" s="68">
        <v>46265</v>
      </c>
      <c r="B835" s="32">
        <f t="shared" si="180"/>
        <v>1.25</v>
      </c>
      <c r="C835" s="33"/>
      <c r="D835" s="62"/>
      <c r="E835" s="62"/>
      <c r="F835" s="27"/>
      <c r="G835" s="34" t="str">
        <f t="shared" si="178"/>
        <v/>
      </c>
      <c r="H835" s="26"/>
      <c r="I835" s="26"/>
      <c r="J835" s="26"/>
      <c r="K835" s="29"/>
      <c r="L835" s="29"/>
      <c r="M835" s="30" t="str">
        <f t="shared" ca="1" si="179"/>
        <v/>
      </c>
      <c r="N835" s="27"/>
      <c r="O835" s="31"/>
    </row>
    <row r="836" spans="1:15" ht="15" customHeight="1">
      <c r="A836" s="67">
        <v>46265</v>
      </c>
      <c r="B836" s="25">
        <f t="shared" si="180"/>
        <v>1.2916666666666667</v>
      </c>
      <c r="C836" s="33"/>
      <c r="D836" s="62"/>
      <c r="E836" s="62"/>
      <c r="F836" s="27"/>
      <c r="G836" s="28" t="str">
        <f t="shared" si="178"/>
        <v/>
      </c>
      <c r="H836" s="33"/>
      <c r="I836" s="33"/>
      <c r="J836" s="33"/>
      <c r="K836" s="29"/>
      <c r="L836" s="29"/>
      <c r="M836" s="35" t="str">
        <f t="shared" ca="1" si="179"/>
        <v/>
      </c>
      <c r="N836" s="27"/>
      <c r="O836" s="31"/>
    </row>
    <row r="837" spans="1:15" ht="15.75" customHeight="1">
      <c r="A837" s="162" t="s">
        <v>249</v>
      </c>
      <c r="B837" s="163"/>
      <c r="C837" s="163"/>
      <c r="D837" s="163"/>
      <c r="E837" s="17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247</v>
      </c>
      <c r="O837" s="39"/>
    </row>
    <row r="838" spans="1:15" ht="18" customHeight="1">
      <c r="A838" s="160" t="s">
        <v>250</v>
      </c>
      <c r="B838" s="161"/>
      <c r="C838" s="161"/>
      <c r="D838" s="161"/>
      <c r="E838" s="177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251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3">
    <dataValidation type="list" allowBlank="1" showErrorMessage="1" errorTitle="Valor inválido" error="Selecione PC 17 ou PC 19 da lista." sqref="E15:E26 E2:E13 E29:E229 E231:E310 E312:E381 E383:E838" xr:uid="{235B1AAE-AFA6-43B8-A61B-0FFDC4F16070}">
      <formula1>"PC 17,PC 19,CB"</formula1>
      <formula2>0</formula2>
    </dataValidation>
    <dataValidation type="list" showErrorMessage="1" errorTitle="Atenção" error="Selecione primeiro o Tipo de Parada (col G) e depois escolha a Descrição da lista." sqref="J436:J443 J445:J900 J2:J434" xr:uid="{0933D0F3-29B6-4FE1-A318-97144B32ADD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58A706B0-2D50-4319-828D-077A513225DF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tabSelected="1" zoomScale="80" zoomScaleNormal="80" zoomScaleSheetLayoutView="70" workbookViewId="0">
      <pane ySplit="1" topLeftCell="A453" activePane="bottomLeft" state="frozen"/>
      <selection pane="bottomLeft" activeCell="E479" sqref="E479"/>
      <selection sqref="A1:G40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279</v>
      </c>
      <c r="I1" s="133" t="s">
        <v>20</v>
      </c>
      <c r="J1" s="133" t="s">
        <v>280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280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168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281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138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282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283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139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139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62" t="s">
        <v>246</v>
      </c>
      <c r="B14" s="163"/>
      <c r="C14" s="163"/>
      <c r="D14" s="163"/>
      <c r="E14" s="163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247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261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261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261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143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261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166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261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143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284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261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285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261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261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261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261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261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261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62" t="s">
        <v>249</v>
      </c>
      <c r="B27" s="163"/>
      <c r="C27" s="163"/>
      <c r="D27" s="163"/>
      <c r="E27" s="163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247</v>
      </c>
      <c r="S27" s="45">
        <v>549860</v>
      </c>
      <c r="T27" s="122"/>
    </row>
    <row r="28" spans="1:20" ht="18" customHeight="1">
      <c r="A28" s="160" t="s">
        <v>250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251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261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166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261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261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261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261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261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261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261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261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261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261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261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62" t="s">
        <v>246</v>
      </c>
      <c r="B41" s="163"/>
      <c r="C41" s="163"/>
      <c r="D41" s="163"/>
      <c r="E41" s="163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247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168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168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286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287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138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288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138</v>
      </c>
      <c r="O53" s="29">
        <v>0.12152777777777778</v>
      </c>
      <c r="P53" s="29"/>
      <c r="Q53" s="30">
        <f t="shared" ca="1" si="11"/>
        <v>0.73709386574046221</v>
      </c>
      <c r="R53" s="46" t="s">
        <v>289</v>
      </c>
      <c r="S53" s="31"/>
    </row>
    <row r="54" spans="1:20" ht="15.75" customHeight="1" thickBot="1">
      <c r="A54" s="162" t="s">
        <v>249</v>
      </c>
      <c r="B54" s="163"/>
      <c r="C54" s="163"/>
      <c r="D54" s="163"/>
      <c r="E54" s="163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0.87598275462935105</v>
      </c>
      <c r="R54" s="36" t="s">
        <v>247</v>
      </c>
      <c r="S54" s="75">
        <v>352430</v>
      </c>
      <c r="T54" s="117"/>
    </row>
    <row r="55" spans="1:20" ht="18" customHeight="1">
      <c r="A55" s="160" t="s">
        <v>250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0.96070497685157341</v>
      </c>
      <c r="R55" s="40" t="s">
        <v>251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261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131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131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261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131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261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131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261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131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261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131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261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281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261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261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261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261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62" t="s">
        <v>246</v>
      </c>
      <c r="B68" s="163"/>
      <c r="C68" s="163"/>
      <c r="D68" s="163"/>
      <c r="E68" s="163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247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157</v>
      </c>
      <c r="N69" s="26" t="s">
        <v>194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143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166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166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209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290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261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261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62" t="s">
        <v>249</v>
      </c>
      <c r="B81" s="163"/>
      <c r="C81" s="163"/>
      <c r="D81" s="163"/>
      <c r="E81" s="163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247</v>
      </c>
      <c r="S81" s="54">
        <v>634210</v>
      </c>
      <c r="T81" s="118"/>
    </row>
    <row r="82" spans="1:20" ht="18" customHeight="1">
      <c r="A82" s="160" t="s">
        <v>250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251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261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146</v>
      </c>
      <c r="N83" s="33" t="s">
        <v>220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146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62" t="s">
        <v>246</v>
      </c>
      <c r="B95" s="163"/>
      <c r="C95" s="163"/>
      <c r="D95" s="163"/>
      <c r="E95" s="163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247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149</v>
      </c>
      <c r="N96" s="26" t="s">
        <v>125</v>
      </c>
      <c r="O96" s="29">
        <v>0.79166666666666663</v>
      </c>
      <c r="P96" s="29" t="s">
        <v>291</v>
      </c>
      <c r="Q96" s="30" t="str">
        <f t="shared" ref="Q96:Q107" ca="1" si="22">IFERROR(IF(O96="","",IF(P96="",MOD(NOW()-O96,1),IF(P96&gt;=O96,P96-O96,P96+1-O96))),"")</f>
        <v/>
      </c>
      <c r="R96" s="46" t="s">
        <v>292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248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293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192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294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248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62" t="s">
        <v>249</v>
      </c>
      <c r="B108" s="163"/>
      <c r="C108" s="163"/>
      <c r="D108" s="163"/>
      <c r="E108" s="163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247</v>
      </c>
      <c r="S108" s="54">
        <v>456830</v>
      </c>
      <c r="T108" s="118"/>
    </row>
    <row r="109" spans="1:20" ht="18" customHeight="1">
      <c r="A109" s="160" t="s">
        <v>250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251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165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295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165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62" t="s">
        <v>246</v>
      </c>
      <c r="B122" s="163"/>
      <c r="C122" s="163"/>
      <c r="D122" s="163"/>
      <c r="E122" s="163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247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168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165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143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143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131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62" t="s">
        <v>249</v>
      </c>
      <c r="B135" s="163"/>
      <c r="C135" s="163"/>
      <c r="D135" s="163"/>
      <c r="E135" s="163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247</v>
      </c>
      <c r="S135" s="54">
        <v>756720</v>
      </c>
      <c r="T135" s="118"/>
    </row>
    <row r="136" spans="1:20" ht="18" customHeight="1">
      <c r="A136" s="160" t="s">
        <v>250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251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296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297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168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298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62" t="s">
        <v>246</v>
      </c>
      <c r="B149" s="163"/>
      <c r="C149" s="163"/>
      <c r="D149" s="163"/>
      <c r="E149" s="163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247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299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62" t="s">
        <v>249</v>
      </c>
      <c r="B162" s="163"/>
      <c r="C162" s="163"/>
      <c r="D162" s="163"/>
      <c r="E162" s="163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247</v>
      </c>
      <c r="S162" s="54">
        <v>501750</v>
      </c>
      <c r="T162" s="118"/>
    </row>
    <row r="163" spans="1:20" ht="18" customHeight="1">
      <c r="A163" s="160" t="s">
        <v>250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251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261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261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261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166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261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166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261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261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261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261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261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261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261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62" t="s">
        <v>246</v>
      </c>
      <c r="B176" s="163"/>
      <c r="C176" s="163"/>
      <c r="D176" s="163"/>
      <c r="E176" s="163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247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261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131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261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157</v>
      </c>
      <c r="N180" s="26" t="s">
        <v>142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300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261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297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301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261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261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261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62" t="s">
        <v>249</v>
      </c>
      <c r="B189" s="163"/>
      <c r="C189" s="163"/>
      <c r="D189" s="163"/>
      <c r="E189" s="163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247</v>
      </c>
      <c r="S189" s="45">
        <v>362530</v>
      </c>
      <c r="T189" s="122"/>
    </row>
    <row r="190" spans="1:20" ht="18" customHeight="1">
      <c r="A190" s="160" t="s">
        <v>250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251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302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157</v>
      </c>
      <c r="N192" s="26" t="s">
        <v>191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157</v>
      </c>
      <c r="N193" s="26" t="s">
        <v>191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295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175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131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131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62" t="s">
        <v>246</v>
      </c>
      <c r="B203" s="163"/>
      <c r="C203" s="163"/>
      <c r="D203" s="163"/>
      <c r="E203" s="163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247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168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168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62" t="s">
        <v>249</v>
      </c>
      <c r="B216" s="163"/>
      <c r="C216" s="163"/>
      <c r="D216" s="163"/>
      <c r="E216" s="163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247</v>
      </c>
      <c r="S216" s="45">
        <v>609740</v>
      </c>
      <c r="T216" s="122"/>
    </row>
    <row r="217" spans="1:20" ht="18" customHeight="1">
      <c r="A217" s="160" t="s">
        <v>250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251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180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290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248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303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143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304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143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305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71" t="s">
        <v>246</v>
      </c>
      <c r="B230" s="172"/>
      <c r="C230" s="172"/>
      <c r="D230" s="172"/>
      <c r="E230" s="172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247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248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168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168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62" t="s">
        <v>249</v>
      </c>
      <c r="B243" s="163"/>
      <c r="C243" s="163"/>
      <c r="D243" s="163"/>
      <c r="E243" s="163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247</v>
      </c>
      <c r="S243" s="45">
        <v>825930</v>
      </c>
      <c r="T243" s="122"/>
    </row>
    <row r="244" spans="1:20" ht="18" customHeight="1">
      <c r="A244" s="160" t="s">
        <v>250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251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175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261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261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62" t="s">
        <v>246</v>
      </c>
      <c r="B257" s="163"/>
      <c r="C257" s="163"/>
      <c r="D257" s="163"/>
      <c r="E257" s="163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247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261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261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261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261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261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261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261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261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261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261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261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261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62" t="s">
        <v>249</v>
      </c>
      <c r="B270" s="163"/>
      <c r="C270" s="163"/>
      <c r="D270" s="163"/>
      <c r="E270" s="163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247</v>
      </c>
      <c r="S270" s="45">
        <v>732130</v>
      </c>
      <c r="T270" s="122"/>
    </row>
    <row r="271" spans="1:20" ht="18" customHeight="1">
      <c r="A271" s="160" t="s">
        <v>250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251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261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261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261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261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245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261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62" t="s">
        <v>246</v>
      </c>
      <c r="B284" s="163"/>
      <c r="C284" s="163"/>
      <c r="D284" s="163"/>
      <c r="E284" s="163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247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245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245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261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261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245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245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245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245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245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245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245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245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62" t="s">
        <v>249</v>
      </c>
      <c r="B297" s="163"/>
      <c r="C297" s="163"/>
      <c r="D297" s="163"/>
      <c r="E297" s="163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247</v>
      </c>
      <c r="S297" s="45">
        <v>990260</v>
      </c>
      <c r="T297" s="122"/>
    </row>
    <row r="298" spans="1:20" ht="18" customHeight="1">
      <c r="A298" s="160" t="s">
        <v>250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251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261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143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261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261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261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261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261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261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261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261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261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261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261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62" t="s">
        <v>246</v>
      </c>
      <c r="B311" s="163"/>
      <c r="C311" s="163"/>
      <c r="D311" s="163"/>
      <c r="E311" s="163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247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261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168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261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261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165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261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261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168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261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146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261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261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261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143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261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261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261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62" t="s">
        <v>249</v>
      </c>
      <c r="B324" s="163"/>
      <c r="C324" s="163"/>
      <c r="D324" s="163"/>
      <c r="E324" s="163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247</v>
      </c>
      <c r="S324" s="149">
        <v>725030</v>
      </c>
      <c r="T324" s="122">
        <f>IFERROR(J324,"")</f>
        <v>104.40432</v>
      </c>
    </row>
    <row r="325" spans="1:20" ht="18" customHeight="1">
      <c r="A325" s="160" t="s">
        <v>250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251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138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306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146</v>
      </c>
      <c r="N328" s="26" t="s">
        <v>138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307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146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308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245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134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245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146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309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180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310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62" t="s">
        <v>246</v>
      </c>
      <c r="B338" s="163"/>
      <c r="C338" s="163"/>
      <c r="D338" s="163"/>
      <c r="E338" s="163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247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302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175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205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297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165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165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143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143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62" t="s">
        <v>249</v>
      </c>
      <c r="B351" s="163"/>
      <c r="C351" s="163"/>
      <c r="D351" s="163"/>
      <c r="E351" s="163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247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250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251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290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168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62" t="s">
        <v>246</v>
      </c>
      <c r="B365" s="163"/>
      <c r="C365" s="163"/>
      <c r="D365" s="163"/>
      <c r="E365" s="163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247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146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311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168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168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62" t="s">
        <v>249</v>
      </c>
      <c r="B378" s="163"/>
      <c r="C378" s="163"/>
      <c r="D378" s="163"/>
      <c r="E378" s="163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247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250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251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261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261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168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151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312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62" t="s">
        <v>246</v>
      </c>
      <c r="B392" s="163"/>
      <c r="C392" s="163"/>
      <c r="D392" s="163"/>
      <c r="E392" s="163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247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165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168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168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313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166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176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166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62" t="s">
        <v>249</v>
      </c>
      <c r="B405" s="163"/>
      <c r="C405" s="163"/>
      <c r="D405" s="163"/>
      <c r="E405" s="163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247</v>
      </c>
      <c r="S405" s="45">
        <v>774540</v>
      </c>
      <c r="T405" s="122">
        <f>IFERROR(J405,"")</f>
        <v>156.22852721311477</v>
      </c>
    </row>
    <row r="406" spans="1:20" ht="18" customHeight="1">
      <c r="A406" s="160" t="s">
        <v>250</v>
      </c>
      <c r="B406" s="161"/>
      <c r="C406" s="161"/>
      <c r="D406" s="161"/>
      <c r="E406" s="161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251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62" t="s">
        <v>246</v>
      </c>
      <c r="B419" s="163"/>
      <c r="C419" s="163"/>
      <c r="D419" s="163"/>
      <c r="E419" s="163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247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98.023859649122812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14.115435789473684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314</v>
      </c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53.096257309941521</v>
      </c>
      <c r="I421" s="135">
        <f>IFERROR(IF($D421="","",VLOOKUP($D421,Cadastro!$C$4:$G$7,5,FALSE)),"")</f>
        <v>0.6</v>
      </c>
      <c r="J421" s="136">
        <f t="shared" si="102"/>
        <v>7.6458610526315782</v>
      </c>
      <c r="K421" s="34">
        <f t="shared" si="103"/>
        <v>54.6</v>
      </c>
      <c r="L421" s="33" t="s">
        <v>25</v>
      </c>
      <c r="M421" s="33" t="s">
        <v>46</v>
      </c>
      <c r="N421" s="33" t="s">
        <v>165</v>
      </c>
      <c r="O421" s="29">
        <v>0.91666666666666663</v>
      </c>
      <c r="P421" s="29">
        <v>0.93402777777777779</v>
      </c>
      <c r="Q421" s="35">
        <f t="shared" ca="1" si="104"/>
        <v>1.736111111111116E-2</v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11</v>
      </c>
      <c r="H422" s="134">
        <f>IFERROR(IF($G422="","",$G422*$S$432/$G$432/Cadastro!$E$33),"")</f>
        <v>44.927602339181284</v>
      </c>
      <c r="I422" s="135">
        <f>IFERROR(IF($D422="","",VLOOKUP($D422,Cadastro!$C$4:$G$7,5,FALSE)),"")</f>
        <v>0.6</v>
      </c>
      <c r="J422" s="136">
        <f t="shared" si="102"/>
        <v>6.4695747368421044</v>
      </c>
      <c r="K422" s="28">
        <f t="shared" si="103"/>
        <v>46.2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4"/>
        <v>1.0416666666666741E-2</v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12</v>
      </c>
      <c r="H423" s="134">
        <f>IFERROR(IF($G423="","",$G423*$S$432/$G$432/Cadastro!$E$33),"")</f>
        <v>49.011929824561406</v>
      </c>
      <c r="I423" s="135">
        <f>IFERROR(IF($D423="","",VLOOKUP($D423,Cadastro!$C$4:$G$7,5,FALSE)),"")</f>
        <v>0.6</v>
      </c>
      <c r="J423" s="136">
        <f t="shared" si="102"/>
        <v>7.0577178947368422</v>
      </c>
      <c r="K423" s="34">
        <f t="shared" si="103"/>
        <v>50.400000000000006</v>
      </c>
      <c r="L423" s="33" t="s">
        <v>27</v>
      </c>
      <c r="M423" s="33" t="s">
        <v>46</v>
      </c>
      <c r="N423" s="33" t="s">
        <v>43</v>
      </c>
      <c r="O423" s="29">
        <v>2.9166666666666667E-2</v>
      </c>
      <c r="P423" s="29">
        <v>3.2638888888888891E-2</v>
      </c>
      <c r="Q423" s="35">
        <f t="shared" ca="1" si="104"/>
        <v>3.4722222222222238E-3</v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21</v>
      </c>
      <c r="H424" s="134">
        <f>IFERROR(IF($G424="","",$G424*$S$432/$G$432/Cadastro!$E$33),"")</f>
        <v>85.770877192982454</v>
      </c>
      <c r="I424" s="135">
        <f>IFERROR(IF($D424="","",VLOOKUP($D424,Cadastro!$C$4:$G$7,5,FALSE)),"")</f>
        <v>0.6</v>
      </c>
      <c r="J424" s="136">
        <f t="shared" si="102"/>
        <v>12.351006315789473</v>
      </c>
      <c r="K424" s="28">
        <f t="shared" si="103"/>
        <v>88.2</v>
      </c>
      <c r="L424" s="26" t="s">
        <v>27</v>
      </c>
      <c r="M424" s="26" t="s">
        <v>46</v>
      </c>
      <c r="N424" s="26" t="s">
        <v>43</v>
      </c>
      <c r="O424" s="29">
        <v>6.0416666666666667E-2</v>
      </c>
      <c r="P424" s="29">
        <v>6.3194444444444442E-2</v>
      </c>
      <c r="Q424" s="30">
        <f t="shared" ca="1" si="104"/>
        <v>2.7777777777777748E-3</v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12</v>
      </c>
      <c r="H425" s="134">
        <f>IFERROR(IF($G425="","",$G425*$S$432/$G$432/Cadastro!$E$33),"")</f>
        <v>49.011929824561406</v>
      </c>
      <c r="I425" s="135">
        <f>IFERROR(IF($D425="","",VLOOKUP($D425,Cadastro!$C$4:$G$7,5,FALSE)),"")</f>
        <v>0.6</v>
      </c>
      <c r="J425" s="136">
        <f t="shared" si="102"/>
        <v>7.0577178947368422</v>
      </c>
      <c r="K425" s="34">
        <f t="shared" si="103"/>
        <v>50.400000000000006</v>
      </c>
      <c r="L425" s="33" t="s">
        <v>27</v>
      </c>
      <c r="M425" s="33" t="s">
        <v>46</v>
      </c>
      <c r="N425" s="33" t="s">
        <v>43</v>
      </c>
      <c r="O425" s="29">
        <v>7.3611111111111113E-2</v>
      </c>
      <c r="P425" s="29">
        <v>7.5694444444444439E-2</v>
      </c>
      <c r="Q425" s="35">
        <f t="shared" ca="1" si="104"/>
        <v>2.0833333333333259E-3</v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17</v>
      </c>
      <c r="H426" s="134">
        <f>IFERROR(IF($G426="","",$G426*$S$432/$G$432/Cadastro!$E$33),"")</f>
        <v>69.433567251461994</v>
      </c>
      <c r="I426" s="135">
        <f>IFERROR(IF($D426="","",VLOOKUP($D426,Cadastro!$C$4:$G$7,5,FALSE)),"")</f>
        <v>0.6</v>
      </c>
      <c r="J426" s="136">
        <f t="shared" si="102"/>
        <v>9.9984336842105268</v>
      </c>
      <c r="K426" s="28">
        <f t="shared" si="103"/>
        <v>71.400000000000006</v>
      </c>
      <c r="L426" s="26" t="s">
        <v>26</v>
      </c>
      <c r="M426" s="26" t="s">
        <v>168</v>
      </c>
      <c r="N426" s="26" t="s">
        <v>34</v>
      </c>
      <c r="O426" s="29">
        <v>0.16180555555555556</v>
      </c>
      <c r="P426" s="29">
        <v>0.18055555555555555</v>
      </c>
      <c r="Q426" s="30">
        <f t="shared" ca="1" si="104"/>
        <v>1.8749999999999989E-2</v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16</v>
      </c>
      <c r="H427" s="134">
        <f>IFERROR(IF($G427="","",$G427*$S$432/$G$432/Cadastro!$E$33),"")</f>
        <v>65.349239766081865</v>
      </c>
      <c r="I427" s="135">
        <f>IFERROR(IF($D427="","",VLOOKUP($D427,Cadastro!$C$4:$G$7,5,FALSE)),"")</f>
        <v>0.6</v>
      </c>
      <c r="J427" s="136">
        <f t="shared" si="102"/>
        <v>9.4102905263157872</v>
      </c>
      <c r="K427" s="34">
        <f t="shared" si="103"/>
        <v>67.2</v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4</v>
      </c>
      <c r="H428" s="134">
        <f>IFERROR(IF($G428="","",$G428*$S$432/$G$432/Cadastro!$E$33),"")</f>
        <v>16.337309941520466</v>
      </c>
      <c r="I428" s="135">
        <f>IFERROR(IF($D428="","",VLOOKUP($D428,Cadastro!$C$4:$G$7,5,FALSE)),"")</f>
        <v>0.6</v>
      </c>
      <c r="J428" s="136">
        <f t="shared" si="102"/>
        <v>2.3525726315789468</v>
      </c>
      <c r="K428" s="28">
        <f t="shared" si="103"/>
        <v>16.8</v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13</v>
      </c>
      <c r="H429" s="134">
        <f>IFERROR(IF($G429="","",$G429*$S$432/$G$432/Cadastro!$E$33),"")</f>
        <v>53.096257309941521</v>
      </c>
      <c r="I429" s="135">
        <f>IFERROR(IF($D429="","",VLOOKUP($D429,Cadastro!$C$4:$G$7,5,FALSE)),"")</f>
        <v>0.6</v>
      </c>
      <c r="J429" s="136">
        <f t="shared" si="102"/>
        <v>7.6458610526315782</v>
      </c>
      <c r="K429" s="34">
        <f t="shared" si="103"/>
        <v>54.6</v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20</v>
      </c>
      <c r="H430" s="134">
        <f>IFERROR(IF($G430="","",$G430*$S$432/$G$432/Cadastro!$E$33),"")</f>
        <v>81.686549707602339</v>
      </c>
      <c r="I430" s="135">
        <f>IFERROR(IF($D430="","",VLOOKUP($D430,Cadastro!$C$4:$G$7,5,FALSE)),"")</f>
        <v>0.6</v>
      </c>
      <c r="J430" s="136">
        <f t="shared" si="102"/>
        <v>11.762863157894737</v>
      </c>
      <c r="K430" s="28">
        <f t="shared" si="103"/>
        <v>84</v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8</v>
      </c>
      <c r="H431" s="137">
        <f>IFERROR(IF($G431="","",$G431*$S$432/$G$432/Cadastro!$E$33),"")</f>
        <v>32.674619883040933</v>
      </c>
      <c r="I431" s="138">
        <f>IFERROR(IF($D431="","",VLOOKUP($D431,Cadastro!$C$4:$G$7,5,FALSE)),"")</f>
        <v>0.6</v>
      </c>
      <c r="J431" s="139">
        <f t="shared" si="102"/>
        <v>4.7051452631578936</v>
      </c>
      <c r="K431" s="34">
        <f t="shared" si="103"/>
        <v>33.6</v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249</v>
      </c>
      <c r="B432" s="79"/>
      <c r="C432" s="79"/>
      <c r="D432" s="79"/>
      <c r="E432" s="79"/>
      <c r="F432" s="111"/>
      <c r="G432" s="80">
        <f>SUM(G420:G431)</f>
        <v>171</v>
      </c>
      <c r="H432" s="111">
        <f>IFERROR(SUM(H420:H431),"")</f>
        <v>698.42000000000007</v>
      </c>
      <c r="I432" s="115"/>
      <c r="J432" s="124">
        <f>IFERROR(SUM(J420:J431),"")</f>
        <v>100.57248</v>
      </c>
      <c r="K432" s="36">
        <f>SUM(K420:K431)</f>
        <v>718.2</v>
      </c>
      <c r="L432" s="37"/>
      <c r="M432" s="37"/>
      <c r="N432" s="37"/>
      <c r="O432" s="37"/>
      <c r="P432" s="37"/>
      <c r="Q432" s="38">
        <f ca="1">IFERROR(SUM(Q420:Q431),"")</f>
        <v>7.9166666666666802E-2</v>
      </c>
      <c r="R432" s="36" t="s">
        <v>247</v>
      </c>
      <c r="S432" s="45">
        <v>698420</v>
      </c>
      <c r="T432" s="122">
        <f>IFERROR(J432,"")</f>
        <v>100.57248</v>
      </c>
    </row>
    <row r="433" spans="1:20" ht="18" customHeight="1">
      <c r="A433" s="83" t="s">
        <v>250</v>
      </c>
      <c r="B433" s="82"/>
      <c r="C433" s="82"/>
      <c r="D433" s="82"/>
      <c r="E433" s="82"/>
      <c r="F433" s="112"/>
      <c r="G433" s="91">
        <f>G419+G432</f>
        <v>318</v>
      </c>
      <c r="H433" s="112">
        <f>IFERROR(H419+H432,"")</f>
        <v>1289.25</v>
      </c>
      <c r="I433" s="116"/>
      <c r="J433" s="125">
        <f>IFERROR(J419+J432,"")</f>
        <v>185.65199999999999</v>
      </c>
      <c r="K433" s="40">
        <f>K419+K432</f>
        <v>1335.6000000000001</v>
      </c>
      <c r="L433" s="41"/>
      <c r="M433" s="41"/>
      <c r="N433" s="41"/>
      <c r="O433" s="41"/>
      <c r="P433" s="41"/>
      <c r="Q433" s="42">
        <f ca="1">IFERROR(Q419+Q432,"")</f>
        <v>0.17013888888888903</v>
      </c>
      <c r="R433" s="40" t="s">
        <v>251</v>
      </c>
      <c r="S433" s="143">
        <f>IFERROR(S419+S432,"")</f>
        <v>1289250</v>
      </c>
      <c r="T433" s="144">
        <f>IFERROR(J433,"")</f>
        <v>185.65199999999999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261</v>
      </c>
      <c r="F434" s="140">
        <f>IFERROR(IF($D434="","",VLOOKUP($D434,Cadastro!$C$4:$E$7,3,FALSE)),"")</f>
        <v>0.35</v>
      </c>
      <c r="G434" s="105">
        <v>9</v>
      </c>
      <c r="H434" s="140">
        <f>IFERROR(IF($G434="","",$G434*$S$446/$G$446/Cadastro!$E$33),"")</f>
        <v>36.081964285714285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7.5772124999999999</v>
      </c>
      <c r="K434" s="28">
        <f t="shared" ref="K434:K444" si="107">IF(G434="","",IF(E434="PC 17",G434*4.2,IF(E434="PC 19",G434*5,IF(E434="CB",G434*24,""))))</f>
        <v>37.800000000000004</v>
      </c>
      <c r="L434" s="26" t="s">
        <v>27</v>
      </c>
      <c r="M434" s="26" t="s">
        <v>46</v>
      </c>
      <c r="N434" s="26" t="s">
        <v>43</v>
      </c>
      <c r="O434" s="29">
        <v>0.32291666666666669</v>
      </c>
      <c r="P434" s="29">
        <v>0.34305555555555556</v>
      </c>
      <c r="Q434" s="30">
        <f t="shared" ref="Q434:Q445" ca="1" si="108">IFERROR(IF(O434="","",IF(P434="",MOD(NOW()-O434,1),IF(P434&gt;=O434,P434-O434,P434+1-O434))),"")</f>
        <v>2.0138888888888873E-2</v>
      </c>
      <c r="R434" s="46" t="s">
        <v>315</v>
      </c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2</v>
      </c>
      <c r="H435" s="134">
        <f>IFERROR(IF($G435="","",$G435*$S$446/$G$446/Cadastro!$E$33),"")</f>
        <v>8.0182142857142846</v>
      </c>
      <c r="I435" s="135">
        <f>IFERROR(IF($D435="","",VLOOKUP($D435,Cadastro!$C$4:$G$7,5,FALSE)),"")</f>
        <v>0.6</v>
      </c>
      <c r="J435" s="136">
        <f t="shared" si="106"/>
        <v>1.6838249999999997</v>
      </c>
      <c r="K435" s="28">
        <f t="shared" si="107"/>
        <v>8.4</v>
      </c>
      <c r="L435" s="33" t="s">
        <v>27</v>
      </c>
      <c r="M435" s="33" t="s">
        <v>146</v>
      </c>
      <c r="N435" s="33" t="s">
        <v>81</v>
      </c>
      <c r="O435" s="29">
        <v>0.36527777777777776</v>
      </c>
      <c r="P435" s="29">
        <v>0.38194444444444442</v>
      </c>
      <c r="Q435" s="35">
        <f t="shared" ca="1" si="108"/>
        <v>1.6666666666666663E-2</v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44.100178571428572</v>
      </c>
      <c r="I436" s="135">
        <f>IFERROR(IF($D436="","",VLOOKUP($D436,Cadastro!$C$4:$G$7,5,FALSE)),"")</f>
        <v>0.6</v>
      </c>
      <c r="J436" s="136">
        <f t="shared" si="106"/>
        <v>9.2610374999999987</v>
      </c>
      <c r="K436" s="28">
        <f t="shared" si="107"/>
        <v>46.2</v>
      </c>
      <c r="L436" s="26" t="s">
        <v>26</v>
      </c>
      <c r="M436" s="26" t="s">
        <v>46</v>
      </c>
      <c r="N436" s="26" t="s">
        <v>34</v>
      </c>
      <c r="O436" s="29">
        <v>0.60138888888888886</v>
      </c>
      <c r="P436" s="29">
        <v>0.61388888888888893</v>
      </c>
      <c r="Q436" s="30">
        <f t="shared" ca="1" si="108"/>
        <v>1.2500000000000067E-2</v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14</v>
      </c>
      <c r="H437" s="134">
        <f>IFERROR(IF($G437="","",$G437*$S$446/$G$446/Cadastro!$E$33),"")</f>
        <v>56.127499999999998</v>
      </c>
      <c r="I437" s="135">
        <f>IFERROR(IF($D437="","",VLOOKUP($D437,Cadastro!$C$4:$G$7,5,FALSE)),"")</f>
        <v>0.6</v>
      </c>
      <c r="J437" s="136">
        <f t="shared" si="106"/>
        <v>11.786774999999999</v>
      </c>
      <c r="K437" s="34">
        <f t="shared" si="107"/>
        <v>58.800000000000004</v>
      </c>
      <c r="L437" s="33" t="s">
        <v>26</v>
      </c>
      <c r="M437" s="33" t="s">
        <v>38</v>
      </c>
      <c r="N437" s="33" t="s">
        <v>34</v>
      </c>
      <c r="O437" s="29">
        <v>0.72638888888888886</v>
      </c>
      <c r="P437" s="29">
        <v>0.74444444444444446</v>
      </c>
      <c r="Q437" s="35">
        <f t="shared" ca="1" si="108"/>
        <v>1.8055555555555602E-2</v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13</v>
      </c>
      <c r="H438" s="134">
        <f>IFERROR(IF($G438="","",$G438*$S$446/$G$446/Cadastro!$E$33),"")</f>
        <v>52.118392857142858</v>
      </c>
      <c r="I438" s="135">
        <f>IFERROR(IF($D438="","",VLOOKUP($D438,Cadastro!$C$4:$G$7,5,FALSE)),"")</f>
        <v>0.6</v>
      </c>
      <c r="J438" s="136">
        <f t="shared" si="106"/>
        <v>10.944862499999999</v>
      </c>
      <c r="K438" s="28">
        <f t="shared" si="107"/>
        <v>54.6</v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40.091071428571425</v>
      </c>
      <c r="I439" s="135">
        <f>IFERROR(IF($D439="","",VLOOKUP($D439,Cadastro!$C$4:$G$7,5,FALSE)),"")</f>
        <v>0.6</v>
      </c>
      <c r="J439" s="136">
        <f t="shared" si="106"/>
        <v>8.4191249999999975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58" t="s">
        <v>316</v>
      </c>
      <c r="F440" s="134">
        <f>IFERROR(IF($D440="","",VLOOKUP($D440,Cadastro!$C$4:$E$7,3,FALSE)),"")</f>
        <v>0.35</v>
      </c>
      <c r="G440" s="105">
        <v>9</v>
      </c>
      <c r="H440" s="134">
        <f>IFERROR(IF($G440="","",$G440*$S$446/$G$446/Cadastro!$E$33),"")</f>
        <v>36.081964285714285</v>
      </c>
      <c r="I440" s="135">
        <f>IFERROR(IF($D440="","",VLOOKUP($D440,Cadastro!$C$4:$G$7,5,FALSE)),"")</f>
        <v>0.6</v>
      </c>
      <c r="J440" s="136">
        <f t="shared" si="106"/>
        <v>7.5772124999999999</v>
      </c>
      <c r="K440" s="28">
        <f>IF(G440="","",IF(E445="PC 17",G440*4.2,IF(E445="PC 19",G440*5,IF(E445="CB",G440*24,""))))</f>
        <v>37.800000000000004</v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37</v>
      </c>
      <c r="E441" s="108" t="s">
        <v>261</v>
      </c>
      <c r="F441" s="134">
        <f>IFERROR(IF($D441="","",VLOOKUP($D441,Cadastro!$C$4:$E$7,3,FALSE)),"")</f>
        <v>0.24</v>
      </c>
      <c r="G441" s="105">
        <v>3</v>
      </c>
      <c r="H441" s="134">
        <f>IFERROR(IF($G441="","",$G441*$S$446/$G$446/Cadastro!$E$33),"")</f>
        <v>12.02732142857143</v>
      </c>
      <c r="I441" s="135">
        <f>IFERROR(IF($D441="","",VLOOKUP($D441,Cadastro!$C$4:$G$7,5,FALSE)),"")</f>
        <v>0.6</v>
      </c>
      <c r="J441" s="136">
        <f t="shared" si="106"/>
        <v>1.7319342857142856</v>
      </c>
      <c r="K441" s="34">
        <f t="shared" si="107"/>
        <v>12.600000000000001</v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37</v>
      </c>
      <c r="E442" s="108" t="s">
        <v>261</v>
      </c>
      <c r="F442" s="134">
        <f>IFERROR(IF($D442="","",VLOOKUP($D442,Cadastro!$C$4:$E$7,3,FALSE)),"")</f>
        <v>0.24</v>
      </c>
      <c r="G442" s="105">
        <v>9</v>
      </c>
      <c r="H442" s="134">
        <f>IFERROR(IF($G442="","",$G442*$S$446/$G$446/Cadastro!$E$33),"")</f>
        <v>36.081964285714285</v>
      </c>
      <c r="I442" s="135">
        <f>IFERROR(IF($D442="","",VLOOKUP($D442,Cadastro!$C$4:$G$7,5,FALSE)),"")</f>
        <v>0.6</v>
      </c>
      <c r="J442" s="136">
        <f t="shared" si="106"/>
        <v>5.1958028571428567</v>
      </c>
      <c r="K442" s="28">
        <f t="shared" si="107"/>
        <v>37.800000000000004</v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15</v>
      </c>
      <c r="H443" s="134">
        <f>IFERROR(IF($G443="","",$G443*$S$446/$G$446/Cadastro!$E$33),"")</f>
        <v>60.136607142857144</v>
      </c>
      <c r="I443" s="135">
        <f>IFERROR(IF($D443="","",VLOOKUP($D443,Cadastro!$C$4:$G$7,5,FALSE)),"")</f>
        <v>0.6</v>
      </c>
      <c r="J443" s="136">
        <f t="shared" si="106"/>
        <v>12.6286875</v>
      </c>
      <c r="K443" s="34">
        <f t="shared" si="107"/>
        <v>63</v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6</v>
      </c>
      <c r="H444" s="134">
        <f>IFERROR(IF($G444="","",$G444*$S$446/$G$446/Cadastro!$E$33),"")</f>
        <v>24.054642857142859</v>
      </c>
      <c r="I444" s="135">
        <f>IFERROR(IF($D444="","",VLOOKUP($D444,Cadastro!$C$4:$G$7,5,FALSE)),"")</f>
        <v>0.6</v>
      </c>
      <c r="J444" s="136">
        <f t="shared" si="106"/>
        <v>5.051474999999999</v>
      </c>
      <c r="K444" s="28">
        <f t="shared" si="107"/>
        <v>25.200000000000003</v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11</v>
      </c>
      <c r="H445" s="137">
        <f>IFERROR(IF($G445="","",$G445*$S$446/$G$446/Cadastro!$E$33),"")</f>
        <v>44.100178571428572</v>
      </c>
      <c r="I445" s="138">
        <f>IFERROR(IF($D445="","",VLOOKUP($D445,Cadastro!$C$4:$G$7,5,FALSE)),"")</f>
        <v>0.6</v>
      </c>
      <c r="J445" s="139">
        <f t="shared" si="106"/>
        <v>9.2610374999999987</v>
      </c>
      <c r="K445" s="151">
        <f>IF(G445="","",IF(E445="PC 17",G445*4.2,IF(E445="PC 19",G445*5,IF(E445="CB",G445*24,""))))</f>
        <v>46.2</v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62" t="s">
        <v>246</v>
      </c>
      <c r="B446" s="163"/>
      <c r="C446" s="163"/>
      <c r="D446" s="163"/>
      <c r="E446" s="163">
        <f>SUM(E434:E445)</f>
        <v>0</v>
      </c>
      <c r="F446" s="110"/>
      <c r="G446" s="80">
        <f>SUM(G434:G445)</f>
        <v>112</v>
      </c>
      <c r="H446" s="110">
        <f>IFERROR(SUM(H434:H445),"")</f>
        <v>449.02</v>
      </c>
      <c r="I446" s="114"/>
      <c r="J446" s="123">
        <f>IFERROR(SUM(J434:J445),"")</f>
        <v>91.118987142857137</v>
      </c>
      <c r="K446" s="36">
        <f>SUM(K434:K445)</f>
        <v>470.40000000000003</v>
      </c>
      <c r="L446" s="37"/>
      <c r="M446" s="37"/>
      <c r="N446" s="37"/>
      <c r="O446" s="37"/>
      <c r="P446" s="37"/>
      <c r="Q446" s="38">
        <f ca="1">IFERROR(SUM(Q434:Q445),"")</f>
        <v>6.7361111111111205E-2</v>
      </c>
      <c r="R446" s="36" t="s">
        <v>247</v>
      </c>
      <c r="S446" s="45">
        <v>449020</v>
      </c>
      <c r="T446" s="122">
        <f>IFERROR(J446,"")</f>
        <v>91.118987142857137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8</v>
      </c>
      <c r="H447" s="140">
        <f>IFERROR(IF($G447="","",$G447*$S$459/$G$459/Cadastro!$E$33),"")</f>
        <v>35.177619047619046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7.3872999999999998</v>
      </c>
      <c r="K447" s="34">
        <f t="shared" ref="K447:K458" si="111">IF(G447="","",IF(E447="PC 17",G447*4.2,IF(E447="PC 19",G447*5,IF(E447="CB",G447*24,""))))</f>
        <v>33.6</v>
      </c>
      <c r="L447" s="33" t="s">
        <v>27</v>
      </c>
      <c r="M447" s="33" t="s">
        <v>38</v>
      </c>
      <c r="N447" s="33" t="s">
        <v>63</v>
      </c>
      <c r="O447" s="29">
        <v>0.81944444444444442</v>
      </c>
      <c r="P447" s="29">
        <v>0.81944444444444442</v>
      </c>
      <c r="Q447" s="35">
        <f t="shared" ref="Q447:Q458" ca="1" si="112">IFERROR(IF(O447="","",IF(P447="",MOD(NOW()-O447,1),IF(P447&gt;=O447,P447-O447,P447+1-O447))),"")</f>
        <v>0</v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22</v>
      </c>
      <c r="H448" s="134">
        <f>IFERROR(IF($G448="","",$G448*$S$459/$G$459/Cadastro!$E$33),"")</f>
        <v>96.738452380952381</v>
      </c>
      <c r="I448" s="135">
        <f>IFERROR(IF($D448="","",VLOOKUP($D448,Cadastro!$C$4:$G$7,5,FALSE)),"")</f>
        <v>0.6</v>
      </c>
      <c r="J448" s="136">
        <f t="shared" si="110"/>
        <v>20.315074999999997</v>
      </c>
      <c r="K448" s="28">
        <f t="shared" si="111"/>
        <v>92.4</v>
      </c>
      <c r="L448" s="26" t="s">
        <v>27</v>
      </c>
      <c r="M448" s="26" t="s">
        <v>131</v>
      </c>
      <c r="N448" s="26" t="s">
        <v>218</v>
      </c>
      <c r="O448" s="29">
        <v>0.83333333333333337</v>
      </c>
      <c r="P448" s="29">
        <v>0.84027777777777779</v>
      </c>
      <c r="Q448" s="30">
        <f t="shared" ca="1" si="112"/>
        <v>6.9444444444444198E-3</v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48.369226190476191</v>
      </c>
      <c r="I449" s="135">
        <f>IFERROR(IF($D449="","",VLOOKUP($D449,Cadastro!$C$4:$G$7,5,FALSE)),"")</f>
        <v>0.6</v>
      </c>
      <c r="J449" s="136">
        <f t="shared" si="110"/>
        <v>10.157537499999998</v>
      </c>
      <c r="K449" s="34">
        <f t="shared" si="111"/>
        <v>46.2</v>
      </c>
      <c r="L449" s="33" t="s">
        <v>26</v>
      </c>
      <c r="M449" s="33" t="s">
        <v>46</v>
      </c>
      <c r="N449" s="33" t="s">
        <v>34</v>
      </c>
      <c r="O449" s="29">
        <v>0.99652777777777779</v>
      </c>
      <c r="P449" s="29">
        <v>1.2500000000000001E-2</v>
      </c>
      <c r="Q449" s="35">
        <f t="shared" ca="1" si="112"/>
        <v>1.5972222222222165E-2</v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37</v>
      </c>
      <c r="E450" s="109" t="s">
        <v>245</v>
      </c>
      <c r="F450" s="134">
        <f>IFERROR(IF($D450="","",VLOOKUP($D450,Cadastro!$C$4:$E$7,3,FALSE)),"")</f>
        <v>0.24</v>
      </c>
      <c r="G450" s="105">
        <v>13</v>
      </c>
      <c r="H450" s="134">
        <f>IFERROR(IF($G450="","",$G450*$S$459/$G$459/Cadastro!$E$33),"")</f>
        <v>57.163630952380956</v>
      </c>
      <c r="I450" s="135">
        <f>IFERROR(IF($D450="","",VLOOKUP($D450,Cadastro!$C$4:$G$7,5,FALSE)),"")</f>
        <v>0.6</v>
      </c>
      <c r="J450" s="136">
        <f t="shared" si="110"/>
        <v>8.2315628571428565</v>
      </c>
      <c r="K450" s="28">
        <f t="shared" si="111"/>
        <v>65</v>
      </c>
      <c r="L450" s="26" t="s">
        <v>27</v>
      </c>
      <c r="M450" s="26" t="s">
        <v>168</v>
      </c>
      <c r="N450" s="26" t="s">
        <v>58</v>
      </c>
      <c r="O450" s="29">
        <v>3.8194444444444448E-2</v>
      </c>
      <c r="P450" s="29">
        <v>4.5138888888888888E-2</v>
      </c>
      <c r="Q450" s="30">
        <f t="shared" ca="1" si="112"/>
        <v>6.9444444444444406E-3</v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37</v>
      </c>
      <c r="E451" s="109" t="s">
        <v>261</v>
      </c>
      <c r="F451" s="134">
        <f>IFERROR(IF($D451="","",VLOOKUP($D451,Cadastro!$C$4:$E$7,3,FALSE)),"")</f>
        <v>0.24</v>
      </c>
      <c r="G451" s="105">
        <v>13</v>
      </c>
      <c r="H451" s="134">
        <f>IFERROR(IF($G451="","",$G451*$S$459/$G$459/Cadastro!$E$33),"")</f>
        <v>57.163630952380956</v>
      </c>
      <c r="I451" s="135">
        <f>IFERROR(IF($D451="","",VLOOKUP($D451,Cadastro!$C$4:$G$7,5,FALSE)),"")</f>
        <v>0.6</v>
      </c>
      <c r="J451" s="136">
        <f t="shared" si="110"/>
        <v>8.2315628571428565</v>
      </c>
      <c r="K451" s="34">
        <f t="shared" si="111"/>
        <v>54.6</v>
      </c>
      <c r="L451" s="33" t="s">
        <v>27</v>
      </c>
      <c r="M451" s="33" t="s">
        <v>38</v>
      </c>
      <c r="N451" s="33" t="s">
        <v>58</v>
      </c>
      <c r="O451" s="29">
        <v>5.2777777777777778E-2</v>
      </c>
      <c r="P451" s="29">
        <v>5.5555555555555552E-2</v>
      </c>
      <c r="Q451" s="35">
        <f t="shared" ca="1" si="112"/>
        <v>2.7777777777777748E-3</v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37</v>
      </c>
      <c r="E452" s="109" t="s">
        <v>261</v>
      </c>
      <c r="F452" s="134">
        <f>IFERROR(IF($D452="","",VLOOKUP($D452,Cadastro!$C$4:$E$7,3,FALSE)),"")</f>
        <v>0.24</v>
      </c>
      <c r="G452" s="105">
        <v>12</v>
      </c>
      <c r="H452" s="134">
        <f>IFERROR(IF($G452="","",$G452*$S$459/$G$459/Cadastro!$E$33),"")</f>
        <v>52.76642857142857</v>
      </c>
      <c r="I452" s="135">
        <f>IFERROR(IF($D452="","",VLOOKUP($D452,Cadastro!$C$4:$G$7,5,FALSE)),"")</f>
        <v>0.6</v>
      </c>
      <c r="J452" s="136">
        <f t="shared" si="110"/>
        <v>7.5983657142857135</v>
      </c>
      <c r="K452" s="28">
        <f t="shared" si="111"/>
        <v>50.400000000000006</v>
      </c>
      <c r="L452" s="26" t="s">
        <v>27</v>
      </c>
      <c r="M452" s="26" t="s">
        <v>38</v>
      </c>
      <c r="N452" s="26" t="s">
        <v>63</v>
      </c>
      <c r="O452" s="29">
        <v>6.9444444444444448E-2</v>
      </c>
      <c r="P452" s="29">
        <v>9.0277777777777776E-2</v>
      </c>
      <c r="Q452" s="30">
        <f t="shared" ca="1" si="112"/>
        <v>2.0833333333333329E-2</v>
      </c>
      <c r="R452" s="46" t="s">
        <v>317</v>
      </c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8</v>
      </c>
      <c r="H453" s="134">
        <f>IFERROR(IF($G453="","",$G453*$S$459/$G$459/Cadastro!$E$33),"")</f>
        <v>35.177619047619046</v>
      </c>
      <c r="I453" s="135">
        <f>IFERROR(IF($D453="","",VLOOKUP($D453,Cadastro!$C$4:$G$7,5,FALSE)),"")</f>
        <v>0.6</v>
      </c>
      <c r="J453" s="136">
        <f t="shared" si="110"/>
        <v>7.3872999999999998</v>
      </c>
      <c r="K453" s="34">
        <f t="shared" si="111"/>
        <v>33.6</v>
      </c>
      <c r="L453" s="33" t="s">
        <v>27</v>
      </c>
      <c r="M453" s="33" t="s">
        <v>38</v>
      </c>
      <c r="N453" s="33" t="s">
        <v>58</v>
      </c>
      <c r="O453" s="29">
        <v>9.375E-2</v>
      </c>
      <c r="P453" s="29">
        <v>0.13541666666666666</v>
      </c>
      <c r="Q453" s="35">
        <f t="shared" ca="1" si="112"/>
        <v>4.1666666666666657E-2</v>
      </c>
      <c r="R453" s="46" t="s">
        <v>318</v>
      </c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4</v>
      </c>
      <c r="H454" s="134">
        <f>IFERROR(IF($G454="","",$G454*$S$459/$G$459/Cadastro!$E$33),"")</f>
        <v>17.588809523809523</v>
      </c>
      <c r="I454" s="135">
        <f>IFERROR(IF($D454="","",VLOOKUP($D454,Cadastro!$C$4:$G$7,5,FALSE)),"")</f>
        <v>0.6</v>
      </c>
      <c r="J454" s="136">
        <f t="shared" si="110"/>
        <v>3.6936499999999999</v>
      </c>
      <c r="K454" s="28">
        <f t="shared" si="111"/>
        <v>16.8</v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24</v>
      </c>
      <c r="H455" s="134">
        <f>IFERROR(IF($G455="","",$G455*$S$459/$G$459/Cadastro!$E$33),"")</f>
        <v>105.53285714285714</v>
      </c>
      <c r="I455" s="135">
        <f>IFERROR(IF($D455="","",VLOOKUP($D455,Cadastro!$C$4:$G$7,5,FALSE)),"")</f>
        <v>0.6</v>
      </c>
      <c r="J455" s="136">
        <f t="shared" si="110"/>
        <v>22.161899999999996</v>
      </c>
      <c r="K455" s="34">
        <f t="shared" si="111"/>
        <v>100.80000000000001</v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>
        <v>23</v>
      </c>
      <c r="H456" s="134">
        <f>IFERROR(IF($G456="","",$G456*$S$459/$G$459/Cadastro!$E$33),"")</f>
        <v>101.13565476190476</v>
      </c>
      <c r="I456" s="135">
        <f>IFERROR(IF($D456="","",VLOOKUP($D456,Cadastro!$C$4:$G$7,5,FALSE)),"")</f>
        <v>0.6</v>
      </c>
      <c r="J456" s="136">
        <f t="shared" si="110"/>
        <v>21.238487499999998</v>
      </c>
      <c r="K456" s="28">
        <f t="shared" si="111"/>
        <v>96.600000000000009</v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>
        <v>20</v>
      </c>
      <c r="H457" s="134">
        <f>IFERROR(IF($G457="","",$G457*$S$459/$G$459/Cadastro!$E$33),"")</f>
        <v>87.944047619047623</v>
      </c>
      <c r="I457" s="135">
        <f>IFERROR(IF($D457="","",VLOOKUP($D457,Cadastro!$C$4:$G$7,5,FALSE)),"")</f>
        <v>0.6</v>
      </c>
      <c r="J457" s="136">
        <f t="shared" si="110"/>
        <v>18.468250000000001</v>
      </c>
      <c r="K457" s="34">
        <f t="shared" si="111"/>
        <v>84</v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>
        <v>10</v>
      </c>
      <c r="H458" s="137">
        <f>IFERROR(IF($G458="","",$G458*$S$459/$G$459/Cadastro!$E$33),"")</f>
        <v>43.972023809523812</v>
      </c>
      <c r="I458" s="138">
        <f>IFERROR(IF($D458="","",VLOOKUP($D458,Cadastro!$C$4:$G$7,5,FALSE)),"")</f>
        <v>0.6</v>
      </c>
      <c r="J458" s="139">
        <f t="shared" si="110"/>
        <v>9.2341250000000006</v>
      </c>
      <c r="K458" s="28">
        <f t="shared" si="111"/>
        <v>42</v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62" t="s">
        <v>249</v>
      </c>
      <c r="B459" s="163"/>
      <c r="C459" s="163"/>
      <c r="D459" s="163"/>
      <c r="E459" s="163">
        <f>SUM(E447:E458)</f>
        <v>0</v>
      </c>
      <c r="F459" s="111"/>
      <c r="G459" s="80">
        <f>SUM(G447:G458)</f>
        <v>168</v>
      </c>
      <c r="H459" s="111">
        <f>IFERROR(SUM(H447:H458),"")</f>
        <v>738.7299999999999</v>
      </c>
      <c r="I459" s="115"/>
      <c r="J459" s="124">
        <f>IFERROR(SUM(J447:J458),"")</f>
        <v>144.10511642857142</v>
      </c>
      <c r="K459" s="36">
        <f>SUM(K447:K458)</f>
        <v>716.00000000000011</v>
      </c>
      <c r="L459" s="37"/>
      <c r="M459" s="37"/>
      <c r="N459" s="37"/>
      <c r="O459" s="37"/>
      <c r="P459" s="37"/>
      <c r="Q459" s="38">
        <f ca="1">IFERROR(SUM(Q447:Q458),"")</f>
        <v>9.5138888888888787E-2</v>
      </c>
      <c r="R459" s="36" t="s">
        <v>247</v>
      </c>
      <c r="S459" s="45">
        <v>738730</v>
      </c>
      <c r="T459" s="122">
        <f>IFERROR(J459,"")</f>
        <v>144.10511642857142</v>
      </c>
    </row>
    <row r="460" spans="1:20" ht="18" customHeight="1">
      <c r="A460" s="160" t="s">
        <v>250</v>
      </c>
      <c r="B460" s="161"/>
      <c r="C460" s="161"/>
      <c r="D460" s="161"/>
      <c r="E460" s="161">
        <f>E446+E459</f>
        <v>0</v>
      </c>
      <c r="F460" s="112"/>
      <c r="G460" s="91">
        <f>G446+G459</f>
        <v>280</v>
      </c>
      <c r="H460" s="112">
        <f>IFERROR(H446+H459,"")</f>
        <v>1187.75</v>
      </c>
      <c r="I460" s="116"/>
      <c r="J460" s="125">
        <f>IFERROR(J446+J459,"")</f>
        <v>235.22410357142854</v>
      </c>
      <c r="K460" s="40">
        <f>K446+K459</f>
        <v>1186.4000000000001</v>
      </c>
      <c r="L460" s="41"/>
      <c r="M460" s="41"/>
      <c r="N460" s="41"/>
      <c r="O460" s="41"/>
      <c r="P460" s="41"/>
      <c r="Q460" s="42">
        <f ca="1">IFERROR(Q446+Q459,"")</f>
        <v>0.16249999999999998</v>
      </c>
      <c r="R460" s="40" t="s">
        <v>251</v>
      </c>
      <c r="S460" s="143">
        <f>IFERROR(S446+S459,"")</f>
        <v>1187750</v>
      </c>
      <c r="T460" s="144">
        <f>IFERROR(J460,"")</f>
        <v>235.22410357142854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261</v>
      </c>
      <c r="F461" s="140">
        <f>IFERROR(IF($D461="","",VLOOKUP($D461,Cadastro!$C$4:$E$7,3,FALSE)),"")</f>
        <v>0.35</v>
      </c>
      <c r="G461" s="105">
        <v>11</v>
      </c>
      <c r="H461" s="140">
        <f>IFERROR(IF($G461="","",$G461*$S$473/$G$473/Cadastro!$E$33),"")</f>
        <v>47.00704663212435</v>
      </c>
      <c r="I461" s="141">
        <f>IFERROR(IF($D461="","",VLOOKUP($D461,Cadastro!$C$4:$G$7,5,FALSE)),"")</f>
        <v>0.6</v>
      </c>
      <c r="J461" s="142">
        <f t="shared" ref="J461:J472" si="114">IFERROR(IF($H461="","",$H461*$F461*$I461),"")</f>
        <v>9.8714797927461113</v>
      </c>
      <c r="K461" s="34">
        <f t="shared" ref="K461:K472" si="115">IF(G461="","",IF(E461="PC 17",G461*4.2,IF(E461="PC 19",G461*5,IF(E461="CB",G461*24,""))))</f>
        <v>46.2</v>
      </c>
      <c r="L461" s="33" t="s">
        <v>26</v>
      </c>
      <c r="M461" s="33" t="s">
        <v>46</v>
      </c>
      <c r="N461" s="33" t="s">
        <v>34</v>
      </c>
      <c r="O461" s="29">
        <v>0.29375000000000001</v>
      </c>
      <c r="P461" s="29">
        <v>0.31458333333333333</v>
      </c>
      <c r="Q461" s="35">
        <f t="shared" ref="Q461:Q472" ca="1" si="116">IFERROR(IF(O461="","",IF(P461="",MOD(NOW()-O461,1),IF(P461&gt;=O461,P461-O461,P461+1-O461))),"")</f>
        <v>2.0833333333333315E-2</v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 t="s">
        <v>52</v>
      </c>
      <c r="D462" s="62" t="s">
        <v>29</v>
      </c>
      <c r="E462" s="109" t="s">
        <v>261</v>
      </c>
      <c r="F462" s="134">
        <f>IFERROR(IF($D462="","",VLOOKUP($D462,Cadastro!$C$4:$E$7,3,FALSE)),"")</f>
        <v>0.35</v>
      </c>
      <c r="G462" s="105">
        <v>26</v>
      </c>
      <c r="H462" s="134">
        <f>IFERROR(IF($G462="","",$G462*$S$473/$G$473/Cadastro!$E$33),"")</f>
        <v>111.10756476683937</v>
      </c>
      <c r="I462" s="135">
        <f>IFERROR(IF($D462="","",VLOOKUP($D462,Cadastro!$C$4:$G$7,5,FALSE)),"")</f>
        <v>0.6</v>
      </c>
      <c r="J462" s="136">
        <f t="shared" si="114"/>
        <v>23.332588601036264</v>
      </c>
      <c r="K462" s="28">
        <f t="shared" si="115"/>
        <v>109.2</v>
      </c>
      <c r="L462" s="26" t="s">
        <v>26</v>
      </c>
      <c r="M462" s="26" t="s">
        <v>38</v>
      </c>
      <c r="N462" s="26" t="s">
        <v>34</v>
      </c>
      <c r="O462" s="29">
        <v>0.39583333333333331</v>
      </c>
      <c r="P462" s="29">
        <v>0.41180555555555554</v>
      </c>
      <c r="Q462" s="30">
        <f t="shared" ca="1" si="116"/>
        <v>1.5972222222222221E-2</v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 t="s">
        <v>52</v>
      </c>
      <c r="D463" s="62" t="s">
        <v>29</v>
      </c>
      <c r="E463" s="109" t="s">
        <v>261</v>
      </c>
      <c r="F463" s="134">
        <f>IFERROR(IF($D463="","",VLOOKUP($D463,Cadastro!$C$4:$E$7,3,FALSE)),"")</f>
        <v>0.35</v>
      </c>
      <c r="G463" s="105">
        <v>9</v>
      </c>
      <c r="H463" s="134">
        <f>IFERROR(IF($G463="","",$G463*$S$473/$G$473/Cadastro!$E$33),"")</f>
        <v>38.460310880829013</v>
      </c>
      <c r="I463" s="135">
        <f>IFERROR(IF($D463="","",VLOOKUP($D463,Cadastro!$C$4:$G$7,5,FALSE)),"")</f>
        <v>0.6</v>
      </c>
      <c r="J463" s="136">
        <f t="shared" si="114"/>
        <v>8.0766652849740925</v>
      </c>
      <c r="K463" s="34">
        <f t="shared" si="115"/>
        <v>37.800000000000004</v>
      </c>
      <c r="L463" s="33" t="s">
        <v>26</v>
      </c>
      <c r="M463" s="33" t="s">
        <v>46</v>
      </c>
      <c r="N463" s="33" t="s">
        <v>34</v>
      </c>
      <c r="O463" s="29">
        <v>0.5444444444444444</v>
      </c>
      <c r="P463" s="29">
        <v>0.57013888888888886</v>
      </c>
      <c r="Q463" s="35">
        <f t="shared" ca="1" si="116"/>
        <v>2.5694444444444464E-2</v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 t="s">
        <v>52</v>
      </c>
      <c r="D464" s="62" t="s">
        <v>29</v>
      </c>
      <c r="E464" s="109" t="s">
        <v>261</v>
      </c>
      <c r="F464" s="134">
        <f>IFERROR(IF($D464="","",VLOOKUP($D464,Cadastro!$C$4:$E$7,3,FALSE)),"")</f>
        <v>0.35</v>
      </c>
      <c r="G464" s="105">
        <v>22</v>
      </c>
      <c r="H464" s="134">
        <f>IFERROR(IF($G464="","",$G464*$S$473/$G$473/Cadastro!$E$33),"")</f>
        <v>94.0140932642487</v>
      </c>
      <c r="I464" s="135">
        <f>IFERROR(IF($D464="","",VLOOKUP($D464,Cadastro!$C$4:$G$7,5,FALSE)),"")</f>
        <v>0.6</v>
      </c>
      <c r="J464" s="136">
        <f t="shared" si="114"/>
        <v>19.742959585492223</v>
      </c>
      <c r="K464" s="28">
        <f t="shared" si="115"/>
        <v>92.4</v>
      </c>
      <c r="L464" s="26" t="s">
        <v>26</v>
      </c>
      <c r="M464" s="26" t="s">
        <v>46</v>
      </c>
      <c r="N464" s="26" t="s">
        <v>57</v>
      </c>
      <c r="O464" s="29">
        <v>0.60486111111111107</v>
      </c>
      <c r="P464" s="29">
        <v>0.64027777777777772</v>
      </c>
      <c r="Q464" s="30">
        <f t="shared" ca="1" si="116"/>
        <v>3.5416666666666652E-2</v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 t="s">
        <v>52</v>
      </c>
      <c r="D465" s="62" t="s">
        <v>29</v>
      </c>
      <c r="E465" s="109" t="s">
        <v>261</v>
      </c>
      <c r="F465" s="134">
        <f>IFERROR(IF($D465="","",VLOOKUP($D465,Cadastro!$C$4:$E$7,3,FALSE)),"")</f>
        <v>0.35</v>
      </c>
      <c r="G465" s="105">
        <v>11</v>
      </c>
      <c r="H465" s="134">
        <f>IFERROR(IF($G465="","",$G465*$S$473/$G$473/Cadastro!$E$33),"")</f>
        <v>47.00704663212435</v>
      </c>
      <c r="I465" s="135">
        <f>IFERROR(IF($D465="","",VLOOKUP($D465,Cadastro!$C$4:$G$7,5,FALSE)),"")</f>
        <v>0.6</v>
      </c>
      <c r="J465" s="136">
        <f t="shared" si="114"/>
        <v>9.8714797927461113</v>
      </c>
      <c r="K465" s="34">
        <f t="shared" si="115"/>
        <v>46.2</v>
      </c>
      <c r="L465" s="33" t="s">
        <v>27</v>
      </c>
      <c r="M465" s="33" t="s">
        <v>46</v>
      </c>
      <c r="N465" s="33" t="s">
        <v>43</v>
      </c>
      <c r="O465" s="29">
        <v>0.67638888888888893</v>
      </c>
      <c r="P465" s="29">
        <v>0.69791666666666663</v>
      </c>
      <c r="Q465" s="35">
        <f t="shared" ca="1" si="116"/>
        <v>2.1527777777777701E-2</v>
      </c>
      <c r="R465" s="46" t="s">
        <v>319</v>
      </c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 t="s">
        <v>52</v>
      </c>
      <c r="D466" s="62" t="s">
        <v>29</v>
      </c>
      <c r="E466" s="109" t="s">
        <v>261</v>
      </c>
      <c r="F466" s="134">
        <f>IFERROR(IF($D466="","",VLOOKUP($D466,Cadastro!$C$4:$E$7,3,FALSE)),"")</f>
        <v>0.35</v>
      </c>
      <c r="G466" s="105">
        <v>23</v>
      </c>
      <c r="H466" s="134">
        <f>IFERROR(IF($G466="","",$G466*$S$473/$G$473/Cadastro!$E$33),"")</f>
        <v>98.287461139896379</v>
      </c>
      <c r="I466" s="135">
        <f>IFERROR(IF($D466="","",VLOOKUP($D466,Cadastro!$C$4:$G$7,5,FALSE)),"")</f>
        <v>0.6</v>
      </c>
      <c r="J466" s="136">
        <f t="shared" si="114"/>
        <v>20.640366839378238</v>
      </c>
      <c r="K466" s="28">
        <f t="shared" si="115"/>
        <v>96.600000000000009</v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 t="s">
        <v>52</v>
      </c>
      <c r="D467" s="62" t="s">
        <v>29</v>
      </c>
      <c r="E467" s="109" t="s">
        <v>261</v>
      </c>
      <c r="F467" s="134">
        <f>IFERROR(IF($D467="","",VLOOKUP($D467,Cadastro!$C$4:$E$7,3,FALSE)),"")</f>
        <v>0.35</v>
      </c>
      <c r="G467" s="105">
        <v>23</v>
      </c>
      <c r="H467" s="134">
        <f>IFERROR(IF($G467="","",$G467*$S$473/$G$473/Cadastro!$E$33),"")</f>
        <v>98.287461139896379</v>
      </c>
      <c r="I467" s="135">
        <f>IFERROR(IF($D467="","",VLOOKUP($D467,Cadastro!$C$4:$G$7,5,FALSE)),"")</f>
        <v>0.6</v>
      </c>
      <c r="J467" s="136">
        <f t="shared" si="114"/>
        <v>20.640366839378238</v>
      </c>
      <c r="K467" s="34">
        <f t="shared" si="115"/>
        <v>96.600000000000009</v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 t="s">
        <v>52</v>
      </c>
      <c r="D468" s="62" t="s">
        <v>29</v>
      </c>
      <c r="E468" s="109" t="s">
        <v>261</v>
      </c>
      <c r="F468" s="134">
        <f>IFERROR(IF($D468="","",VLOOKUP($D468,Cadastro!$C$4:$E$7,3,FALSE)),"")</f>
        <v>0.35</v>
      </c>
      <c r="G468" s="105">
        <v>10</v>
      </c>
      <c r="H468" s="134">
        <f>IFERROR(IF($G468="","",$G468*$S$473/$G$473/Cadastro!$E$33),"")</f>
        <v>42.733678756476685</v>
      </c>
      <c r="I468" s="135">
        <f>IFERROR(IF($D468="","",VLOOKUP($D468,Cadastro!$C$4:$G$7,5,FALSE)),"")</f>
        <v>0.6</v>
      </c>
      <c r="J468" s="136">
        <f t="shared" si="114"/>
        <v>8.9740725388601028</v>
      </c>
      <c r="K468" s="28">
        <f t="shared" si="115"/>
        <v>42</v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 t="s">
        <v>52</v>
      </c>
      <c r="D469" s="62" t="s">
        <v>29</v>
      </c>
      <c r="E469" s="109" t="s">
        <v>261</v>
      </c>
      <c r="F469" s="134">
        <f>IFERROR(IF($D469="","",VLOOKUP($D469,Cadastro!$C$4:$E$7,3,FALSE)),"")</f>
        <v>0.35</v>
      </c>
      <c r="G469" s="105">
        <v>19</v>
      </c>
      <c r="H469" s="134">
        <f>IFERROR(IF($G469="","",$G469*$S$473/$G$473/Cadastro!$E$33),"")</f>
        <v>81.193989637305691</v>
      </c>
      <c r="I469" s="135">
        <f>IFERROR(IF($D469="","",VLOOKUP($D469,Cadastro!$C$4:$G$7,5,FALSE)),"")</f>
        <v>0.6</v>
      </c>
      <c r="J469" s="136">
        <f t="shared" si="114"/>
        <v>17.050737823834194</v>
      </c>
      <c r="K469" s="34">
        <f t="shared" si="115"/>
        <v>79.8</v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 t="s">
        <v>52</v>
      </c>
      <c r="D470" s="62" t="s">
        <v>29</v>
      </c>
      <c r="E470" s="109" t="s">
        <v>261</v>
      </c>
      <c r="F470" s="134">
        <f>IFERROR(IF($D470="","",VLOOKUP($D470,Cadastro!$C$4:$E$7,3,FALSE)),"")</f>
        <v>0.35</v>
      </c>
      <c r="G470" s="105">
        <v>10</v>
      </c>
      <c r="H470" s="134">
        <f>IFERROR(IF($G470="","",$G470*$S$473/$G$473/Cadastro!$E$33),"")</f>
        <v>42.733678756476685</v>
      </c>
      <c r="I470" s="135">
        <f>IFERROR(IF($D470="","",VLOOKUP($D470,Cadastro!$C$4:$G$7,5,FALSE)),"")</f>
        <v>0.6</v>
      </c>
      <c r="J470" s="136">
        <f t="shared" si="114"/>
        <v>8.9740725388601028</v>
      </c>
      <c r="K470" s="28">
        <f t="shared" si="115"/>
        <v>42</v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 t="s">
        <v>52</v>
      </c>
      <c r="D471" s="62" t="s">
        <v>29</v>
      </c>
      <c r="E471" s="109" t="s">
        <v>261</v>
      </c>
      <c r="F471" s="134">
        <f>IFERROR(IF($D471="","",VLOOKUP($D471,Cadastro!$C$4:$E$7,3,FALSE)),"")</f>
        <v>0.35</v>
      </c>
      <c r="G471" s="105">
        <v>17</v>
      </c>
      <c r="H471" s="134">
        <f>IFERROR(IF($G471="","",$G471*$S$473/$G$473/Cadastro!$E$33),"")</f>
        <v>72.647253886010361</v>
      </c>
      <c r="I471" s="135">
        <f>IFERROR(IF($D471="","",VLOOKUP($D471,Cadastro!$C$4:$G$7,5,FALSE)),"")</f>
        <v>0.6</v>
      </c>
      <c r="J471" s="136">
        <f t="shared" si="114"/>
        <v>15.255923316062175</v>
      </c>
      <c r="K471" s="34">
        <f t="shared" si="115"/>
        <v>71.400000000000006</v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 t="s">
        <v>52</v>
      </c>
      <c r="D472" s="62" t="s">
        <v>29</v>
      </c>
      <c r="E472" s="109" t="s">
        <v>261</v>
      </c>
      <c r="F472" s="137">
        <f>IFERROR(IF($D472="","",VLOOKUP($D472,Cadastro!$C$4:$E$7,3,FALSE)),"")</f>
        <v>0.35</v>
      </c>
      <c r="G472" s="105">
        <v>12</v>
      </c>
      <c r="H472" s="137">
        <f>IFERROR(IF($G472="","",$G472*$S$473/$G$473/Cadastro!$E$33),"")</f>
        <v>51.280414507772022</v>
      </c>
      <c r="I472" s="138">
        <f>IFERROR(IF($D472="","",VLOOKUP($D472,Cadastro!$C$4:$G$7,5,FALSE)),"")</f>
        <v>0.6</v>
      </c>
      <c r="J472" s="139">
        <f t="shared" si="114"/>
        <v>10.768887046632123</v>
      </c>
      <c r="K472" s="28">
        <f t="shared" si="115"/>
        <v>50.400000000000006</v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62" t="s">
        <v>246</v>
      </c>
      <c r="B473" s="163"/>
      <c r="C473" s="163"/>
      <c r="D473" s="163"/>
      <c r="E473" s="163">
        <f>SUM(E461:E472)</f>
        <v>0</v>
      </c>
      <c r="F473" s="110"/>
      <c r="G473" s="80">
        <f>SUM(G461:G472)</f>
        <v>193</v>
      </c>
      <c r="H473" s="110">
        <f>IFERROR(SUM(H461:H472),"")</f>
        <v>824.76</v>
      </c>
      <c r="I473" s="114"/>
      <c r="J473" s="123">
        <f>IFERROR(SUM(J461:J472),"")</f>
        <v>173.19959999999998</v>
      </c>
      <c r="K473" s="36">
        <f>SUM(K461:K472)</f>
        <v>810.59999999999991</v>
      </c>
      <c r="L473" s="37"/>
      <c r="M473" s="37"/>
      <c r="N473" s="37"/>
      <c r="O473" s="37"/>
      <c r="P473" s="37"/>
      <c r="Q473" s="38">
        <f ca="1">IFERROR(SUM(Q461:Q472),"")</f>
        <v>0.11944444444444435</v>
      </c>
      <c r="R473" s="36" t="s">
        <v>247</v>
      </c>
      <c r="S473" s="45">
        <v>824760</v>
      </c>
      <c r="T473" s="122">
        <f>IFERROR(J473,"")</f>
        <v>173.19959999999998</v>
      </c>
    </row>
    <row r="474" spans="1:20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108" t="s">
        <v>261</v>
      </c>
      <c r="F474" s="140">
        <f>IFERROR(IF($D474="","",VLOOKUP($D474,Cadastro!$C$4:$E$7,3,FALSE)),"")</f>
        <v>0.35</v>
      </c>
      <c r="G474" s="105">
        <v>17</v>
      </c>
      <c r="H474" s="140">
        <f>IFERROR(IF($G474="","",$G474*$S$486/$G$486/Cadastro!$E$33),"")</f>
        <v>0</v>
      </c>
      <c r="I474" s="141">
        <f>IFERROR(IF($D474="","",VLOOKUP($D474,Cadastro!$C$4:$G$7,5,FALSE)),"")</f>
        <v>0.6</v>
      </c>
      <c r="J474" s="142">
        <f t="shared" ref="J474:J485" si="118">IFERROR(IF($H474="","",$H474*$F474*$I474),"")</f>
        <v>0</v>
      </c>
      <c r="K474" s="28">
        <f t="shared" ref="K474:K485" si="119">IF(G474="","",IF(E474="PC 17",G474*4.2,IF(E474="PC 19",G474*5,IF(E474="CB",G474*24,""))))</f>
        <v>71.400000000000006</v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 t="s">
        <v>36</v>
      </c>
      <c r="D475" s="59" t="s">
        <v>29</v>
      </c>
      <c r="E475" s="108" t="s">
        <v>261</v>
      </c>
      <c r="F475" s="134">
        <f>IFERROR(IF($D475="","",VLOOKUP($D475,Cadastro!$C$4:$E$7,3,FALSE)),"")</f>
        <v>0.35</v>
      </c>
      <c r="G475" s="105"/>
      <c r="H475" s="134" t="str">
        <f>IFERROR(IF($G475="","",$G475*$S$486/$G$486/Cadastro!$E$33),"")</f>
        <v/>
      </c>
      <c r="I475" s="135">
        <f>IFERROR(IF($D475="","",VLOOKUP($D475,Cadastro!$C$4:$G$7,5,FALSE)),"")</f>
        <v>0.6</v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 t="s">
        <v>36</v>
      </c>
      <c r="D476" s="59" t="s">
        <v>29</v>
      </c>
      <c r="E476" s="108" t="s">
        <v>261</v>
      </c>
      <c r="F476" s="134">
        <f>IFERROR(IF($D476="","",VLOOKUP($D476,Cadastro!$C$4:$E$7,3,FALSE)),"")</f>
        <v>0.35</v>
      </c>
      <c r="G476" s="105"/>
      <c r="H476" s="134" t="str">
        <f>IFERROR(IF($G476="","",$G476*$S$486/$G$486/Cadastro!$E$33),"")</f>
        <v/>
      </c>
      <c r="I476" s="135">
        <f>IFERROR(IF($D476="","",VLOOKUP($D476,Cadastro!$C$4:$G$7,5,FALSE)),"")</f>
        <v>0.6</v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 t="s">
        <v>36</v>
      </c>
      <c r="D477" s="59" t="s">
        <v>29</v>
      </c>
      <c r="E477" s="108" t="s">
        <v>261</v>
      </c>
      <c r="F477" s="134">
        <f>IFERROR(IF($D477="","",VLOOKUP($D477,Cadastro!$C$4:$E$7,3,FALSE)),"")</f>
        <v>0.35</v>
      </c>
      <c r="G477" s="105"/>
      <c r="H477" s="134" t="str">
        <f>IFERROR(IF($G477="","",$G477*$S$486/$G$486/Cadastro!$E$33),"")</f>
        <v/>
      </c>
      <c r="I477" s="135">
        <f>IFERROR(IF($D477="","",VLOOKUP($D477,Cadastro!$C$4:$G$7,5,FALSE)),"")</f>
        <v>0.6</v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 t="s">
        <v>36</v>
      </c>
      <c r="D478" s="59" t="s">
        <v>29</v>
      </c>
      <c r="E478" s="108" t="s">
        <v>261</v>
      </c>
      <c r="F478" s="134">
        <f>IFERROR(IF($D478="","",VLOOKUP($D478,Cadastro!$C$4:$E$7,3,FALSE)),"")</f>
        <v>0.35</v>
      </c>
      <c r="G478" s="105"/>
      <c r="H478" s="134" t="str">
        <f>IFERROR(IF($G478="","",$G478*$S$486/$G$486/Cadastro!$E$33),"")</f>
        <v/>
      </c>
      <c r="I478" s="135">
        <f>IFERROR(IF($D478="","",VLOOKUP($D478,Cadastro!$C$4:$G$7,5,FALSE)),"")</f>
        <v>0.6</v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 t="s">
        <v>36</v>
      </c>
      <c r="D479" s="59" t="s">
        <v>29</v>
      </c>
      <c r="E479" s="108" t="s">
        <v>261</v>
      </c>
      <c r="F479" s="134">
        <f>IFERROR(IF($D479="","",VLOOKUP($D479,Cadastro!$C$4:$E$7,3,FALSE)),"")</f>
        <v>0.35</v>
      </c>
      <c r="G479" s="105"/>
      <c r="H479" s="134" t="str">
        <f>IFERROR(IF($G479="","",$G479*$S$486/$G$486/Cadastro!$E$33),"")</f>
        <v/>
      </c>
      <c r="I479" s="135">
        <f>IFERROR(IF($D479="","",VLOOKUP($D479,Cadastro!$C$4:$G$7,5,FALSE)),"")</f>
        <v>0.6</v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 t="s">
        <v>36</v>
      </c>
      <c r="D480" s="59" t="s">
        <v>29</v>
      </c>
      <c r="E480" s="108"/>
      <c r="F480" s="134">
        <f>IFERROR(IF($D480="","",VLOOKUP($D480,Cadastro!$C$4:$E$7,3,FALSE)),"")</f>
        <v>0.35</v>
      </c>
      <c r="G480" s="105"/>
      <c r="H480" s="134" t="str">
        <f>IFERROR(IF($G480="","",$G480*$S$486/$G$486/Cadastro!$E$33),"")</f>
        <v/>
      </c>
      <c r="I480" s="135">
        <f>IFERROR(IF($D480="","",VLOOKUP($D480,Cadastro!$C$4:$G$7,5,FALSE)),"")</f>
        <v>0.6</v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 t="s">
        <v>36</v>
      </c>
      <c r="D481" s="59" t="s">
        <v>29</v>
      </c>
      <c r="E481" s="108"/>
      <c r="F481" s="134">
        <f>IFERROR(IF($D481="","",VLOOKUP($D481,Cadastro!$C$4:$E$7,3,FALSE)),"")</f>
        <v>0.35</v>
      </c>
      <c r="G481" s="105"/>
      <c r="H481" s="134" t="str">
        <f>IFERROR(IF($G481="","",$G481*$S$486/$G$486/Cadastro!$E$33),"")</f>
        <v/>
      </c>
      <c r="I481" s="135">
        <f>IFERROR(IF($D481="","",VLOOKUP($D481,Cadastro!$C$4:$G$7,5,FALSE)),"")</f>
        <v>0.6</v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 t="s">
        <v>36</v>
      </c>
      <c r="D482" s="59" t="s">
        <v>29</v>
      </c>
      <c r="E482" s="108"/>
      <c r="F482" s="134">
        <f>IFERROR(IF($D482="","",VLOOKUP($D482,Cadastro!$C$4:$E$7,3,FALSE)),"")</f>
        <v>0.35</v>
      </c>
      <c r="G482" s="105"/>
      <c r="H482" s="134" t="str">
        <f>IFERROR(IF($G482="","",$G482*$S$486/$G$486/Cadastro!$E$33),"")</f>
        <v/>
      </c>
      <c r="I482" s="135">
        <f>IFERROR(IF($D482="","",VLOOKUP($D482,Cadastro!$C$4:$G$7,5,FALSE)),"")</f>
        <v>0.6</v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 t="s">
        <v>36</v>
      </c>
      <c r="D483" s="59" t="s">
        <v>29</v>
      </c>
      <c r="E483" s="108"/>
      <c r="F483" s="134">
        <f>IFERROR(IF($D483="","",VLOOKUP($D483,Cadastro!$C$4:$E$7,3,FALSE)),"")</f>
        <v>0.35</v>
      </c>
      <c r="G483" s="105"/>
      <c r="H483" s="134" t="str">
        <f>IFERROR(IF($G483="","",$G483*$S$486/$G$486/Cadastro!$E$33),"")</f>
        <v/>
      </c>
      <c r="I483" s="135">
        <f>IFERROR(IF($D483="","",VLOOKUP($D483,Cadastro!$C$4:$G$7,5,FALSE)),"")</f>
        <v>0.6</v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 t="s">
        <v>36</v>
      </c>
      <c r="D484" s="59" t="s">
        <v>29</v>
      </c>
      <c r="E484" s="108"/>
      <c r="F484" s="134">
        <f>IFERROR(IF($D484="","",VLOOKUP($D484,Cadastro!$C$4:$E$7,3,FALSE)),"")</f>
        <v>0.35</v>
      </c>
      <c r="G484" s="105"/>
      <c r="H484" s="134" t="str">
        <f>IFERROR(IF($G484="","",$G484*$S$486/$G$486/Cadastro!$E$33),"")</f>
        <v/>
      </c>
      <c r="I484" s="135">
        <f>IFERROR(IF($D484="","",VLOOKUP($D484,Cadastro!$C$4:$G$7,5,FALSE)),"")</f>
        <v>0.6</v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 t="s">
        <v>36</v>
      </c>
      <c r="D485" s="59" t="s">
        <v>29</v>
      </c>
      <c r="E485" s="108"/>
      <c r="F485" s="137">
        <f>IFERROR(IF($D485="","",VLOOKUP($D485,Cadastro!$C$4:$E$7,3,FALSE)),"")</f>
        <v>0.35</v>
      </c>
      <c r="G485" s="105"/>
      <c r="H485" s="137" t="str">
        <f>IFERROR(IF($G485="","",$G485*$S$486/$G$486/Cadastro!$E$33),"")</f>
        <v/>
      </c>
      <c r="I485" s="138">
        <f>IFERROR(IF($D485="","",VLOOKUP($D485,Cadastro!$C$4:$G$7,5,FALSE)),"")</f>
        <v>0.6</v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62" t="s">
        <v>249</v>
      </c>
      <c r="B486" s="163"/>
      <c r="C486" s="163"/>
      <c r="D486" s="163"/>
      <c r="E486" s="163">
        <f>SUM(E474:E485)</f>
        <v>0</v>
      </c>
      <c r="F486" s="111"/>
      <c r="G486" s="80">
        <f>SUM(G474:G485)</f>
        <v>17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71.400000000000006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247</v>
      </c>
      <c r="S486" s="45"/>
      <c r="T486" s="122">
        <f>IFERROR(J486,"")</f>
        <v>0</v>
      </c>
    </row>
    <row r="487" spans="1:20" ht="18" customHeight="1">
      <c r="A487" s="160" t="s">
        <v>250</v>
      </c>
      <c r="B487" s="161"/>
      <c r="C487" s="161"/>
      <c r="D487" s="161"/>
      <c r="E487" s="161">
        <f>E473+E486</f>
        <v>0</v>
      </c>
      <c r="F487" s="112"/>
      <c r="G487" s="91">
        <f>G473+G486</f>
        <v>210</v>
      </c>
      <c r="H487" s="112">
        <f>IFERROR(H473+H486,"")</f>
        <v>824.76</v>
      </c>
      <c r="I487" s="116"/>
      <c r="J487" s="125">
        <f>IFERROR(J473+J486,"")</f>
        <v>173.19959999999998</v>
      </c>
      <c r="K487" s="40">
        <f>K473+K486</f>
        <v>881.99999999999989</v>
      </c>
      <c r="L487" s="41"/>
      <c r="M487" s="41"/>
      <c r="N487" s="41"/>
      <c r="O487" s="41"/>
      <c r="P487" s="41"/>
      <c r="Q487" s="42">
        <f ca="1">IFERROR(Q473+Q486,"")</f>
        <v>0.11944444444444435</v>
      </c>
      <c r="R487" s="40" t="s">
        <v>251</v>
      </c>
      <c r="S487" s="143">
        <f>IFERROR(S473+S486,"")</f>
        <v>824760</v>
      </c>
      <c r="T487" s="144">
        <f>IFERROR(J487,"")</f>
        <v>173.19959999999998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62" t="s">
        <v>246</v>
      </c>
      <c r="B500" s="163"/>
      <c r="C500" s="163"/>
      <c r="D500" s="163"/>
      <c r="E500" s="163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247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249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247</v>
      </c>
      <c r="S513" s="45"/>
      <c r="T513" s="122">
        <f>IFERROR(J513,"")</f>
        <v>0</v>
      </c>
    </row>
    <row r="514" spans="1:20" ht="18" customHeight="1">
      <c r="A514" s="83" t="s">
        <v>250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251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62" t="s">
        <v>246</v>
      </c>
      <c r="B527" s="163"/>
      <c r="C527" s="163"/>
      <c r="D527" s="163"/>
      <c r="E527" s="163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247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62" t="s">
        <v>249</v>
      </c>
      <c r="B540" s="163"/>
      <c r="C540" s="163"/>
      <c r="D540" s="163"/>
      <c r="E540" s="163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247</v>
      </c>
      <c r="S540" s="45"/>
      <c r="T540" s="122">
        <f>IFERROR(J540,"")</f>
        <v>0</v>
      </c>
    </row>
    <row r="541" spans="1:20" ht="18" customHeight="1">
      <c r="A541" s="160" t="s">
        <v>250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251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62" t="s">
        <v>246</v>
      </c>
      <c r="B554" s="163"/>
      <c r="C554" s="163"/>
      <c r="D554" s="163"/>
      <c r="E554" s="163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247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62" t="s">
        <v>249</v>
      </c>
      <c r="B567" s="163"/>
      <c r="C567" s="163"/>
      <c r="D567" s="163"/>
      <c r="E567" s="163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247</v>
      </c>
      <c r="S567" s="45"/>
      <c r="T567" s="122">
        <f>IFERROR(J567,"")</f>
        <v>0</v>
      </c>
    </row>
    <row r="568" spans="1:20" ht="18" customHeight="1">
      <c r="A568" s="160" t="s">
        <v>250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251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62" t="s">
        <v>246</v>
      </c>
      <c r="B581" s="163"/>
      <c r="C581" s="163"/>
      <c r="D581" s="163"/>
      <c r="E581" s="163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247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62" t="s">
        <v>249</v>
      </c>
      <c r="B594" s="163"/>
      <c r="C594" s="163"/>
      <c r="D594" s="163"/>
      <c r="E594" s="163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247</v>
      </c>
      <c r="S594" s="45"/>
      <c r="T594" s="122">
        <f>IFERROR(J594,"")</f>
        <v>0</v>
      </c>
    </row>
    <row r="595" spans="1:20" ht="18" customHeight="1">
      <c r="A595" s="160" t="s">
        <v>250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251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62" t="s">
        <v>246</v>
      </c>
      <c r="B608" s="163"/>
      <c r="C608" s="163"/>
      <c r="D608" s="163"/>
      <c r="E608" s="163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247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62" t="s">
        <v>249</v>
      </c>
      <c r="B621" s="163"/>
      <c r="C621" s="163"/>
      <c r="D621" s="163"/>
      <c r="E621" s="163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247</v>
      </c>
      <c r="S621" s="45"/>
      <c r="T621" s="122">
        <f>IFERROR(J621,"")</f>
        <v>0</v>
      </c>
    </row>
    <row r="622" spans="1:20" ht="18" customHeight="1">
      <c r="A622" s="160" t="s">
        <v>250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251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62" t="s">
        <v>246</v>
      </c>
      <c r="B635" s="163"/>
      <c r="C635" s="163"/>
      <c r="D635" s="163"/>
      <c r="E635" s="163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247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62" t="s">
        <v>249</v>
      </c>
      <c r="B648" s="163"/>
      <c r="C648" s="163"/>
      <c r="D648" s="163"/>
      <c r="E648" s="163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247</v>
      </c>
      <c r="S648" s="45"/>
      <c r="T648" s="122">
        <f>IFERROR(J648,"")</f>
        <v>0</v>
      </c>
    </row>
    <row r="649" spans="1:20" ht="18" customHeight="1">
      <c r="A649" s="160" t="s">
        <v>250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251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62" t="s">
        <v>246</v>
      </c>
      <c r="B662" s="163"/>
      <c r="C662" s="163"/>
      <c r="D662" s="163"/>
      <c r="E662" s="163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247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62" t="s">
        <v>249</v>
      </c>
      <c r="B675" s="163"/>
      <c r="C675" s="163"/>
      <c r="D675" s="163"/>
      <c r="E675" s="163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247</v>
      </c>
      <c r="S675" s="45"/>
      <c r="T675" s="122">
        <f>IFERROR(J675,"")</f>
        <v>0</v>
      </c>
    </row>
    <row r="676" spans="1:20" ht="18" customHeight="1">
      <c r="A676" s="160" t="s">
        <v>250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251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62" t="s">
        <v>246</v>
      </c>
      <c r="B689" s="163"/>
      <c r="C689" s="163"/>
      <c r="D689" s="163"/>
      <c r="E689" s="163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247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62" t="s">
        <v>249</v>
      </c>
      <c r="B702" s="163"/>
      <c r="C702" s="163"/>
      <c r="D702" s="163"/>
      <c r="E702" s="163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247</v>
      </c>
      <c r="S702" s="45"/>
      <c r="T702" s="122">
        <f>IFERROR(J702,"")</f>
        <v>0</v>
      </c>
    </row>
    <row r="703" spans="1:20" ht="18" customHeight="1">
      <c r="A703" s="160" t="s">
        <v>250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251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62" t="s">
        <v>246</v>
      </c>
      <c r="B716" s="163"/>
      <c r="C716" s="163"/>
      <c r="D716" s="163"/>
      <c r="E716" s="163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247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62" t="s">
        <v>249</v>
      </c>
      <c r="B729" s="163"/>
      <c r="C729" s="163"/>
      <c r="D729" s="163"/>
      <c r="E729" s="163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247</v>
      </c>
      <c r="S729" s="45"/>
      <c r="T729" s="122">
        <f>IFERROR(J729,"")</f>
        <v>0</v>
      </c>
    </row>
    <row r="730" spans="1:20" ht="18" customHeight="1">
      <c r="A730" s="160" t="s">
        <v>250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251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62" t="s">
        <v>246</v>
      </c>
      <c r="B743" s="163"/>
      <c r="C743" s="163"/>
      <c r="D743" s="163"/>
      <c r="E743" s="163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247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62" t="s">
        <v>249</v>
      </c>
      <c r="B756" s="163"/>
      <c r="C756" s="163"/>
      <c r="D756" s="163"/>
      <c r="E756" s="163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0" t="s">
        <v>250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251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62" t="s">
        <v>246</v>
      </c>
      <c r="B770" s="163"/>
      <c r="C770" s="163"/>
      <c r="D770" s="163"/>
      <c r="E770" s="163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247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62" t="s">
        <v>249</v>
      </c>
      <c r="B783" s="163"/>
      <c r="C783" s="163"/>
      <c r="D783" s="163"/>
      <c r="E783" s="163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0" t="s">
        <v>250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251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62" t="s">
        <v>246</v>
      </c>
      <c r="B797" s="163"/>
      <c r="C797" s="163"/>
      <c r="D797" s="163"/>
      <c r="E797" s="163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247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62" t="s">
        <v>249</v>
      </c>
      <c r="B810" s="163"/>
      <c r="C810" s="163"/>
      <c r="D810" s="163"/>
      <c r="E810" s="163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0" t="s">
        <v>250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251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62" t="s">
        <v>246</v>
      </c>
      <c r="B824" s="163"/>
      <c r="C824" s="163"/>
      <c r="D824" s="163"/>
      <c r="E824" s="163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247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62" t="s">
        <v>249</v>
      </c>
      <c r="B837" s="163"/>
      <c r="C837" s="163"/>
      <c r="D837" s="163"/>
      <c r="E837" s="163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247</v>
      </c>
      <c r="S837" s="75"/>
      <c r="T837" s="117">
        <f>IFERROR(J837,"")</f>
        <v>0</v>
      </c>
    </row>
    <row r="838" spans="1:20" ht="18" customHeight="1">
      <c r="A838" s="160" t="s">
        <v>250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251</v>
      </c>
      <c r="S838" s="13">
        <f>IFERROR(S824+S837,"")</f>
        <v>0</v>
      </c>
      <c r="T838" s="97">
        <f>IFERROR(J838,"")</f>
        <v>0</v>
      </c>
    </row>
  </sheetData>
  <sheetProtection algorithmName="SHA-512" hashValue="SWL4gXjS9R7EyBWFwmCE2Yv3mUo9QPqR9hwPcBqWekiBLwxNAhPegsRnaRwz5hDUJnnuiaTg3zoTFmKcbRoPNA==" saltValue="yT7m/80XqX40T7YA66K4Cw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29:F431 F440 E434:F439 E441:F512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446" activePane="bottomLeft" state="frozen"/>
      <selection pane="bottomLeft" activeCell="E481" sqref="E481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279</v>
      </c>
      <c r="I1" s="133" t="s">
        <v>20</v>
      </c>
      <c r="J1" s="133" t="s">
        <v>280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280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62" t="s">
        <v>246</v>
      </c>
      <c r="B14" s="163"/>
      <c r="C14" s="163"/>
      <c r="D14" s="163"/>
      <c r="E14" s="163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247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261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320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261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143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261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166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261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143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284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261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170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321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261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261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261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261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261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261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261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62" t="s">
        <v>249</v>
      </c>
      <c r="B27" s="163"/>
      <c r="C27" s="163"/>
      <c r="D27" s="163"/>
      <c r="E27" s="163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247</v>
      </c>
      <c r="S27" s="39">
        <v>358000</v>
      </c>
      <c r="T27" s="119">
        <f>IFERROR(J27,"")</f>
        <v>0</v>
      </c>
    </row>
    <row r="28" spans="1:20" ht="18" customHeight="1">
      <c r="A28" s="160" t="s">
        <v>250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251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261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261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261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261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261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261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261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261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261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261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261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261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62" t="s">
        <v>246</v>
      </c>
      <c r="B41" s="163"/>
      <c r="C41" s="163"/>
      <c r="D41" s="163"/>
      <c r="E41" s="163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247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176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290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320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320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166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142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62" t="s">
        <v>249</v>
      </c>
      <c r="B54" s="163"/>
      <c r="C54" s="163"/>
      <c r="D54" s="163"/>
      <c r="E54" s="163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247</v>
      </c>
      <c r="S54" s="39">
        <v>279980</v>
      </c>
      <c r="T54" s="119">
        <f>IFERROR(J54,"")</f>
        <v>0</v>
      </c>
    </row>
    <row r="55" spans="1:20" ht="18" customHeight="1">
      <c r="A55" s="160" t="s">
        <v>250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251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131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261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131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261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261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131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261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261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138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322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261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261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261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261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261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62" t="s">
        <v>246</v>
      </c>
      <c r="B68" s="163"/>
      <c r="C68" s="163"/>
      <c r="D68" s="163"/>
      <c r="E68" s="163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247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323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157</v>
      </c>
      <c r="N70" s="26" t="s">
        <v>194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166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166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62" t="s">
        <v>249</v>
      </c>
      <c r="B81" s="163"/>
      <c r="C81" s="163"/>
      <c r="D81" s="163"/>
      <c r="E81" s="163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247</v>
      </c>
      <c r="S81" s="39">
        <v>185920</v>
      </c>
      <c r="T81" s="119">
        <f>IFERROR(J81,"")</f>
        <v>0</v>
      </c>
    </row>
    <row r="82" spans="1:20" ht="18" customHeight="1">
      <c r="A82" s="160" t="s">
        <v>250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251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261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324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146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325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62" t="s">
        <v>246</v>
      </c>
      <c r="B95" s="163"/>
      <c r="C95" s="163"/>
      <c r="D95" s="163"/>
      <c r="E95" s="163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247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146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146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326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166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62" t="s">
        <v>249</v>
      </c>
      <c r="B108" s="163"/>
      <c r="C108" s="163"/>
      <c r="D108" s="163"/>
      <c r="E108" s="163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247</v>
      </c>
      <c r="S108" s="39">
        <v>434370</v>
      </c>
      <c r="T108" s="119">
        <f>IFERROR(J108,"")</f>
        <v>0</v>
      </c>
    </row>
    <row r="109" spans="1:20" ht="18" customHeight="1">
      <c r="A109" s="160" t="s">
        <v>250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251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62" t="s">
        <v>246</v>
      </c>
      <c r="B122" s="163"/>
      <c r="C122" s="163"/>
      <c r="D122" s="163"/>
      <c r="E122" s="163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247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166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166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327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143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139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207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62" t="s">
        <v>249</v>
      </c>
      <c r="B135" s="163"/>
      <c r="C135" s="163"/>
      <c r="D135" s="163"/>
      <c r="E135" s="163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247</v>
      </c>
      <c r="S135" s="39">
        <v>416350</v>
      </c>
      <c r="T135" s="119">
        <f>IFERROR(J135,"")</f>
        <v>0</v>
      </c>
    </row>
    <row r="136" spans="1:20" ht="18" customHeight="1">
      <c r="A136" s="160" t="s">
        <v>250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251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328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213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146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298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62" t="s">
        <v>246</v>
      </c>
      <c r="B149" s="163"/>
      <c r="C149" s="163"/>
      <c r="D149" s="163"/>
      <c r="E149" s="163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247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290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2" t="s">
        <v>249</v>
      </c>
      <c r="B162" s="163"/>
      <c r="C162" s="163"/>
      <c r="D162" s="163"/>
      <c r="E162" s="163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247</v>
      </c>
      <c r="S162" s="39">
        <v>169760</v>
      </c>
      <c r="T162" s="119">
        <f>IFERROR(J162,"")</f>
        <v>0</v>
      </c>
    </row>
    <row r="163" spans="1:20" ht="18" customHeight="1">
      <c r="A163" s="160" t="s">
        <v>250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251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261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261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329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261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261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261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261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261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261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166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261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166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261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261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2" t="s">
        <v>246</v>
      </c>
      <c r="B176" s="163"/>
      <c r="C176" s="163"/>
      <c r="D176" s="163"/>
      <c r="E176" s="163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247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261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330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261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131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157</v>
      </c>
      <c r="N181" s="33" t="s">
        <v>142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261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301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261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301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261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261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2" t="s">
        <v>249</v>
      </c>
      <c r="B189" s="163"/>
      <c r="C189" s="163"/>
      <c r="D189" s="163"/>
      <c r="E189" s="163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247</v>
      </c>
      <c r="S189" s="39">
        <v>72220</v>
      </c>
      <c r="T189" s="119">
        <f>IFERROR(J189,"")</f>
        <v>0</v>
      </c>
    </row>
    <row r="190" spans="1:20" ht="18" customHeight="1">
      <c r="A190" s="160" t="s">
        <v>250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251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157</v>
      </c>
      <c r="N194" s="26" t="s">
        <v>191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157</v>
      </c>
      <c r="N195" s="26" t="s">
        <v>191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131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131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2" t="s">
        <v>246</v>
      </c>
      <c r="B203" s="163"/>
      <c r="C203" s="163"/>
      <c r="D203" s="163"/>
      <c r="E203" s="163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247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331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62" t="s">
        <v>249</v>
      </c>
      <c r="B216" s="163"/>
      <c r="C216" s="163"/>
      <c r="D216" s="163"/>
      <c r="E216" s="163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247</v>
      </c>
      <c r="S216" s="39">
        <v>148720</v>
      </c>
      <c r="T216" s="119">
        <f>IFERROR(J216,"")</f>
        <v>0</v>
      </c>
    </row>
    <row r="217" spans="1:20" ht="18" customHeight="1">
      <c r="A217" s="160" t="s">
        <v>250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251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143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166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143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332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143</v>
      </c>
      <c r="N222" s="26" t="s">
        <v>68</v>
      </c>
      <c r="O222" s="29">
        <v>0.69930555555555551</v>
      </c>
      <c r="P222" s="29" t="s">
        <v>333</v>
      </c>
      <c r="Q222" s="30" t="str">
        <f t="shared" ca="1" si="49"/>
        <v/>
      </c>
      <c r="R222" s="27" t="s">
        <v>334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62" t="s">
        <v>246</v>
      </c>
      <c r="B230" s="163"/>
      <c r="C230" s="163"/>
      <c r="D230" s="163"/>
      <c r="E230" s="163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247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62" t="s">
        <v>249</v>
      </c>
      <c r="B243" s="163"/>
      <c r="C243" s="163"/>
      <c r="D243" s="163"/>
      <c r="E243" s="163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247</v>
      </c>
      <c r="S243" s="39">
        <v>352720</v>
      </c>
      <c r="T243" s="119">
        <f>IFERROR(J243,"")</f>
        <v>0</v>
      </c>
    </row>
    <row r="244" spans="1:20" ht="18" customHeight="1">
      <c r="A244" s="160" t="s">
        <v>250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251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335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245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245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62" t="s">
        <v>246</v>
      </c>
      <c r="B257" s="163"/>
      <c r="C257" s="163"/>
      <c r="D257" s="163"/>
      <c r="E257" s="163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247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261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261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261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261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261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261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261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261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261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261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261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261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62" t="s">
        <v>249</v>
      </c>
      <c r="B270" s="163"/>
      <c r="C270" s="163"/>
      <c r="D270" s="163"/>
      <c r="E270" s="163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247</v>
      </c>
      <c r="S270" s="39">
        <v>327900</v>
      </c>
      <c r="T270" s="119">
        <f>IFERROR(J270,"")</f>
        <v>0</v>
      </c>
    </row>
    <row r="271" spans="1:20" ht="18" customHeight="1">
      <c r="A271" s="160" t="s">
        <v>250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251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261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261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261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261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245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261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62" t="s">
        <v>246</v>
      </c>
      <c r="B284" s="163"/>
      <c r="C284" s="163"/>
      <c r="D284" s="163"/>
      <c r="E284" s="163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247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245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245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261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245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245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245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245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245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245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245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245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245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62" t="s">
        <v>249</v>
      </c>
      <c r="B297" s="163"/>
      <c r="C297" s="163"/>
      <c r="D297" s="163"/>
      <c r="E297" s="163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247</v>
      </c>
      <c r="S297" s="39">
        <v>462190</v>
      </c>
      <c r="T297" s="119">
        <f>IFERROR(J297,"")</f>
        <v>0</v>
      </c>
    </row>
    <row r="298" spans="1:20" ht="18" customHeight="1">
      <c r="A298" s="160" t="s">
        <v>250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251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261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207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261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207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261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192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261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261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261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261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261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261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261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261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261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62" t="s">
        <v>246</v>
      </c>
      <c r="B311" s="163"/>
      <c r="C311" s="163"/>
      <c r="D311" s="163"/>
      <c r="E311" s="163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247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261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261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146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261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261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143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261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143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261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261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261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261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261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261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261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62" t="s">
        <v>249</v>
      </c>
      <c r="B324" s="163"/>
      <c r="C324" s="163"/>
      <c r="D324" s="163"/>
      <c r="E324" s="163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247</v>
      </c>
      <c r="S324" s="39">
        <v>289490</v>
      </c>
      <c r="T324" s="119">
        <f>IFERROR(J324,"")</f>
        <v>41.68656</v>
      </c>
    </row>
    <row r="325" spans="1:20" ht="18" customHeight="1">
      <c r="A325" s="160" t="s">
        <v>250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251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146</v>
      </c>
      <c r="N326" s="26" t="s">
        <v>138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308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146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336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134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146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309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245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261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62" t="s">
        <v>246</v>
      </c>
      <c r="B338" s="163"/>
      <c r="C338" s="163"/>
      <c r="D338" s="163"/>
      <c r="E338" s="163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247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143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143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62" t="s">
        <v>249</v>
      </c>
      <c r="B351" s="163"/>
      <c r="C351" s="163"/>
      <c r="D351" s="163"/>
      <c r="E351" s="163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247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250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251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290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166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143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62" t="s">
        <v>246</v>
      </c>
      <c r="B365" s="163"/>
      <c r="C365" s="163"/>
      <c r="D365" s="163"/>
      <c r="E365" s="163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247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143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213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62" t="s">
        <v>249</v>
      </c>
      <c r="B378" s="163"/>
      <c r="C378" s="163"/>
      <c r="D378" s="163"/>
      <c r="E378" s="163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247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250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251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261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337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312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62" t="s">
        <v>246</v>
      </c>
      <c r="B392" s="163"/>
      <c r="C392" s="163"/>
      <c r="D392" s="163"/>
      <c r="E392" s="163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247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166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166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62" t="s">
        <v>249</v>
      </c>
      <c r="B405" s="163"/>
      <c r="C405" s="163"/>
      <c r="D405" s="163"/>
      <c r="E405" s="163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247</v>
      </c>
      <c r="S405" s="39">
        <v>489360</v>
      </c>
      <c r="T405" s="119">
        <f>IFERROR(J405,"")</f>
        <v>99.305125714285708</v>
      </c>
    </row>
    <row r="406" spans="1:20" ht="18" customHeight="1">
      <c r="A406" s="160" t="s">
        <v>250</v>
      </c>
      <c r="B406" s="161"/>
      <c r="C406" s="161"/>
      <c r="D406" s="161"/>
      <c r="E406" s="161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251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338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62" t="s">
        <v>246</v>
      </c>
      <c r="B419" s="163"/>
      <c r="C419" s="163"/>
      <c r="D419" s="163"/>
      <c r="E419" s="163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247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26.363414634146341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3.7963317073170728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339</v>
      </c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13.181707317073171</v>
      </c>
      <c r="I421" s="135">
        <f>IFERROR(IF($D421="","",VLOOKUP($D421,Cadastro!$C$4:$G$7,5,FALSE)),"")</f>
        <v>0.6</v>
      </c>
      <c r="J421" s="136">
        <f t="shared" si="100"/>
        <v>1.8981658536585364</v>
      </c>
      <c r="K421" s="34">
        <f t="shared" si="101"/>
        <v>12.600000000000001</v>
      </c>
      <c r="L421" s="33" t="s">
        <v>27</v>
      </c>
      <c r="M421" s="33" t="s">
        <v>54</v>
      </c>
      <c r="N421" s="33" t="s">
        <v>69</v>
      </c>
      <c r="O421" s="29">
        <v>0.9145833333333333</v>
      </c>
      <c r="P421" s="29">
        <v>0.95138888888888884</v>
      </c>
      <c r="Q421" s="85">
        <f t="shared" ca="1" si="102"/>
        <v>3.6805555555555536E-2</v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2</v>
      </c>
      <c r="H422" s="134">
        <f>IFERROR(IF($G422="","",$G422*$S$432/$G$432/Cadastro!$E$33),"")</f>
        <v>8.7878048780487799</v>
      </c>
      <c r="I422" s="135">
        <f>IFERROR(IF($D422="","",VLOOKUP($D422,Cadastro!$C$4:$G$7,5,FALSE)),"")</f>
        <v>0.6</v>
      </c>
      <c r="J422" s="136">
        <f t="shared" si="100"/>
        <v>1.265443902439024</v>
      </c>
      <c r="K422" s="28">
        <f t="shared" si="101"/>
        <v>8.4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2"/>
        <v>1.0416666666666741E-2</v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2</v>
      </c>
      <c r="H423" s="134">
        <f>IFERROR(IF($G423="","",$G423*$S$432/$G$432/Cadastro!$E$33),"")</f>
        <v>8.7878048780487799</v>
      </c>
      <c r="I423" s="135">
        <f>IFERROR(IF($D423="","",VLOOKUP($D423,Cadastro!$C$4:$G$7,5,FALSE)),"")</f>
        <v>0.6</v>
      </c>
      <c r="J423" s="136">
        <f t="shared" si="100"/>
        <v>1.265443902439024</v>
      </c>
      <c r="K423" s="34">
        <f t="shared" si="101"/>
        <v>8.4</v>
      </c>
      <c r="L423" s="33" t="s">
        <v>27</v>
      </c>
      <c r="M423" s="33" t="s">
        <v>54</v>
      </c>
      <c r="N423" s="33" t="s">
        <v>63</v>
      </c>
      <c r="O423" s="29">
        <v>9.0277777777777776E-2</v>
      </c>
      <c r="P423" s="29">
        <v>9.8611111111111108E-2</v>
      </c>
      <c r="Q423" s="35">
        <f t="shared" ca="1" si="102"/>
        <v>8.3333333333333315E-3</v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4</v>
      </c>
      <c r="H424" s="134">
        <f>IFERROR(IF($G424="","",$G424*$S$432/$G$432/Cadastro!$E$33),"")</f>
        <v>17.57560975609756</v>
      </c>
      <c r="I424" s="135">
        <f>IFERROR(IF($D424="","",VLOOKUP($D424,Cadastro!$C$4:$G$7,5,FALSE)),"")</f>
        <v>0.6</v>
      </c>
      <c r="J424" s="136">
        <f t="shared" si="100"/>
        <v>2.5308878048780481</v>
      </c>
      <c r="K424" s="28">
        <f t="shared" si="101"/>
        <v>16.8</v>
      </c>
      <c r="L424" s="26" t="s">
        <v>27</v>
      </c>
      <c r="M424" s="26" t="s">
        <v>54</v>
      </c>
      <c r="N424" s="26" t="s">
        <v>35</v>
      </c>
      <c r="O424" s="29">
        <v>0.25277777777777777</v>
      </c>
      <c r="P424" s="29">
        <v>0.26041666666666669</v>
      </c>
      <c r="Q424" s="30">
        <f t="shared" ca="1" si="102"/>
        <v>7.6388888888889173E-3</v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4</v>
      </c>
      <c r="H425" s="134">
        <f>IFERROR(IF($G425="","",$G425*$S$432/$G$432/Cadastro!$E$33),"")</f>
        <v>17.57560975609756</v>
      </c>
      <c r="I425" s="135">
        <f>IFERROR(IF($D425="","",VLOOKUP($D425,Cadastro!$C$4:$G$7,5,FALSE)),"")</f>
        <v>0.6</v>
      </c>
      <c r="J425" s="136">
        <f t="shared" si="100"/>
        <v>2.5308878048780481</v>
      </c>
      <c r="K425" s="34">
        <f t="shared" si="101"/>
        <v>16.8</v>
      </c>
      <c r="L425" s="33" t="s">
        <v>27</v>
      </c>
      <c r="M425" s="33" t="s">
        <v>166</v>
      </c>
      <c r="N425" s="33" t="s">
        <v>81</v>
      </c>
      <c r="O425" s="29">
        <v>0.2673611111111111</v>
      </c>
      <c r="P425" s="29">
        <v>0.28472222222222221</v>
      </c>
      <c r="Q425" s="35">
        <f t="shared" ca="1" si="102"/>
        <v>1.7361111111111105E-2</v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5</v>
      </c>
      <c r="H426" s="134">
        <f>IFERROR(IF($G426="","",$G426*$S$432/$G$432/Cadastro!$E$33),"")</f>
        <v>21.969512195121951</v>
      </c>
      <c r="I426" s="135">
        <f>IFERROR(IF($D426="","",VLOOKUP($D426,Cadastro!$C$4:$G$7,5,FALSE)),"")</f>
        <v>0.6</v>
      </c>
      <c r="J426" s="136">
        <f t="shared" si="100"/>
        <v>3.1636097560975607</v>
      </c>
      <c r="K426" s="28">
        <f t="shared" si="101"/>
        <v>21</v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4</v>
      </c>
      <c r="H427" s="134">
        <f>IFERROR(IF($G427="","",$G427*$S$432/$G$432/Cadastro!$E$33),"")</f>
        <v>17.57560975609756</v>
      </c>
      <c r="I427" s="135">
        <f>IFERROR(IF($D427="","",VLOOKUP($D427,Cadastro!$C$4:$G$7,5,FALSE)),"")</f>
        <v>0.6</v>
      </c>
      <c r="J427" s="136">
        <f t="shared" si="100"/>
        <v>2.5308878048780481</v>
      </c>
      <c r="K427" s="34">
        <f t="shared" si="101"/>
        <v>16.8</v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0</v>
      </c>
      <c r="H428" s="134">
        <f>IFERROR(IF($G428="","",$G428*$S$432/$G$432/Cadastro!$E$33),"")</f>
        <v>0</v>
      </c>
      <c r="I428" s="135">
        <f>IFERROR(IF($D428="","",VLOOKUP($D428,Cadastro!$C$4:$G$7,5,FALSE)),"")</f>
        <v>0.6</v>
      </c>
      <c r="J428" s="136">
        <f t="shared" si="100"/>
        <v>0</v>
      </c>
      <c r="K428" s="28">
        <f t="shared" si="101"/>
        <v>0</v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5</v>
      </c>
      <c r="H429" s="134">
        <f>IFERROR(IF($G429="","",$G429*$S$432/$G$432/Cadastro!$E$33),"")</f>
        <v>21.969512195121951</v>
      </c>
      <c r="I429" s="135">
        <f>IFERROR(IF($D429="","",VLOOKUP($D429,Cadastro!$C$4:$G$7,5,FALSE)),"")</f>
        <v>0.6</v>
      </c>
      <c r="J429" s="136">
        <f t="shared" si="100"/>
        <v>3.1636097560975607</v>
      </c>
      <c r="K429" s="34">
        <f t="shared" si="101"/>
        <v>21</v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6</v>
      </c>
      <c r="H430" s="134">
        <f>IFERROR(IF($G430="","",$G430*$S$432/$G$432/Cadastro!$E$33),"")</f>
        <v>26.363414634146341</v>
      </c>
      <c r="I430" s="135">
        <f>IFERROR(IF($D430="","",VLOOKUP($D430,Cadastro!$C$4:$G$7,5,FALSE)),"")</f>
        <v>0.6</v>
      </c>
      <c r="J430" s="136">
        <f t="shared" si="100"/>
        <v>3.7963317073170728</v>
      </c>
      <c r="K430" s="28">
        <f t="shared" si="101"/>
        <v>25.200000000000003</v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0</v>
      </c>
      <c r="H431" s="137">
        <f>IFERROR(IF($G431="","",$G431*$S$432/$G$432/Cadastro!$E$33),"")</f>
        <v>0</v>
      </c>
      <c r="I431" s="138">
        <f>IFERROR(IF($D431="","",VLOOKUP($D431,Cadastro!$C$4:$G$7,5,FALSE)),"")</f>
        <v>0.6</v>
      </c>
      <c r="J431" s="139">
        <f t="shared" si="100"/>
        <v>0</v>
      </c>
      <c r="K431" s="34">
        <f t="shared" si="101"/>
        <v>0</v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62" t="s">
        <v>249</v>
      </c>
      <c r="B432" s="163"/>
      <c r="C432" s="163"/>
      <c r="D432" s="163"/>
      <c r="E432" s="163">
        <f>SUM(E420:E431)</f>
        <v>0</v>
      </c>
      <c r="F432" s="111"/>
      <c r="G432" s="80">
        <f>SUM(G420:G431)</f>
        <v>41</v>
      </c>
      <c r="H432" s="111">
        <f>IFERROR(SUM(H420:H431),"")</f>
        <v>180.15</v>
      </c>
      <c r="I432" s="115"/>
      <c r="J432" s="124">
        <f>IFERROR(SUM(J420:J431),"")</f>
        <v>25.941599999999998</v>
      </c>
      <c r="K432" s="36">
        <f>SUM(K420:K431)</f>
        <v>172.2</v>
      </c>
      <c r="L432" s="37"/>
      <c r="M432" s="37"/>
      <c r="N432" s="37"/>
      <c r="O432" s="37"/>
      <c r="P432" s="37"/>
      <c r="Q432" s="38">
        <f ca="1">IFERROR(SUM(Q420:Q431),"")</f>
        <v>0.1097222222222223</v>
      </c>
      <c r="R432" s="36" t="s">
        <v>247</v>
      </c>
      <c r="S432" s="39">
        <v>180150</v>
      </c>
      <c r="T432" s="119">
        <f>IFERROR(J432,"")</f>
        <v>25.941599999999998</v>
      </c>
    </row>
    <row r="433" spans="1:20" ht="18" customHeight="1">
      <c r="A433" s="160" t="s">
        <v>250</v>
      </c>
      <c r="B433" s="161"/>
      <c r="C433" s="161"/>
      <c r="D433" s="161"/>
      <c r="E433" s="161">
        <f>E419+E432</f>
        <v>0</v>
      </c>
      <c r="F433" s="112"/>
      <c r="G433" s="91">
        <f>G419+G432</f>
        <v>162</v>
      </c>
      <c r="H433" s="112">
        <f>IFERROR(H419+H432,"")</f>
        <v>627.77</v>
      </c>
      <c r="I433" s="116"/>
      <c r="J433" s="125">
        <f>IFERROR(J419+J432,"")</f>
        <v>90.398879999999991</v>
      </c>
      <c r="K433" s="40">
        <f>K419+K432</f>
        <v>680.40000000000009</v>
      </c>
      <c r="L433" s="41"/>
      <c r="M433" s="41"/>
      <c r="N433" s="41"/>
      <c r="O433" s="41"/>
      <c r="P433" s="41"/>
      <c r="Q433" s="42">
        <f ca="1">IFERROR(Q419+Q432,"")</f>
        <v>0.18263888888888904</v>
      </c>
      <c r="R433" s="40" t="s">
        <v>251</v>
      </c>
      <c r="S433" s="48">
        <f>IFERROR(S419+S432,"")</f>
        <v>627770</v>
      </c>
      <c r="T433" s="121">
        <f>IFERROR(J433,"")</f>
        <v>90.398879999999991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261</v>
      </c>
      <c r="F434" s="140">
        <f>IFERROR(IF($D434="","",VLOOKUP($D434,Cadastro!$C$4:$E$7,3,FALSE)),"")</f>
        <v>0.35</v>
      </c>
      <c r="G434" s="105">
        <v>6</v>
      </c>
      <c r="H434" s="140">
        <f>IFERROR(IF($G434="","",$G434*$S$446/$G$446/Cadastro!$E$33),"")</f>
        <v>27.478588235294119</v>
      </c>
      <c r="I434" s="141">
        <f>IFERROR(IF($D434="","",VLOOKUP($D434,Cadastro!$C$4:$G$7,5,FALSE)),"")</f>
        <v>0.6</v>
      </c>
      <c r="J434" s="142">
        <f t="shared" ref="J434:J445" si="104">IFERROR(IF($H434="","",$H434*$F434*$I434),"")</f>
        <v>5.7705035294117639</v>
      </c>
      <c r="K434" s="28">
        <f t="shared" ref="K434:K445" si="105">IF(G434="","",IF(E434="PC 17",G434*4.2,IF(E434="PC 19",G434*5,IF(E434="CB",G434*24,""))))</f>
        <v>25.200000000000003</v>
      </c>
      <c r="L434" s="26" t="s">
        <v>27</v>
      </c>
      <c r="M434" s="26" t="s">
        <v>54</v>
      </c>
      <c r="N434" s="26" t="s">
        <v>63</v>
      </c>
      <c r="O434" s="29">
        <v>0.34513888888888888</v>
      </c>
      <c r="P434" s="29">
        <v>0.35486111111111113</v>
      </c>
      <c r="Q434" s="30">
        <f t="shared" ref="Q434:Q445" ca="1" si="106">IFERROR(IF(O434="","",IF(P434="",MOD(NOW()-O434,1),IF(P434&gt;=O434,P434-O434,P434+1-O434))),"")</f>
        <v>9.7222222222222432E-3</v>
      </c>
      <c r="R434" s="27" t="s">
        <v>340</v>
      </c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3</v>
      </c>
      <c r="H435" s="134">
        <f>IFERROR(IF($G435="","",$G435*$S$446/$G$446/Cadastro!$E$33),"")</f>
        <v>13.739294117647059</v>
      </c>
      <c r="I435" s="135">
        <f>IFERROR(IF($D435="","",VLOOKUP($D435,Cadastro!$C$4:$G$7,5,FALSE)),"")</f>
        <v>0.6</v>
      </c>
      <c r="J435" s="136">
        <f t="shared" si="104"/>
        <v>2.885251764705882</v>
      </c>
      <c r="K435" s="28">
        <f t="shared" si="105"/>
        <v>12.600000000000001</v>
      </c>
      <c r="L435" s="33" t="s">
        <v>26</v>
      </c>
      <c r="M435" s="33" t="s">
        <v>54</v>
      </c>
      <c r="N435" s="33" t="s">
        <v>34</v>
      </c>
      <c r="O435" s="29">
        <v>0.55555555555555558</v>
      </c>
      <c r="P435" s="29">
        <v>0.57291666666666663</v>
      </c>
      <c r="Q435" s="35">
        <f t="shared" ca="1" si="106"/>
        <v>1.7361111111111049E-2</v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50.377411764705883</v>
      </c>
      <c r="I436" s="135">
        <f>IFERROR(IF($D436="","",VLOOKUP($D436,Cadastro!$C$4:$G$7,5,FALSE)),"")</f>
        <v>0.6</v>
      </c>
      <c r="J436" s="136">
        <f t="shared" si="104"/>
        <v>10.579256470588234</v>
      </c>
      <c r="K436" s="28">
        <f t="shared" si="105"/>
        <v>46.2</v>
      </c>
      <c r="L436" s="26" t="s">
        <v>27</v>
      </c>
      <c r="M436" s="26" t="s">
        <v>54</v>
      </c>
      <c r="N436" s="26" t="s">
        <v>58</v>
      </c>
      <c r="O436" s="29">
        <v>0.7319444444444444</v>
      </c>
      <c r="P436" s="29">
        <v>0.75</v>
      </c>
      <c r="Q436" s="30">
        <f t="shared" ca="1" si="106"/>
        <v>1.8055555555555602E-2</v>
      </c>
      <c r="R436" s="27" t="s">
        <v>340</v>
      </c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12</v>
      </c>
      <c r="H437" s="134">
        <f>IFERROR(IF($G437="","",$G437*$S$446/$G$446/Cadastro!$E$33),"")</f>
        <v>54.957176470588237</v>
      </c>
      <c r="I437" s="135">
        <f>IFERROR(IF($D437="","",VLOOKUP($D437,Cadastro!$C$4:$G$7,5,FALSE)),"")</f>
        <v>0.6</v>
      </c>
      <c r="J437" s="136">
        <f t="shared" si="104"/>
        <v>11.541007058823528</v>
      </c>
      <c r="K437" s="34">
        <f t="shared" si="105"/>
        <v>50.400000000000006</v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0</v>
      </c>
      <c r="H438" s="134">
        <f>IFERROR(IF($G438="","",$G438*$S$446/$G$446/Cadastro!$E$33),"")</f>
        <v>0</v>
      </c>
      <c r="I438" s="135">
        <f>IFERROR(IF($D438="","",VLOOKUP($D438,Cadastro!$C$4:$G$7,5,FALSE)),"")</f>
        <v>0.6</v>
      </c>
      <c r="J438" s="136">
        <f t="shared" si="104"/>
        <v>0</v>
      </c>
      <c r="K438" s="28">
        <f t="shared" si="105"/>
        <v>0</v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45.797647058823529</v>
      </c>
      <c r="I439" s="135">
        <f>IFERROR(IF($D439="","",VLOOKUP($D439,Cadastro!$C$4:$G$7,5,FALSE)),"")</f>
        <v>0.6</v>
      </c>
      <c r="J439" s="136">
        <f t="shared" si="104"/>
        <v>9.6175058823529387</v>
      </c>
      <c r="K439" s="34">
        <f t="shared" si="105"/>
        <v>42</v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 t="s">
        <v>52</v>
      </c>
      <c r="D440" s="59" t="s">
        <v>29</v>
      </c>
      <c r="E440" s="108" t="s">
        <v>261</v>
      </c>
      <c r="F440" s="134">
        <f>IFERROR(IF($D440="","",VLOOKUP($D440,Cadastro!$C$4:$E$7,3,FALSE)),"")</f>
        <v>0.35</v>
      </c>
      <c r="G440" s="105">
        <v>2</v>
      </c>
      <c r="H440" s="134">
        <f>IFERROR(IF($G440="","",$G440*$S$446/$G$446/Cadastro!$E$33),"")</f>
        <v>9.1595294117647068</v>
      </c>
      <c r="I440" s="135">
        <f>IFERROR(IF($D440="","",VLOOKUP($D440,Cadastro!$C$4:$G$7,5,FALSE)),"")</f>
        <v>0.6</v>
      </c>
      <c r="J440" s="136">
        <f t="shared" si="104"/>
        <v>1.9235011764705883</v>
      </c>
      <c r="K440" s="28">
        <f t="shared" si="105"/>
        <v>8.4</v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 t="s">
        <v>52</v>
      </c>
      <c r="D441" s="59" t="s">
        <v>37</v>
      </c>
      <c r="E441" s="108" t="s">
        <v>261</v>
      </c>
      <c r="F441" s="134">
        <f>IFERROR(IF($D441="","",VLOOKUP($D441,Cadastro!$C$4:$E$7,3,FALSE)),"")</f>
        <v>0.24</v>
      </c>
      <c r="G441" s="105">
        <v>13</v>
      </c>
      <c r="H441" s="134">
        <f>IFERROR(IF($G441="","",$G441*$S$446/$G$446/Cadastro!$E$33),"")</f>
        <v>59.536941176470584</v>
      </c>
      <c r="I441" s="135">
        <f>IFERROR(IF($D441="","",VLOOKUP($D441,Cadastro!$C$4:$G$7,5,FALSE)),"")</f>
        <v>0.6</v>
      </c>
      <c r="J441" s="136">
        <f t="shared" si="104"/>
        <v>8.5733195294117639</v>
      </c>
      <c r="K441" s="34">
        <f t="shared" si="105"/>
        <v>54.6</v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 t="s">
        <v>52</v>
      </c>
      <c r="D442" s="59" t="s">
        <v>37</v>
      </c>
      <c r="E442" s="108" t="s">
        <v>261</v>
      </c>
      <c r="F442" s="134">
        <f>IFERROR(IF($D442="","",VLOOKUP($D442,Cadastro!$C$4:$E$7,3,FALSE)),"")</f>
        <v>0.24</v>
      </c>
      <c r="G442" s="105">
        <v>11</v>
      </c>
      <c r="H442" s="134">
        <f>IFERROR(IF($G442="","",$G442*$S$446/$G$446/Cadastro!$E$33),"")</f>
        <v>50.377411764705883</v>
      </c>
      <c r="I442" s="135">
        <f>IFERROR(IF($D442="","",VLOOKUP($D442,Cadastro!$C$4:$G$7,5,FALSE)),"")</f>
        <v>0.6</v>
      </c>
      <c r="J442" s="136">
        <f t="shared" si="104"/>
        <v>7.2543472941176459</v>
      </c>
      <c r="K442" s="28">
        <f t="shared" si="105"/>
        <v>46.2</v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41.217882352941174</v>
      </c>
      <c r="I443" s="135">
        <f>IFERROR(IF($D443="","",VLOOKUP($D443,Cadastro!$C$4:$G$7,5,FALSE)),"")</f>
        <v>0.6</v>
      </c>
      <c r="J443" s="136">
        <f t="shared" si="104"/>
        <v>8.6557552941176468</v>
      </c>
      <c r="K443" s="34">
        <f t="shared" si="105"/>
        <v>37.800000000000004</v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8</v>
      </c>
      <c r="H444" s="134">
        <f>IFERROR(IF($G444="","",$G444*$S$446/$G$446/Cadastro!$E$33),"")</f>
        <v>36.638117647058827</v>
      </c>
      <c r="I444" s="135">
        <f>IFERROR(IF($D444="","",VLOOKUP($D444,Cadastro!$C$4:$G$7,5,FALSE)),"")</f>
        <v>0.6</v>
      </c>
      <c r="J444" s="136">
        <f t="shared" si="104"/>
        <v>7.6940047058823531</v>
      </c>
      <c r="K444" s="28">
        <f t="shared" si="105"/>
        <v>33.6</v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0</v>
      </c>
      <c r="H445" s="137">
        <f>IFERROR(IF($G445="","",$G445*$S$446/$G$446/Cadastro!$E$33),"")</f>
        <v>0</v>
      </c>
      <c r="I445" s="138">
        <f>IFERROR(IF($D445="","",VLOOKUP($D445,Cadastro!$C$4:$G$7,5,FALSE)),"")</f>
        <v>0.6</v>
      </c>
      <c r="J445" s="139">
        <f t="shared" si="104"/>
        <v>0</v>
      </c>
      <c r="K445" s="34">
        <f t="shared" si="105"/>
        <v>0</v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62" t="s">
        <v>246</v>
      </c>
      <c r="B446" s="163"/>
      <c r="C446" s="163"/>
      <c r="D446" s="163"/>
      <c r="E446" s="163">
        <f>SUM(E434:E445)</f>
        <v>0</v>
      </c>
      <c r="F446" s="110"/>
      <c r="G446" s="80">
        <f>SUM(G434:G445)</f>
        <v>85</v>
      </c>
      <c r="H446" s="110">
        <f>IFERROR(SUM(H434:H445),"")</f>
        <v>389.28</v>
      </c>
      <c r="I446" s="114"/>
      <c r="J446" s="123">
        <f>IFERROR(SUM(J434:J445),"")</f>
        <v>74.494452705882338</v>
      </c>
      <c r="K446" s="36">
        <f>SUM(K434:K445)</f>
        <v>357.00000000000006</v>
      </c>
      <c r="L446" s="37"/>
      <c r="M446" s="37"/>
      <c r="N446" s="37"/>
      <c r="O446" s="37"/>
      <c r="P446" s="37"/>
      <c r="Q446" s="38">
        <f ca="1">IFERROR(SUM(Q434:Q445),"")</f>
        <v>4.5138888888888895E-2</v>
      </c>
      <c r="R446" s="36" t="s">
        <v>247</v>
      </c>
      <c r="S446" s="39">
        <v>389280</v>
      </c>
      <c r="T446" s="119">
        <f>IFERROR(J446,"")</f>
        <v>74.494452705882338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15</v>
      </c>
      <c r="H447" s="140">
        <f>IFERROR(IF($G447="","",$G447*$S$459/$G$459/Cadastro!$E$33),"")</f>
        <v>63.77162162162162</v>
      </c>
      <c r="I447" s="141">
        <f>IFERROR(IF($D447="","",VLOOKUP($D447,Cadastro!$C$4:$G$7,5,FALSE)),"")</f>
        <v>0.6</v>
      </c>
      <c r="J447" s="142">
        <f t="shared" ref="J447:J458" si="108">IFERROR(IF($H447="","",$H447*$F447*$I447),"")</f>
        <v>13.39204054054054</v>
      </c>
      <c r="K447" s="34">
        <f t="shared" ref="K447:K458" si="109">IF(G447="","",IF(E447="PC 17",G447*4.2,IF(E447="PC 19",G447*5,IF(E447="CB",G447*24,""))))</f>
        <v>63</v>
      </c>
      <c r="L447" s="33" t="s">
        <v>27</v>
      </c>
      <c r="M447" s="33" t="s">
        <v>134</v>
      </c>
      <c r="N447" s="33" t="s">
        <v>218</v>
      </c>
      <c r="O447" s="29">
        <v>0.83333333333333337</v>
      </c>
      <c r="P447" s="29">
        <v>0.84027777777777779</v>
      </c>
      <c r="Q447" s="35">
        <f t="shared" ref="Q447:Q458" ca="1" si="110">IFERROR(IF(O447="","",IF(P447="",MOD(NOW()-O447,1),IF(P447&gt;=O447,P447-O447,P447+1-O447))),"")</f>
        <v>6.9444444444444198E-3</v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16</v>
      </c>
      <c r="H448" s="134">
        <f>IFERROR(IF($G448="","",$G448*$S$459/$G$459/Cadastro!$E$33),"")</f>
        <v>68.023063063063063</v>
      </c>
      <c r="I448" s="135">
        <f>IFERROR(IF($D448="","",VLOOKUP($D448,Cadastro!$C$4:$G$7,5,FALSE)),"")</f>
        <v>0.6</v>
      </c>
      <c r="J448" s="136">
        <f t="shared" si="108"/>
        <v>14.284843243243243</v>
      </c>
      <c r="K448" s="28">
        <f t="shared" si="109"/>
        <v>67.2</v>
      </c>
      <c r="L448" s="26" t="s">
        <v>27</v>
      </c>
      <c r="M448" s="26" t="s">
        <v>54</v>
      </c>
      <c r="N448" s="26" t="s">
        <v>58</v>
      </c>
      <c r="O448" s="29">
        <v>0.98611111111111116</v>
      </c>
      <c r="P448" s="29">
        <v>0.99305555555555558</v>
      </c>
      <c r="Q448" s="30">
        <f t="shared" ca="1" si="110"/>
        <v>6.9444444444444198E-3</v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6</v>
      </c>
      <c r="H449" s="134">
        <f>IFERROR(IF($G449="","",$G449*$S$459/$G$459/Cadastro!$E$33),"")</f>
        <v>25.508648648648649</v>
      </c>
      <c r="I449" s="135">
        <f>IFERROR(IF($D449="","",VLOOKUP($D449,Cadastro!$C$4:$G$7,5,FALSE)),"")</f>
        <v>0.6</v>
      </c>
      <c r="J449" s="136">
        <f t="shared" si="108"/>
        <v>5.3568162162162158</v>
      </c>
      <c r="K449" s="34">
        <f t="shared" si="109"/>
        <v>25.200000000000003</v>
      </c>
      <c r="L449" s="33" t="s">
        <v>27</v>
      </c>
      <c r="M449" s="33"/>
      <c r="N449" s="33" t="s">
        <v>207</v>
      </c>
      <c r="O449" s="29">
        <v>2.0833333333333333E-3</v>
      </c>
      <c r="P449" s="29">
        <v>2.7777777777777776E-2</v>
      </c>
      <c r="Q449" s="35">
        <f t="shared" ca="1" si="110"/>
        <v>2.5694444444444443E-2</v>
      </c>
      <c r="R449" s="27" t="s">
        <v>341</v>
      </c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 t="s">
        <v>28</v>
      </c>
      <c r="D450" s="62" t="s">
        <v>37</v>
      </c>
      <c r="E450" s="109" t="s">
        <v>261</v>
      </c>
      <c r="F450" s="134">
        <f>IFERROR(IF($D450="","",VLOOKUP($D450,Cadastro!$C$4:$E$7,3,FALSE)),"")</f>
        <v>0.24</v>
      </c>
      <c r="G450" s="105">
        <v>11</v>
      </c>
      <c r="H450" s="134">
        <f>IFERROR(IF($G450="","",$G450*$S$459/$G$459/Cadastro!$E$33),"")</f>
        <v>46.765855855855861</v>
      </c>
      <c r="I450" s="135">
        <f>IFERROR(IF($D450="","",VLOOKUP($D450,Cadastro!$C$4:$G$7,5,FALSE)),"")</f>
        <v>0.6</v>
      </c>
      <c r="J450" s="136">
        <f t="shared" si="108"/>
        <v>6.7342832432432429</v>
      </c>
      <c r="K450" s="28">
        <f t="shared" si="109"/>
        <v>46.2</v>
      </c>
      <c r="L450" s="26" t="s">
        <v>26</v>
      </c>
      <c r="M450" s="26" t="s">
        <v>54</v>
      </c>
      <c r="N450" s="26" t="s">
        <v>34</v>
      </c>
      <c r="O450" s="29">
        <v>0.16666666666666666</v>
      </c>
      <c r="P450" s="29">
        <v>0.19305555555555556</v>
      </c>
      <c r="Q450" s="30">
        <f t="shared" ca="1" si="110"/>
        <v>2.6388888888888906E-2</v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 t="s">
        <v>28</v>
      </c>
      <c r="D451" s="62" t="s">
        <v>37</v>
      </c>
      <c r="E451" s="109" t="s">
        <v>261</v>
      </c>
      <c r="F451" s="134">
        <f>IFERROR(IF($D451="","",VLOOKUP($D451,Cadastro!$C$4:$E$7,3,FALSE)),"")</f>
        <v>0.24</v>
      </c>
      <c r="G451" s="105">
        <v>3</v>
      </c>
      <c r="H451" s="134">
        <f>IFERROR(IF($G451="","",$G451*$S$459/$G$459/Cadastro!$E$33),"")</f>
        <v>12.754324324324324</v>
      </c>
      <c r="I451" s="135">
        <f>IFERROR(IF($D451="","",VLOOKUP($D451,Cadastro!$C$4:$G$7,5,FALSE)),"")</f>
        <v>0.6</v>
      </c>
      <c r="J451" s="136">
        <f t="shared" si="108"/>
        <v>1.8366227027027024</v>
      </c>
      <c r="K451" s="34">
        <f t="shared" si="109"/>
        <v>12.600000000000001</v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 t="s">
        <v>28</v>
      </c>
      <c r="D452" s="62" t="s">
        <v>37</v>
      </c>
      <c r="E452" s="109" t="s">
        <v>261</v>
      </c>
      <c r="F452" s="134">
        <f>IFERROR(IF($D452="","",VLOOKUP($D452,Cadastro!$C$4:$E$7,3,FALSE)),"")</f>
        <v>0.24</v>
      </c>
      <c r="G452" s="105">
        <v>8</v>
      </c>
      <c r="H452" s="134">
        <f>IFERROR(IF($G452="","",$G452*$S$459/$G$459/Cadastro!$E$33),"")</f>
        <v>34.011531531531531</v>
      </c>
      <c r="I452" s="135">
        <f>IFERROR(IF($D452="","",VLOOKUP($D452,Cadastro!$C$4:$G$7,5,FALSE)),"")</f>
        <v>0.6</v>
      </c>
      <c r="J452" s="136">
        <f t="shared" si="108"/>
        <v>4.8976605405405396</v>
      </c>
      <c r="K452" s="28">
        <f t="shared" si="109"/>
        <v>33.6</v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10</v>
      </c>
      <c r="H453" s="134">
        <f>IFERROR(IF($G453="","",$G453*$S$459/$G$459/Cadastro!$E$33),"")</f>
        <v>42.514414414414418</v>
      </c>
      <c r="I453" s="135">
        <f>IFERROR(IF($D453="","",VLOOKUP($D453,Cadastro!$C$4:$G$7,5,FALSE)),"")</f>
        <v>0.6</v>
      </c>
      <c r="J453" s="136">
        <f t="shared" si="108"/>
        <v>8.9280270270270279</v>
      </c>
      <c r="K453" s="34">
        <f t="shared" si="109"/>
        <v>42</v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2</v>
      </c>
      <c r="H454" s="134">
        <f>IFERROR(IF($G454="","",$G454*$S$459/$G$459/Cadastro!$E$33),"")</f>
        <v>8.5028828828828829</v>
      </c>
      <c r="I454" s="135">
        <f>IFERROR(IF($D454="","",VLOOKUP($D454,Cadastro!$C$4:$G$7,5,FALSE)),"")</f>
        <v>0.6</v>
      </c>
      <c r="J454" s="136">
        <f t="shared" si="108"/>
        <v>1.7856054054054054</v>
      </c>
      <c r="K454" s="28">
        <f t="shared" si="109"/>
        <v>8.4</v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16</v>
      </c>
      <c r="H455" s="134">
        <f>IFERROR(IF($G455="","",$G455*$S$459/$G$459/Cadastro!$E$33),"")</f>
        <v>68.023063063063063</v>
      </c>
      <c r="I455" s="135">
        <f>IFERROR(IF($D455="","",VLOOKUP($D455,Cadastro!$C$4:$G$7,5,FALSE)),"")</f>
        <v>0.6</v>
      </c>
      <c r="J455" s="136">
        <f t="shared" si="108"/>
        <v>14.284843243243243</v>
      </c>
      <c r="K455" s="34">
        <f t="shared" si="109"/>
        <v>67.2</v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>
        <v>7</v>
      </c>
      <c r="H456" s="134">
        <f>IFERROR(IF($G456="","",$G456*$S$459/$G$459/Cadastro!$E$33),"")</f>
        <v>29.760090090090088</v>
      </c>
      <c r="I456" s="135">
        <f>IFERROR(IF($D456="","",VLOOKUP($D456,Cadastro!$C$4:$G$7,5,FALSE)),"")</f>
        <v>0.6</v>
      </c>
      <c r="J456" s="136">
        <f t="shared" si="108"/>
        <v>6.2496189189189177</v>
      </c>
      <c r="K456" s="28">
        <f t="shared" si="109"/>
        <v>29.400000000000002</v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>
        <v>13</v>
      </c>
      <c r="H457" s="134">
        <f>IFERROR(IF($G457="","",$G457*$S$459/$G$459/Cadastro!$E$33),"")</f>
        <v>55.268738738738733</v>
      </c>
      <c r="I457" s="135">
        <f>IFERROR(IF($D457="","",VLOOKUP($D457,Cadastro!$C$4:$G$7,5,FALSE)),"")</f>
        <v>0.6</v>
      </c>
      <c r="J457" s="136">
        <f t="shared" si="108"/>
        <v>11.606435135135133</v>
      </c>
      <c r="K457" s="34">
        <f t="shared" si="109"/>
        <v>54.6</v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>
        <v>4</v>
      </c>
      <c r="H458" s="137">
        <f>IFERROR(IF($G458="","",$G458*$S$459/$G$459/Cadastro!$E$33),"")</f>
        <v>17.005765765765766</v>
      </c>
      <c r="I458" s="138">
        <f>IFERROR(IF($D458="","",VLOOKUP($D458,Cadastro!$C$4:$G$7,5,FALSE)),"")</f>
        <v>0.6</v>
      </c>
      <c r="J458" s="139">
        <f t="shared" si="108"/>
        <v>3.5712108108108107</v>
      </c>
      <c r="K458" s="28">
        <f t="shared" si="109"/>
        <v>16.8</v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62" t="s">
        <v>249</v>
      </c>
      <c r="B459" s="163"/>
      <c r="C459" s="163"/>
      <c r="D459" s="163"/>
      <c r="E459" s="163">
        <f>SUM(E447:E458)</f>
        <v>0</v>
      </c>
      <c r="F459" s="111"/>
      <c r="G459" s="80">
        <f>SUM(G447:G458)</f>
        <v>111</v>
      </c>
      <c r="H459" s="111">
        <f>IFERROR(SUM(H447:H458),"")</f>
        <v>471.91000000000008</v>
      </c>
      <c r="I459" s="115"/>
      <c r="J459" s="124">
        <f>IFERROR(SUM(J447:J458),"")</f>
        <v>92.928007027027007</v>
      </c>
      <c r="K459" s="36">
        <f>SUM(K447:K458)</f>
        <v>466.19999999999993</v>
      </c>
      <c r="L459" s="37"/>
      <c r="M459" s="37"/>
      <c r="N459" s="37"/>
      <c r="O459" s="37"/>
      <c r="P459" s="37"/>
      <c r="Q459" s="38">
        <f ca="1">IFERROR(SUM(Q447:Q458),"")</f>
        <v>6.5972222222222182E-2</v>
      </c>
      <c r="R459" s="36" t="s">
        <v>247</v>
      </c>
      <c r="S459" s="39">
        <v>471910</v>
      </c>
      <c r="T459" s="119">
        <f>IFERROR(J459,"")</f>
        <v>92.928007027027007</v>
      </c>
    </row>
    <row r="460" spans="1:20" ht="18" customHeight="1">
      <c r="A460" s="160" t="s">
        <v>250</v>
      </c>
      <c r="B460" s="161"/>
      <c r="C460" s="161"/>
      <c r="D460" s="161"/>
      <c r="E460" s="161">
        <f>E446+E459</f>
        <v>0</v>
      </c>
      <c r="F460" s="112"/>
      <c r="G460" s="91">
        <f>G446+G459</f>
        <v>196</v>
      </c>
      <c r="H460" s="112">
        <f>IFERROR(H446+H459,"")</f>
        <v>861.19</v>
      </c>
      <c r="I460" s="116"/>
      <c r="J460" s="125">
        <f>IFERROR(J446+J459,"")</f>
        <v>167.42245973290935</v>
      </c>
      <c r="K460" s="40">
        <f>K446+K459</f>
        <v>823.2</v>
      </c>
      <c r="L460" s="41"/>
      <c r="M460" s="41"/>
      <c r="N460" s="41"/>
      <c r="O460" s="41"/>
      <c r="P460" s="41"/>
      <c r="Q460" s="42">
        <f ca="1">IFERROR(Q446+Q459,"")</f>
        <v>0.11111111111111108</v>
      </c>
      <c r="R460" s="40" t="s">
        <v>251</v>
      </c>
      <c r="S460" s="48">
        <f>IFERROR(S446+S459,"")</f>
        <v>861190</v>
      </c>
      <c r="T460" s="121">
        <f>IFERROR(J460,"")</f>
        <v>167.42245973290935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261</v>
      </c>
      <c r="F461" s="140">
        <f>IFERROR(IF($D461="","",VLOOKUP($D461,Cadastro!$C$4:$E$7,3,FALSE)),"")</f>
        <v>0.35</v>
      </c>
      <c r="G461" s="105">
        <v>4</v>
      </c>
      <c r="H461" s="140">
        <f>IFERROR(IF($G461="","",$G461*$S$473/$G$473/Cadastro!$E$33),"")</f>
        <v>21.432727272727274</v>
      </c>
      <c r="I461" s="141">
        <f>IFERROR(IF($D461="","",VLOOKUP($D461,Cadastro!$C$4:$G$7,5,FALSE)),"")</f>
        <v>0.6</v>
      </c>
      <c r="J461" s="142">
        <f t="shared" ref="J461:J472" si="112">IFERROR(IF($H461="","",$H461*$F461*$I461),"")</f>
        <v>4.5008727272727267</v>
      </c>
      <c r="K461" s="34">
        <f t="shared" ref="K461:K472" si="113">IF(G461="","",IF(E461="PC 17",G461*4.2,IF(E461="PC 19",G461*5,IF(E461="CB",G461*24,""))))</f>
        <v>16.8</v>
      </c>
      <c r="L461" s="33" t="s">
        <v>25</v>
      </c>
      <c r="M461" s="33" t="s">
        <v>54</v>
      </c>
      <c r="N461" s="33" t="s">
        <v>41</v>
      </c>
      <c r="O461" s="29">
        <v>0.43263888888888891</v>
      </c>
      <c r="P461" s="29">
        <v>0.65763888888888888</v>
      </c>
      <c r="Q461" s="35">
        <f t="shared" ref="Q461:Q472" ca="1" si="114">IFERROR(IF(O461="","",IF(P461="",MOD(NOW()-O461,1),IF(P461&gt;=O461,P461-O461,P461+1-O461))),"")</f>
        <v>0.22499999999999998</v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 t="s">
        <v>52</v>
      </c>
      <c r="D462" s="62" t="s">
        <v>29</v>
      </c>
      <c r="E462" s="109" t="s">
        <v>261</v>
      </c>
      <c r="F462" s="134">
        <f>IFERROR(IF($D462="","",VLOOKUP($D462,Cadastro!$C$4:$E$7,3,FALSE)),"")</f>
        <v>0.35</v>
      </c>
      <c r="G462" s="105">
        <v>21</v>
      </c>
      <c r="H462" s="134">
        <f>IFERROR(IF($G462="","",$G462*$S$473/$G$473/Cadastro!$E$33),"")</f>
        <v>112.52181818181818</v>
      </c>
      <c r="I462" s="135">
        <f>IFERROR(IF($D462="","",VLOOKUP($D462,Cadastro!$C$4:$G$7,5,FALSE)),"")</f>
        <v>0.6</v>
      </c>
      <c r="J462" s="136">
        <f t="shared" si="112"/>
        <v>23.629581818181816</v>
      </c>
      <c r="K462" s="28">
        <f t="shared" si="113"/>
        <v>88.2</v>
      </c>
      <c r="L462" s="26" t="s">
        <v>23</v>
      </c>
      <c r="M462" s="26" t="s">
        <v>54</v>
      </c>
      <c r="N462" s="26" t="s">
        <v>65</v>
      </c>
      <c r="O462" s="29">
        <v>0.72013888888888888</v>
      </c>
      <c r="P462" s="29">
        <v>0.78680555555555554</v>
      </c>
      <c r="Q462" s="30">
        <f t="shared" ca="1" si="114"/>
        <v>6.6666666666666652E-2</v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 t="s">
        <v>52</v>
      </c>
      <c r="D463" s="62" t="s">
        <v>29</v>
      </c>
      <c r="E463" s="109" t="s">
        <v>261</v>
      </c>
      <c r="F463" s="134">
        <f>IFERROR(IF($D463="","",VLOOKUP($D463,Cadastro!$C$4:$E$7,3,FALSE)),"")</f>
        <v>0.35</v>
      </c>
      <c r="G463" s="105">
        <v>13</v>
      </c>
      <c r="H463" s="134">
        <f>IFERROR(IF($G463="","",$G463*$S$473/$G$473/Cadastro!$E$33),"")</f>
        <v>69.656363636363636</v>
      </c>
      <c r="I463" s="135">
        <f>IFERROR(IF($D463="","",VLOOKUP($D463,Cadastro!$C$4:$G$7,5,FALSE)),"")</f>
        <v>0.6</v>
      </c>
      <c r="J463" s="136">
        <f t="shared" si="112"/>
        <v>14.627836363636362</v>
      </c>
      <c r="K463" s="34">
        <f t="shared" si="113"/>
        <v>54.6</v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 t="s">
        <v>52</v>
      </c>
      <c r="D464" s="62" t="s">
        <v>29</v>
      </c>
      <c r="E464" s="109" t="s">
        <v>261</v>
      </c>
      <c r="F464" s="134">
        <f>IFERROR(IF($D464="","",VLOOKUP($D464,Cadastro!$C$4:$E$7,3,FALSE)),"")</f>
        <v>0.35</v>
      </c>
      <c r="G464" s="105">
        <v>8</v>
      </c>
      <c r="H464" s="134">
        <f>IFERROR(IF($G464="","",$G464*$S$473/$G$473/Cadastro!$E$33),"")</f>
        <v>42.865454545454547</v>
      </c>
      <c r="I464" s="135">
        <f>IFERROR(IF($D464="","",VLOOKUP($D464,Cadastro!$C$4:$G$7,5,FALSE)),"")</f>
        <v>0.6</v>
      </c>
      <c r="J464" s="136">
        <f t="shared" si="112"/>
        <v>9.0017454545454534</v>
      </c>
      <c r="K464" s="28">
        <f t="shared" si="113"/>
        <v>33.6</v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 t="s">
        <v>52</v>
      </c>
      <c r="D465" s="62" t="s">
        <v>29</v>
      </c>
      <c r="E465" s="109" t="s">
        <v>261</v>
      </c>
      <c r="F465" s="134">
        <f>IFERROR(IF($D465="","",VLOOKUP($D465,Cadastro!$C$4:$E$7,3,FALSE)),"")</f>
        <v>0.35</v>
      </c>
      <c r="G465" s="105">
        <v>0</v>
      </c>
      <c r="H465" s="134">
        <f>IFERROR(IF($G465="","",$G465*$S$473/$G$473/Cadastro!$E$33),"")</f>
        <v>0</v>
      </c>
      <c r="I465" s="135">
        <f>IFERROR(IF($D465="","",VLOOKUP($D465,Cadastro!$C$4:$G$7,5,FALSE)),"")</f>
        <v>0.6</v>
      </c>
      <c r="J465" s="136">
        <f t="shared" si="112"/>
        <v>0</v>
      </c>
      <c r="K465" s="34">
        <f t="shared" si="113"/>
        <v>0</v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 t="s">
        <v>52</v>
      </c>
      <c r="D466" s="62" t="s">
        <v>29</v>
      </c>
      <c r="E466" s="109" t="s">
        <v>261</v>
      </c>
      <c r="F466" s="134">
        <f>IFERROR(IF($D466="","",VLOOKUP($D466,Cadastro!$C$4:$E$7,3,FALSE)),"")</f>
        <v>0.35</v>
      </c>
      <c r="G466" s="105">
        <v>0</v>
      </c>
      <c r="H466" s="134">
        <f>IFERROR(IF($G466="","",$G466*$S$473/$G$473/Cadastro!$E$33),"")</f>
        <v>0</v>
      </c>
      <c r="I466" s="135">
        <f>IFERROR(IF($D466="","",VLOOKUP($D466,Cadastro!$C$4:$G$7,5,FALSE)),"")</f>
        <v>0.6</v>
      </c>
      <c r="J466" s="136">
        <f t="shared" si="112"/>
        <v>0</v>
      </c>
      <c r="K466" s="28">
        <f t="shared" si="113"/>
        <v>0</v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 t="s">
        <v>52</v>
      </c>
      <c r="D467" s="62" t="s">
        <v>29</v>
      </c>
      <c r="E467" s="109" t="s">
        <v>261</v>
      </c>
      <c r="F467" s="134">
        <f>IFERROR(IF($D467="","",VLOOKUP($D467,Cadastro!$C$4:$E$7,3,FALSE)),"")</f>
        <v>0.35</v>
      </c>
      <c r="G467" s="105">
        <v>0</v>
      </c>
      <c r="H467" s="134">
        <f>IFERROR(IF($G467="","",$G467*$S$473/$G$473/Cadastro!$E$33),"")</f>
        <v>0</v>
      </c>
      <c r="I467" s="135">
        <f>IFERROR(IF($D467="","",VLOOKUP($D467,Cadastro!$C$4:$G$7,5,FALSE)),"")</f>
        <v>0.6</v>
      </c>
      <c r="J467" s="136">
        <f t="shared" si="112"/>
        <v>0</v>
      </c>
      <c r="K467" s="34">
        <f t="shared" si="113"/>
        <v>0</v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 t="s">
        <v>52</v>
      </c>
      <c r="D468" s="62" t="s">
        <v>29</v>
      </c>
      <c r="E468" s="109" t="s">
        <v>261</v>
      </c>
      <c r="F468" s="134">
        <f>IFERROR(IF($D468="","",VLOOKUP($D468,Cadastro!$C$4:$E$7,3,FALSE)),"")</f>
        <v>0.35</v>
      </c>
      <c r="G468" s="105">
        <v>0</v>
      </c>
      <c r="H468" s="134">
        <f>IFERROR(IF($G468="","",$G468*$S$473/$G$473/Cadastro!$E$33),"")</f>
        <v>0</v>
      </c>
      <c r="I468" s="135">
        <f>IFERROR(IF($D468="","",VLOOKUP($D468,Cadastro!$C$4:$G$7,5,FALSE)),"")</f>
        <v>0.6</v>
      </c>
      <c r="J468" s="136">
        <f t="shared" si="112"/>
        <v>0</v>
      </c>
      <c r="K468" s="28">
        <f t="shared" si="113"/>
        <v>0</v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 t="s">
        <v>52</v>
      </c>
      <c r="D469" s="62" t="s">
        <v>29</v>
      </c>
      <c r="E469" s="109" t="s">
        <v>261</v>
      </c>
      <c r="F469" s="134">
        <f>IFERROR(IF($D469="","",VLOOKUP($D469,Cadastro!$C$4:$E$7,3,FALSE)),"")</f>
        <v>0.35</v>
      </c>
      <c r="G469" s="105">
        <v>0</v>
      </c>
      <c r="H469" s="134">
        <f>IFERROR(IF($G469="","",$G469*$S$473/$G$473/Cadastro!$E$33),"")</f>
        <v>0</v>
      </c>
      <c r="I469" s="135">
        <f>IFERROR(IF($D469="","",VLOOKUP($D469,Cadastro!$C$4:$G$7,5,FALSE)),"")</f>
        <v>0.6</v>
      </c>
      <c r="J469" s="136">
        <f t="shared" si="112"/>
        <v>0</v>
      </c>
      <c r="K469" s="34">
        <f t="shared" si="113"/>
        <v>0</v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 t="s">
        <v>52</v>
      </c>
      <c r="D470" s="62" t="s">
        <v>29</v>
      </c>
      <c r="E470" s="109" t="s">
        <v>261</v>
      </c>
      <c r="F470" s="134">
        <f>IFERROR(IF($D470="","",VLOOKUP($D470,Cadastro!$C$4:$E$7,3,FALSE)),"")</f>
        <v>0.35</v>
      </c>
      <c r="G470" s="105">
        <v>20</v>
      </c>
      <c r="H470" s="134">
        <f>IFERROR(IF($G470="","",$G470*$S$473/$G$473/Cadastro!$E$33),"")</f>
        <v>107.16363636363637</v>
      </c>
      <c r="I470" s="135">
        <f>IFERROR(IF($D470="","",VLOOKUP($D470,Cadastro!$C$4:$G$7,5,FALSE)),"")</f>
        <v>0.6</v>
      </c>
      <c r="J470" s="136">
        <f t="shared" si="112"/>
        <v>22.504363636363635</v>
      </c>
      <c r="K470" s="28">
        <f t="shared" si="113"/>
        <v>84</v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 t="s">
        <v>52</v>
      </c>
      <c r="D471" s="62" t="s">
        <v>29</v>
      </c>
      <c r="E471" s="109" t="s">
        <v>261</v>
      </c>
      <c r="F471" s="134">
        <f>IFERROR(IF($D471="","",VLOOKUP($D471,Cadastro!$C$4:$E$7,3,FALSE)),"")</f>
        <v>0.35</v>
      </c>
      <c r="G471" s="105">
        <v>0</v>
      </c>
      <c r="H471" s="134">
        <f>IFERROR(IF($G471="","",$G471*$S$473/$G$473/Cadastro!$E$33),"")</f>
        <v>0</v>
      </c>
      <c r="I471" s="135">
        <f>IFERROR(IF($D471="","",VLOOKUP($D471,Cadastro!$C$4:$G$7,5,FALSE)),"")</f>
        <v>0.6</v>
      </c>
      <c r="J471" s="136">
        <f t="shared" si="112"/>
        <v>0</v>
      </c>
      <c r="K471" s="34">
        <f t="shared" si="113"/>
        <v>0</v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 t="s">
        <v>52</v>
      </c>
      <c r="D472" s="62" t="s">
        <v>29</v>
      </c>
      <c r="E472" s="109" t="s">
        <v>261</v>
      </c>
      <c r="F472" s="137">
        <f>IFERROR(IF($D472="","",VLOOKUP($D472,Cadastro!$C$4:$E$7,3,FALSE)),"")</f>
        <v>0.35</v>
      </c>
      <c r="G472" s="105">
        <v>0</v>
      </c>
      <c r="H472" s="137">
        <f>IFERROR(IF($G472="","",$G472*$S$473/$G$473/Cadastro!$E$33),"")</f>
        <v>0</v>
      </c>
      <c r="I472" s="138">
        <f>IFERROR(IF($D472="","",VLOOKUP($D472,Cadastro!$C$4:$G$7,5,FALSE)),"")</f>
        <v>0.6</v>
      </c>
      <c r="J472" s="139">
        <f t="shared" si="112"/>
        <v>0</v>
      </c>
      <c r="K472" s="28">
        <f t="shared" si="113"/>
        <v>0</v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62" t="s">
        <v>246</v>
      </c>
      <c r="B473" s="163"/>
      <c r="C473" s="163"/>
      <c r="D473" s="163"/>
      <c r="E473" s="163">
        <f>SUM(E461:E472)</f>
        <v>0</v>
      </c>
      <c r="F473" s="110"/>
      <c r="G473" s="80">
        <f>SUM(G461:G472)</f>
        <v>66</v>
      </c>
      <c r="H473" s="110">
        <f>IFERROR(SUM(H461:H472),"")</f>
        <v>353.64</v>
      </c>
      <c r="I473" s="114"/>
      <c r="J473" s="123">
        <f>IFERROR(SUM(J461:J472),"")</f>
        <v>74.264399999999995</v>
      </c>
      <c r="K473" s="36">
        <f>SUM(K461:K472)</f>
        <v>277.2</v>
      </c>
      <c r="L473" s="37"/>
      <c r="M473" s="37"/>
      <c r="N473" s="37"/>
      <c r="O473" s="37"/>
      <c r="P473" s="37"/>
      <c r="Q473" s="38">
        <f ca="1">IFERROR(SUM(Q461:Q472),"")</f>
        <v>0.29166666666666663</v>
      </c>
      <c r="R473" s="36" t="s">
        <v>247</v>
      </c>
      <c r="S473" s="39">
        <v>353640</v>
      </c>
      <c r="T473" s="119">
        <f>IFERROR(J473,"")</f>
        <v>74.264399999999995</v>
      </c>
    </row>
    <row r="474" spans="1:20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108" t="s">
        <v>261</v>
      </c>
      <c r="F474" s="140">
        <f>IFERROR(IF($D474="","",VLOOKUP($D474,Cadastro!$C$4:$E$7,3,FALSE)),"")</f>
        <v>0.35</v>
      </c>
      <c r="G474" s="105"/>
      <c r="H474" s="140" t="str">
        <f>IFERROR(IF($G474="","",$G474*$S$486/$G$486/Cadastro!$E$33),"")</f>
        <v/>
      </c>
      <c r="I474" s="141">
        <f>IFERROR(IF($D474="","",VLOOKUP($D474,Cadastro!$C$4:$G$7,5,FALSE)),"")</f>
        <v>0.6</v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>
        <v>0.79166666666666663</v>
      </c>
      <c r="P474" s="29"/>
      <c r="Q474" s="30">
        <f t="shared" ref="Q474:Q485" ca="1" si="118">IFERROR(IF(O474="","",IF(P474="",MOD(NOW()-O474,1),IF(P474&gt;=O474,P474-O474,P474+1-O474))),"")</f>
        <v>6.6954976857232396E-2</v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 t="s">
        <v>36</v>
      </c>
      <c r="D475" s="59" t="s">
        <v>29</v>
      </c>
      <c r="E475" s="108" t="s">
        <v>261</v>
      </c>
      <c r="F475" s="134">
        <f>IFERROR(IF($D475="","",VLOOKUP($D475,Cadastro!$C$4:$E$7,3,FALSE)),"")</f>
        <v>0.35</v>
      </c>
      <c r="G475" s="105"/>
      <c r="H475" s="134" t="str">
        <f>IFERROR(IF($G475="","",$G475*$S$486/$G$486/Cadastro!$E$33),"")</f>
        <v/>
      </c>
      <c r="I475" s="135">
        <f>IFERROR(IF($D475="","",VLOOKUP($D475,Cadastro!$C$4:$G$7,5,FALSE)),"")</f>
        <v>0.6</v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 t="s">
        <v>36</v>
      </c>
      <c r="D476" s="59" t="s">
        <v>29</v>
      </c>
      <c r="E476" s="108" t="s">
        <v>261</v>
      </c>
      <c r="F476" s="134">
        <f>IFERROR(IF($D476="","",VLOOKUP($D476,Cadastro!$C$4:$E$7,3,FALSE)),"")</f>
        <v>0.35</v>
      </c>
      <c r="G476" s="105"/>
      <c r="H476" s="134" t="str">
        <f>IFERROR(IF($G476="","",$G476*$S$486/$G$486/Cadastro!$E$33),"")</f>
        <v/>
      </c>
      <c r="I476" s="135">
        <f>IFERROR(IF($D476="","",VLOOKUP($D476,Cadastro!$C$4:$G$7,5,FALSE)),"")</f>
        <v>0.6</v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 t="s">
        <v>36</v>
      </c>
      <c r="D477" s="59" t="s">
        <v>29</v>
      </c>
      <c r="E477" s="108" t="s">
        <v>261</v>
      </c>
      <c r="F477" s="134">
        <f>IFERROR(IF($D477="","",VLOOKUP($D477,Cadastro!$C$4:$E$7,3,FALSE)),"")</f>
        <v>0.35</v>
      </c>
      <c r="G477" s="105"/>
      <c r="H477" s="134" t="str">
        <f>IFERROR(IF($G477="","",$G477*$S$486/$G$486/Cadastro!$E$33),"")</f>
        <v/>
      </c>
      <c r="I477" s="135">
        <f>IFERROR(IF($D477="","",VLOOKUP($D477,Cadastro!$C$4:$G$7,5,FALSE)),"")</f>
        <v>0.6</v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 t="s">
        <v>36</v>
      </c>
      <c r="D478" s="59" t="s">
        <v>29</v>
      </c>
      <c r="E478" s="108" t="s">
        <v>261</v>
      </c>
      <c r="F478" s="134">
        <f>IFERROR(IF($D478="","",VLOOKUP($D478,Cadastro!$C$4:$E$7,3,FALSE)),"")</f>
        <v>0.35</v>
      </c>
      <c r="G478" s="105"/>
      <c r="H478" s="134" t="str">
        <f>IFERROR(IF($G478="","",$G478*$S$486/$G$486/Cadastro!$E$33),"")</f>
        <v/>
      </c>
      <c r="I478" s="135">
        <f>IFERROR(IF($D478="","",VLOOKUP($D478,Cadastro!$C$4:$G$7,5,FALSE)),"")</f>
        <v>0.6</v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 t="s">
        <v>36</v>
      </c>
      <c r="D479" s="59" t="s">
        <v>29</v>
      </c>
      <c r="E479" s="108" t="s">
        <v>261</v>
      </c>
      <c r="F479" s="134">
        <f>IFERROR(IF($D479="","",VLOOKUP($D479,Cadastro!$C$4:$E$7,3,FALSE)),"")</f>
        <v>0.35</v>
      </c>
      <c r="G479" s="105"/>
      <c r="H479" s="134" t="str">
        <f>IFERROR(IF($G479="","",$G479*$S$486/$G$486/Cadastro!$E$33),"")</f>
        <v/>
      </c>
      <c r="I479" s="135">
        <f>IFERROR(IF($D479="","",VLOOKUP($D479,Cadastro!$C$4:$G$7,5,FALSE)),"")</f>
        <v>0.6</v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 t="s">
        <v>36</v>
      </c>
      <c r="D480" s="59" t="s">
        <v>29</v>
      </c>
      <c r="E480" s="108" t="s">
        <v>261</v>
      </c>
      <c r="F480" s="134">
        <f>IFERROR(IF($D480="","",VLOOKUP($D480,Cadastro!$C$4:$E$7,3,FALSE)),"")</f>
        <v>0.35</v>
      </c>
      <c r="G480" s="105"/>
      <c r="H480" s="134" t="str">
        <f>IFERROR(IF($G480="","",$G480*$S$486/$G$486/Cadastro!$E$33),"")</f>
        <v/>
      </c>
      <c r="I480" s="135">
        <f>IFERROR(IF($D480="","",VLOOKUP($D480,Cadastro!$C$4:$G$7,5,FALSE)),"")</f>
        <v>0.6</v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 t="s">
        <v>36</v>
      </c>
      <c r="D481" s="59" t="s">
        <v>29</v>
      </c>
      <c r="E481" s="108" t="s">
        <v>261</v>
      </c>
      <c r="F481" s="134">
        <f>IFERROR(IF($D481="","",VLOOKUP($D481,Cadastro!$C$4:$E$7,3,FALSE)),"")</f>
        <v>0.35</v>
      </c>
      <c r="G481" s="105"/>
      <c r="H481" s="134" t="str">
        <f>IFERROR(IF($G481="","",$G481*$S$486/$G$486/Cadastro!$E$33),"")</f>
        <v/>
      </c>
      <c r="I481" s="135">
        <f>IFERROR(IF($D481="","",VLOOKUP($D481,Cadastro!$C$4:$G$7,5,FALSE)),"")</f>
        <v>0.6</v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 t="s">
        <v>36</v>
      </c>
      <c r="D482" s="59" t="s">
        <v>29</v>
      </c>
      <c r="E482" s="108"/>
      <c r="F482" s="134">
        <f>IFERROR(IF($D482="","",VLOOKUP($D482,Cadastro!$C$4:$E$7,3,FALSE)),"")</f>
        <v>0.35</v>
      </c>
      <c r="G482" s="105"/>
      <c r="H482" s="134" t="str">
        <f>IFERROR(IF($G482="","",$G482*$S$486/$G$486/Cadastro!$E$33),"")</f>
        <v/>
      </c>
      <c r="I482" s="135">
        <f>IFERROR(IF($D482="","",VLOOKUP($D482,Cadastro!$C$4:$G$7,5,FALSE)),"")</f>
        <v>0.6</v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 t="s">
        <v>36</v>
      </c>
      <c r="D483" s="59" t="s">
        <v>29</v>
      </c>
      <c r="E483" s="108"/>
      <c r="F483" s="134">
        <f>IFERROR(IF($D483="","",VLOOKUP($D483,Cadastro!$C$4:$E$7,3,FALSE)),"")</f>
        <v>0.35</v>
      </c>
      <c r="G483" s="105"/>
      <c r="H483" s="134" t="str">
        <f>IFERROR(IF($G483="","",$G483*$S$486/$G$486/Cadastro!$E$33),"")</f>
        <v/>
      </c>
      <c r="I483" s="135">
        <f>IFERROR(IF($D483="","",VLOOKUP($D483,Cadastro!$C$4:$G$7,5,FALSE)),"")</f>
        <v>0.6</v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 t="s">
        <v>36</v>
      </c>
      <c r="D484" s="59" t="s">
        <v>29</v>
      </c>
      <c r="E484" s="108"/>
      <c r="F484" s="134">
        <f>IFERROR(IF($D484="","",VLOOKUP($D484,Cadastro!$C$4:$E$7,3,FALSE)),"")</f>
        <v>0.35</v>
      </c>
      <c r="G484" s="105"/>
      <c r="H484" s="134" t="str">
        <f>IFERROR(IF($G484="","",$G484*$S$486/$G$486/Cadastro!$E$33),"")</f>
        <v/>
      </c>
      <c r="I484" s="135">
        <f>IFERROR(IF($D484="","",VLOOKUP($D484,Cadastro!$C$4:$G$7,5,FALSE)),"")</f>
        <v>0.6</v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 t="s">
        <v>36</v>
      </c>
      <c r="D485" s="59" t="s">
        <v>29</v>
      </c>
      <c r="E485" s="108"/>
      <c r="F485" s="137">
        <f>IFERROR(IF($D485="","",VLOOKUP($D485,Cadastro!$C$4:$E$7,3,FALSE)),"")</f>
        <v>0.35</v>
      </c>
      <c r="G485" s="105"/>
      <c r="H485" s="137" t="str">
        <f>IFERROR(IF($G485="","",$G485*$S$486/$G$486/Cadastro!$E$33),"")</f>
        <v/>
      </c>
      <c r="I485" s="138">
        <f>IFERROR(IF($D485="","",VLOOKUP($D485,Cadastro!$C$4:$G$7,5,FALSE)),"")</f>
        <v>0.6</v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62" t="s">
        <v>249</v>
      </c>
      <c r="B486" s="163"/>
      <c r="C486" s="163"/>
      <c r="D486" s="163"/>
      <c r="E486" s="163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6.6954976857232396E-2</v>
      </c>
      <c r="R486" s="36" t="s">
        <v>247</v>
      </c>
      <c r="S486" s="39"/>
      <c r="T486" s="119">
        <f>IFERROR(J486,"")</f>
        <v>0</v>
      </c>
    </row>
    <row r="487" spans="1:20" ht="18" customHeight="1">
      <c r="A487" s="160" t="s">
        <v>250</v>
      </c>
      <c r="B487" s="161"/>
      <c r="C487" s="161"/>
      <c r="D487" s="161"/>
      <c r="E487" s="161">
        <f>E473+E486</f>
        <v>0</v>
      </c>
      <c r="F487" s="112"/>
      <c r="G487" s="91">
        <f>G473+G486</f>
        <v>66</v>
      </c>
      <c r="H487" s="112">
        <f>IFERROR(H473+H486,"")</f>
        <v>353.64</v>
      </c>
      <c r="I487" s="116"/>
      <c r="J487" s="125">
        <f>IFERROR(J473+J486,"")</f>
        <v>74.264399999999995</v>
      </c>
      <c r="K487" s="40">
        <f>K473+K486</f>
        <v>277.2</v>
      </c>
      <c r="L487" s="41"/>
      <c r="M487" s="41"/>
      <c r="N487" s="41"/>
      <c r="O487" s="41"/>
      <c r="P487" s="41"/>
      <c r="Q487" s="42">
        <f ca="1">IFERROR(Q473+Q486,"")</f>
        <v>0.35862164352389903</v>
      </c>
      <c r="R487" s="40" t="s">
        <v>251</v>
      </c>
      <c r="S487" s="48">
        <f>IFERROR(S473+S486,"")</f>
        <v>353640</v>
      </c>
      <c r="T487" s="121">
        <f>IFERROR(J487,"")</f>
        <v>74.264399999999995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62" t="s">
        <v>246</v>
      </c>
      <c r="B500" s="163"/>
      <c r="C500" s="163"/>
      <c r="D500" s="163"/>
      <c r="E500" s="163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247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62" t="s">
        <v>249</v>
      </c>
      <c r="B513" s="163"/>
      <c r="C513" s="163"/>
      <c r="D513" s="163"/>
      <c r="E513" s="163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247</v>
      </c>
      <c r="S513" s="39"/>
      <c r="T513" s="119">
        <f>IFERROR(J513,"")</f>
        <v>0</v>
      </c>
    </row>
    <row r="514" spans="1:20" ht="18" customHeight="1">
      <c r="A514" s="160" t="s">
        <v>250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251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62" t="s">
        <v>246</v>
      </c>
      <c r="B527" s="163"/>
      <c r="C527" s="163"/>
      <c r="D527" s="163"/>
      <c r="E527" s="163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247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62" t="s">
        <v>249</v>
      </c>
      <c r="B540" s="163"/>
      <c r="C540" s="163"/>
      <c r="D540" s="163"/>
      <c r="E540" s="163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247</v>
      </c>
      <c r="S540" s="39"/>
      <c r="T540" s="119">
        <f>IFERROR(J540,"")</f>
        <v>0</v>
      </c>
    </row>
    <row r="541" spans="1:20" ht="18" customHeight="1">
      <c r="A541" s="160" t="s">
        <v>250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251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62" t="s">
        <v>246</v>
      </c>
      <c r="B554" s="163"/>
      <c r="C554" s="163"/>
      <c r="D554" s="163"/>
      <c r="E554" s="163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247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62" t="s">
        <v>249</v>
      </c>
      <c r="B567" s="163"/>
      <c r="C567" s="163"/>
      <c r="D567" s="163"/>
      <c r="E567" s="163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247</v>
      </c>
      <c r="S567" s="39"/>
      <c r="T567" s="119">
        <f>IFERROR(J567,"")</f>
        <v>0</v>
      </c>
    </row>
    <row r="568" spans="1:20" ht="18" customHeight="1">
      <c r="A568" s="160" t="s">
        <v>250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251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62" t="s">
        <v>246</v>
      </c>
      <c r="B581" s="163"/>
      <c r="C581" s="163"/>
      <c r="D581" s="163"/>
      <c r="E581" s="163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247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62" t="s">
        <v>249</v>
      </c>
      <c r="B594" s="163"/>
      <c r="C594" s="163"/>
      <c r="D594" s="163"/>
      <c r="E594" s="163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247</v>
      </c>
      <c r="S594" s="39"/>
      <c r="T594" s="119">
        <f>IFERROR(J594,"")</f>
        <v>0</v>
      </c>
    </row>
    <row r="595" spans="1:20" ht="18" customHeight="1">
      <c r="A595" s="160" t="s">
        <v>250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251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62" t="s">
        <v>246</v>
      </c>
      <c r="B608" s="163"/>
      <c r="C608" s="163"/>
      <c r="D608" s="163"/>
      <c r="E608" s="163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247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62" t="s">
        <v>249</v>
      </c>
      <c r="B621" s="163"/>
      <c r="C621" s="163"/>
      <c r="D621" s="163"/>
      <c r="E621" s="163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247</v>
      </c>
      <c r="S621" s="39"/>
      <c r="T621" s="119">
        <f>IFERROR(J621,"")</f>
        <v>0</v>
      </c>
    </row>
    <row r="622" spans="1:20" ht="18" customHeight="1">
      <c r="A622" s="160" t="s">
        <v>250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251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62" t="s">
        <v>246</v>
      </c>
      <c r="B635" s="163"/>
      <c r="C635" s="163"/>
      <c r="D635" s="163"/>
      <c r="E635" s="163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247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62" t="s">
        <v>249</v>
      </c>
      <c r="B648" s="163"/>
      <c r="C648" s="163"/>
      <c r="D648" s="163"/>
      <c r="E648" s="163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247</v>
      </c>
      <c r="S648" s="39"/>
      <c r="T648" s="119">
        <f>IFERROR(J648,"")</f>
        <v>0</v>
      </c>
    </row>
    <row r="649" spans="1:20" ht="18" customHeight="1">
      <c r="A649" s="160" t="s">
        <v>250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251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62" t="s">
        <v>246</v>
      </c>
      <c r="B662" s="163"/>
      <c r="C662" s="163"/>
      <c r="D662" s="163"/>
      <c r="E662" s="163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247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62" t="s">
        <v>249</v>
      </c>
      <c r="B675" s="163"/>
      <c r="C675" s="163"/>
      <c r="D675" s="163"/>
      <c r="E675" s="163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247</v>
      </c>
      <c r="S675" s="39"/>
      <c r="T675" s="119">
        <f>IFERROR(J675,"")</f>
        <v>0</v>
      </c>
    </row>
    <row r="676" spans="1:20" ht="18" customHeight="1">
      <c r="A676" s="160" t="s">
        <v>250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251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62" t="s">
        <v>246</v>
      </c>
      <c r="B689" s="163"/>
      <c r="C689" s="163"/>
      <c r="D689" s="163"/>
      <c r="E689" s="163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247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62" t="s">
        <v>249</v>
      </c>
      <c r="B702" s="163"/>
      <c r="C702" s="163"/>
      <c r="D702" s="163"/>
      <c r="E702" s="163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247</v>
      </c>
      <c r="S702" s="39"/>
      <c r="T702" s="119">
        <f>IFERROR(J702,"")</f>
        <v>0</v>
      </c>
    </row>
    <row r="703" spans="1:20" ht="18" customHeight="1">
      <c r="A703" s="160" t="s">
        <v>250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251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62" t="s">
        <v>246</v>
      </c>
      <c r="B716" s="163"/>
      <c r="C716" s="163"/>
      <c r="D716" s="163"/>
      <c r="E716" s="163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247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62" t="s">
        <v>249</v>
      </c>
      <c r="B729" s="163"/>
      <c r="C729" s="163"/>
      <c r="D729" s="163"/>
      <c r="E729" s="163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247</v>
      </c>
      <c r="S729" s="39"/>
      <c r="T729" s="119">
        <f>IFERROR(J729,"")</f>
        <v>0</v>
      </c>
    </row>
    <row r="730" spans="1:20" ht="18" customHeight="1">
      <c r="A730" s="160" t="s">
        <v>250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251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62" t="s">
        <v>246</v>
      </c>
      <c r="B743" s="163"/>
      <c r="C743" s="163"/>
      <c r="D743" s="163"/>
      <c r="E743" s="163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247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62" t="s">
        <v>249</v>
      </c>
      <c r="B756" s="163"/>
      <c r="C756" s="163"/>
      <c r="D756" s="163"/>
      <c r="E756" s="163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0" t="s">
        <v>250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251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62" t="s">
        <v>246</v>
      </c>
      <c r="B770" s="163"/>
      <c r="C770" s="163"/>
      <c r="D770" s="163"/>
      <c r="E770" s="163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247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62" t="s">
        <v>249</v>
      </c>
      <c r="B783" s="163"/>
      <c r="C783" s="163"/>
      <c r="D783" s="163"/>
      <c r="E783" s="163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0" t="s">
        <v>250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251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62" t="s">
        <v>246</v>
      </c>
      <c r="B797" s="163"/>
      <c r="C797" s="163"/>
      <c r="D797" s="163"/>
      <c r="E797" s="163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247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62" t="s">
        <v>249</v>
      </c>
      <c r="B810" s="163"/>
      <c r="C810" s="163"/>
      <c r="D810" s="163"/>
      <c r="E810" s="163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0" t="s">
        <v>250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251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62" t="s">
        <v>246</v>
      </c>
      <c r="B824" s="163"/>
      <c r="C824" s="163"/>
      <c r="D824" s="163"/>
      <c r="E824" s="163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247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62" t="s">
        <v>249</v>
      </c>
      <c r="B837" s="163"/>
      <c r="C837" s="163"/>
      <c r="D837" s="163"/>
      <c r="E837" s="163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247</v>
      </c>
      <c r="S837" s="39"/>
      <c r="T837" s="119">
        <f>IFERROR(J837,"")</f>
        <v>0</v>
      </c>
    </row>
    <row r="838" spans="1:20" ht="18" customHeight="1">
      <c r="A838" s="160" t="s">
        <v>250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251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459" activePane="bottomLeft" state="frozen"/>
      <selection pane="bottomLeft" activeCell="G475" sqref="G475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279</v>
      </c>
      <c r="I1" s="133" t="s">
        <v>20</v>
      </c>
      <c r="J1" s="133" t="s">
        <v>280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280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62" t="s">
        <v>246</v>
      </c>
      <c r="B14" s="163"/>
      <c r="C14" s="163"/>
      <c r="D14" s="163"/>
      <c r="E14" s="163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247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261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261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342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261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287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261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138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320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261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138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343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261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261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261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170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344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261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261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261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261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62" t="s">
        <v>249</v>
      </c>
      <c r="B27" s="163"/>
      <c r="C27" s="163"/>
      <c r="D27" s="163"/>
      <c r="E27" s="163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247</v>
      </c>
      <c r="S27" s="39">
        <v>491520</v>
      </c>
      <c r="T27" s="119">
        <f>IFERROR(J27,"")</f>
        <v>0</v>
      </c>
    </row>
    <row r="28" spans="1:20" ht="18" customHeight="1">
      <c r="A28" s="160" t="s">
        <v>250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251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261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261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261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261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261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261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261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261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261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261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261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261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62" t="s">
        <v>246</v>
      </c>
      <c r="B41" s="163"/>
      <c r="C41" s="163"/>
      <c r="D41" s="163"/>
      <c r="E41" s="163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247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345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62" t="s">
        <v>249</v>
      </c>
      <c r="B54" s="163"/>
      <c r="C54" s="163"/>
      <c r="D54" s="163"/>
      <c r="E54" s="163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247</v>
      </c>
      <c r="S54" s="39">
        <v>352430</v>
      </c>
      <c r="T54" s="119">
        <f>IFERROR(J54,"")</f>
        <v>0</v>
      </c>
    </row>
    <row r="55" spans="1:20" ht="18" customHeight="1">
      <c r="A55" s="160" t="s">
        <v>250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251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261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215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261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346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261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138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347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261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261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261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261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261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261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261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62" t="s">
        <v>246</v>
      </c>
      <c r="B68" s="163"/>
      <c r="C68" s="163"/>
      <c r="D68" s="163"/>
      <c r="E68" s="163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247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227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348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138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320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215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261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62" t="s">
        <v>249</v>
      </c>
      <c r="B81" s="163"/>
      <c r="C81" s="163"/>
      <c r="D81" s="163"/>
      <c r="E81" s="163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247</v>
      </c>
      <c r="S81" s="39">
        <v>612410</v>
      </c>
      <c r="T81" s="119">
        <f>IFERROR(J81,"")</f>
        <v>0</v>
      </c>
    </row>
    <row r="82" spans="1:20" ht="18" customHeight="1">
      <c r="A82" s="160" t="s">
        <v>250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251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261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171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62" t="s">
        <v>246</v>
      </c>
      <c r="B95" s="163"/>
      <c r="C95" s="163"/>
      <c r="D95" s="163"/>
      <c r="E95" s="163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247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171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138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320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62" t="s">
        <v>249</v>
      </c>
      <c r="B108" s="163"/>
      <c r="C108" s="163"/>
      <c r="D108" s="163"/>
      <c r="E108" s="163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247</v>
      </c>
      <c r="S108" s="39">
        <v>956070</v>
      </c>
      <c r="T108" s="119">
        <f>IFERROR(J108,"")</f>
        <v>0</v>
      </c>
    </row>
    <row r="109" spans="1:20" ht="18" customHeight="1">
      <c r="A109" s="160" t="s">
        <v>250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251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171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227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232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232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171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349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62" t="s">
        <v>246</v>
      </c>
      <c r="B122" s="163"/>
      <c r="C122" s="163"/>
      <c r="D122" s="163"/>
      <c r="E122" s="163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247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215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350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290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138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320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62" t="s">
        <v>249</v>
      </c>
      <c r="B135" s="163"/>
      <c r="C135" s="163"/>
      <c r="D135" s="163"/>
      <c r="E135" s="163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247</v>
      </c>
      <c r="S135" s="39">
        <v>912240</v>
      </c>
      <c r="T135" s="119">
        <f>IFERROR(J135,"")</f>
        <v>0</v>
      </c>
    </row>
    <row r="136" spans="1:22" ht="18" customHeight="1">
      <c r="A136" s="160" t="s">
        <v>250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251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171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351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352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149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171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298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246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247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171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353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148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354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2" t="s">
        <v>249</v>
      </c>
      <c r="B162" s="163"/>
      <c r="C162" s="163"/>
      <c r="D162" s="163"/>
      <c r="E162" s="163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247</v>
      </c>
      <c r="S162" s="39">
        <v>573230</v>
      </c>
      <c r="T162" s="119">
        <f>IFERROR(J162,"")</f>
        <v>0</v>
      </c>
    </row>
    <row r="163" spans="1:20" ht="18" customHeight="1">
      <c r="A163" s="160" t="s">
        <v>250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251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148</v>
      </c>
      <c r="N164" s="26" t="s">
        <v>142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261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171</v>
      </c>
      <c r="N165" s="33" t="s">
        <v>192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261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171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261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261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165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261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149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261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171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355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261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149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261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261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261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261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2" t="s">
        <v>246</v>
      </c>
      <c r="B176" s="163"/>
      <c r="C176" s="163"/>
      <c r="D176" s="163"/>
      <c r="E176" s="163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247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356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261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149</v>
      </c>
      <c r="N178" s="26" t="s">
        <v>138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171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261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261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261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261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261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2" t="s">
        <v>249</v>
      </c>
      <c r="B189" s="163"/>
      <c r="C189" s="163"/>
      <c r="D189" s="163"/>
      <c r="E189" s="163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247</v>
      </c>
      <c r="S189" s="39">
        <v>692750</v>
      </c>
      <c r="T189" s="119">
        <f>IFERROR(J189,"")</f>
        <v>0</v>
      </c>
    </row>
    <row r="190" spans="1:20" ht="18" customHeight="1">
      <c r="A190" s="160" t="s">
        <v>250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251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171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165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357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166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2" t="s">
        <v>246</v>
      </c>
      <c r="B203" s="163"/>
      <c r="C203" s="163"/>
      <c r="D203" s="163"/>
      <c r="E203" s="163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247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358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359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360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62" t="s">
        <v>249</v>
      </c>
      <c r="B216" s="163"/>
      <c r="C216" s="163"/>
      <c r="D216" s="163"/>
      <c r="E216" s="163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247</v>
      </c>
      <c r="S216" s="45">
        <v>607180</v>
      </c>
      <c r="T216" s="122">
        <f>IFERROR(J216,"")</f>
        <v>0</v>
      </c>
    </row>
    <row r="217" spans="1:20" ht="18" customHeight="1">
      <c r="A217" s="160" t="s">
        <v>250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251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361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362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62" t="s">
        <v>246</v>
      </c>
      <c r="B230" s="163"/>
      <c r="C230" s="163"/>
      <c r="D230" s="163"/>
      <c r="E230" s="163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247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363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364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160</v>
      </c>
      <c r="N233" s="33" t="s">
        <v>138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62" t="s">
        <v>249</v>
      </c>
      <c r="B243" s="163"/>
      <c r="C243" s="163"/>
      <c r="D243" s="163"/>
      <c r="E243" s="163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247</v>
      </c>
      <c r="S243" s="39">
        <v>795250</v>
      </c>
      <c r="T243" s="119">
        <f>IFERROR(J243,"")</f>
        <v>0</v>
      </c>
    </row>
    <row r="244" spans="1:20" ht="18" customHeight="1">
      <c r="A244" s="160" t="s">
        <v>250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251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175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27" t="s">
        <v>271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160</v>
      </c>
      <c r="N249" s="33" t="s">
        <v>138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365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261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261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62" t="s">
        <v>246</v>
      </c>
      <c r="B257" s="163"/>
      <c r="C257" s="163"/>
      <c r="D257" s="163"/>
      <c r="E257" s="163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247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261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261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261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261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261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261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261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261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261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261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261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261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62" t="s">
        <v>249</v>
      </c>
      <c r="B270" s="163"/>
      <c r="C270" s="163"/>
      <c r="D270" s="163"/>
      <c r="E270" s="163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247</v>
      </c>
      <c r="S270" s="39">
        <v>683360</v>
      </c>
      <c r="T270" s="119">
        <f>IFERROR(J270,"")</f>
        <v>0</v>
      </c>
    </row>
    <row r="271" spans="1:20" ht="18" customHeight="1">
      <c r="A271" s="160" t="s">
        <v>250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251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261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261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261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261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261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261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62" t="s">
        <v>246</v>
      </c>
      <c r="B284" s="163"/>
      <c r="C284" s="163"/>
      <c r="D284" s="163"/>
      <c r="E284" s="163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247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245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245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261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245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245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245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245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245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245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245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245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245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62" t="s">
        <v>249</v>
      </c>
      <c r="B297" s="163"/>
      <c r="C297" s="163"/>
      <c r="D297" s="163"/>
      <c r="E297" s="163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247</v>
      </c>
      <c r="S297" s="39">
        <v>904710</v>
      </c>
      <c r="T297" s="119">
        <f>IFERROR(J297,"")</f>
        <v>0</v>
      </c>
    </row>
    <row r="298" spans="1:20" ht="18" customHeight="1">
      <c r="A298" s="160" t="s">
        <v>250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251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261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192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261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261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261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261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261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261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261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261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261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261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261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62" t="s">
        <v>246</v>
      </c>
      <c r="B311" s="163"/>
      <c r="C311" s="163"/>
      <c r="D311" s="163"/>
      <c r="E311" s="163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247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261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166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261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171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261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261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261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261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261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261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261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261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261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261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62" t="s">
        <v>249</v>
      </c>
      <c r="B324" s="163"/>
      <c r="C324" s="163"/>
      <c r="D324" s="163"/>
      <c r="E324" s="163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247</v>
      </c>
      <c r="S324" s="39">
        <v>1049720</v>
      </c>
      <c r="T324" s="119">
        <f>IFERROR(J324,"")</f>
        <v>151.15967999999998</v>
      </c>
    </row>
    <row r="325" spans="1:20" ht="18" customHeight="1">
      <c r="A325" s="160" t="s">
        <v>250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251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171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261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245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62" t="s">
        <v>246</v>
      </c>
      <c r="B338" s="163"/>
      <c r="C338" s="163"/>
      <c r="D338" s="163"/>
      <c r="E338" s="163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247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171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171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171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366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367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62" t="s">
        <v>249</v>
      </c>
      <c r="B351" s="163"/>
      <c r="C351" s="163"/>
      <c r="D351" s="163"/>
      <c r="E351" s="163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247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250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251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149</v>
      </c>
      <c r="N354" s="33" t="s">
        <v>138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368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369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246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247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140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171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165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370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175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62" t="s">
        <v>249</v>
      </c>
      <c r="B378" s="163"/>
      <c r="C378" s="163"/>
      <c r="D378" s="163"/>
      <c r="E378" s="163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247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250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251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261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140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261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137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171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312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371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62" t="s">
        <v>246</v>
      </c>
      <c r="B392" s="163"/>
      <c r="C392" s="163"/>
      <c r="D392" s="163"/>
      <c r="E392" s="163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247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227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171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372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62" t="s">
        <v>249</v>
      </c>
      <c r="B405" s="163"/>
      <c r="C405" s="163"/>
      <c r="D405" s="163"/>
      <c r="E405" s="163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247</v>
      </c>
      <c r="S405" s="39">
        <v>989450</v>
      </c>
      <c r="T405" s="119">
        <f>IFERROR(J405,"")</f>
        <v>195.72390675675675</v>
      </c>
    </row>
    <row r="406" spans="1:20" ht="18" customHeight="1">
      <c r="A406" s="160" t="s">
        <v>250</v>
      </c>
      <c r="B406" s="161"/>
      <c r="C406" s="161"/>
      <c r="D406" s="161"/>
      <c r="E406" s="161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251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234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373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171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171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138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62" t="s">
        <v>246</v>
      </c>
      <c r="B419" s="163"/>
      <c r="C419" s="163"/>
      <c r="D419" s="163"/>
      <c r="E419" s="163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247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85.567180851063839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12.321674042553193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24.447765957446808</v>
      </c>
      <c r="I421" s="135">
        <f>IFERROR(IF($D421="","",VLOOKUP($D421,Cadastro!$C$4:$G$7,5,FALSE)),"")</f>
        <v>0.6</v>
      </c>
      <c r="J421" s="136">
        <f t="shared" si="102"/>
        <v>3.5204782978723399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31</v>
      </c>
      <c r="H422" s="134">
        <f>IFERROR(IF($G422="","",$G422*$S$432/$G$432/Cadastro!$E$33),"")</f>
        <v>126.3134574468085</v>
      </c>
      <c r="I422" s="135">
        <f>IFERROR(IF($D422="","",VLOOKUP($D422,Cadastro!$C$4:$G$7,5,FALSE)),"")</f>
        <v>0.6</v>
      </c>
      <c r="J422" s="136">
        <f t="shared" si="102"/>
        <v>18.189137872340421</v>
      </c>
      <c r="K422" s="28">
        <f t="shared" si="103"/>
        <v>130.20000000000002</v>
      </c>
      <c r="L422" s="26" t="s">
        <v>27</v>
      </c>
      <c r="M422" s="26" t="s">
        <v>64</v>
      </c>
      <c r="N422" s="26" t="s">
        <v>69</v>
      </c>
      <c r="O422" s="29">
        <v>0.93888888888888888</v>
      </c>
      <c r="P422" s="29">
        <v>0.94374999999999998</v>
      </c>
      <c r="Q422" s="30">
        <f t="shared" ca="1" si="104"/>
        <v>4.8611111111110938E-3</v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16</v>
      </c>
      <c r="H423" s="134">
        <f>IFERROR(IF($G423="","",$G423*$S$432/$G$432/Cadastro!$E$33),"")</f>
        <v>65.194042553191494</v>
      </c>
      <c r="I423" s="135">
        <f>IFERROR(IF($D423="","",VLOOKUP($D423,Cadastro!$C$4:$G$7,5,FALSE)),"")</f>
        <v>0.6</v>
      </c>
      <c r="J423" s="136">
        <f t="shared" si="102"/>
        <v>9.3879421276595743</v>
      </c>
      <c r="K423" s="34">
        <f t="shared" si="103"/>
        <v>67.2</v>
      </c>
      <c r="L423" s="33" t="s">
        <v>26</v>
      </c>
      <c r="M423" s="33" t="s">
        <v>171</v>
      </c>
      <c r="N423" s="33" t="s">
        <v>34</v>
      </c>
      <c r="O423" s="29">
        <v>0.95486111111111116</v>
      </c>
      <c r="P423" s="29">
        <v>0.97916666666666663</v>
      </c>
      <c r="Q423" s="35">
        <f t="shared" ca="1" si="104"/>
        <v>2.4305555555555469E-2</v>
      </c>
      <c r="R423" s="27" t="s">
        <v>374</v>
      </c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14</v>
      </c>
      <c r="H424" s="134">
        <f>IFERROR(IF($G424="","",$G424*$S$432/$G$432/Cadastro!$E$33),"")</f>
        <v>57.044787234042552</v>
      </c>
      <c r="I424" s="135">
        <f>IFERROR(IF($D424="","",VLOOKUP($D424,Cadastro!$C$4:$G$7,5,FALSE)),"")</f>
        <v>0.6</v>
      </c>
      <c r="J424" s="136">
        <f t="shared" si="102"/>
        <v>8.2144493617021279</v>
      </c>
      <c r="K424" s="28">
        <f t="shared" si="103"/>
        <v>58.800000000000004</v>
      </c>
      <c r="L424" s="26" t="s">
        <v>27</v>
      </c>
      <c r="M424" s="26" t="s">
        <v>64</v>
      </c>
      <c r="N424" s="26" t="s">
        <v>69</v>
      </c>
      <c r="O424" s="29">
        <v>1.5277777777777777E-2</v>
      </c>
      <c r="P424" s="29">
        <v>2.4305555555555556E-2</v>
      </c>
      <c r="Q424" s="30">
        <f t="shared" ca="1" si="104"/>
        <v>9.0277777777777787E-3</v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13</v>
      </c>
      <c r="H425" s="134">
        <f>IFERROR(IF($G425="","",$G425*$S$432/$G$432/Cadastro!$E$33),"")</f>
        <v>52.970159574468084</v>
      </c>
      <c r="I425" s="135">
        <f>IFERROR(IF($D425="","",VLOOKUP($D425,Cadastro!$C$4:$G$7,5,FALSE)),"")</f>
        <v>0.6</v>
      </c>
      <c r="J425" s="136">
        <f t="shared" si="102"/>
        <v>7.6277029787234039</v>
      </c>
      <c r="K425" s="34">
        <f t="shared" si="103"/>
        <v>54.6</v>
      </c>
      <c r="L425" s="33" t="s">
        <v>27</v>
      </c>
      <c r="M425" s="33" t="s">
        <v>137</v>
      </c>
      <c r="N425" s="33" t="s">
        <v>121</v>
      </c>
      <c r="O425" s="29">
        <v>4.1666666666666664E-2</v>
      </c>
      <c r="P425" s="29">
        <v>4.9305555555555554E-2</v>
      </c>
      <c r="Q425" s="35">
        <f t="shared" ca="1" si="104"/>
        <v>7.6388888888888895E-3</v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20</v>
      </c>
      <c r="H426" s="134">
        <f>IFERROR(IF($G426="","",$G426*$S$432/$G$432/Cadastro!$E$33),"")</f>
        <v>81.492553191489364</v>
      </c>
      <c r="I426" s="135">
        <f>IFERROR(IF($D426="","",VLOOKUP($D426,Cadastro!$C$4:$G$7,5,FALSE)),"")</f>
        <v>0.6</v>
      </c>
      <c r="J426" s="136">
        <f t="shared" si="102"/>
        <v>11.734927659574467</v>
      </c>
      <c r="K426" s="28">
        <f t="shared" si="103"/>
        <v>84</v>
      </c>
      <c r="L426" s="26" t="s">
        <v>27</v>
      </c>
      <c r="M426" s="26" t="s">
        <v>59</v>
      </c>
      <c r="N426" s="26" t="s">
        <v>69</v>
      </c>
      <c r="O426" s="29">
        <v>0.17916666666666667</v>
      </c>
      <c r="P426" s="29">
        <v>0.19305555555555556</v>
      </c>
      <c r="Q426" s="30">
        <f t="shared" ca="1" si="104"/>
        <v>1.3888888888888895E-2</v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19</v>
      </c>
      <c r="H427" s="134">
        <f>IFERROR(IF($G427="","",$G427*$S$432/$G$432/Cadastro!$E$33),"")</f>
        <v>77.417925531914889</v>
      </c>
      <c r="I427" s="135">
        <f>IFERROR(IF($D427="","",VLOOKUP($D427,Cadastro!$C$4:$G$7,5,FALSE)),"")</f>
        <v>0.6</v>
      </c>
      <c r="J427" s="136">
        <f t="shared" si="102"/>
        <v>11.148181276595743</v>
      </c>
      <c r="K427" s="34">
        <f t="shared" si="103"/>
        <v>79.8</v>
      </c>
      <c r="L427" s="33" t="s">
        <v>26</v>
      </c>
      <c r="M427" s="33" t="s">
        <v>171</v>
      </c>
      <c r="N427" s="33" t="s">
        <v>34</v>
      </c>
      <c r="O427" s="29">
        <v>0.25138888888888888</v>
      </c>
      <c r="P427" s="29">
        <v>0.26250000000000001</v>
      </c>
      <c r="Q427" s="35">
        <f t="shared" ca="1" si="104"/>
        <v>1.1111111111111127E-2</v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13</v>
      </c>
      <c r="H428" s="134">
        <f>IFERROR(IF($G428="","",$G428*$S$432/$G$432/Cadastro!$E$33),"")</f>
        <v>52.970159574468084</v>
      </c>
      <c r="I428" s="135">
        <f>IFERROR(IF($D428="","",VLOOKUP($D428,Cadastro!$C$4:$G$7,5,FALSE)),"")</f>
        <v>0.6</v>
      </c>
      <c r="J428" s="136">
        <f t="shared" si="102"/>
        <v>7.6277029787234039</v>
      </c>
      <c r="K428" s="28">
        <f t="shared" si="103"/>
        <v>54.6</v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15</v>
      </c>
      <c r="H429" s="134">
        <f>IFERROR(IF($G429="","",$G429*$S$432/$G$432/Cadastro!$E$33),"")</f>
        <v>61.119414893617027</v>
      </c>
      <c r="I429" s="135">
        <f>IFERROR(IF($D429="","",VLOOKUP($D429,Cadastro!$C$4:$G$7,5,FALSE)),"")</f>
        <v>0.6</v>
      </c>
      <c r="J429" s="136">
        <f t="shared" si="102"/>
        <v>8.8011957446808502</v>
      </c>
      <c r="K429" s="34">
        <f t="shared" si="103"/>
        <v>63</v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16</v>
      </c>
      <c r="H430" s="134">
        <f>IFERROR(IF($G430="","",$G430*$S$432/$G$432/Cadastro!$E$33),"")</f>
        <v>65.194042553191494</v>
      </c>
      <c r="I430" s="135">
        <f>IFERROR(IF($D430="","",VLOOKUP($D430,Cadastro!$C$4:$G$7,5,FALSE)),"")</f>
        <v>0.6</v>
      </c>
      <c r="J430" s="136">
        <f t="shared" si="102"/>
        <v>9.3879421276595743</v>
      </c>
      <c r="K430" s="28">
        <f t="shared" si="103"/>
        <v>67.2</v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4</v>
      </c>
      <c r="H431" s="137">
        <f>IFERROR(IF($G431="","",$G431*$S$432/$G$432/Cadastro!$E$33),"")</f>
        <v>16.298510638297873</v>
      </c>
      <c r="I431" s="138">
        <f>IFERROR(IF($D431="","",VLOOKUP($D431,Cadastro!$C$4:$G$7,5,FALSE)),"")</f>
        <v>0.6</v>
      </c>
      <c r="J431" s="139">
        <f t="shared" si="102"/>
        <v>2.3469855319148936</v>
      </c>
      <c r="K431" s="34">
        <f t="shared" si="103"/>
        <v>16.8</v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62" t="s">
        <v>249</v>
      </c>
      <c r="B432" s="163"/>
      <c r="C432" s="163"/>
      <c r="D432" s="163"/>
      <c r="E432" s="163">
        <f>SUM(E420:E431)</f>
        <v>0</v>
      </c>
      <c r="F432" s="111"/>
      <c r="G432" s="80">
        <f>SUM(G420:G431)</f>
        <v>188</v>
      </c>
      <c r="H432" s="111">
        <f>IFERROR(SUM(H420:H431),"")</f>
        <v>766.03</v>
      </c>
      <c r="I432" s="115"/>
      <c r="J432" s="124">
        <f>IFERROR(SUM(J420:J431),"")</f>
        <v>110.30832000000001</v>
      </c>
      <c r="K432" s="36">
        <f>SUM(K420:K431)</f>
        <v>789.6</v>
      </c>
      <c r="L432" s="37"/>
      <c r="M432" s="37"/>
      <c r="N432" s="37"/>
      <c r="O432" s="61"/>
      <c r="P432" s="61"/>
      <c r="Q432" s="38">
        <f ca="1">IFERROR(SUM(Q420:Q431),"")</f>
        <v>9.4444444444444497E-2</v>
      </c>
      <c r="R432" s="36" t="s">
        <v>247</v>
      </c>
      <c r="S432" s="39">
        <v>766030</v>
      </c>
      <c r="T432" s="119">
        <f>IFERROR(J432,"")</f>
        <v>110.30832000000001</v>
      </c>
    </row>
    <row r="433" spans="1:21" ht="18" customHeight="1">
      <c r="A433" s="160" t="s">
        <v>250</v>
      </c>
      <c r="B433" s="161"/>
      <c r="C433" s="161"/>
      <c r="D433" s="161"/>
      <c r="E433" s="161">
        <f>E419+E432</f>
        <v>0</v>
      </c>
      <c r="F433" s="112"/>
      <c r="G433" s="91">
        <f>G419+G432</f>
        <v>330</v>
      </c>
      <c r="H433" s="112">
        <f>IFERROR(H419+H432,"")</f>
        <v>1393.4399999999998</v>
      </c>
      <c r="I433" s="116"/>
      <c r="J433" s="125">
        <f>IFERROR(J419+J432,"")</f>
        <v>200.65536</v>
      </c>
      <c r="K433" s="40">
        <f>K419+K432</f>
        <v>1386</v>
      </c>
      <c r="L433" s="41"/>
      <c r="M433" s="41"/>
      <c r="N433" s="41"/>
      <c r="O433" s="63"/>
      <c r="P433" s="63"/>
      <c r="Q433" s="42">
        <f ca="1">IFERROR(Q419+Q432,"")</f>
        <v>0.20972222222222231</v>
      </c>
      <c r="R433" s="40" t="s">
        <v>251</v>
      </c>
      <c r="S433" s="48">
        <f>IFERROR(S419+S432,"")</f>
        <v>1393440</v>
      </c>
      <c r="T433" s="121">
        <f>IFERROR(J433,"")</f>
        <v>200.65536</v>
      </c>
    </row>
    <row r="434" spans="1:21" ht="15" customHeight="1">
      <c r="A434" s="67">
        <v>46251</v>
      </c>
      <c r="B434" s="25">
        <v>0.33333333333333298</v>
      </c>
      <c r="C434" s="26" t="s">
        <v>52</v>
      </c>
      <c r="D434" s="59" t="s">
        <v>37</v>
      </c>
      <c r="E434" s="108" t="s">
        <v>261</v>
      </c>
      <c r="F434" s="140">
        <f>IFERROR(IF($D434="","",VLOOKUP($D434,Cadastro!$C$4:$E$7,3,FALSE)),"")</f>
        <v>0.24</v>
      </c>
      <c r="G434" s="105">
        <v>18</v>
      </c>
      <c r="H434" s="140">
        <f>IFERROR(IF($G434="","",$G434*$S$446/$G$446/Cadastro!$E$33),"")</f>
        <v>82.024918032786886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11.81158819672131</v>
      </c>
      <c r="K434" s="28">
        <f t="shared" ref="K434:K445" si="107">IF(G434="","",IF(E434="PC 17",G434*4.2,IF(E434="PC 19",G434*5,IF(E434="CB",G434*24,""))))</f>
        <v>75.600000000000009</v>
      </c>
      <c r="L434" s="26" t="s">
        <v>26</v>
      </c>
      <c r="M434" s="26" t="s">
        <v>171</v>
      </c>
      <c r="N434" s="26" t="s">
        <v>34</v>
      </c>
      <c r="O434" s="29">
        <v>0.57013888888888886</v>
      </c>
      <c r="P434" s="29">
        <v>0.58333333333333337</v>
      </c>
      <c r="Q434" s="30">
        <f t="shared" ref="Q434:Q445" ca="1" si="108">IFERROR(IF(O434="","",IF(P434="",MOD(NOW()-O434,1),IF(P434&gt;=O434,P434-O434,P434+1-O434))),"")</f>
        <v>1.3194444444444509E-2</v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23</v>
      </c>
      <c r="H435" s="134">
        <f>IFERROR(IF($G435="","",$G435*$S$446/$G$446/Cadastro!$E$33),"")</f>
        <v>104.80961748633879</v>
      </c>
      <c r="I435" s="135">
        <f>IFERROR(IF($D435="","",VLOOKUP($D435,Cadastro!$C$4:$G$7,5,FALSE)),"")</f>
        <v>0.6</v>
      </c>
      <c r="J435" s="136">
        <f t="shared" si="106"/>
        <v>22.010019672131143</v>
      </c>
      <c r="K435" s="28">
        <f t="shared" si="107"/>
        <v>96.600000000000009</v>
      </c>
      <c r="L435" s="33" t="s">
        <v>25</v>
      </c>
      <c r="M435" s="33" t="s">
        <v>64</v>
      </c>
      <c r="N435" s="33" t="s">
        <v>165</v>
      </c>
      <c r="O435" s="29">
        <v>0.67986111111111114</v>
      </c>
      <c r="P435" s="29">
        <v>0.70277777777777772</v>
      </c>
      <c r="Q435" s="35">
        <f t="shared" ca="1" si="108"/>
        <v>2.2916666666666585E-2</v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30</v>
      </c>
      <c r="H436" s="134">
        <f>IFERROR(IF($G436="","",$G436*$S$446/$G$446/Cadastro!$E$33),"")</f>
        <v>136.70819672131148</v>
      </c>
      <c r="I436" s="135">
        <f>IFERROR(IF($D436="","",VLOOKUP($D436,Cadastro!$C$4:$G$7,5,FALSE)),"")</f>
        <v>0.6</v>
      </c>
      <c r="J436" s="136">
        <f t="shared" si="106"/>
        <v>28.708721311475408</v>
      </c>
      <c r="K436" s="28">
        <f t="shared" si="107"/>
        <v>126</v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26</v>
      </c>
      <c r="H437" s="134">
        <f>IFERROR(IF($G437="","",$G437*$S$446/$G$446/Cadastro!$E$33),"")</f>
        <v>118.48043715846994</v>
      </c>
      <c r="I437" s="135">
        <f>IFERROR(IF($D437="","",VLOOKUP($D437,Cadastro!$C$4:$G$7,5,FALSE)),"")</f>
        <v>0.6</v>
      </c>
      <c r="J437" s="136">
        <f t="shared" si="106"/>
        <v>24.880891803278686</v>
      </c>
      <c r="K437" s="34">
        <f t="shared" si="107"/>
        <v>109.2</v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25</v>
      </c>
      <c r="H438" s="134">
        <f>IFERROR(IF($G438="","",$G438*$S$446/$G$446/Cadastro!$E$33),"")</f>
        <v>113.92349726775957</v>
      </c>
      <c r="I438" s="135">
        <f>IFERROR(IF($D438="","",VLOOKUP($D438,Cadastro!$C$4:$G$7,5,FALSE)),"")</f>
        <v>0.6</v>
      </c>
      <c r="J438" s="136">
        <f t="shared" si="106"/>
        <v>23.923934426229511</v>
      </c>
      <c r="K438" s="28">
        <f t="shared" si="107"/>
        <v>105</v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45.569398907103825</v>
      </c>
      <c r="I439" s="135">
        <f>IFERROR(IF($D439="","",VLOOKUP($D439,Cadastro!$C$4:$G$7,5,FALSE)),"")</f>
        <v>0.6</v>
      </c>
      <c r="J439" s="136">
        <f t="shared" si="106"/>
        <v>9.569573770491802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08" t="s">
        <v>261</v>
      </c>
      <c r="F440" s="134">
        <f>IFERROR(IF($D440="","",VLOOKUP($D440,Cadastro!$C$4:$E$7,3,FALSE)),"")</f>
        <v>0.35</v>
      </c>
      <c r="G440" s="105">
        <v>1</v>
      </c>
      <c r="H440" s="134">
        <f>IFERROR(IF($G440="","",$G440*$S$446/$G$446/Cadastro!$E$33),"")</f>
        <v>4.5569398907103826</v>
      </c>
      <c r="I440" s="135">
        <f>IFERROR(IF($D440="","",VLOOKUP($D440,Cadastro!$C$4:$G$7,5,FALSE)),"")</f>
        <v>0.6</v>
      </c>
      <c r="J440" s="136">
        <f t="shared" si="106"/>
        <v>0.95695737704918016</v>
      </c>
      <c r="K440" s="28">
        <f t="shared" si="107"/>
        <v>4.2</v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37</v>
      </c>
      <c r="E441" s="108" t="s">
        <v>261</v>
      </c>
      <c r="F441" s="134">
        <f>IFERROR(IF($D441="","",VLOOKUP($D441,Cadastro!$C$4:$E$7,3,FALSE)),"")</f>
        <v>0.24</v>
      </c>
      <c r="G441" s="105">
        <v>12</v>
      </c>
      <c r="H441" s="134">
        <f>IFERROR(IF($G441="","",$G441*$S$446/$G$446/Cadastro!$E$33),"")</f>
        <v>54.683278688524588</v>
      </c>
      <c r="I441" s="135">
        <f>IFERROR(IF($D441="","",VLOOKUP($D441,Cadastro!$C$4:$G$7,5,FALSE)),"")</f>
        <v>0.6</v>
      </c>
      <c r="J441" s="136">
        <f t="shared" si="106"/>
        <v>7.8743921311475393</v>
      </c>
      <c r="K441" s="34">
        <f t="shared" si="107"/>
        <v>50.400000000000006</v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37</v>
      </c>
      <c r="E442" s="108" t="s">
        <v>261</v>
      </c>
      <c r="F442" s="134">
        <f>IFERROR(IF($D442="","",VLOOKUP($D442,Cadastro!$C$4:$E$7,3,FALSE)),"")</f>
        <v>0.24</v>
      </c>
      <c r="G442" s="105">
        <v>15</v>
      </c>
      <c r="H442" s="134">
        <f>IFERROR(IF($G442="","",$G442*$S$446/$G$446/Cadastro!$E$33),"")</f>
        <v>68.35409836065574</v>
      </c>
      <c r="I442" s="135">
        <f>IFERROR(IF($D442="","",VLOOKUP($D442,Cadastro!$C$4:$G$7,5,FALSE)),"")</f>
        <v>0.6</v>
      </c>
      <c r="J442" s="136">
        <f t="shared" si="106"/>
        <v>9.8429901639344255</v>
      </c>
      <c r="K442" s="28">
        <f t="shared" si="107"/>
        <v>63</v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41.012459016393443</v>
      </c>
      <c r="I443" s="135">
        <f>IFERROR(IF($D443="","",VLOOKUP($D443,Cadastro!$C$4:$G$7,5,FALSE)),"")</f>
        <v>0.6</v>
      </c>
      <c r="J443" s="136">
        <f t="shared" si="106"/>
        <v>8.6126163934426216</v>
      </c>
      <c r="K443" s="34">
        <f t="shared" si="107"/>
        <v>37.800000000000004</v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11</v>
      </c>
      <c r="H444" s="134">
        <f>IFERROR(IF($G444="","",$G444*$S$446/$G$446/Cadastro!$E$33),"")</f>
        <v>50.126338797814206</v>
      </c>
      <c r="I444" s="135">
        <f>IFERROR(IF($D444="","",VLOOKUP($D444,Cadastro!$C$4:$G$7,5,FALSE)),"")</f>
        <v>0.6</v>
      </c>
      <c r="J444" s="136">
        <f t="shared" si="106"/>
        <v>10.526531147540982</v>
      </c>
      <c r="K444" s="28">
        <f t="shared" si="107"/>
        <v>46.2</v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3</v>
      </c>
      <c r="H445" s="137">
        <f>IFERROR(IF($G445="","",$G445*$S$446/$G$446/Cadastro!$E$33),"")</f>
        <v>13.670819672131147</v>
      </c>
      <c r="I445" s="138">
        <f>IFERROR(IF($D445="","",VLOOKUP($D445,Cadastro!$C$4:$G$7,5,FALSE)),"")</f>
        <v>0.6</v>
      </c>
      <c r="J445" s="139">
        <f t="shared" si="106"/>
        <v>2.8708721311475407</v>
      </c>
      <c r="K445" s="34">
        <f t="shared" si="107"/>
        <v>12.600000000000001</v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62" t="s">
        <v>246</v>
      </c>
      <c r="B446" s="163"/>
      <c r="C446" s="163"/>
      <c r="D446" s="163"/>
      <c r="E446" s="163">
        <f>SUM(E434:E445)</f>
        <v>0</v>
      </c>
      <c r="F446" s="110"/>
      <c r="G446" s="80">
        <f>SUM(G434:G445)</f>
        <v>183</v>
      </c>
      <c r="H446" s="110">
        <f>IFERROR(SUM(H434:H445),"")</f>
        <v>833.92000000000019</v>
      </c>
      <c r="I446" s="114"/>
      <c r="J446" s="123">
        <f>IFERROR(SUM(J434:J445),"")</f>
        <v>161.58908852459015</v>
      </c>
      <c r="K446" s="36">
        <f>SUM(K434:K445)</f>
        <v>768.60000000000014</v>
      </c>
      <c r="L446" s="37"/>
      <c r="M446" s="37"/>
      <c r="N446" s="37"/>
      <c r="O446" s="61"/>
      <c r="P446" s="61"/>
      <c r="Q446" s="38">
        <f ca="1">IFERROR(SUM(Q434:Q445),"")</f>
        <v>3.6111111111111094E-2</v>
      </c>
      <c r="R446" s="36" t="s">
        <v>247</v>
      </c>
      <c r="S446" s="39">
        <v>833920</v>
      </c>
      <c r="T446" s="119">
        <f>IFERROR(J446,"")</f>
        <v>161.58908852459015</v>
      </c>
    </row>
    <row r="447" spans="1:21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40</v>
      </c>
      <c r="H447" s="140">
        <f>IFERROR(IF($G447="","",$G447*$S$459/$G$459/Cadastro!$E$33),"")</f>
        <v>180.4898678414097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37.902872246696035</v>
      </c>
      <c r="K447" s="34">
        <f t="shared" ref="K447:K458" si="111">IF(G447="","",IF(E447="PC 17",G447*4.2,IF(E447="PC 19",G447*5,IF(E447="CB",G447*24,""))))</f>
        <v>168</v>
      </c>
      <c r="L447" s="33" t="s">
        <v>27</v>
      </c>
      <c r="M447" s="33" t="s">
        <v>171</v>
      </c>
      <c r="N447" s="33" t="s">
        <v>63</v>
      </c>
      <c r="O447" s="29">
        <v>0.96875</v>
      </c>
      <c r="P447" s="29">
        <v>0.99305555555555558</v>
      </c>
      <c r="Q447" s="35">
        <f t="shared" ref="Q447:Q458" ca="1" si="112">IFERROR(IF(O447="","",IF(P447="",MOD(NOW()-O447,1),IF(P447&gt;=O447,P447-O447,P447+1-O447))),"")</f>
        <v>2.430555555555558E-2</v>
      </c>
      <c r="R447" s="27" t="s">
        <v>375</v>
      </c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42</v>
      </c>
      <c r="H448" s="134">
        <f>IFERROR(IF($G448="","",$G448*$S$459/$G$459/Cadastro!$E$33),"")</f>
        <v>189.5143612334802</v>
      </c>
      <c r="I448" s="135">
        <f>IFERROR(IF($D448="","",VLOOKUP($D448,Cadastro!$C$4:$G$7,5,FALSE)),"")</f>
        <v>0.6</v>
      </c>
      <c r="J448" s="136">
        <f t="shared" si="110"/>
        <v>39.798015859030841</v>
      </c>
      <c r="K448" s="28">
        <f t="shared" si="111"/>
        <v>176.4</v>
      </c>
      <c r="L448" s="26" t="s">
        <v>25</v>
      </c>
      <c r="M448" s="26" t="s">
        <v>64</v>
      </c>
      <c r="N448" s="26" t="s">
        <v>175</v>
      </c>
      <c r="O448" s="29">
        <v>1.9444444444444445E-2</v>
      </c>
      <c r="P448" s="29">
        <v>3.2638888888888891E-2</v>
      </c>
      <c r="Q448" s="30">
        <f t="shared" ca="1" si="112"/>
        <v>1.3194444444444446E-2</v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49.63471365638766</v>
      </c>
      <c r="I449" s="135">
        <f>IFERROR(IF($D449="","",VLOOKUP($D449,Cadastro!$C$4:$G$7,5,FALSE)),"")</f>
        <v>0.6</v>
      </c>
      <c r="J449" s="136">
        <f t="shared" si="110"/>
        <v>10.423289867841406</v>
      </c>
      <c r="K449" s="34">
        <f t="shared" si="111"/>
        <v>46.2</v>
      </c>
      <c r="L449" s="33" t="s">
        <v>27</v>
      </c>
      <c r="M449" s="33" t="s">
        <v>64</v>
      </c>
      <c r="N449" s="33" t="s">
        <v>58</v>
      </c>
      <c r="O449" s="29">
        <v>3.5416666666666666E-2</v>
      </c>
      <c r="P449" s="29">
        <v>4.1666666666666664E-2</v>
      </c>
      <c r="Q449" s="35">
        <f t="shared" ca="1" si="112"/>
        <v>6.2499999999999986E-3</v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37</v>
      </c>
      <c r="E450" s="159" t="s">
        <v>261</v>
      </c>
      <c r="F450" s="134">
        <f>IFERROR(IF($D450="","",VLOOKUP($D450,Cadastro!$C$4:$E$7,3,FALSE)),"")</f>
        <v>0.24</v>
      </c>
      <c r="G450" s="105">
        <v>24</v>
      </c>
      <c r="H450" s="134">
        <f>IFERROR(IF($G450="","",$G450*$S$459/$G$459/Cadastro!$E$33),"")</f>
        <v>108.29392070484582</v>
      </c>
      <c r="I450" s="135">
        <f>IFERROR(IF($D450="","",VLOOKUP($D450,Cadastro!$C$4:$G$7,5,FALSE)),"")</f>
        <v>0.6</v>
      </c>
      <c r="J450" s="136">
        <f t="shared" si="110"/>
        <v>15.594324581497798</v>
      </c>
      <c r="K450" s="28">
        <f>IF(G450="","",IF(E451="PC 17",G450*4.2,IF(E451="PC 19",G450*5,"")))</f>
        <v>100.80000000000001</v>
      </c>
      <c r="L450" s="26" t="s">
        <v>27</v>
      </c>
      <c r="M450" s="26" t="s">
        <v>64</v>
      </c>
      <c r="N450" s="26" t="s">
        <v>58</v>
      </c>
      <c r="O450" s="29">
        <v>4.5138888888888888E-2</v>
      </c>
      <c r="P450" s="29">
        <v>6.25E-2</v>
      </c>
      <c r="Q450" s="30">
        <f t="shared" ca="1" si="112"/>
        <v>1.7361111111111112E-2</v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37</v>
      </c>
      <c r="E451" s="109" t="s">
        <v>261</v>
      </c>
      <c r="F451" s="134">
        <f>IFERROR(IF($D451="","",VLOOKUP($D451,Cadastro!$C$4:$E$7,3,FALSE)),"")</f>
        <v>0.24</v>
      </c>
      <c r="G451" s="105">
        <v>9</v>
      </c>
      <c r="H451" s="134">
        <f>IFERROR(IF($G451="","",$G451*$S$459/$G$459/Cadastro!$E$33),"")</f>
        <v>40.610220264317185</v>
      </c>
      <c r="I451" s="135">
        <f>IFERROR(IF($D451="","",VLOOKUP($D451,Cadastro!$C$4:$G$7,5,FALSE)),"")</f>
        <v>0.6</v>
      </c>
      <c r="J451" s="136">
        <f t="shared" si="110"/>
        <v>5.8478717180616746</v>
      </c>
      <c r="K451" s="151">
        <f>IF(G451="","",IF(E452="PC 17",G451*4.2,IF(E452="PC 19",G451*5,"")))</f>
        <v>37.800000000000004</v>
      </c>
      <c r="L451" s="33" t="s">
        <v>27</v>
      </c>
      <c r="M451" s="33" t="s">
        <v>64</v>
      </c>
      <c r="N451" s="33" t="s">
        <v>209</v>
      </c>
      <c r="O451" s="29">
        <v>0.18055555555555555</v>
      </c>
      <c r="P451" s="29">
        <v>0.2048611111111111</v>
      </c>
      <c r="Q451" s="35">
        <f t="shared" ca="1" si="112"/>
        <v>2.4305555555555552E-2</v>
      </c>
      <c r="R451" s="27" t="s">
        <v>369</v>
      </c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37</v>
      </c>
      <c r="E452" s="109" t="s">
        <v>261</v>
      </c>
      <c r="F452" s="134">
        <f>IFERROR(IF($D452="","",VLOOKUP($D452,Cadastro!$C$4:$E$7,3,FALSE)),"")</f>
        <v>0.24</v>
      </c>
      <c r="G452" s="105">
        <v>8</v>
      </c>
      <c r="H452" s="134">
        <f>IFERROR(IF($G452="","",$G452*$S$459/$G$459/Cadastro!$E$33),"")</f>
        <v>36.097973568281937</v>
      </c>
      <c r="I452" s="135">
        <f>IFERROR(IF($D452="","",VLOOKUP($D452,Cadastro!$C$4:$G$7,5,FALSE)),"")</f>
        <v>0.6</v>
      </c>
      <c r="J452" s="136">
        <f t="shared" si="110"/>
        <v>5.1981081938325984</v>
      </c>
      <c r="K452" s="28">
        <f>IF(G452="","",IF(E453="PC 17",G452*4.2,IF(E453="PC 19",G452*5,"")))</f>
        <v>33.6</v>
      </c>
      <c r="L452" s="26" t="s">
        <v>25</v>
      </c>
      <c r="M452" s="26" t="s">
        <v>64</v>
      </c>
      <c r="N452" s="26" t="s">
        <v>41</v>
      </c>
      <c r="O452" s="29">
        <v>0.22222222222222221</v>
      </c>
      <c r="P452" s="29">
        <v>0.2638888888888889</v>
      </c>
      <c r="Q452" s="30">
        <f t="shared" ca="1" si="112"/>
        <v>4.1666666666666685E-2</v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15</v>
      </c>
      <c r="H453" s="134">
        <f>IFERROR(IF($G453="","",$G453*$S$459/$G$459/Cadastro!$E$33),"")</f>
        <v>67.683700440528625</v>
      </c>
      <c r="I453" s="135">
        <f>IFERROR(IF($D453="","",VLOOKUP($D453,Cadastro!$C$4:$G$7,5,FALSE)),"")</f>
        <v>0.6</v>
      </c>
      <c r="J453" s="136">
        <f t="shared" si="110"/>
        <v>14.213577092511011</v>
      </c>
      <c r="K453" s="151">
        <f>IF(G453="","",IF(E454="PC 17",G453*4.2,IF(E454="PC 19",G453*5,"")))</f>
        <v>63</v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25</v>
      </c>
      <c r="H454" s="134">
        <f>IFERROR(IF($G454="","",$G454*$S$459/$G$459/Cadastro!$E$33),"")</f>
        <v>112.80616740088105</v>
      </c>
      <c r="I454" s="135">
        <f>IFERROR(IF($D454="","",VLOOKUP($D454,Cadastro!$C$4:$G$7,5,FALSE)),"")</f>
        <v>0.6</v>
      </c>
      <c r="J454" s="136">
        <f t="shared" si="110"/>
        <v>23.689295154185018</v>
      </c>
      <c r="K454" s="28">
        <f>IF(G454="","",IF(E455="PC 17",G454*4.2,IF(E455="PC 19",G454*5,"")))</f>
        <v>105</v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31</v>
      </c>
      <c r="H455" s="134">
        <f>IFERROR(IF($G455="","",$G455*$S$459/$G$459/Cadastro!$E$33),"")</f>
        <v>139.87964757709253</v>
      </c>
      <c r="I455" s="135">
        <f>IFERROR(IF($D455="","",VLOOKUP($D455,Cadastro!$C$4:$G$7,5,FALSE)),"")</f>
        <v>0.6</v>
      </c>
      <c r="J455" s="136">
        <f t="shared" si="110"/>
        <v>29.374725991189429</v>
      </c>
      <c r="K455" s="151">
        <f>IF(G455="","",IF(E456="PC 17",G455*4.2,IF(E456="PC 19",G455*5,"")))</f>
        <v>130.20000000000002</v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>
        <v>13</v>
      </c>
      <c r="H456" s="134">
        <f>IFERROR(IF($G456="","",$G456*$S$459/$G$459/Cadastro!$E$33),"")</f>
        <v>58.65920704845815</v>
      </c>
      <c r="I456" s="135">
        <f>IFERROR(IF($D456="","",VLOOKUP($D456,Cadastro!$C$4:$G$7,5,FALSE)),"")</f>
        <v>0.6</v>
      </c>
      <c r="J456" s="136">
        <f t="shared" si="110"/>
        <v>12.318433480176211</v>
      </c>
      <c r="K456" s="28">
        <f>IF(G456="","",IF(E457="PC 17",G456*4.2,IF(E457="PC 19",G456*5,"")))</f>
        <v>54.6</v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>
        <v>9</v>
      </c>
      <c r="H457" s="134">
        <f>IFERROR(IF($G457="","",$G457*$S$459/$G$459/Cadastro!$E$33),"")</f>
        <v>40.610220264317185</v>
      </c>
      <c r="I457" s="135">
        <f>IFERROR(IF($D457="","",VLOOKUP($D457,Cadastro!$C$4:$G$7,5,FALSE)),"")</f>
        <v>0.6</v>
      </c>
      <c r="J457" s="136">
        <f t="shared" si="110"/>
        <v>8.5281462555066074</v>
      </c>
      <c r="K457" s="151">
        <f>IF(G457="","",IF(E458="PC 17",G457*4.2,IF(E458="PC 19",G457*5,"")))</f>
        <v>37.800000000000004</v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>
        <v>0</v>
      </c>
      <c r="H458" s="137">
        <f>IFERROR(IF($G458="","",$G458*$S$459/$G$459/Cadastro!$E$33),"")</f>
        <v>0</v>
      </c>
      <c r="I458" s="138">
        <f>IFERROR(IF($D458="","",VLOOKUP($D458,Cadastro!$C$4:$G$7,5,FALSE)),"")</f>
        <v>0.6</v>
      </c>
      <c r="J458" s="139">
        <f t="shared" si="110"/>
        <v>0</v>
      </c>
      <c r="K458" s="28" t="str">
        <f>IF(G458="","",IF(E459="PC 17",G458*4.2,IF(E459="PC 19",G458*5,"")))</f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62" t="s">
        <v>249</v>
      </c>
      <c r="B459" s="163"/>
      <c r="C459" s="163"/>
      <c r="D459" s="163"/>
      <c r="E459" s="163">
        <f>SUM(E447:E458)</f>
        <v>0</v>
      </c>
      <c r="F459" s="111"/>
      <c r="G459" s="80">
        <f>SUM(G447:G458)</f>
        <v>227</v>
      </c>
      <c r="H459" s="111">
        <f>IFERROR(SUM(H447:H458),"")</f>
        <v>1024.28</v>
      </c>
      <c r="I459" s="115"/>
      <c r="J459" s="124">
        <f>IFERROR(SUM(J447:J458),"")</f>
        <v>202.88866044052861</v>
      </c>
      <c r="K459" s="36">
        <f>SUM(K447:K458)</f>
        <v>953.4</v>
      </c>
      <c r="L459" s="37"/>
      <c r="M459" s="37"/>
      <c r="N459" s="37"/>
      <c r="O459" s="61"/>
      <c r="P459" s="61"/>
      <c r="Q459" s="38">
        <f ca="1">IFERROR(SUM(Q447:Q458),"")</f>
        <v>0.12708333333333338</v>
      </c>
      <c r="R459" s="36" t="s">
        <v>247</v>
      </c>
      <c r="S459" s="39">
        <v>1024280</v>
      </c>
      <c r="T459" s="119">
        <f>IFERROR(J459,"")</f>
        <v>202.88866044052861</v>
      </c>
    </row>
    <row r="460" spans="1:20" ht="18" customHeight="1">
      <c r="A460" s="160" t="s">
        <v>250</v>
      </c>
      <c r="B460" s="161"/>
      <c r="C460" s="161"/>
      <c r="D460" s="161"/>
      <c r="E460" s="161">
        <f>E446+E459</f>
        <v>0</v>
      </c>
      <c r="F460" s="112"/>
      <c r="G460" s="91">
        <f>G446+G459</f>
        <v>410</v>
      </c>
      <c r="H460" s="112">
        <f>IFERROR(H446+H459,"")</f>
        <v>1858.2000000000003</v>
      </c>
      <c r="I460" s="116"/>
      <c r="J460" s="125">
        <f>IFERROR(J446+J459,"")</f>
        <v>364.47774896511874</v>
      </c>
      <c r="K460" s="40">
        <f>K446+K459</f>
        <v>1722</v>
      </c>
      <c r="L460" s="41"/>
      <c r="M460" s="41"/>
      <c r="N460" s="41"/>
      <c r="O460" s="63"/>
      <c r="P460" s="63"/>
      <c r="Q460" s="42">
        <f ca="1">IFERROR(Q446+Q459,"")</f>
        <v>0.16319444444444448</v>
      </c>
      <c r="R460" s="40" t="s">
        <v>251</v>
      </c>
      <c r="S460" s="48">
        <f>IFERROR(S446+S459,"")</f>
        <v>1858200</v>
      </c>
      <c r="T460" s="121">
        <f>IFERROR(J460,"")</f>
        <v>364.47774896511874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261</v>
      </c>
      <c r="F461" s="140">
        <f>IFERROR(IF($D461="","",VLOOKUP($D461,Cadastro!$C$4:$E$7,3,FALSE)),"")</f>
        <v>0.35</v>
      </c>
      <c r="G461" s="105">
        <v>13</v>
      </c>
      <c r="H461" s="140">
        <f>IFERROR(IF($G461="","",$G461*$S$473/$G$473/Cadastro!$E$33),"")</f>
        <v>62.367077922077925</v>
      </c>
      <c r="I461" s="141">
        <f>IFERROR(IF($D461="","",VLOOKUP($D461,Cadastro!$C$4:$G$7,5,FALSE)),"")</f>
        <v>0.6</v>
      </c>
      <c r="J461" s="142">
        <f t="shared" ref="J461:J472" si="114">IFERROR(IF($H461="","",$H461*$F461*$I461),"")</f>
        <v>13.097086363636363</v>
      </c>
      <c r="K461" s="34">
        <f t="shared" ref="K461:K472" si="115">IF(G461="","",IF(E461="PC 17",G461*4.2,IF(E461="PC 19",G461*5,IF(E461="CB",G461*24,""))))</f>
        <v>54.6</v>
      </c>
      <c r="L461" s="33" t="s">
        <v>25</v>
      </c>
      <c r="M461" s="33" t="s">
        <v>64</v>
      </c>
      <c r="N461" s="33" t="s">
        <v>41</v>
      </c>
      <c r="O461" s="29">
        <v>0.2986111111111111</v>
      </c>
      <c r="P461" s="29">
        <v>0.53888888888888886</v>
      </c>
      <c r="Q461" s="35">
        <f t="shared" ref="Q461:Q472" ca="1" si="116">IFERROR(IF(O461="","",IF(P461="",MOD(NOW()-O461,1),IF(P461&gt;=O461,P461-O461,P461+1-O461))),"")</f>
        <v>0.24027777777777776</v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 t="s">
        <v>52</v>
      </c>
      <c r="D462" s="62" t="s">
        <v>29</v>
      </c>
      <c r="E462" s="109" t="s">
        <v>261</v>
      </c>
      <c r="F462" s="134">
        <f>IFERROR(IF($D462="","",VLOOKUP($D462,Cadastro!$C$4:$E$7,3,FALSE)),"")</f>
        <v>0.35</v>
      </c>
      <c r="G462" s="105">
        <v>16</v>
      </c>
      <c r="H462" s="134">
        <f>IFERROR(IF($G462="","",$G462*$S$473/$G$473/Cadastro!$E$33),"")</f>
        <v>76.759480519480519</v>
      </c>
      <c r="I462" s="135">
        <f>IFERROR(IF($D462="","",VLOOKUP($D462,Cadastro!$C$4:$G$7,5,FALSE)),"")</f>
        <v>0.6</v>
      </c>
      <c r="J462" s="136">
        <f t="shared" si="114"/>
        <v>16.119490909090906</v>
      </c>
      <c r="K462" s="28">
        <f t="shared" si="115"/>
        <v>67.2</v>
      </c>
      <c r="L462" s="26" t="s">
        <v>26</v>
      </c>
      <c r="M462" s="26" t="s">
        <v>59</v>
      </c>
      <c r="N462" s="26" t="s">
        <v>34</v>
      </c>
      <c r="O462" s="29">
        <v>0.51875000000000004</v>
      </c>
      <c r="P462" s="29">
        <v>0.54027777777777775</v>
      </c>
      <c r="Q462" s="30">
        <f t="shared" ca="1" si="116"/>
        <v>2.1527777777777701E-2</v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 t="s">
        <v>52</v>
      </c>
      <c r="D463" s="62" t="s">
        <v>29</v>
      </c>
      <c r="E463" s="109" t="s">
        <v>261</v>
      </c>
      <c r="F463" s="134">
        <f>IFERROR(IF($D463="","",VLOOKUP($D463,Cadastro!$C$4:$E$7,3,FALSE)),"")</f>
        <v>0.35</v>
      </c>
      <c r="G463" s="105">
        <v>10</v>
      </c>
      <c r="H463" s="134">
        <f>IFERROR(IF($G463="","",$G463*$S$473/$G$473/Cadastro!$E$33),"")</f>
        <v>47.974675324675324</v>
      </c>
      <c r="I463" s="135">
        <f>IFERROR(IF($D463="","",VLOOKUP($D463,Cadastro!$C$4:$G$7,5,FALSE)),"")</f>
        <v>0.6</v>
      </c>
      <c r="J463" s="136">
        <f t="shared" si="114"/>
        <v>10.074681818181817</v>
      </c>
      <c r="K463" s="34">
        <f t="shared" si="115"/>
        <v>42</v>
      </c>
      <c r="L463" s="33" t="s">
        <v>27</v>
      </c>
      <c r="M463" s="33"/>
      <c r="N463" s="33" t="s">
        <v>81</v>
      </c>
      <c r="O463" s="29">
        <v>0.66527777777777775</v>
      </c>
      <c r="P463" s="29">
        <v>0.67152777777777772</v>
      </c>
      <c r="Q463" s="35">
        <f t="shared" ca="1" si="116"/>
        <v>6.2499999999999778E-3</v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 t="s">
        <v>52</v>
      </c>
      <c r="D464" s="62" t="s">
        <v>29</v>
      </c>
      <c r="E464" s="109" t="s">
        <v>261</v>
      </c>
      <c r="F464" s="134">
        <f>IFERROR(IF($D464="","",VLOOKUP($D464,Cadastro!$C$4:$E$7,3,FALSE)),"")</f>
        <v>0.35</v>
      </c>
      <c r="G464" s="105">
        <v>14</v>
      </c>
      <c r="H464" s="134">
        <f>IFERROR(IF($G464="","",$G464*$S$473/$G$473/Cadastro!$E$33),"")</f>
        <v>67.164545454545461</v>
      </c>
      <c r="I464" s="135">
        <f>IFERROR(IF($D464="","",VLOOKUP($D464,Cadastro!$C$4:$G$7,5,FALSE)),"")</f>
        <v>0.6</v>
      </c>
      <c r="J464" s="136">
        <f t="shared" si="114"/>
        <v>14.104554545454546</v>
      </c>
      <c r="K464" s="28">
        <f t="shared" si="115"/>
        <v>58.800000000000004</v>
      </c>
      <c r="L464" s="26" t="s">
        <v>27</v>
      </c>
      <c r="M464" s="26" t="s">
        <v>137</v>
      </c>
      <c r="N464" s="26" t="s">
        <v>121</v>
      </c>
      <c r="O464" s="29">
        <v>0.68541666666666667</v>
      </c>
      <c r="P464" s="29">
        <v>0.69444444444444442</v>
      </c>
      <c r="Q464" s="30">
        <f t="shared" ca="1" si="116"/>
        <v>9.0277777777777457E-3</v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 t="s">
        <v>52</v>
      </c>
      <c r="D465" s="62" t="s">
        <v>29</v>
      </c>
      <c r="E465" s="109" t="s">
        <v>261</v>
      </c>
      <c r="F465" s="134">
        <f>IFERROR(IF($D465="","",VLOOKUP($D465,Cadastro!$C$4:$E$7,3,FALSE)),"")</f>
        <v>0.35</v>
      </c>
      <c r="G465" s="105">
        <v>8</v>
      </c>
      <c r="H465" s="134">
        <f>IFERROR(IF($G465="","",$G465*$S$473/$G$473/Cadastro!$E$33),"")</f>
        <v>38.379740259740259</v>
      </c>
      <c r="I465" s="135">
        <f>IFERROR(IF($D465="","",VLOOKUP($D465,Cadastro!$C$4:$G$7,5,FALSE)),"")</f>
        <v>0.6</v>
      </c>
      <c r="J465" s="136">
        <f t="shared" si="114"/>
        <v>8.0597454545454532</v>
      </c>
      <c r="K465" s="34">
        <f t="shared" si="115"/>
        <v>33.6</v>
      </c>
      <c r="L465" s="33" t="s">
        <v>27</v>
      </c>
      <c r="M465" s="33" t="s">
        <v>137</v>
      </c>
      <c r="N465" s="33" t="s">
        <v>121</v>
      </c>
      <c r="O465" s="29">
        <v>0.73750000000000004</v>
      </c>
      <c r="P465" s="29">
        <v>0.75347222222222221</v>
      </c>
      <c r="Q465" s="35">
        <f t="shared" ca="1" si="116"/>
        <v>1.5972222222222165E-2</v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 t="s">
        <v>52</v>
      </c>
      <c r="D466" s="62" t="s">
        <v>29</v>
      </c>
      <c r="E466" s="109" t="s">
        <v>261</v>
      </c>
      <c r="F466" s="134">
        <f>IFERROR(IF($D466="","",VLOOKUP($D466,Cadastro!$C$4:$E$7,3,FALSE)),"")</f>
        <v>0.35</v>
      </c>
      <c r="G466" s="105">
        <v>9</v>
      </c>
      <c r="H466" s="134">
        <f>IFERROR(IF($G466="","",$G466*$S$473/$G$473/Cadastro!$E$33),"")</f>
        <v>43.177207792207795</v>
      </c>
      <c r="I466" s="135">
        <f>IFERROR(IF($D466="","",VLOOKUP($D466,Cadastro!$C$4:$G$7,5,FALSE)),"")</f>
        <v>0.6</v>
      </c>
      <c r="J466" s="136">
        <f t="shared" si="114"/>
        <v>9.0672136363636362</v>
      </c>
      <c r="K466" s="28">
        <f t="shared" si="115"/>
        <v>37.800000000000004</v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 t="s">
        <v>52</v>
      </c>
      <c r="D467" s="62" t="s">
        <v>29</v>
      </c>
      <c r="E467" s="109" t="s">
        <v>261</v>
      </c>
      <c r="F467" s="134">
        <f>IFERROR(IF($D467="","",VLOOKUP($D467,Cadastro!$C$4:$E$7,3,FALSE)),"")</f>
        <v>0.35</v>
      </c>
      <c r="G467" s="105">
        <v>10</v>
      </c>
      <c r="H467" s="134">
        <f>IFERROR(IF($G467="","",$G467*$S$473/$G$473/Cadastro!$E$33),"")</f>
        <v>47.974675324675324</v>
      </c>
      <c r="I467" s="135">
        <f>IFERROR(IF($D467="","",VLOOKUP($D467,Cadastro!$C$4:$G$7,5,FALSE)),"")</f>
        <v>0.6</v>
      </c>
      <c r="J467" s="136">
        <f t="shared" si="114"/>
        <v>10.074681818181817</v>
      </c>
      <c r="K467" s="34">
        <f t="shared" si="115"/>
        <v>42</v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 t="s">
        <v>52</v>
      </c>
      <c r="D468" s="62" t="s">
        <v>29</v>
      </c>
      <c r="E468" s="109" t="s">
        <v>261</v>
      </c>
      <c r="F468" s="134">
        <f>IFERROR(IF($D468="","",VLOOKUP($D468,Cadastro!$C$4:$E$7,3,FALSE)),"")</f>
        <v>0.35</v>
      </c>
      <c r="G468" s="105">
        <v>24</v>
      </c>
      <c r="H468" s="134">
        <f>IFERROR(IF($G468="","",$G468*$S$473/$G$473/Cadastro!$E$33),"")</f>
        <v>115.13922077922078</v>
      </c>
      <c r="I468" s="135">
        <f>IFERROR(IF($D468="","",VLOOKUP($D468,Cadastro!$C$4:$G$7,5,FALSE)),"")</f>
        <v>0.6</v>
      </c>
      <c r="J468" s="136">
        <f t="shared" si="114"/>
        <v>24.17923636363636</v>
      </c>
      <c r="K468" s="28">
        <f t="shared" si="115"/>
        <v>100.80000000000001</v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 t="s">
        <v>52</v>
      </c>
      <c r="D469" s="62" t="s">
        <v>29</v>
      </c>
      <c r="E469" s="109" t="s">
        <v>261</v>
      </c>
      <c r="F469" s="134">
        <f>IFERROR(IF($D469="","",VLOOKUP($D469,Cadastro!$C$4:$E$7,3,FALSE)),"")</f>
        <v>0.35</v>
      </c>
      <c r="G469" s="105">
        <v>16</v>
      </c>
      <c r="H469" s="134">
        <f>IFERROR(IF($G469="","",$G469*$S$473/$G$473/Cadastro!$E$33),"")</f>
        <v>76.759480519480519</v>
      </c>
      <c r="I469" s="135">
        <f>IFERROR(IF($D469="","",VLOOKUP($D469,Cadastro!$C$4:$G$7,5,FALSE)),"")</f>
        <v>0.6</v>
      </c>
      <c r="J469" s="136">
        <f t="shared" si="114"/>
        <v>16.119490909090906</v>
      </c>
      <c r="K469" s="34">
        <f t="shared" si="115"/>
        <v>67.2</v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 t="s">
        <v>52</v>
      </c>
      <c r="D470" s="62" t="s">
        <v>29</v>
      </c>
      <c r="E470" s="109" t="s">
        <v>261</v>
      </c>
      <c r="F470" s="134">
        <f>IFERROR(IF($D470="","",VLOOKUP($D470,Cadastro!$C$4:$E$7,3,FALSE)),"")</f>
        <v>0.35</v>
      </c>
      <c r="G470" s="105">
        <v>15</v>
      </c>
      <c r="H470" s="134">
        <f>IFERROR(IF($G470="","",$G470*$S$473/$G$473/Cadastro!$E$33),"")</f>
        <v>71.962012987012983</v>
      </c>
      <c r="I470" s="135">
        <f>IFERROR(IF($D470="","",VLOOKUP($D470,Cadastro!$C$4:$G$7,5,FALSE)),"")</f>
        <v>0.6</v>
      </c>
      <c r="J470" s="136">
        <f t="shared" si="114"/>
        <v>15.112022727272725</v>
      </c>
      <c r="K470" s="28">
        <f t="shared" si="115"/>
        <v>63</v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 t="s">
        <v>52</v>
      </c>
      <c r="D471" s="62" t="s">
        <v>29</v>
      </c>
      <c r="E471" s="109" t="s">
        <v>261</v>
      </c>
      <c r="F471" s="134">
        <f>IFERROR(IF($D471="","",VLOOKUP($D471,Cadastro!$C$4:$E$7,3,FALSE)),"")</f>
        <v>0.35</v>
      </c>
      <c r="G471" s="105">
        <v>11</v>
      </c>
      <c r="H471" s="134">
        <f>IFERROR(IF($G471="","",$G471*$S$473/$G$473/Cadastro!$E$33),"")</f>
        <v>52.772142857142853</v>
      </c>
      <c r="I471" s="135">
        <f>IFERROR(IF($D471="","",VLOOKUP($D471,Cadastro!$C$4:$G$7,5,FALSE)),"")</f>
        <v>0.6</v>
      </c>
      <c r="J471" s="136">
        <f t="shared" si="114"/>
        <v>11.082149999999997</v>
      </c>
      <c r="K471" s="34">
        <f t="shared" si="115"/>
        <v>46.2</v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 t="s">
        <v>52</v>
      </c>
      <c r="D472" s="62" t="s">
        <v>29</v>
      </c>
      <c r="E472" s="109" t="s">
        <v>261</v>
      </c>
      <c r="F472" s="137">
        <f>IFERROR(IF($D472="","",VLOOKUP($D472,Cadastro!$C$4:$E$7,3,FALSE)),"")</f>
        <v>0.35</v>
      </c>
      <c r="G472" s="105">
        <v>8</v>
      </c>
      <c r="H472" s="137">
        <f>IFERROR(IF($G472="","",$G472*$S$473/$G$473/Cadastro!$E$33),"")</f>
        <v>38.379740259740259</v>
      </c>
      <c r="I472" s="138">
        <f>IFERROR(IF($D472="","",VLOOKUP($D472,Cadastro!$C$4:$G$7,5,FALSE)),"")</f>
        <v>0.6</v>
      </c>
      <c r="J472" s="139">
        <f t="shared" si="114"/>
        <v>8.0597454545454532</v>
      </c>
      <c r="K472" s="28">
        <f t="shared" si="115"/>
        <v>33.6</v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62" t="s">
        <v>246</v>
      </c>
      <c r="B473" s="163"/>
      <c r="C473" s="163"/>
      <c r="D473" s="163"/>
      <c r="E473" s="163">
        <f>SUM(E461:E472)</f>
        <v>0</v>
      </c>
      <c r="F473" s="110"/>
      <c r="G473" s="80">
        <f>SUM(G461:G472)</f>
        <v>154</v>
      </c>
      <c r="H473" s="110">
        <f>IFERROR(SUM(H461:H472),"")</f>
        <v>738.81000000000006</v>
      </c>
      <c r="I473" s="114"/>
      <c r="J473" s="123">
        <f>IFERROR(SUM(J461:J472),"")</f>
        <v>155.15009999999998</v>
      </c>
      <c r="K473" s="36">
        <f>SUM(K461:K472)</f>
        <v>646.80000000000007</v>
      </c>
      <c r="L473" s="37"/>
      <c r="M473" s="37"/>
      <c r="N473" s="37"/>
      <c r="O473" s="61"/>
      <c r="P473" s="61"/>
      <c r="Q473" s="38">
        <f ca="1">IFERROR(SUM(Q461:Q472),"")</f>
        <v>0.29305555555555535</v>
      </c>
      <c r="R473" s="36" t="s">
        <v>247</v>
      </c>
      <c r="S473" s="39">
        <v>738810</v>
      </c>
      <c r="T473" s="119">
        <f>IFERROR(J473,"")</f>
        <v>155.15009999999998</v>
      </c>
    </row>
    <row r="474" spans="1:20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108" t="s">
        <v>261</v>
      </c>
      <c r="F474" s="140">
        <f>IFERROR(IF($D474="","",VLOOKUP($D474,Cadastro!$C$4:$E$7,3,FALSE)),"")</f>
        <v>0.35</v>
      </c>
      <c r="G474" s="105">
        <v>14</v>
      </c>
      <c r="H474" s="140">
        <f>IFERROR(IF($G474="","",$G474*$S$486/$G$486/Cadastro!$E$33),"")</f>
        <v>0</v>
      </c>
      <c r="I474" s="141">
        <f>IFERROR(IF($D474="","",VLOOKUP($D474,Cadastro!$C$4:$G$7,5,FALSE)),"")</f>
        <v>0.6</v>
      </c>
      <c r="J474" s="142">
        <f t="shared" ref="J474:J485" si="118">IFERROR(IF($H474="","",$H474*$F474*$I474),"")</f>
        <v>0</v>
      </c>
      <c r="K474" s="28">
        <f t="shared" ref="K474:K485" si="119">IF(G474="","",IF(E474="PC 17",G474*4.2,IF(E474="PC 19",G474*5,IF(E474="CB",G474*24,""))))</f>
        <v>58.800000000000004</v>
      </c>
      <c r="L474" s="26" t="s">
        <v>26</v>
      </c>
      <c r="M474" s="26" t="s">
        <v>171</v>
      </c>
      <c r="N474" s="26" t="s">
        <v>34</v>
      </c>
      <c r="O474" s="29">
        <v>0.80277777777777781</v>
      </c>
      <c r="P474" s="29">
        <v>0.81597222222222221</v>
      </c>
      <c r="Q474" s="30">
        <f t="shared" ref="Q474:Q485" ca="1" si="120">IFERROR(IF(O474="","",IF(P474="",MOD(NOW()-O474,1),IF(P474&gt;=O474,P474-O474,P474+1-O474))),"")</f>
        <v>1.3194444444444398E-2</v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 t="s">
        <v>36</v>
      </c>
      <c r="D475" s="59" t="s">
        <v>29</v>
      </c>
      <c r="E475" s="108" t="s">
        <v>261</v>
      </c>
      <c r="F475" s="134">
        <f>IFERROR(IF($D475="","",VLOOKUP($D475,Cadastro!$C$4:$E$7,3,FALSE)),"")</f>
        <v>0.35</v>
      </c>
      <c r="G475" s="105"/>
      <c r="H475" s="134" t="str">
        <f>IFERROR(IF($G475="","",$G475*$S$486/$G$486/Cadastro!$E$33),"")</f>
        <v/>
      </c>
      <c r="I475" s="135">
        <f>IFERROR(IF($D475="","",VLOOKUP($D475,Cadastro!$C$4:$G$7,5,FALSE)),"")</f>
        <v>0.6</v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 t="s">
        <v>36</v>
      </c>
      <c r="D476" s="59" t="s">
        <v>29</v>
      </c>
      <c r="E476" s="108" t="s">
        <v>261</v>
      </c>
      <c r="F476" s="134">
        <f>IFERROR(IF($D476="","",VLOOKUP($D476,Cadastro!$C$4:$E$7,3,FALSE)),"")</f>
        <v>0.35</v>
      </c>
      <c r="G476" s="105"/>
      <c r="H476" s="134" t="str">
        <f>IFERROR(IF($G476="","",$G476*$S$486/$G$486/Cadastro!$E$33),"")</f>
        <v/>
      </c>
      <c r="I476" s="135">
        <f>IFERROR(IF($D476="","",VLOOKUP($D476,Cadastro!$C$4:$G$7,5,FALSE)),"")</f>
        <v>0.6</v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 t="s">
        <v>36</v>
      </c>
      <c r="D477" s="59" t="s">
        <v>29</v>
      </c>
      <c r="E477" s="108" t="s">
        <v>261</v>
      </c>
      <c r="F477" s="134">
        <f>IFERROR(IF($D477="","",VLOOKUP($D477,Cadastro!$C$4:$E$7,3,FALSE)),"")</f>
        <v>0.35</v>
      </c>
      <c r="G477" s="105"/>
      <c r="H477" s="134" t="str">
        <f>IFERROR(IF($G477="","",$G477*$S$486/$G$486/Cadastro!$E$33),"")</f>
        <v/>
      </c>
      <c r="I477" s="135">
        <f>IFERROR(IF($D477="","",VLOOKUP($D477,Cadastro!$C$4:$G$7,5,FALSE)),"")</f>
        <v>0.6</v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 t="s">
        <v>36</v>
      </c>
      <c r="D478" s="59" t="s">
        <v>29</v>
      </c>
      <c r="E478" s="108" t="s">
        <v>261</v>
      </c>
      <c r="F478" s="134">
        <f>IFERROR(IF($D478="","",VLOOKUP($D478,Cadastro!$C$4:$E$7,3,FALSE)),"")</f>
        <v>0.35</v>
      </c>
      <c r="G478" s="105"/>
      <c r="H478" s="134" t="str">
        <f>IFERROR(IF($G478="","",$G478*$S$486/$G$486/Cadastro!$E$33),"")</f>
        <v/>
      </c>
      <c r="I478" s="135">
        <f>IFERROR(IF($D478="","",VLOOKUP($D478,Cadastro!$C$4:$G$7,5,FALSE)),"")</f>
        <v>0.6</v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 t="s">
        <v>36</v>
      </c>
      <c r="D479" s="59" t="s">
        <v>29</v>
      </c>
      <c r="E479" s="108" t="s">
        <v>261</v>
      </c>
      <c r="F479" s="134">
        <f>IFERROR(IF($D479="","",VLOOKUP($D479,Cadastro!$C$4:$E$7,3,FALSE)),"")</f>
        <v>0.35</v>
      </c>
      <c r="G479" s="105"/>
      <c r="H479" s="134" t="str">
        <f>IFERROR(IF($G479="","",$G479*$S$486/$G$486/Cadastro!$E$33),"")</f>
        <v/>
      </c>
      <c r="I479" s="135">
        <f>IFERROR(IF($D479="","",VLOOKUP($D479,Cadastro!$C$4:$G$7,5,FALSE)),"")</f>
        <v>0.6</v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 t="s">
        <v>36</v>
      </c>
      <c r="D480" s="59" t="s">
        <v>29</v>
      </c>
      <c r="E480" s="108" t="s">
        <v>261</v>
      </c>
      <c r="F480" s="134">
        <f>IFERROR(IF($D480="","",VLOOKUP($D480,Cadastro!$C$4:$E$7,3,FALSE)),"")</f>
        <v>0.35</v>
      </c>
      <c r="G480" s="105"/>
      <c r="H480" s="134" t="str">
        <f>IFERROR(IF($G480="","",$G480*$S$486/$G$486/Cadastro!$E$33),"")</f>
        <v/>
      </c>
      <c r="I480" s="135">
        <f>IFERROR(IF($D480="","",VLOOKUP($D480,Cadastro!$C$4:$G$7,5,FALSE)),"")</f>
        <v>0.6</v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 t="s">
        <v>36</v>
      </c>
      <c r="D481" s="59" t="s">
        <v>29</v>
      </c>
      <c r="E481" s="108"/>
      <c r="F481" s="134">
        <f>IFERROR(IF($D481="","",VLOOKUP($D481,Cadastro!$C$4:$E$7,3,FALSE)),"")</f>
        <v>0.35</v>
      </c>
      <c r="G481" s="105"/>
      <c r="H481" s="134" t="str">
        <f>IFERROR(IF($G481="","",$G481*$S$486/$G$486/Cadastro!$E$33),"")</f>
        <v/>
      </c>
      <c r="I481" s="135">
        <f>IFERROR(IF($D481="","",VLOOKUP($D481,Cadastro!$C$4:$G$7,5,FALSE)),"")</f>
        <v>0.6</v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 t="s">
        <v>36</v>
      </c>
      <c r="D482" s="59" t="s">
        <v>29</v>
      </c>
      <c r="E482" s="108"/>
      <c r="F482" s="134">
        <f>IFERROR(IF($D482="","",VLOOKUP($D482,Cadastro!$C$4:$E$7,3,FALSE)),"")</f>
        <v>0.35</v>
      </c>
      <c r="G482" s="105"/>
      <c r="H482" s="134" t="str">
        <f>IFERROR(IF($G482="","",$G482*$S$486/$G$486/Cadastro!$E$33),"")</f>
        <v/>
      </c>
      <c r="I482" s="135">
        <f>IFERROR(IF($D482="","",VLOOKUP($D482,Cadastro!$C$4:$G$7,5,FALSE)),"")</f>
        <v>0.6</v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 t="s">
        <v>36</v>
      </c>
      <c r="D483" s="59" t="s">
        <v>29</v>
      </c>
      <c r="E483" s="108"/>
      <c r="F483" s="134">
        <f>IFERROR(IF($D483="","",VLOOKUP($D483,Cadastro!$C$4:$E$7,3,FALSE)),"")</f>
        <v>0.35</v>
      </c>
      <c r="G483" s="105"/>
      <c r="H483" s="134" t="str">
        <f>IFERROR(IF($G483="","",$G483*$S$486/$G$486/Cadastro!$E$33),"")</f>
        <v/>
      </c>
      <c r="I483" s="135">
        <f>IFERROR(IF($D483="","",VLOOKUP($D483,Cadastro!$C$4:$G$7,5,FALSE)),"")</f>
        <v>0.6</v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 t="s">
        <v>36</v>
      </c>
      <c r="D484" s="59" t="s">
        <v>29</v>
      </c>
      <c r="E484" s="108"/>
      <c r="F484" s="134">
        <f>IFERROR(IF($D484="","",VLOOKUP($D484,Cadastro!$C$4:$E$7,3,FALSE)),"")</f>
        <v>0.35</v>
      </c>
      <c r="G484" s="105"/>
      <c r="H484" s="134" t="str">
        <f>IFERROR(IF($G484="","",$G484*$S$486/$G$486/Cadastro!$E$33),"")</f>
        <v/>
      </c>
      <c r="I484" s="135">
        <f>IFERROR(IF($D484="","",VLOOKUP($D484,Cadastro!$C$4:$G$7,5,FALSE)),"")</f>
        <v>0.6</v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 t="s">
        <v>36</v>
      </c>
      <c r="D485" s="59" t="s">
        <v>29</v>
      </c>
      <c r="E485" s="108"/>
      <c r="F485" s="137">
        <f>IFERROR(IF($D485="","",VLOOKUP($D485,Cadastro!$C$4:$E$7,3,FALSE)),"")</f>
        <v>0.35</v>
      </c>
      <c r="G485" s="105"/>
      <c r="H485" s="137" t="str">
        <f>IFERROR(IF($G485="","",$G485*$S$486/$G$486/Cadastro!$E$33),"")</f>
        <v/>
      </c>
      <c r="I485" s="138">
        <f>IFERROR(IF($D485="","",VLOOKUP($D485,Cadastro!$C$4:$G$7,5,FALSE)),"")</f>
        <v>0.6</v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62" t="s">
        <v>249</v>
      </c>
      <c r="B486" s="163"/>
      <c r="C486" s="163"/>
      <c r="D486" s="163"/>
      <c r="E486" s="163">
        <f>SUM(E474:E485)</f>
        <v>0</v>
      </c>
      <c r="F486" s="111"/>
      <c r="G486" s="80">
        <f>SUM(G474:G485)</f>
        <v>14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58.800000000000004</v>
      </c>
      <c r="L486" s="37"/>
      <c r="M486" s="37"/>
      <c r="N486" s="37"/>
      <c r="O486" s="61"/>
      <c r="P486" s="61"/>
      <c r="Q486" s="38">
        <f ca="1">IFERROR(SUM(Q474:Q485),"")</f>
        <v>1.3194444444444398E-2</v>
      </c>
      <c r="R486" s="36" t="s">
        <v>247</v>
      </c>
      <c r="S486" s="39"/>
      <c r="T486" s="119">
        <f>IFERROR(J486,"")</f>
        <v>0</v>
      </c>
    </row>
    <row r="487" spans="1:20" ht="18" customHeight="1">
      <c r="A487" s="160" t="s">
        <v>250</v>
      </c>
      <c r="B487" s="161"/>
      <c r="C487" s="161"/>
      <c r="D487" s="161"/>
      <c r="E487" s="161">
        <f>E473+E486</f>
        <v>0</v>
      </c>
      <c r="F487" s="112"/>
      <c r="G487" s="91">
        <f>G473+G486</f>
        <v>168</v>
      </c>
      <c r="H487" s="112">
        <f>IFERROR(H473+H486,"")</f>
        <v>738.81000000000006</v>
      </c>
      <c r="I487" s="116"/>
      <c r="J487" s="125">
        <f>IFERROR(J473+J486,"")</f>
        <v>155.15009999999998</v>
      </c>
      <c r="K487" s="40">
        <f>K473+K486</f>
        <v>705.6</v>
      </c>
      <c r="L487" s="41"/>
      <c r="M487" s="41"/>
      <c r="N487" s="41"/>
      <c r="O487" s="63"/>
      <c r="P487" s="63"/>
      <c r="Q487" s="42">
        <f ca="1">IFERROR(Q473+Q486,"")</f>
        <v>0.30624999999999974</v>
      </c>
      <c r="R487" s="40" t="s">
        <v>251</v>
      </c>
      <c r="S487" s="48">
        <f>IFERROR(S473+S486,"")</f>
        <v>738810</v>
      </c>
      <c r="T487" s="121">
        <f>IFERROR(J487,"")</f>
        <v>155.15009999999998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62" t="s">
        <v>246</v>
      </c>
      <c r="B500" s="163"/>
      <c r="C500" s="163"/>
      <c r="D500" s="163"/>
      <c r="E500" s="163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247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62" t="s">
        <v>249</v>
      </c>
      <c r="B513" s="163"/>
      <c r="C513" s="163"/>
      <c r="D513" s="163"/>
      <c r="E513" s="163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247</v>
      </c>
      <c r="S513" s="39"/>
      <c r="T513" s="119">
        <f>IFERROR(J513,"")</f>
        <v>0</v>
      </c>
    </row>
    <row r="514" spans="1:20" ht="18" customHeight="1">
      <c r="A514" s="160" t="s">
        <v>250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251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62" t="s">
        <v>246</v>
      </c>
      <c r="B527" s="163"/>
      <c r="C527" s="163"/>
      <c r="D527" s="163"/>
      <c r="E527" s="163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247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62" t="s">
        <v>249</v>
      </c>
      <c r="B540" s="163"/>
      <c r="C540" s="163"/>
      <c r="D540" s="163"/>
      <c r="E540" s="163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247</v>
      </c>
      <c r="S540" s="39"/>
      <c r="T540" s="119">
        <f>IFERROR(J540,"")</f>
        <v>0</v>
      </c>
    </row>
    <row r="541" spans="1:20" ht="18" customHeight="1">
      <c r="A541" s="160" t="s">
        <v>250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251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62" t="s">
        <v>246</v>
      </c>
      <c r="B554" s="163"/>
      <c r="C554" s="163"/>
      <c r="D554" s="163"/>
      <c r="E554" s="163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247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62" t="s">
        <v>249</v>
      </c>
      <c r="B567" s="163"/>
      <c r="C567" s="163"/>
      <c r="D567" s="163"/>
      <c r="E567" s="163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247</v>
      </c>
      <c r="S567" s="39"/>
      <c r="T567" s="119">
        <f>IFERROR(J567,"")</f>
        <v>0</v>
      </c>
    </row>
    <row r="568" spans="1:20" ht="18" customHeight="1">
      <c r="A568" s="160" t="s">
        <v>250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251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62" t="s">
        <v>246</v>
      </c>
      <c r="B581" s="163"/>
      <c r="C581" s="163"/>
      <c r="D581" s="163"/>
      <c r="E581" s="163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247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62" t="s">
        <v>249</v>
      </c>
      <c r="B594" s="163"/>
      <c r="C594" s="163"/>
      <c r="D594" s="163"/>
      <c r="E594" s="163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247</v>
      </c>
      <c r="S594" s="39"/>
      <c r="T594" s="119">
        <f>IFERROR(J594,"")</f>
        <v>0</v>
      </c>
    </row>
    <row r="595" spans="1:20" ht="18" customHeight="1">
      <c r="A595" s="160" t="s">
        <v>250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251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62" t="s">
        <v>246</v>
      </c>
      <c r="B608" s="163"/>
      <c r="C608" s="163"/>
      <c r="D608" s="163"/>
      <c r="E608" s="163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247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62" t="s">
        <v>249</v>
      </c>
      <c r="B621" s="163"/>
      <c r="C621" s="163"/>
      <c r="D621" s="163"/>
      <c r="E621" s="163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247</v>
      </c>
      <c r="S621" s="39"/>
      <c r="T621" s="119">
        <f>IFERROR(J621,"")</f>
        <v>0</v>
      </c>
    </row>
    <row r="622" spans="1:20" ht="18" customHeight="1">
      <c r="A622" s="160" t="s">
        <v>250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251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62" t="s">
        <v>246</v>
      </c>
      <c r="B635" s="163"/>
      <c r="C635" s="163"/>
      <c r="D635" s="163"/>
      <c r="E635" s="163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247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62" t="s">
        <v>249</v>
      </c>
      <c r="B648" s="163"/>
      <c r="C648" s="163"/>
      <c r="D648" s="163"/>
      <c r="E648" s="163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247</v>
      </c>
      <c r="S648" s="39"/>
      <c r="T648" s="119">
        <f>IFERROR(J648,"")</f>
        <v>0</v>
      </c>
    </row>
    <row r="649" spans="1:20" ht="18" customHeight="1">
      <c r="A649" s="160" t="s">
        <v>250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251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62" t="s">
        <v>246</v>
      </c>
      <c r="B662" s="163"/>
      <c r="C662" s="163"/>
      <c r="D662" s="163"/>
      <c r="E662" s="163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247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62" t="s">
        <v>249</v>
      </c>
      <c r="B675" s="163"/>
      <c r="C675" s="163"/>
      <c r="D675" s="163"/>
      <c r="E675" s="163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247</v>
      </c>
      <c r="S675" s="39"/>
      <c r="T675" s="119">
        <f>IFERROR(J675,"")</f>
        <v>0</v>
      </c>
    </row>
    <row r="676" spans="1:20" ht="18" customHeight="1">
      <c r="A676" s="160" t="s">
        <v>250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251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62" t="s">
        <v>246</v>
      </c>
      <c r="B689" s="163"/>
      <c r="C689" s="163"/>
      <c r="D689" s="163"/>
      <c r="E689" s="163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247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62" t="s">
        <v>249</v>
      </c>
      <c r="B702" s="163"/>
      <c r="C702" s="163"/>
      <c r="D702" s="163"/>
      <c r="E702" s="163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247</v>
      </c>
      <c r="S702" s="39"/>
      <c r="T702" s="119">
        <f>IFERROR(J702,"")</f>
        <v>0</v>
      </c>
    </row>
    <row r="703" spans="1:20" ht="18" customHeight="1">
      <c r="A703" s="160" t="s">
        <v>250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251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62" t="s">
        <v>246</v>
      </c>
      <c r="B716" s="163"/>
      <c r="C716" s="163"/>
      <c r="D716" s="163"/>
      <c r="E716" s="163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247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62" t="s">
        <v>249</v>
      </c>
      <c r="B729" s="163"/>
      <c r="C729" s="163"/>
      <c r="D729" s="163"/>
      <c r="E729" s="163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247</v>
      </c>
      <c r="S729" s="39"/>
      <c r="T729" s="119">
        <f>IFERROR(J729,"")</f>
        <v>0</v>
      </c>
    </row>
    <row r="730" spans="1:20" ht="18" customHeight="1">
      <c r="A730" s="160" t="s">
        <v>250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251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62" t="s">
        <v>246</v>
      </c>
      <c r="B743" s="163"/>
      <c r="C743" s="163"/>
      <c r="D743" s="163"/>
      <c r="E743" s="163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247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62" t="s">
        <v>249</v>
      </c>
      <c r="B756" s="163"/>
      <c r="C756" s="163"/>
      <c r="D756" s="163"/>
      <c r="E756" s="163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0" t="s">
        <v>250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251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62" t="s">
        <v>246</v>
      </c>
      <c r="B770" s="163"/>
      <c r="C770" s="163"/>
      <c r="D770" s="163"/>
      <c r="E770" s="163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247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62" t="s">
        <v>249</v>
      </c>
      <c r="B783" s="163"/>
      <c r="C783" s="163"/>
      <c r="D783" s="163"/>
      <c r="E783" s="163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0" t="s">
        <v>250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251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62" t="s">
        <v>246</v>
      </c>
      <c r="B797" s="163"/>
      <c r="C797" s="163"/>
      <c r="D797" s="163"/>
      <c r="E797" s="163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247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62" t="s">
        <v>249</v>
      </c>
      <c r="B810" s="163"/>
      <c r="C810" s="163"/>
      <c r="D810" s="163"/>
      <c r="E810" s="163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0" t="s">
        <v>250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251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62" t="s">
        <v>246</v>
      </c>
      <c r="B824" s="163"/>
      <c r="C824" s="163"/>
      <c r="D824" s="163"/>
      <c r="E824" s="163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247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62" t="s">
        <v>249</v>
      </c>
      <c r="B837" s="163"/>
      <c r="C837" s="163"/>
      <c r="D837" s="163"/>
      <c r="E837" s="163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247</v>
      </c>
      <c r="S837" s="39"/>
      <c r="T837" s="119">
        <f>IFERROR(J837,"")</f>
        <v>0</v>
      </c>
    </row>
    <row r="838" spans="1:20" ht="18" customHeight="1">
      <c r="A838" s="160" t="s">
        <v>250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251</v>
      </c>
      <c r="S838" s="48">
        <f>IFERROR(S824+S837,"")</f>
        <v>0</v>
      </c>
      <c r="T838" s="121">
        <f>IFERROR(J838,"")</f>
        <v>0</v>
      </c>
    </row>
  </sheetData>
  <sheetProtection algorithmName="SHA-512" hashValue="Lyb87YCfa5jSAJoNQBsLb4kwuNinpT5WUTwdkFH1dLGOK/yYcHKRwEoCRyM0A9pk9N+X6Nao9q3qrZ+UJE+udg==" saltValue="LielITBT7qkXQ6nVHgGPqA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2:F325 E327:F449 E29:F40 E326 F451:F838 E450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2026-08-19T00:36:52Z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