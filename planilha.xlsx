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426" documentId="8_{AF585B22-221D-4780-BB9C-493D365A6A02}" xr6:coauthVersionLast="47" xr6:coauthVersionMax="47" xr10:uidLastSave="{68D1146A-A95E-44E3-9387-C6D7F1EE5210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98" i="3" l="1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96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<sst xmlns="http://schemas.openxmlformats.org/spreadsheetml/2006/main" count="12145" uniqueCount="437">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</sst>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648030</v>
      </c>
      <c r="E33" s="11">
        <f>IFERROR('Linha 2'!O811,"")</f>
        <v>419450</v>
      </c>
      <c r="F33" s="11">
        <f>IFERROR('Linha 3'!O811,"")</f>
        <v>99040</v>
      </c>
      <c r="G33" s="12">
        <f t="shared" si="0"/>
        <v>1166520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92221798</v>
      </c>
      <c r="D35" s="13">
        <f>IFERROR(SUM(D4:D34),"")</f>
        <v>36740850</v>
      </c>
      <c r="E35" s="13">
        <f>IFERROR(SUM(E4:E34),"")</f>
        <v>20561990</v>
      </c>
      <c r="F35" s="13">
        <f>IFERROR(SUM(F4:F34),"")</f>
        <v>36889040</v>
      </c>
      <c r="G35" s="13">
        <f>IFERROR(SUM(G4:G34),"")</f>
        <v>94191880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71" activePane="bottomLeft" state="frozen"/>
      <selection pane="bottomLeft" activeCell="F801" sqref="F80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/>
      <c r="M787" s="35">
        <f t="shared" ca="1" si="174"/>
        <v>0.15302824074751697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0.19608379630307249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15</v>
      </c>
      <c r="G800" s="28">
        <f t="shared" si="176"/>
        <v>75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/>
      <c r="G801" s="28" t="str">
        <f t="shared" si="176"/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/>
      <c r="G802" s="28" t="str">
        <f t="shared" si="176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/>
      <c r="G803" s="28" t="str">
        <f t="shared" si="176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233</v>
      </c>
      <c r="F804" s="27"/>
      <c r="G804" s="28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233</v>
      </c>
      <c r="F805" s="27"/>
      <c r="G805" s="28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233</v>
      </c>
      <c r="F806" s="27"/>
      <c r="G806" s="28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233</v>
      </c>
      <c r="F807" s="27"/>
      <c r="G807" s="28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233</v>
      </c>
      <c r="F808" s="27"/>
      <c r="G808" s="28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233</v>
      </c>
      <c r="F809" s="27"/>
      <c r="G809" s="28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76</v>
      </c>
      <c r="G810" s="36">
        <f>SUM(G798:G809)</f>
        <v>359.2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367</v>
      </c>
      <c r="G811" s="40">
        <f>G797+G810</f>
        <v>359.2</v>
      </c>
      <c r="H811" s="41"/>
      <c r="I811" s="41"/>
      <c r="J811" s="41"/>
      <c r="K811" s="41"/>
      <c r="L811" s="41"/>
      <c r="M811" s="42">
        <f ca="1">IFERROR(M797+M810,"")</f>
        <v>0.19608379630307249</v>
      </c>
      <c r="N811" s="40" t="s">
        <v>239</v>
      </c>
      <c r="O811" s="43">
        <f>IFERROR(O797+O810,"")</f>
        <v>2191180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 G797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71" activePane="bottomLeft" state="frozen"/>
      <selection pane="bottomLeft" activeCell="F800" sqref="F80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0.66691712963074679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0.82455601851963567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0.93427824074185783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0.64538935185555601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0.81622268518888941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0.96136157407777834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796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27</v>
      </c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50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204</v>
      </c>
      <c r="G811" s="40">
        <f>G797+G810</f>
        <v>652.4</v>
      </c>
      <c r="H811" s="41"/>
      <c r="I811" s="41"/>
      <c r="J811" s="41"/>
      <c r="K811" s="41"/>
      <c r="L811" s="41"/>
      <c r="M811" s="42">
        <f ca="1">IFERROR(M797+M810,"")</f>
        <v>0.12083333333333324</v>
      </c>
      <c r="N811" s="40" t="s">
        <v>239</v>
      </c>
      <c r="O811" s="82">
        <f>IFERROR(O797+O810,"")</f>
        <v>648030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64" zoomScale="50" zoomScaleNormal="50" workbookViewId="0">
      <selection activeCell="F800" sqref="F80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796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28"/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/>
      <c r="M798" s="30">
        <f t="shared" ref="M798:M809" ca="1" si="177">IFERROR(IF(K798="","",IF(L798="",MOD(NOW()-K798,1),IF(L798&gt;=K798,L798-K798,L798+1-K798))),"")</f>
        <v>3.7226851854939014E-3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</v>
      </c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9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3.7226851854939014E-3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103</v>
      </c>
      <c r="G811" s="40">
        <f>G797+G810</f>
        <v>400.4</v>
      </c>
      <c r="H811" s="41"/>
      <c r="I811" s="41"/>
      <c r="J811" s="41"/>
      <c r="K811" s="41"/>
      <c r="L811" s="41"/>
      <c r="M811" s="42">
        <f ca="1">IFERROR(M797+M810,"")</f>
        <v>0.10650046296327159</v>
      </c>
      <c r="N811" s="40" t="s">
        <v>239</v>
      </c>
      <c r="O811" s="43">
        <f>IFERROR(O797+O810,"")</f>
        <v>419450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70" activePane="bottomLeft" state="frozen"/>
      <selection pane="bottomLeft" activeCell="F801" sqref="F80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0.65719490741321351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0.85650046296876914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1.2238615740798802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796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434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435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436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28"/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11</v>
      </c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11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0.10416666666666674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33</v>
      </c>
      <c r="G811" s="40">
        <f>G797+G810</f>
        <v>92.4</v>
      </c>
      <c r="H811" s="41"/>
      <c r="I811" s="41"/>
      <c r="J811" s="41"/>
      <c r="K811" s="63"/>
      <c r="L811" s="63"/>
      <c r="M811" s="42">
        <f ca="1">IFERROR(M797+M810,"")</f>
        <v>0.55347222222222214</v>
      </c>
      <c r="N811" s="40" t="s">
        <v>239</v>
      </c>
      <c r="O811" s="43">
        <f>IFERROR(O797+O810,"")</f>
        <v>99040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2026-07-31T01:45:24Z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