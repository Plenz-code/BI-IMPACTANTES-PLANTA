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1" documentId="8_{AF585B22-221D-4780-BB9C-493D365A6A02}" xr6:coauthVersionLast="47" xr6:coauthVersionMax="47" xr10:uidLastSave="{334B5FD7-5871-4D60-8EC5-BB4385A795B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<sst xmlns="http://schemas.openxmlformats.org/spreadsheetml/2006/main" count="1260" uniqueCount="200">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</sst>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E15" sqref="E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272</v>
      </c>
      <c r="G28" s="40">
        <f>G14+G27</f>
        <v>1360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17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17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165</v>
      </c>
      <c r="G28" s="40">
        <f>G14+G27</f>
        <v>621.6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6" sqref="F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10</v>
      </c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247.8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L15" sqref="L1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/>
      <c r="F15" s="27">
        <v>5</v>
      </c>
      <c r="G15" s="34" t="str">
        <f t="shared" ref="G15:G26" si="3">IF(F15="","",IF(E15="PC 17",F15*4.2,IF(E15="PC 19",F15*5,"")))</f>
        <v/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/>
      <c r="M15" s="35">
        <f t="shared" ref="M15:M26" ca="1" si="4">IFERROR(IF(K15="","",IF(L15="",MOD(NOW()-K15,1),IF(L15&gt;=K15,L15-K15,L15+1-K15))),"")</f>
        <v>2.4831018527038395E-3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5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2.4831018527038395E-3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69</v>
      </c>
      <c r="G28" s="40">
        <f>G14+G27</f>
        <v>268.79999999999995</v>
      </c>
      <c r="H28" s="41"/>
      <c r="I28" s="41"/>
      <c r="J28" s="41"/>
      <c r="K28" s="63"/>
      <c r="L28" s="63"/>
      <c r="M28" s="42">
        <f ca="1">IFERROR(M14+M27,"")</f>
        <v>0.22331643518603711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2026-07-01T23:59:43Z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