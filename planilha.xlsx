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68" documentId="8_{AF585B22-221D-4780-BB9C-493D365A6A02}" xr6:coauthVersionLast="47" xr6:coauthVersionMax="47" xr10:uidLastSave="{9B8BCF85-0CB9-4272-9E95-E33F0C9805B3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<sst xmlns="http://schemas.openxmlformats.org/spreadsheetml/2006/main" count="6343" uniqueCount="321">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</sst>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F386" sqref="F38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238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>
        <v>20</v>
      </c>
      <c r="G383" s="34">
        <f t="shared" si="84"/>
        <v>100</v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>
        <v>47</v>
      </c>
      <c r="G384" s="28">
        <f t="shared" si="84"/>
        <v>235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194</v>
      </c>
      <c r="G392" s="36">
        <f>SUM(G380:G391)</f>
        <v>970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194</v>
      </c>
      <c r="G406" s="40">
        <f>G392+G405</f>
        <v>970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239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256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257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259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260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254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262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263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265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265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266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268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269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270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0.2995009259248036</v>
      </c>
      <c r="N377" s="46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0.45713981481369248</v>
      </c>
      <c r="N378" s="36" t="s">
        <v>221</v>
      </c>
      <c r="O378" s="78">
        <v>511980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0.56686203703591465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254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49</v>
      </c>
      <c r="G392" s="36">
        <f>SUM(G380:G391)</f>
        <v>205.8</v>
      </c>
      <c r="H392" s="37"/>
      <c r="I392" s="37"/>
      <c r="J392" s="37"/>
      <c r="K392" s="37"/>
      <c r="L392" s="37"/>
      <c r="M392" s="38">
        <f ca="1">IFERROR(SUM(M380:M391),"")</f>
        <v>0.11805555555555552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49</v>
      </c>
      <c r="G406" s="40">
        <f>G392+G405</f>
        <v>205.8</v>
      </c>
      <c r="H406" s="41"/>
      <c r="I406" s="41"/>
      <c r="J406" s="41"/>
      <c r="K406" s="41"/>
      <c r="L406" s="41"/>
      <c r="M406" s="42">
        <f ca="1">IFERROR(M392+M405,"")</f>
        <v>0.11805555555555552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5" sqref="F3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253</v>
      </c>
      <c r="K141" s="29">
        <v>0.71597222222222223</v>
      </c>
      <c r="L141" s="29" t="s">
        <v>278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280</v>
      </c>
      <c r="N166" s="27" t="s">
        <v>281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220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220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239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239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43</v>
      </c>
      <c r="G392" s="36">
        <f>SUM(G380:G391)</f>
        <v>180.6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43</v>
      </c>
      <c r="G406" s="40">
        <f>G392+G405</f>
        <v>180.6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5" sqref="F3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291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239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220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292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222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7" t="s">
        <v>223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293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294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239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239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220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222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7" t="s">
        <v>223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295</v>
      </c>
      <c r="L58" s="29">
        <v>0.54097222222222219</v>
      </c>
      <c r="M58" s="30" t="str">
        <f t="shared" ca="1" si="13"/>
        <v/>
      </c>
      <c r="N58" s="27" t="s">
        <v>296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220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239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297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298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299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300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239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222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7" t="s">
        <v>223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301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220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222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7" t="s">
        <v>223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302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220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303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304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0.28977881944592809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222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0.48908437500148372</v>
      </c>
      <c r="N135" s="36" t="s">
        <v>221</v>
      </c>
      <c r="O135" s="39">
        <v>729290</v>
      </c>
    </row>
    <row r="136" spans="1:18" ht="18" customHeight="1">
      <c r="A136" s="97" t="s">
        <v>223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0.85644548611259474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305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253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220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222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7" t="s">
        <v>223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239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239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307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220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239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239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222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7" t="s">
        <v>223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239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239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308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239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309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220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310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222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7" t="s">
        <v>223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311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312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239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239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220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314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239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222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7" t="s">
        <v>223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315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239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239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220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239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222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7" t="s">
        <v>223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239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220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239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222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7" t="s">
        <v>223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316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239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220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239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248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239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239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222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7" t="s">
        <v>223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239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275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220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239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239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318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222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7" t="s">
        <v>223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239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222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7" t="s">
        <v>223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320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307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239</v>
      </c>
      <c r="F383" s="27">
        <v>0</v>
      </c>
      <c r="G383" s="34">
        <f t="shared" si="84"/>
        <v>0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239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239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239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239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239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239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239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220</v>
      </c>
      <c r="B392" s="95"/>
      <c r="C392" s="95"/>
      <c r="D392" s="95"/>
      <c r="E392" s="96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0.14166666666666666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222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7" t="s">
        <v>223</v>
      </c>
      <c r="B406" s="98"/>
      <c r="C406" s="98"/>
      <c r="D406" s="98"/>
      <c r="E406" s="99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0.14166666666666666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220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222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7" t="s">
        <v>223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220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222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7" t="s">
        <v>223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220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222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7" t="s">
        <v>223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220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222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7" t="s">
        <v>223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220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222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7" t="s">
        <v>223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220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222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7" t="s">
        <v>223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220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222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7" t="s">
        <v>223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220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222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7" t="s">
        <v>223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220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222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7" t="s">
        <v>223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220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222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7" t="s">
        <v>223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220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222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7" t="s">
        <v>223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220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222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7" t="s">
        <v>223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220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222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7" t="s">
        <v>223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220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222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7" t="s">
        <v>223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220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222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7" t="s">
        <v>223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2026-07-15T16:56:50Z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