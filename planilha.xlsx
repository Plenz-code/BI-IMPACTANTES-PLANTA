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6" documentId="8_{AF585B22-221D-4780-BB9C-493D365A6A02}" xr6:coauthVersionLast="47" xr6:coauthVersionMax="47" xr10:uidLastSave="{972A859E-E55C-4120-B36A-30B3C83BB3B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<sst xmlns="http://schemas.openxmlformats.org/spreadsheetml/2006/main" count="1818" uniqueCount="212">
  <si>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</si>
  <si>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</si>
  <si>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</si>
  <si>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</si>
  <si>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</si>
  <si>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</si>
  <si>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</si>
  <si>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</si>
  <si>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</si>
  <si>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</si>
  <si>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</si>
  <si>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</si>
  <si>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</si>
  <si>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</si>
  <si>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</si>
  <si>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</si>
  <si>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</si>
  <si>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</si>
  <si>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</si>
  <si>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</si>
  <si>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</si>
  <si>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</si>
  <si>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</si>
  <si>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</si>
  <si>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</si>
  <si>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</si>
  <si>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</si>
  <si>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</si>
  <si>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</si>
  <si>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</si>
  <si>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</si>
  <si>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</si>
  <si>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</si>
  <si>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</si>
  <si>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</si>
  <si>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</si>
  <si>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</si>
  <si>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</si>
  <si>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</si>
  <si>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</si>
  <si>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</si>
  <si>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</si>
  <si>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</si>
  <si>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</si>
  <si>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</si>
  <si>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</si>
  <si>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</si>
  <si>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</si>
  <si>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</si>
  <si>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</si>
  <si>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</si>
  <si>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</si>
  <si>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</si>
  <si>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</si>
  <si>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</si>
  <si>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</si>
  <si>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</si>
  <si>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</si>
  <si>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</si>
  <si>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</si>
  <si>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</si>
  <si>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</si>
  <si>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</si>
  <si>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</si>
  <si>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</si>
  <si>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</si>
  <si>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</si>
  <si>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</si>
  <si>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</si>
  <si>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</si>
  <si>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</si>
  <si>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</si>
  <si>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</si>
  <si>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</si>
  <si>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</si>
  <si>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</si>
  <si>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</si>
  <si>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</si>
  <si>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</si>
  <si>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</si>
  <si>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</si>
  <si>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</si>
  <si>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</si>
  <si>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</si>
  <si>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</si>
  <si>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</si>
  <si>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</si>
  <si>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</si>
  <si>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</si>
  <si>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</si>
  <si>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</si>
  <si>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</si>
  <si>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</si>
  <si>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</si>
  <si>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</si>
  <si>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</si>
  <si>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</si>
  <si>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</si>
  <si>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</si>
  <si>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</si>
  <si>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</si>
  <si>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</si>
  <si>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</si>
  <si>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</si>
  <si>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</si>
  <si>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</si>
  <si>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</si>
  <si>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</si>
  <si>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</si>
  <si>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</si>
  <si>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</si>
  <si>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</si>
  <si>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</si>
  <si>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</si>
  <si>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</si>
  <si>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</si>
  <si>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</si>
  <si>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</si>
  <si>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</si>
  <si>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</si>
  <si>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</si>
  <si>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</si>
  <si>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</si>
  <si>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</si>
  <si>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</si>
  <si>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</si>
  <si>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</si>
  <si>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</si>
  <si>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</si>
  <si>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</si>
  <si>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</si>
  <si>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</si>
  <si>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</si>
  <si>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</si>
  <si>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</si>
  <si>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</si>
  <si>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</si>
  <si>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</si>
  <si>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</si>
  <si>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</si>
  <si>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</si>
  <si>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</si>
  <si>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</si>
  <si>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</si>
  <si>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</si>
  <si>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</si>
  <si>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</si>
  <si>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</si>
  <si>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</si>
  <si>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</si>
  <si>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</si>
  <si>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</si>
  <si>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</si>
  <si>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</si>
  <si>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</si>
  <si>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</si>
  <si>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</si>
  <si>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</si>
  <si>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</si>
  <si>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</si>
  <si>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</si>
  <si>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</si>
  <si>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</si>
  <si>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</si>
  <si>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</si>
  <si>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</si>
  <si>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</si>
  <si>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</si>
  <si>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</si>
  <si>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</si>
  <si>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</si>
  <si>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</si>
  <si>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</si>
  <si>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</si>
  <si>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</si>
  <si>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</si>
  <si>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</si>
  <si>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</si>
  <si>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</si>
  <si>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</si>
  <si>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</si>
  <si>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</si>
  <si>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</si>
  <si>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</si>
  <si>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</si>
  <si>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</si>
  <si>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</si>
  <si>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</si>
  <si>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</si>
  <si>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</si>
  <si>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</si>
  <si>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</si>
  <si>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</si>
  <si>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</si>
  <si>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</si>
  <si>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</si>
  <si>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</si>
  <si>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</si>
  <si>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</si>
  <si>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</si>
  <si>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</si>
  <si>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</si>
  <si>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</si>
  <si>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</si>
  <si>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</si>
  <si>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</si>
  <si>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</si>
  <si>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</si>
  <si>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</si>
  <si>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</si>
  <si>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</si>
  <si>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8;58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</si>
</sst>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57" sqref="F5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12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12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L57" sqref="L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0.34027777777777779</v>
      </c>
      <c r="M56" s="35">
        <f t="shared" ref="M56:M67" ca="1" si="13">IFERROR(IF(K56="","",IF(L56="",MOD(NOW()-K56,1),IF(L56&gt;=K56,L56-K56,L56+1-K56))),"")</f>
        <v>4.8611111111111105E-2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4.8611111111111105E-2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4.8611111111111105E-2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9" activePane="bottomLeft" state="frozen"/>
      <selection pane="bottomLeft" activeCell="L56" sqref="L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205</v>
      </c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10</v>
      </c>
      <c r="G68" s="36">
        <f>SUM(G56:G67)</f>
        <v>42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10</v>
      </c>
      <c r="G82" s="40">
        <f>G68+G81</f>
        <v>42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39" activePane="bottomLeft" state="frozen"/>
      <selection pane="bottomLeft" activeCell="L58" sqref="L5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/>
      <c r="G57" s="34" t="str">
        <f t="shared" si="12"/>
        <v/>
      </c>
      <c r="H57" s="33"/>
      <c r="I57" s="33" t="s">
        <v>57</v>
      </c>
      <c r="J57" s="33"/>
      <c r="K57" s="29">
        <v>0.35416666666666669</v>
      </c>
      <c r="L57" s="29" t="s">
        <v>211</v>
      </c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20</v>
      </c>
      <c r="G68" s="36">
        <f>SUM(G56:G67)</f>
        <v>84</v>
      </c>
      <c r="H68" s="37"/>
      <c r="I68" s="37"/>
      <c r="J68" s="37"/>
      <c r="K68" s="61"/>
      <c r="L68" s="61"/>
      <c r="M68" s="38">
        <f ca="1">IFERROR(SUM(M56:M67),"")</f>
        <v>1.0416666666666685E-2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20</v>
      </c>
      <c r="G82" s="40">
        <f>G68+G81</f>
        <v>84</v>
      </c>
      <c r="H82" s="41"/>
      <c r="I82" s="41"/>
      <c r="J82" s="41"/>
      <c r="K82" s="63"/>
      <c r="L82" s="63"/>
      <c r="M82" s="42">
        <f ca="1">IFERROR(M68+M81,"")</f>
        <v>1.0416666666666685E-2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