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066" documentId="8_{AF585B22-221D-4780-BB9C-493D365A6A02}" xr6:coauthVersionLast="47" xr6:coauthVersionMax="47" xr10:uidLastSave="{D2BD374B-4A22-4D34-A27B-2B73C87F9A8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<sst xmlns="http://schemas.openxmlformats.org/spreadsheetml/2006/main" count="7107" uniqueCount="339">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</sst>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57" zoomScale="85" zoomScaleNormal="85" workbookViewId="0">
      <selection activeCell="K69" sqref="K6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/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35" sqref="F4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222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226</v>
      </c>
      <c r="O27" s="39">
        <v>1183060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226</v>
      </c>
      <c r="O54" s="39">
        <v>959290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226</v>
      </c>
      <c r="O81" s="39">
        <v>878050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226</v>
      </c>
      <c r="O108" s="39">
        <v>1700000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226</v>
      </c>
      <c r="O135" s="39">
        <v>862330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226</v>
      </c>
      <c r="O162" s="44">
        <v>1546080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226</v>
      </c>
      <c r="O189" s="39">
        <v>2355810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226</v>
      </c>
      <c r="O216" s="45">
        <v>2013260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226</v>
      </c>
      <c r="O243" s="39">
        <v>1545480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226</v>
      </c>
      <c r="O270" s="39">
        <v>1182690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237</v>
      </c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226</v>
      </c>
      <c r="O297" s="39">
        <v>1843460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238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239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226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240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240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240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240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226</v>
      </c>
      <c r="O324" s="39">
        <v>1940000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229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226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226</v>
      </c>
      <c r="O351" s="39">
        <v>701874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229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242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226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226</v>
      </c>
      <c r="O378" s="39">
        <v>1088710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229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243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244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226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245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226</v>
      </c>
      <c r="O405" s="39">
        <v>1202270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229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246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247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248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248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226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226</v>
      </c>
      <c r="O432" s="39">
        <v>1801910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229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223</v>
      </c>
      <c r="F434" s="27">
        <v>7</v>
      </c>
      <c r="G434" s="28">
        <f t="shared" ref="G434:G445" si="96">IF(F434="","",IF(E434="PC 17",F434*4.2,IF(E434="PC 19",F434*5,"")))</f>
        <v>35</v>
      </c>
      <c r="H434" s="26"/>
      <c r="I434" s="26" t="s">
        <v>23</v>
      </c>
      <c r="J434" s="26"/>
      <c r="K434" s="29">
        <v>0.31805555555555554</v>
      </c>
      <c r="L434" s="29"/>
      <c r="M434" s="30">
        <f t="shared" ref="M434:M445" ca="1" si="97">IFERROR(IF(K434="","",IF(L434="",MOD(NOW()-K434,1),IF(L434&gt;=K434,L434-K434,L434+1-K434))),"")</f>
        <v>1.8984953698236495E-2</v>
      </c>
      <c r="N434" s="46" t="s">
        <v>249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223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223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223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223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223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223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223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223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223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223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223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7</v>
      </c>
      <c r="G446" s="36">
        <f>SUM(G434:G445)</f>
        <v>35</v>
      </c>
      <c r="H446" s="37"/>
      <c r="I446" s="37"/>
      <c r="J446" s="37"/>
      <c r="K446" s="37"/>
      <c r="L446" s="37"/>
      <c r="M446" s="38">
        <f ca="1">IFERROR(SUM(M434:M445),"")</f>
        <v>1.8984953698236495E-2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7</v>
      </c>
      <c r="G460" s="40">
        <f>G446+G459</f>
        <v>35</v>
      </c>
      <c r="H460" s="41"/>
      <c r="I460" s="41"/>
      <c r="J460" s="41"/>
      <c r="K460" s="41"/>
      <c r="L460" s="41"/>
      <c r="M460" s="42">
        <f ca="1">IFERROR(M446+M459,"")</f>
        <v>1.8984953698236495E-2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59" t="s">
        <v>223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F435" sqref="F43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226</v>
      </c>
      <c r="O27" s="78">
        <v>393200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250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85">
        <v>276360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226</v>
      </c>
      <c r="O81" s="54">
        <v>787860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226</v>
      </c>
      <c r="O108" s="54">
        <v>1087080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226</v>
      </c>
      <c r="O135" s="54">
        <v>794480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226</v>
      </c>
      <c r="O162" s="54">
        <v>882280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226</v>
      </c>
      <c r="O189" s="78"/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268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226</v>
      </c>
      <c r="O216" s="78">
        <v>648410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270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265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226</v>
      </c>
      <c r="O243" s="78">
        <v>849060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226</v>
      </c>
      <c r="O270" s="78">
        <v>625070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273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274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226</v>
      </c>
      <c r="O297" s="78">
        <v>761660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276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226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278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226</v>
      </c>
      <c r="O324" s="78">
        <v>524410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229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226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280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281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226</v>
      </c>
      <c r="O351" s="78">
        <v>598420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229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226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9.7457175921590533E-2</v>
      </c>
      <c r="N377" s="46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0.25509606481047942</v>
      </c>
      <c r="N378" s="36" t="s">
        <v>226</v>
      </c>
      <c r="O378" s="78">
        <v>511980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0.36481828703270158</v>
      </c>
      <c r="N379" s="40" t="s">
        <v>229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265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282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226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283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241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226</v>
      </c>
      <c r="O405" s="78">
        <v>552440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229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226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7.5929398146399762E-2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227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0.24676273147973313</v>
      </c>
      <c r="N432" s="36" t="s">
        <v>226</v>
      </c>
      <c r="O432" s="78">
        <v>484540</v>
      </c>
    </row>
    <row r="433" spans="1:15" ht="18" customHeight="1">
      <c r="A433" s="94" t="s">
        <v>228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0.39190162036862197</v>
      </c>
      <c r="N433" s="40" t="s">
        <v>229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16</v>
      </c>
      <c r="G446" s="36">
        <f>SUM(G434:G445)</f>
        <v>67.2</v>
      </c>
      <c r="H446" s="37"/>
      <c r="I446" s="37"/>
      <c r="J446" s="37"/>
      <c r="K446" s="37"/>
      <c r="L446" s="37"/>
      <c r="M446" s="38">
        <f ca="1">IFERROR(SUM(M434:M445),"")</f>
        <v>1.7361111111111105E-2</v>
      </c>
      <c r="N446" s="36" t="s">
        <v>226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78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16</v>
      </c>
      <c r="G460" s="40">
        <f>G446+G459</f>
        <v>67.2</v>
      </c>
      <c r="H460" s="41"/>
      <c r="I460" s="41"/>
      <c r="J460" s="41"/>
      <c r="K460" s="41"/>
      <c r="L460" s="41"/>
      <c r="M460" s="42">
        <f ca="1">IFERROR(M446+M459,"")</f>
        <v>1.7361111111111105E-2</v>
      </c>
      <c r="N460" s="40" t="s">
        <v>229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78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78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78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78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78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78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78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78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78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78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6" zoomScale="50" zoomScaleNormal="50" workbookViewId="0">
      <selection activeCell="L421" sqref="L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226</v>
      </c>
      <c r="O27" s="39">
        <v>308500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226</v>
      </c>
      <c r="O54" s="39">
        <v>124290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226</v>
      </c>
      <c r="O81" s="39">
        <v>396340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226</v>
      </c>
      <c r="O108" s="39">
        <v>41230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226</v>
      </c>
      <c r="O135" s="39">
        <v>381250</v>
      </c>
    </row>
    <row r="136" spans="1:15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264</v>
      </c>
      <c r="K141" s="29">
        <v>0.71597222222222223</v>
      </c>
      <c r="L141" s="29" t="s">
        <v>293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226</v>
      </c>
      <c r="O162" s="39">
        <v>337120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295</v>
      </c>
      <c r="N166" s="27" t="s">
        <v>296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226</v>
      </c>
      <c r="O189" s="39">
        <v>747210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226</v>
      </c>
      <c r="O216" s="39">
        <v>468430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226</v>
      </c>
      <c r="O243" s="39">
        <v>575930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226</v>
      </c>
      <c r="O270" s="39">
        <v>483510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226</v>
      </c>
      <c r="O297" s="39">
        <v>487980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226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226</v>
      </c>
      <c r="O324" s="39">
        <v>609460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229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225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226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226</v>
      </c>
      <c r="O351" s="39">
        <v>437940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229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225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226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226</v>
      </c>
      <c r="O378" s="39">
        <v>473310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229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226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226</v>
      </c>
      <c r="O405" s="39">
        <v>507450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229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250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226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284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226</v>
      </c>
      <c r="O432" s="39">
        <v>229150</v>
      </c>
    </row>
    <row r="433" spans="1:15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229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J434" sqref="J43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212</v>
      </c>
      <c r="C1" s="23" t="s">
        <v>12</v>
      </c>
      <c r="D1" s="22" t="s">
        <v>13</v>
      </c>
      <c r="E1" s="22" t="s">
        <v>213</v>
      </c>
      <c r="F1" s="23" t="s">
        <v>214</v>
      </c>
      <c r="G1" s="23" t="s">
        <v>215</v>
      </c>
      <c r="H1" s="23" t="s">
        <v>14</v>
      </c>
      <c r="I1" s="23" t="s">
        <v>15</v>
      </c>
      <c r="J1" s="23" t="s">
        <v>216</v>
      </c>
      <c r="K1" s="23" t="s">
        <v>217</v>
      </c>
      <c r="L1" s="23" t="s">
        <v>218</v>
      </c>
      <c r="M1" s="24" t="s">
        <v>219</v>
      </c>
      <c r="N1" s="23" t="s">
        <v>220</v>
      </c>
      <c r="O1" s="23" t="s">
        <v>221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250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225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227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226</v>
      </c>
      <c r="O27" s="39">
        <v>202230</v>
      </c>
    </row>
    <row r="28" spans="1:15" ht="18" customHeight="1">
      <c r="A28" s="98" t="s">
        <v>228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250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250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225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227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226</v>
      </c>
      <c r="O54" s="39">
        <v>473910</v>
      </c>
    </row>
    <row r="55" spans="1:15" ht="18" customHeight="1">
      <c r="A55" s="98" t="s">
        <v>228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310</v>
      </c>
      <c r="L58" s="29">
        <v>0.54097222222222219</v>
      </c>
      <c r="M58" s="30" t="str">
        <f t="shared" ca="1" si="13"/>
        <v/>
      </c>
      <c r="N58" s="27" t="s">
        <v>311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225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250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250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227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226</v>
      </c>
      <c r="O81" s="39">
        <v>565120</v>
      </c>
    </row>
    <row r="82" spans="1:15" ht="18" customHeight="1">
      <c r="A82" s="98" t="s">
        <v>228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225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227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226</v>
      </c>
      <c r="O108" s="39">
        <v>558590</v>
      </c>
    </row>
    <row r="109" spans="1:15" ht="18" customHeight="1">
      <c r="A109" s="98" t="s">
        <v>228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225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8.7734953704057261E-2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227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0.28704050925961289</v>
      </c>
      <c r="N135" s="36" t="s">
        <v>226</v>
      </c>
      <c r="O135" s="39">
        <v>729290</v>
      </c>
    </row>
    <row r="136" spans="1:18" ht="18" customHeight="1">
      <c r="A136" s="98" t="s">
        <v>228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0.65440162037072391</v>
      </c>
      <c r="N136" s="40" t="s">
        <v>229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225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227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226</v>
      </c>
      <c r="O162" s="39">
        <v>697320</v>
      </c>
    </row>
    <row r="163" spans="1:15" ht="18" customHeight="1">
      <c r="A163" s="98" t="s">
        <v>228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250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250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225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250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250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227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226</v>
      </c>
      <c r="O189" s="39">
        <v>973580</v>
      </c>
    </row>
    <row r="190" spans="1:15" ht="18" customHeight="1">
      <c r="A190" s="98" t="s">
        <v>228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250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250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250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225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227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226</v>
      </c>
      <c r="O216" s="45">
        <v>1060630</v>
      </c>
    </row>
    <row r="217" spans="1:15" ht="18" customHeight="1">
      <c r="A217" s="98" t="s">
        <v>228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225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250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227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226</v>
      </c>
      <c r="O243" s="39">
        <v>982340</v>
      </c>
    </row>
    <row r="244" spans="1:15" ht="18" customHeight="1">
      <c r="A244" s="98" t="s">
        <v>228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250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250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225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250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227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226</v>
      </c>
      <c r="O270" s="39">
        <v>1208450</v>
      </c>
    </row>
    <row r="271" spans="1:15" ht="18" customHeight="1">
      <c r="A271" s="98" t="s">
        <v>228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250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225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250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227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226</v>
      </c>
      <c r="O297" s="39">
        <v>1049090</v>
      </c>
    </row>
    <row r="298" spans="1:15" ht="18" customHeight="1">
      <c r="A298" s="98" t="s">
        <v>228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250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225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226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250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259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250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250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227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226</v>
      </c>
      <c r="O324" s="39">
        <v>1063720</v>
      </c>
    </row>
    <row r="325" spans="1:15" ht="18" customHeight="1">
      <c r="A325" s="98" t="s">
        <v>228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229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250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225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226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250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250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227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226</v>
      </c>
      <c r="O351" s="39">
        <v>696140</v>
      </c>
    </row>
    <row r="352" spans="1:15" ht="18" customHeight="1">
      <c r="A352" s="98" t="s">
        <v>228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229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250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225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226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227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226</v>
      </c>
      <c r="O378" s="39">
        <v>704750</v>
      </c>
    </row>
    <row r="379" spans="1:15" ht="18" customHeight="1">
      <c r="A379" s="98" t="s">
        <v>228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229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250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225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226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250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250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250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227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226</v>
      </c>
      <c r="O405" s="39">
        <v>958130</v>
      </c>
    </row>
    <row r="406" spans="1:15" ht="18" customHeight="1">
      <c r="A406" s="98" t="s">
        <v>228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229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225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226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250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250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250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227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226</v>
      </c>
      <c r="O432" s="39">
        <v>605220</v>
      </c>
    </row>
    <row r="433" spans="1:17" ht="18" customHeight="1">
      <c r="A433" s="98" t="s">
        <v>228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229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250</v>
      </c>
      <c r="F434" s="27"/>
      <c r="G434" s="28" t="str">
        <f t="shared" ref="G434:G445" si="96">IF(F434="","",IF(E434="PC 17",F434*4.2,IF(E434="PC 19",F434*5,"")))</f>
        <v/>
      </c>
      <c r="H434" s="26" t="s">
        <v>18</v>
      </c>
      <c r="I434" s="26" t="s">
        <v>57</v>
      </c>
      <c r="J434" s="26" t="s">
        <v>211</v>
      </c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250</v>
      </c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250</v>
      </c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250</v>
      </c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250</v>
      </c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250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250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250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250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250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250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250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225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227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226</v>
      </c>
      <c r="O459" s="39"/>
    </row>
    <row r="460" spans="1:15" ht="18" customHeight="1">
      <c r="A460" s="98" t="s">
        <v>228</v>
      </c>
      <c r="B460" s="99"/>
      <c r="C460" s="99"/>
      <c r="D460" s="99"/>
      <c r="E460" s="10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225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227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226</v>
      </c>
      <c r="O486" s="39"/>
    </row>
    <row r="487" spans="1:15" ht="18" customHeight="1">
      <c r="A487" s="98" t="s">
        <v>228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225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227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226</v>
      </c>
      <c r="O513" s="39"/>
    </row>
    <row r="514" spans="1:15" ht="18" customHeight="1">
      <c r="A514" s="98" t="s">
        <v>228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225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227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226</v>
      </c>
      <c r="O540" s="39"/>
    </row>
    <row r="541" spans="1:15" ht="18" customHeight="1">
      <c r="A541" s="98" t="s">
        <v>228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225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227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226</v>
      </c>
      <c r="O567" s="39"/>
    </row>
    <row r="568" spans="1:15" ht="18" customHeight="1">
      <c r="A568" s="98" t="s">
        <v>228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225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227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226</v>
      </c>
      <c r="O594" s="39"/>
    </row>
    <row r="595" spans="1:15" ht="18" customHeight="1">
      <c r="A595" s="98" t="s">
        <v>228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225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227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226</v>
      </c>
      <c r="O621" s="39"/>
    </row>
    <row r="622" spans="1:15" ht="18" customHeight="1">
      <c r="A622" s="98" t="s">
        <v>228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225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227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226</v>
      </c>
      <c r="O648" s="39"/>
    </row>
    <row r="649" spans="1:15" ht="18" customHeight="1">
      <c r="A649" s="98" t="s">
        <v>228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225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227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226</v>
      </c>
      <c r="O675" s="39"/>
    </row>
    <row r="676" spans="1:15" ht="18" customHeight="1">
      <c r="A676" s="98" t="s">
        <v>228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225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227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226</v>
      </c>
      <c r="O702" s="39"/>
    </row>
    <row r="703" spans="1:15" ht="18" customHeight="1">
      <c r="A703" s="98" t="s">
        <v>228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225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227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226</v>
      </c>
      <c r="O729" s="39"/>
    </row>
    <row r="730" spans="1:15" ht="18" customHeight="1">
      <c r="A730" s="98" t="s">
        <v>228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225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227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226</v>
      </c>
      <c r="O756" s="39"/>
    </row>
    <row r="757" spans="1:15" ht="18" customHeight="1">
      <c r="A757" s="98" t="s">
        <v>228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225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227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226</v>
      </c>
      <c r="O783" s="39"/>
    </row>
    <row r="784" spans="1:15" ht="18" customHeight="1">
      <c r="A784" s="98" t="s">
        <v>228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225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227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226</v>
      </c>
      <c r="O810" s="39"/>
    </row>
    <row r="811" spans="1:15" ht="18" customHeight="1">
      <c r="A811" s="98" t="s">
        <v>228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229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2026-07-17T12:05:22Z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