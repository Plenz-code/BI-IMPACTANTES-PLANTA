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9" documentId="8_{C51EB6CB-002B-4D6B-B68F-DDEBDB4460C0}" xr6:coauthVersionLast="47" xr6:coauthVersionMax="47" xr10:uidLastSave="{9132798C-CDE6-4281-A2A4-4CF92617AC3B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<sst xmlns="http://schemas.openxmlformats.org/spreadsheetml/2006/main" count="1425" uniqueCount="243">
  <si>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</si>
  <si>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</si>
  <si>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</si>
  <si>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</si>
  <si>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</si>
  <si>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</si>
  <si>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</si>
  <si>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</si>
  <si>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</si>
  <si>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</si>
  <si>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</si>
  <si>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</si>
  <si>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</si>
  <si>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</si>
  <si>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</si>
  <si>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</si>
  <si>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</si>
  <si>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</si>
  <si>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</si>
  <si>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</si>
  <si>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</si>
  <si>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</si>
  <si>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</si>
  <si>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</si>
  <si>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</si>
  <si>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</si>
  <si>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</si>
  <si>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</si>
  <si>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</si>
  <si>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</si>
  <si>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</si>
  <si>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</si>
  <si>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</si>
  <si>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</si>
  <si>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</si>
  <si>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</si>
  <si>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</si>
  <si>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</si>
  <si>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</si>
  <si>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</si>
  <si>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</si>
  <si>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</si>
  <si>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</si>
  <si>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</si>
  <si>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</si>
  <si>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</si>
  <si>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</si>
  <si>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</si>
  <si>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</si>
  <si>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</si>
  <si>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</si>
  <si>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</si>
  <si>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</si>
  <si>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</si>
  <si>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</si>
  <si>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</si>
  <si>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</si>
  <si>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</si>
  <si>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</si>
  <si>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</si>
  <si>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</si>
  <si>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</si>
  <si>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</si>
  <si>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</si>
  <si>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</si>
  <si>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</si>
  <si>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</si>
  <si>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</si>
  <si>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</si>
  <si>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</si>
  <si>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</si>
  <si>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</si>
  <si>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</si>
  <si>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</si>
  <si>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</si>
  <si>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</si>
  <si>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</si>
  <si>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</si>
  <si>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</si>
  <si>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</si>
  <si>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</si>
  <si>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</si>
  <si>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</si>
  <si>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</si>
  <si>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</si>
  <si>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</si>
  <si>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</si>
  <si>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</si>
  <si>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</si>
  <si>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</si>
  <si>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</si>
  <si>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</si>
  <si>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</si>
  <si>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</si>
  <si>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</si>
  <si>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</si>
  <si>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</si>
  <si>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</si>
  <si>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</si>
  <si>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</si>
  <si>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</si>
  <si>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</si>
  <si>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</si>
  <si>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</si>
  <si>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</si>
  <si>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</si>
  <si>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</si>
  <si>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</si>
  <si>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</si>
  <si>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</si>
  <si>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</si>
  <si>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</si>
  <si>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</si>
  <si>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</si>
  <si>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</si>
  <si>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</si>
  <si>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</si>
  <si>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</si>
  <si>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</si>
  <si>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</si>
  <si>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</si>
  <si>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</si>
  <si>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</si>
  <si>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</si>
  <si>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</si>
  <si>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</si>
  <si>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</si>
  <si>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</si>
  <si>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</si>
  <si>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</si>
  <si>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</si>
  <si>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</si>
  <si>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</si>
  <si>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</si>
  <si>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</si>
  <si>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</si>
  <si>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</si>
  <si>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</si>
  <si>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</si>
  <si>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</si>
  <si>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</si>
  <si>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</si>
  <si>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</si>
  <si>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</si>
  <si>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</si>
  <si>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</si>
  <si>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</si>
  <si>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</si>
  <si>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</si>
  <si>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</si>
  <si>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</si>
  <si>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</si>
  <si>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</si>
  <si>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</si>
  <si>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</si>
  <si>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</si>
  <si>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</si>
  <si>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</si>
  <si>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</si>
  <si>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</si>
  <si>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</si>
  <si>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</si>
  <si>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</si>
  <si>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</si>
  <si>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</si>
  <si>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</si>
  <si>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</si>
  <si>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</si>
  <si>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</si>
  <si>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</si>
  <si>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</si>
  <si>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</si>
  <si>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</si>
  <si>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</si>
  <si>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</si>
  <si>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</si>
  <si>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</si>
  <si>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</si>
  <si>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</si>
  <si>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</si>
  <si>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</si>
  <si>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</si>
  <si>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</si>
  <si>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</si>
  <si>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</si>
  <si>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</si>
  <si>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</si>
  <si>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</si>
  <si>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</si>
  <si>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</si>
  <si>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</si>
  <si>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</si>
  <si>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</si>
  <si>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</si>
  <si>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</si>
  <si>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</si>
  <si>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</si>
  <si>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</si>
  <si>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</si>
  <si>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</si>
  <si>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</si>
  <si>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</si>
  <si>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</si>
  <si>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</si>
  <si>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</si>
  <si>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</si>
  <si>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</si>
  <si>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</si>
  <si>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</si>
  <si>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</si>
  <si>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</si>
  <si>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</si>
  <si>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</si>
  <si>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</si>
  <si>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</si>
  <si>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</si>
  <si>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</si>
  <si>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</si>
  <si>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</si>
  <si>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</si>
  <si>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</si>
  <si>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</si>
  <si>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</si>
  <si>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</si>
  <si>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</si>
  <si>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</si>
  <si>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</si>
  <si>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</si>
  <si>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</si>
  <si>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</si>
  <si>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</si>
  <si>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</si>
  <si>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</si>
  <si>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</si>
  <si>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</si>
  <si>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</si>
  <si>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</si>
  <si>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</si>
  <si>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solda no queixo</t>
  </si>
  <si>
    <t>sem material no estoque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</si>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</sst>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L15" sqref="L1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/>
      <c r="M15" s="35">
        <f t="shared" ref="M15:M26" ca="1" si="4">IFERROR(IF(K15="","",IF(L15="",MOD(NOW()-K15,1),IF(L15&gt;=K15,L15-K15,L15+1-K15))),"")</f>
        <v>6.8882291670888662E-2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134</v>
      </c>
      <c r="G27" s="36">
        <f>SUM(G15:G26)</f>
        <v>670</v>
      </c>
      <c r="H27" s="37"/>
      <c r="I27" s="37"/>
      <c r="J27" s="37"/>
      <c r="K27" s="37"/>
      <c r="L27" s="37"/>
      <c r="M27" s="38">
        <f ca="1">IFERROR(SUM(M15:M26),"")</f>
        <v>6.8882291670888662E-2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330</v>
      </c>
      <c r="G28" s="40">
        <f>G14+G27</f>
        <v>1650</v>
      </c>
      <c r="H28" s="41"/>
      <c r="I28" s="41"/>
      <c r="J28" s="41"/>
      <c r="K28" s="41"/>
      <c r="L28" s="41"/>
      <c r="M28" s="42">
        <f ca="1">IFERROR(M14+M27,"")</f>
        <v>0.13485451389311087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23" sqref="F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12</v>
      </c>
      <c r="G21" s="34">
        <f t="shared" si="3"/>
        <v>50.400000000000006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11</v>
      </c>
      <c r="G22" s="34">
        <f t="shared" si="3"/>
        <v>46.2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99</v>
      </c>
      <c r="G27" s="36">
        <f>SUM(G15:G26)</f>
        <v>415.8</v>
      </c>
      <c r="H27" s="37"/>
      <c r="I27" s="37"/>
      <c r="J27" s="37"/>
      <c r="K27" s="37"/>
      <c r="L27" s="37"/>
      <c r="M27" s="38">
        <f ca="1">IFERROR(SUM(M15:M26),"")</f>
        <v>2.1527777777777729E-2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211</v>
      </c>
      <c r="G28" s="40">
        <f>G14+G27</f>
        <v>886.2</v>
      </c>
      <c r="H28" s="41"/>
      <c r="I28" s="41"/>
      <c r="J28" s="41"/>
      <c r="K28" s="41"/>
      <c r="L28" s="41"/>
      <c r="M28" s="42">
        <f ca="1">IFERROR(M14+M27,"")</f>
        <v>0.22222222222222207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zoomScale="50" zoomScaleNormal="50" workbookViewId="0">
      <selection activeCell="F23" sqref="F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239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64</v>
      </c>
      <c r="G27" s="36">
        <f>SUM(G15:G26)</f>
        <v>268.79999999999995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145</v>
      </c>
      <c r="G28" s="40">
        <f>G14+G27</f>
        <v>609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24" sqref="F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/>
      <c r="M21" s="35">
        <f t="shared" ca="1" si="4"/>
        <v>2.5826736113231163E-2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>
        <v>15</v>
      </c>
      <c r="G22" s="28">
        <f t="shared" si="3"/>
        <v>63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118</v>
      </c>
      <c r="G27" s="36">
        <f>SUM(G15:G26)</f>
        <v>495.6</v>
      </c>
      <c r="H27" s="37"/>
      <c r="I27" s="37"/>
      <c r="J27" s="37"/>
      <c r="K27" s="61"/>
      <c r="L27" s="61"/>
      <c r="M27" s="38">
        <f ca="1">IFERROR(SUM(M15:M26),"")</f>
        <v>9.8743402779897904E-2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248</v>
      </c>
      <c r="G28" s="40">
        <f>G14+G27</f>
        <v>1041.6000000000001</v>
      </c>
      <c r="H28" s="41"/>
      <c r="I28" s="41"/>
      <c r="J28" s="41"/>
      <c r="K28" s="63"/>
      <c r="L28" s="63"/>
      <c r="M28" s="42">
        <f ca="1">IFERROR(M14+M27,"")</f>
        <v>0.13763229166878682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2026-08-02T07:21:39Z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