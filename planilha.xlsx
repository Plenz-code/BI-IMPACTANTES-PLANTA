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45" documentId="8_{C51EB6CB-002B-4D6B-B68F-DDEBDB4460C0}" xr6:coauthVersionLast="47" xr6:coauthVersionMax="47" xr10:uidLastSave="{57951BDC-E78E-479A-AE43-95B7B6940B55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<sst xmlns="http://schemas.openxmlformats.org/spreadsheetml/2006/main" count="3037" uniqueCount="275">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</sst>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E132" sqref="E1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226</v>
      </c>
      <c r="G135" s="36">
        <f>SUM(G123:G134)</f>
        <v>1130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1740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L128" sqref="L1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0.94926770833262708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1.0881565972215159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1.1728788194437383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5.8333333333333334E-2</v>
      </c>
      <c r="M127" s="30">
        <f t="shared" ca="1" si="28"/>
        <v>1.666666666666667E-2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17</v>
      </c>
      <c r="G128" s="28">
        <f t="shared" si="27"/>
        <v>71.400000000000006</v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100</v>
      </c>
      <c r="G135" s="36">
        <f>SUM(G123:G134)</f>
        <v>420</v>
      </c>
      <c r="H135" s="37"/>
      <c r="I135" s="37"/>
      <c r="J135" s="37"/>
      <c r="K135" s="37"/>
      <c r="L135" s="37"/>
      <c r="M135" s="38">
        <f ca="1">IFERROR(SUM(M123:M134),"")</f>
        <v>4.2361111111111134E-2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284</v>
      </c>
      <c r="G136" s="40">
        <f>G122+G135</f>
        <v>1192.8000000000002</v>
      </c>
      <c r="H136" s="41"/>
      <c r="I136" s="41"/>
      <c r="J136" s="41"/>
      <c r="K136" s="41"/>
      <c r="L136" s="41"/>
      <c r="M136" s="42">
        <f ca="1">IFERROR(M122+M135,"")</f>
        <v>0.13750000000000001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97" zoomScale="50" zoomScaleNormal="50" workbookViewId="0">
      <selection activeCell="K131" sqref="K1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 t="s">
        <v>20</v>
      </c>
      <c r="I129" s="33" t="s">
        <v>120</v>
      </c>
      <c r="J129" s="33" t="s">
        <v>113</v>
      </c>
      <c r="K129" s="29">
        <v>4.1666666666666664E-2</v>
      </c>
      <c r="L129" s="29">
        <v>5.8333333333333334E-2</v>
      </c>
      <c r="M129" s="35">
        <f t="shared" ca="1" si="28"/>
        <v>1.666666666666667E-2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/>
      <c r="G130" s="28" t="str">
        <f t="shared" si="27"/>
        <v/>
      </c>
      <c r="H130" s="26" t="s">
        <v>20</v>
      </c>
      <c r="I130" s="26" t="s">
        <v>120</v>
      </c>
      <c r="J130" s="26" t="s">
        <v>131</v>
      </c>
      <c r="K130" s="29">
        <v>5.8333333333333334E-2</v>
      </c>
      <c r="L130" s="29"/>
      <c r="M130" s="30">
        <f t="shared" ca="1" si="28"/>
        <v>1.2462152779335156E-2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66</v>
      </c>
      <c r="G135" s="36">
        <f>SUM(G123:G134)</f>
        <v>277.20000000000005</v>
      </c>
      <c r="H135" s="37"/>
      <c r="I135" s="37"/>
      <c r="J135" s="37"/>
      <c r="K135" s="37"/>
      <c r="L135" s="37"/>
      <c r="M135" s="38">
        <f ca="1">IFERROR(SUM(M123:M134),"")</f>
        <v>9.2323263890446261E-2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604.80000000000007</v>
      </c>
      <c r="H136" s="41"/>
      <c r="I136" s="41"/>
      <c r="J136" s="41"/>
      <c r="K136" s="41"/>
      <c r="L136" s="41"/>
      <c r="M136" s="42">
        <f ca="1">IFERROR(M122+M135,"")</f>
        <v>9.2323263890446261E-2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3" activePane="bottomLeft" state="frozen"/>
      <selection pane="bottomLeft" activeCell="F129" sqref="F1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16</v>
      </c>
      <c r="G128" s="28">
        <f t="shared" si="27"/>
        <v>67.2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103</v>
      </c>
      <c r="G135" s="36">
        <f>SUM(G123:G134)</f>
        <v>331.8</v>
      </c>
      <c r="H135" s="37"/>
      <c r="I135" s="37"/>
      <c r="J135" s="37"/>
      <c r="K135" s="61"/>
      <c r="L135" s="61"/>
      <c r="M135" s="38">
        <f ca="1">IFERROR(SUM(M123:M134),"")</f>
        <v>3.8888888888888973E-2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273</v>
      </c>
      <c r="G136" s="40">
        <f>G122+G135</f>
        <v>1045.8000000000002</v>
      </c>
      <c r="H136" s="41"/>
      <c r="I136" s="41"/>
      <c r="J136" s="41"/>
      <c r="K136" s="63"/>
      <c r="L136" s="63"/>
      <c r="M136" s="42">
        <f ca="1">IFERROR(M122+M135,"")</f>
        <v>0.1631944444444447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2026-08-06T05:42:09Z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