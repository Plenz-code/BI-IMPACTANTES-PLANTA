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45" documentId="8_{AF585B22-221D-4780-BB9C-493D365A6A02}" xr6:coauthVersionLast="47" xr6:coauthVersionMax="47" xr10:uidLastSave="{9244733B-809C-4393-8EFF-855E4B641F9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<sst xmlns="http://schemas.openxmlformats.org/spreadsheetml/2006/main" count="2024" uniqueCount="219">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</sst>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69" sqref="L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/>
      <c r="M69" s="35">
        <f t="shared" ref="M69:M80" ca="1" si="16">IFERROR(IF(K69="","",IF(L69="",MOD(NOW()-K69,1),IF(L69&gt;=K69,L69-K69,L69+1-K69))),"")</f>
        <v>1.2411458337737713E-2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1.2411458337737713E-2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1.2411458337737713E-2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52</v>
      </c>
      <c r="G81" s="36">
        <f>SUM(G69:G80)</f>
        <v>218.39999999999998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52</v>
      </c>
      <c r="G82" s="40">
        <f>G68+G81</f>
        <v>218.39999999999998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E58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/>
      <c r="M69" s="35">
        <f t="shared" ref="M69:M80" ca="1" si="16">IFERROR(IF(K69="","",IF(L69="",MOD(NOW()-K69,1),IF(L69&gt;=K69,L69-K69,L69+1-K69))),"")</f>
        <v>1.9947916662204079E-3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172.20000000000002</v>
      </c>
      <c r="H81" s="37"/>
      <c r="I81" s="37"/>
      <c r="J81" s="37"/>
      <c r="K81" s="37"/>
      <c r="L81" s="37"/>
      <c r="M81" s="38">
        <f ca="1">IFERROR(SUM(M69:M80),"")</f>
        <v>1.9947916662204079E-3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145</v>
      </c>
      <c r="G82" s="40">
        <f>G68+G81</f>
        <v>609</v>
      </c>
      <c r="H82" s="41"/>
      <c r="I82" s="41"/>
      <c r="J82" s="41"/>
      <c r="K82" s="41"/>
      <c r="L82" s="41"/>
      <c r="M82" s="42">
        <f ca="1">IFERROR(M68+M81,"")</f>
        <v>7.421701388844254E-2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L74" sqref="L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67</v>
      </c>
      <c r="G81" s="36">
        <f>SUM(G69:G80)</f>
        <v>281.39999999999998</v>
      </c>
      <c r="H81" s="37"/>
      <c r="I81" s="37"/>
      <c r="J81" s="37"/>
      <c r="K81" s="61"/>
      <c r="L81" s="61"/>
      <c r="M81" s="38">
        <f ca="1">IFERROR(SUM(M69:M80),"")</f>
        <v>9.444444444444422E-2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262</v>
      </c>
      <c r="G82" s="40">
        <f>G68+G81</f>
        <v>1100.4000000000001</v>
      </c>
      <c r="H82" s="41"/>
      <c r="I82" s="41"/>
      <c r="J82" s="41"/>
      <c r="K82" s="63"/>
      <c r="L82" s="63"/>
      <c r="M82" s="42">
        <f ca="1">IFERROR(M68+M81,"")</f>
        <v>0.15416666666666645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