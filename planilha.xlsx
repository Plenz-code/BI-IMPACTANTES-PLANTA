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65" documentId="8_{AF585B22-221D-4780-BB9C-493D365A6A02}" xr6:coauthVersionLast="47" xr6:coauthVersionMax="47" xr10:uidLastSave="{08B54C42-40A1-4A4D-9FE4-53E6A9A95B7A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<sst xmlns="http://schemas.openxmlformats.org/spreadsheetml/2006/main" count="2337" uniqueCount="228">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</sst>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E99" sqref="E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195</v>
      </c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195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195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195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E107" sqref="E1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8</v>
      </c>
      <c r="G96" s="34">
        <f t="shared" ref="G96:G107" si="21">IF(F96="","",IF(E96="PC 17",F96*4.2,IF(E96="PC 19",F96*5,"")))</f>
        <v>33.6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8</v>
      </c>
      <c r="G108" s="36">
        <f>SUM(G96:G107)</f>
        <v>33.6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120</v>
      </c>
      <c r="G109" s="40">
        <f>G95+G108</f>
        <v>552.80000000000007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6" activePane="bottomLeft" state="frozen"/>
      <selection pane="bottomLeft" activeCell="C96" sqref="C96:C1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/>
      <c r="E96" s="62"/>
      <c r="F96" s="27">
        <v>3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92</v>
      </c>
      <c r="G109" s="40">
        <f>G95+G108</f>
        <v>445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K97" sqref="K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21</v>
      </c>
      <c r="G96" s="34">
        <f t="shared" ref="G96:G107" si="21">IF(F96="","",IF(E96="PC 17",F96*4.2,IF(E96="PC 19",F96*5,"")))</f>
        <v>88.2</v>
      </c>
      <c r="H96" s="26"/>
      <c r="I96" s="26"/>
      <c r="J96" s="26"/>
      <c r="K96" s="29">
        <v>0.85069444444444442</v>
      </c>
      <c r="L96" s="29"/>
      <c r="M96" s="35">
        <f t="shared" ref="M96:M107" ca="1" si="22">IFERROR(IF(K96="","",IF(L96="",MOD(NOW()-K96,1),IF(L96&gt;=K96,L96-K96,L96+1-K96))),"")</f>
        <v>5.2376157400431111E-3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21</v>
      </c>
      <c r="G108" s="36">
        <f>SUM(G96:G107)</f>
        <v>88.2</v>
      </c>
      <c r="H108" s="37"/>
      <c r="I108" s="37"/>
      <c r="J108" s="37"/>
      <c r="K108" s="61"/>
      <c r="L108" s="61"/>
      <c r="M108" s="38">
        <f ca="1">IFERROR(SUM(M96:M107),"")</f>
        <v>5.2376157400431111E-3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164</v>
      </c>
      <c r="G109" s="40">
        <f>G95+G108</f>
        <v>791.2</v>
      </c>
      <c r="H109" s="41"/>
      <c r="I109" s="41"/>
      <c r="J109" s="41"/>
      <c r="K109" s="63"/>
      <c r="L109" s="63"/>
      <c r="M109" s="42">
        <f ca="1">IFERROR(M95+M108,"")</f>
        <v>0.19343206018448761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2026-07-05T00:32:36Z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