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72" documentId="8_{AF585B22-221D-4780-BB9C-493D365A6A02}" xr6:coauthVersionLast="47" xr6:coauthVersionMax="47" xr10:uidLastSave="{4421D422-4D36-4666-A513-46D2A88B3A7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<sst xmlns="http://schemas.openxmlformats.org/spreadsheetml/2006/main" count="7819" uniqueCount="352">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</sst>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8" activePane="bottomLeft" state="frozen"/>
      <selection pane="bottomLeft" activeCell="K490" sqref="K4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>
        <v>0.4465277777777778</v>
      </c>
      <c r="L489" s="29"/>
      <c r="M489" s="35">
        <f t="shared" ca="1" si="109"/>
        <v>4.3298611126374453E-4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7.3774305557082198E-3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7.3774305557082198E-3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I475" sqref="I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0.20737743055360625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0.36501631944249513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0.4747385416647173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0.18584965277841548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0.35668298611174887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0.5018218750006378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32</v>
      </c>
      <c r="G500" s="36">
        <f>SUM(G488:G499)</f>
        <v>160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32</v>
      </c>
      <c r="G514" s="40">
        <f>G500+G513</f>
        <v>160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</v>
      </c>
      <c r="G500" s="36">
        <f>SUM(G488:G499)</f>
        <v>75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</v>
      </c>
      <c r="G514" s="40">
        <f>G500+G513</f>
        <v>75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K490" sqref="K4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0.19765520833607297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0.3969607638916286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0.76432187500273963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>
        <v>0.44236111111111109</v>
      </c>
      <c r="L489" s="29"/>
      <c r="M489" s="35">
        <f ca="1">IFERROR(IF(K489="","",IF(L489="",MOD(NOW()-K489,1),IF(L489&gt;=K489,L489-K489,L489+1-K489))),"")</f>
        <v>4.5996527769602835E-3</v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42</v>
      </c>
      <c r="G500" s="36">
        <f>SUM(G488:G499)</f>
        <v>210</v>
      </c>
      <c r="H500" s="37"/>
      <c r="I500" s="37"/>
      <c r="J500" s="37"/>
      <c r="K500" s="61"/>
      <c r="L500" s="61"/>
      <c r="M500" s="38">
        <f ca="1">IFERROR(SUM(M488:M499),"")</f>
        <v>6.6829861102936094E-3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42</v>
      </c>
      <c r="G514" s="40">
        <f>G500+G513</f>
        <v>210</v>
      </c>
      <c r="H514" s="41"/>
      <c r="I514" s="41"/>
      <c r="J514" s="41"/>
      <c r="K514" s="63"/>
      <c r="L514" s="63"/>
      <c r="M514" s="42">
        <f ca="1">IFERROR(M500+M513,"")</f>
        <v>6.6829861102936094E-3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2026-07-19T14:45:39Z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