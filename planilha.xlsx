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92" documentId="8_{C51EB6CB-002B-4D6B-B68F-DDEBDB4460C0}" xr6:coauthVersionLast="47" xr6:coauthVersionMax="47" xr10:uidLastSave="{7573235B-4CD6-4022-A927-726FD902FB72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<sst xmlns="http://schemas.openxmlformats.org/spreadsheetml/2006/main" count="4298" uniqueCount="303">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</sst>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1392300</v>
      </c>
      <c r="D11" s="11">
        <f>IFERROR('Linha 1'!O217,"")</f>
        <v>601390</v>
      </c>
      <c r="E11" s="11">
        <f>IFERROR('Linha 2'!O217,"")</f>
        <v>92510</v>
      </c>
      <c r="F11" s="11">
        <f>IFERROR('Linha 3'!O217,"")</f>
        <v>790070</v>
      </c>
      <c r="G11" s="12">
        <f t="shared" si="0"/>
        <v>1483970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25428585</v>
      </c>
      <c r="D35" s="13">
        <f>IFERROR(SUM(D4:D34),"")</f>
        <v>7714120</v>
      </c>
      <c r="E35" s="13">
        <f>IFERROR(SUM(E4:E34),"")</f>
        <v>3728860</v>
      </c>
      <c r="F35" s="13">
        <f>IFERROR(SUM(F4:F34),"")</f>
        <v>10241570</v>
      </c>
      <c r="G35" s="13">
        <f>IFERROR(SUM(G4:G34),"")</f>
        <v>21684550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9" activePane="bottomLeft" state="frozen"/>
      <selection pane="bottomLeft" activeCell="F205" sqref="F20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37</v>
      </c>
      <c r="G216" s="36">
        <f>SUM(G204:G215)</f>
        <v>185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288</v>
      </c>
      <c r="G217" s="40">
        <f>G203+G216</f>
        <v>1440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1392300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84" activePane="bottomLeft" state="frozen"/>
      <selection pane="bottomLeft" activeCell="F205" sqref="F20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0.72983101851423271</v>
      </c>
      <c r="N53" s="46" t="s">
        <v>259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0.86871990740312155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0.95344212962534391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16</v>
      </c>
      <c r="G216" s="36">
        <f>SUM(G204:G215)</f>
        <v>67.2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149</v>
      </c>
      <c r="G217" s="40">
        <f>G203+G216</f>
        <v>625.80000000000007</v>
      </c>
      <c r="H217" s="41"/>
      <c r="I217" s="41"/>
      <c r="J217" s="41"/>
      <c r="K217" s="41"/>
      <c r="L217" s="41"/>
      <c r="M217" s="42">
        <f ca="1">IFERROR(M203+M216,"")</f>
        <v>0.14027777777777767</v>
      </c>
      <c r="N217" s="40" t="s">
        <v>239</v>
      </c>
      <c r="O217" s="83">
        <f>IFERROR(O203+O216,"")</f>
        <v>601390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76" zoomScale="50" zoomScaleNormal="50" workbookViewId="0">
      <selection activeCell="N206" sqref="N20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/>
      <c r="G205" s="34" t="str">
        <f t="shared" si="45"/>
        <v/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/>
      <c r="M205" s="35">
        <f t="shared" ca="1" si="46"/>
        <v>4.3025462960940786E-2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2</v>
      </c>
      <c r="G216" s="36">
        <f>SUM(G204:G215)</f>
        <v>8.4</v>
      </c>
      <c r="H216" s="37"/>
      <c r="I216" s="37"/>
      <c r="J216" s="37"/>
      <c r="K216" s="37"/>
      <c r="L216" s="37"/>
      <c r="M216" s="38">
        <f ca="1">IFERROR(SUM(M204:M215),"")</f>
        <v>4.9275462960940875E-2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17</v>
      </c>
      <c r="G217" s="40">
        <f>G203+G216</f>
        <v>71.400000000000006</v>
      </c>
      <c r="H217" s="41"/>
      <c r="I217" s="41"/>
      <c r="J217" s="41"/>
      <c r="K217" s="41"/>
      <c r="L217" s="41"/>
      <c r="M217" s="42">
        <f ca="1">IFERROR(M203+M216,"")</f>
        <v>0.21108101851649635</v>
      </c>
      <c r="N217" s="40" t="s">
        <v>239</v>
      </c>
      <c r="O217" s="48">
        <f>IFERROR(O203+O216,"")</f>
        <v>92510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86" activePane="bottomLeft" state="frozen"/>
      <selection pane="bottomLeft" activeCell="F205" sqref="F20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/>
      <c r="M204" s="30">
        <f t="shared" ref="M204:M215" ca="1" si="46">IFERROR(IF(K204="","",IF(L204="",MOD(NOW()-K204,1),IF(L204&gt;=K204,L204-K204,L204+1-K204))),"")</f>
        <v>3.8858796295244247E-2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/>
      <c r="G205" s="34" t="str">
        <f t="shared" si="45"/>
        <v/>
      </c>
      <c r="H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14</v>
      </c>
      <c r="G216" s="36">
        <f>SUM(G204:G215)</f>
        <v>58.800000000000004</v>
      </c>
      <c r="H216" s="37"/>
      <c r="I216" s="37"/>
      <c r="J216" s="37"/>
      <c r="K216" s="61"/>
      <c r="L216" s="61"/>
      <c r="M216" s="38">
        <f ca="1">IFERROR(SUM(M204:M215),"")</f>
        <v>3.8858796295244247E-2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175</v>
      </c>
      <c r="G217" s="40">
        <f>G203+G216</f>
        <v>735</v>
      </c>
      <c r="H217" s="41"/>
      <c r="I217" s="41"/>
      <c r="J217" s="41"/>
      <c r="K217" s="63"/>
      <c r="L217" s="63"/>
      <c r="M217" s="42">
        <f ca="1">IFERROR(M203+M216,"")</f>
        <v>0.10691435185079995</v>
      </c>
      <c r="N217" s="40" t="s">
        <v>239</v>
      </c>
      <c r="O217" s="48">
        <f>IFERROR(O203+O216,"")</f>
        <v>790070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2026-08-09T00:26:32Z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