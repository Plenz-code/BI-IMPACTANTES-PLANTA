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96" documentId="8_{AF585B22-221D-4780-BB9C-493D365A6A02}" xr6:coauthVersionLast="47" xr6:coauthVersionMax="47" xr10:uidLastSave="{BE450C81-F52C-4044-9265-C92460E20B6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<sst xmlns="http://schemas.openxmlformats.org/spreadsheetml/2006/main" count="3739" uniqueCount="266">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</sst>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J211" sqref="J2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/>
      <c r="M204" s="30">
        <f t="shared" ref="M204:M215" ca="1" si="46">IFERROR(IF(K204="","",IF(L204="",MOD(NOW()-K204,1),IF(L204&gt;=K204,L204-K204,L204+1-K204))),"")</f>
        <v>1.0720138889155351E-2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105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91</v>
      </c>
      <c r="G216" s="36">
        <f>SUM(G204:G215)</f>
        <v>414.2</v>
      </c>
      <c r="H216" s="37"/>
      <c r="I216" s="37"/>
      <c r="J216" s="37"/>
      <c r="K216" s="37"/>
      <c r="L216" s="37"/>
      <c r="M216" s="38">
        <f ca="1">IFERROR(SUM(M204:M215),"")</f>
        <v>1.0720138889155351E-2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421</v>
      </c>
      <c r="G217" s="40">
        <f>G203+G216</f>
        <v>2064.1999999999998</v>
      </c>
      <c r="H217" s="41"/>
      <c r="I217" s="41"/>
      <c r="J217" s="41"/>
      <c r="K217" s="41"/>
      <c r="L217" s="41"/>
      <c r="M217" s="42">
        <f ca="1">IFERROR(M203+M216,"")</f>
        <v>3.4331250000266489E-2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J223" sqref="J2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44</v>
      </c>
      <c r="G216" s="36">
        <f>SUM(G204:G215)</f>
        <v>184.8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142.80000000000001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520.79999999999995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06" sqref="K2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0.71419236111250939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0.91349791666806501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1.280859027779176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>
        <v>0.95138888888888884</v>
      </c>
      <c r="L205" s="29">
        <v>0.95763888888888893</v>
      </c>
      <c r="M205" s="35">
        <f t="shared" ca="1" si="46"/>
        <v>6.2500000000000888E-3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61"/>
      <c r="L216" s="61"/>
      <c r="M216" s="38">
        <f ca="1">IFERROR(SUM(M204:M215),"")</f>
        <v>4.0972222222222299E-2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785.4</v>
      </c>
      <c r="H217" s="41"/>
      <c r="I217" s="41"/>
      <c r="J217" s="41"/>
      <c r="K217" s="63"/>
      <c r="L217" s="63"/>
      <c r="M217" s="42">
        <f ca="1">IFERROR(M203+M216,"")</f>
        <v>0.23819444444444449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2026-07-09T03:07:48Z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