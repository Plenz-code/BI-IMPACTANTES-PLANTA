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3818" documentId="8_{AF585B22-221D-4780-BB9C-493D365A6A02}" xr6:coauthVersionLast="47" xr6:coauthVersionMax="47" xr10:uidLastSave="{DCFD9731-CD96-4BAB-BD20-87074935F6D8}"/>
  <bookViews>
    <workbookView xWindow="-110" yWindow="-110" windowWidth="25820" windowHeight="15500" tabRatio="500" firstSheet="5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741" i="5" l="1"/>
  <c r="G742" i="5"/>
  <c r="E689" i="4"/>
  <c r="O703" i="4"/>
  <c r="G686" i="6"/>
  <c r="G686" i="5"/>
  <c r="M623" i="4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D29" i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M685" i="6"/>
  <c r="G685" i="6"/>
  <c r="M684" i="6"/>
  <c r="G684" i="6"/>
  <c r="M683" i="6"/>
  <c r="G683" i="6"/>
  <c r="M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G32" i="1" l="1"/>
  <c r="F136" i="6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<sst xmlns="http://schemas.openxmlformats.org/spreadsheetml/2006/main" count="11739" uniqueCount="426">
  <si>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</si>
  <si>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</si>
  <si>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</si>
  <si>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</si>
  <si>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</si>
  <si>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</si>
  <si>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</si>
  <si>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</si>
  <si>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</si>
  <si>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</si>
  <si>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</si>
  <si>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</si>
  <si>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</si>
  <si>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</si>
  <si>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</si>
  <si>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</si>
  <si>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</si>
  <si>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</si>
  <si>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</si>
  <si>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</si>
  <si>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</si>
  <si>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</si>
  <si>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</si>
  <si>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</si>
  <si>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</si>
  <si>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</si>
  <si>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</si>
  <si>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</si>
  <si>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</si>
  <si>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</si>
  <si>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</si>
  <si>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</si>
  <si>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</si>
  <si>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</si>
  <si>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</si>
  <si>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</si>
  <si>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</si>
  <si>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</si>
  <si>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</si>
  <si>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</si>
  <si>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</si>
  <si>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</si>
  <si>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</si>
  <si>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</si>
  <si>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</si>
  <si>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</si>
  <si>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</si>
  <si>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</si>
  <si>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</si>
  <si>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</si>
  <si>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</si>
  <si>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</si>
  <si>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</si>
  <si>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</si>
  <si>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</si>
  <si>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</si>
  <si>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</si>
  <si>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</si>
  <si>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</si>
  <si>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</si>
  <si>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</si>
  <si>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</si>
  <si>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</si>
  <si>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</si>
  <si>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</si>
  <si>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</si>
  <si>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</si>
  <si>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</si>
  <si>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</si>
  <si>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</si>
  <si>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</si>
  <si>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</si>
  <si>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</si>
  <si>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</si>
  <si>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</si>
  <si>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</si>
  <si>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</si>
  <si>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</si>
  <si>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</si>
  <si>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</si>
  <si>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</si>
  <si>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</si>
  <si>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</si>
  <si>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</si>
  <si>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</si>
  <si>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</si>
  <si>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</si>
  <si>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</si>
  <si>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</si>
  <si>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</si>
  <si>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</si>
  <si>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</si>
  <si>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</si>
  <si>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</si>
  <si>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</si>
  <si>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</si>
  <si>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</si>
  <si>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</si>
  <si>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</si>
  <si>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</si>
  <si>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</si>
  <si>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</si>
  <si>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</si>
  <si>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</si>
  <si>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</si>
  <si>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</si>
  <si>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</si>
  <si>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</si>
  <si>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</si>
  <si>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</si>
  <si>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</si>
  <si>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</si>
  <si>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</si>
  <si>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</si>
  <si>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</si>
  <si>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do desjuntor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</si>
  <si>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</si>
  <si>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</si>
  <si>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</si>
  <si>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</si>
  <si>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</si>
  <si>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</si>
  <si>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</si>
  <si>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</si>
  <si>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</si>
  <si>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</si>
  <si>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</si>
  <si>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</si>
  <si>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</si>
  <si>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</si>
  <si>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</si>
  <si>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</si>
  <si>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</si>
  <si>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</si>
  <si>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</si>
  <si>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</si>
  <si>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</si>
  <si>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</si>
  <si>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</si>
  <si>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</si>
  <si>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</si>
  <si>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</si>
  <si>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</si>
  <si>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</si>
  <si>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</si>
  <si>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</si>
  <si>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</si>
  <si>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</si>
  <si>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</si>
  <si>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</si>
  <si>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</si>
  <si>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</si>
  <si>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</si>
  <si>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</si>
  <si>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</si>
  <si>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</si>
  <si>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</si>
  <si>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</si>
  <si>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</si>
  <si>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</si>
  <si>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</si>
  <si>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</si>
  <si>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</si>
  <si>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</si>
  <si>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</si>
  <si>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</si>
  <si>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</si>
  <si>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</si>
  <si>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</si>
  <si>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</si>
  <si>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</si>
  <si>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</si>
  <si>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</si>
  <si>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</si>
  <si>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</si>
  <si>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</si>
  <si>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</si>
  <si>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</si>
  <si>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</si>
  <si>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</si>
  <si>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</si>
  <si>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</si>
  <si>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</si>
  <si>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</si>
  <si>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</si>
  <si>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</si>
  <si>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</si>
  <si>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</si>
  <si>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</si>
  <si>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</si>
  <si>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</si>
  <si>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</si>
  <si>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</si>
  <si>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</si>
  <si>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</si>
  <si>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</si>
  <si>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</si>
  <si>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</si>
  <si>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</si>
  <si>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</si>
  <si>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</si>
  <si>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</si>
  <si>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</si>
  <si>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</si>
  <si>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</si>
  <si>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Bomba não jogando material pro hidrociclone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</si>
  <si>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</si>
  <si>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</si>
  <si>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</si>
  <si>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</si>
  <si>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</si>
  <si>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</si>
  <si>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</si>
  <si>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</si>
  <si>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</si>
  <si>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</si>
  <si>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</si>
  <si>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</si>
  <si>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</si>
  <si>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</si>
  <si>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</si>
  <si>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</si>
  <si>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</si>
  <si>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</si>
  <si>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</si>
  <si>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</si>
  <si>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</si>
  <si>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</si>
  <si>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</si>
  <si>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</si>
  <si>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</si>
  <si>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</si>
  <si>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</si>
  <si>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</si>
  <si>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</si>
  <si>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</si>
  <si>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</si>
  <si>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</si>
  <si>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</si>
  <si>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</si>
  <si>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</si>
  <si>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</si>
  <si>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</si>
  <si>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</si>
  <si>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</si>
  <si>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</si>
  <si>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</si>
  <si>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</si>
  <si>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</si>
  <si>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</si>
  <si>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</si>
  <si>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</si>
  <si>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</si>
  <si>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</si>
  <si>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</si>
  <si>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</si>
  <si>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</si>
  <si>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</si>
  <si>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</si>
  <si>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</si>
  <si>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</si>
  <si>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</si>
  <si>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</si>
  <si>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</si>
  <si>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</si>
  <si>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chute do britador obstruído, troca de pino e virada de faca</t>
  </si>
  <si>
    <t>troca das balatas</t>
  </si>
  <si>
    <t>desobstrução no britador</t>
  </si>
  <si>
    <t>ajuste no rolamento do rotor, solda na franja do motor do britador, aperto do mancal, solda na tampa do mancal</t>
  </si>
  <si>
    <t>troca de faca, pino e engraxamento dos mancais</t>
  </si>
  <si>
    <t>caminhão basculante</t>
  </si>
  <si>
    <t>desobstrução</t>
  </si>
  <si>
    <t>apertar parafuso do mancal,manutenção na balata e colocar borracha</t>
  </si>
  <si>
    <t>apertar parafuso mancal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</si>
  <si>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</si>
  <si>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</si>
  <si>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</si>
  <si>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</si>
  <si>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</si>
  <si>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</si>
  <si>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</si>
  <si>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</si>
  <si>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</si>
  <si>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</si>
  <si>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</si>
  <si>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</si>
  <si>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</si>
  <si>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</si>
  <si>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</si>
  <si>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</si>
  <si>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</si>
  <si>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</si>
  <si>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</si>
  <si>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</si>
  <si>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</si>
  <si>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</si>
  <si>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</si>
  <si>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</si>
  <si>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</si>
  <si>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</si>
  <si>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</si>
  <si>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</si>
  <si>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</si>
  <si>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</si>
  <si>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</si>
  <si>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</si>
  <si>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</si>
  <si>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</si>
  <si>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</si>
  <si>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</si>
  <si>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</si>
  <si>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</si>
  <si>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</si>
  <si>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</si>
  <si>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</si>
  <si>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</si>
  <si>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</si>
  <si>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</si>
  <si>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</si>
  <si>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</si>
  <si>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</si>
  <si>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</si>
  <si>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</si>
  <si>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</si>
  <si>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</si>
  <si>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</si>
  <si>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serviço de solda na grelha</t>
  </si>
  <si>
    <t>15;05</t>
  </si>
  <si>
    <t>solda e recolocação de grelha</t>
  </si>
  <si>
    <t>troca de martelo mm1 e mm2</t>
  </si>
  <si>
    <t>reajuste das grelhas</t>
  </si>
  <si>
    <t xml:space="preserve">manutenção no shutt </t>
  </si>
  <si>
    <t>operando com m2</t>
  </si>
  <si>
    <t>bola 1 vomitando, recolocação de grelha</t>
  </si>
  <si>
    <t>troca de martelo mm2</t>
  </si>
  <si>
    <t>serviço de solda no queixo e grelha</t>
  </si>
  <si>
    <t>adicionou 2 grelhas e solda no queixo</t>
  </si>
  <si>
    <t>9;15</t>
  </si>
  <si>
    <t>solda no queixo mm 2</t>
  </si>
  <si>
    <t>barramento bomba de rejeito 03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</si>
  <si>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</si>
  <si>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</si>
  <si>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</si>
  <si>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</si>
  <si>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</si>
  <si>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</si>
  <si>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</si>
  <si>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</si>
  <si>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</si>
  <si>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</si>
  <si>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</si>
  <si>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</si>
  <si>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</si>
  <si>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</si>
  <si>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</si>
  <si>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</si>
  <si>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</si>
  <si>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</si>
  <si>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</si>
  <si>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</si>
  <si>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</si>
  <si>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</si>
  <si>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</si>
  <si>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</si>
  <si>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</si>
  <si>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</si>
  <si>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</si>
  <si>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solda na caixa de recebimento do hidrociclone</t>
  </si>
  <si>
    <t>forramento do mm3</t>
  </si>
  <si>
    <t>material preso caiu de uma vez e fez moinho entupir</t>
  </si>
  <si>
    <t>alimentação da linha 2 no 5%,  material caindo com alimentação parada</t>
  </si>
  <si>
    <t>solda na grelha e queixo</t>
  </si>
  <si>
    <t>barramento da bomba de rejeito 03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</si>
  <si>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</si>
  <si>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</si>
  <si>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</si>
  <si>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</si>
  <si>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</si>
  <si>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</si>
  <si>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</si>
  <si>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</si>
  <si>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</si>
  <si>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</si>
  <si>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</si>
  <si>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</si>
  <si>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</si>
  <si>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</si>
  <si>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</si>
  <si>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</si>
  <si>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</si>
  <si>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</si>
  <si>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</si>
  <si>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</si>
  <si>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</si>
  <si>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</si>
  <si>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</si>
  <si>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</si>
  <si>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</si>
  <si>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</si>
  <si>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</si>
  <si>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</si>
  <si>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</si>
  <si>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</si>
  <si>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</si>
  <si>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</si>
  <si>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</si>
  <si>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</si>
  <si>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</si>
  <si>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</si>
  <si>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</si>
  <si>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</si>
  <si>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</si>
  <si>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</si>
  <si>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</si>
  <si>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</si>
  <si>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</si>
  <si>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</si>
  <si>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</si>
  <si>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</si>
  <si>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</si>
  <si>
    <t>trocado cone do ciclone</t>
  </si>
  <si>
    <t>recolocação de grelha no queixo</t>
  </si>
  <si>
    <t>troca de martelo mm4 e mm5</t>
  </si>
  <si>
    <t>recolocação de grelha</t>
  </si>
  <si>
    <t>solda  na grelha, reajuste no queixo</t>
  </si>
  <si>
    <t>falha na bomba de polpa 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</si>
</sst>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  <xf numFmtId="164" fontId="20" fillId="8" borderId="2" xfId="0" applyNumberFormat="1" applyFont="1" applyFill="1" applyBorder="1" applyAlignment="1" applyProtection="1">
      <alignment horizontal="center" vertical="center"/>
      <protection locked="0"/>
    </xf>
    <xf numFmtId="0" fontId="20" fillId="13" borderId="2" xfId="0" applyFont="1" applyFill="1" applyBorder="1" applyAlignment="1" applyProtection="1">
      <alignment horizontal="center" vertical="center"/>
      <protection locked="0"/>
    </xf>
    <xf numFmtId="3" fontId="20" fillId="11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29" sqref="G29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1398950</v>
      </c>
      <c r="D28" s="8">
        <f>IFERROR('Linha 1'!O676,"")</f>
        <v>1277320</v>
      </c>
      <c r="E28" s="8">
        <f>IFERROR('Linha 2'!O676,"")</f>
        <v>770460</v>
      </c>
      <c r="F28" s="8">
        <f>IFERROR('Linha 3'!O676,"")</f>
        <v>486620</v>
      </c>
      <c r="G28" s="9">
        <f t="shared" si="0"/>
        <v>2534400</v>
      </c>
    </row>
    <row r="29" spans="1:7" ht="15.75" customHeight="1">
      <c r="A29" s="10">
        <v>26</v>
      </c>
      <c r="B29" s="73">
        <v>46229</v>
      </c>
      <c r="C29" s="11">
        <f>IFERROR(Britador!O703,"")</f>
        <v>2973470</v>
      </c>
      <c r="D29" s="11">
        <f>IFERROR('Linha 1'!O703,"")</f>
        <v>1330200</v>
      </c>
      <c r="E29" s="11">
        <f>IFERROR('Linha 2'!O703,"")</f>
        <v>935030</v>
      </c>
      <c r="F29" s="11">
        <f>IFERROR('Linha 3'!O703,"")</f>
        <v>1826850</v>
      </c>
      <c r="G29" s="12">
        <f t="shared" si="0"/>
        <v>4092080</v>
      </c>
    </row>
    <row r="30" spans="1:7" ht="15.75" customHeight="1">
      <c r="A30" s="7">
        <v>27</v>
      </c>
      <c r="B30" s="72">
        <v>46230</v>
      </c>
      <c r="C30" s="8">
        <f>IFERROR(Britador!O730,"")</f>
        <v>2713590</v>
      </c>
      <c r="D30" s="8">
        <f>IFERROR('Linha 1'!O730,"")</f>
        <v>1246180</v>
      </c>
      <c r="E30" s="8">
        <f>IFERROR('Linha 2'!O730,"")</f>
        <v>509240</v>
      </c>
      <c r="F30" s="8">
        <f>IFERROR('Linha 3'!O730,"")</f>
        <v>1465730</v>
      </c>
      <c r="G30" s="9">
        <f t="shared" si="0"/>
        <v>3221150</v>
      </c>
    </row>
    <row r="31" spans="1:7" ht="15.75" customHeight="1">
      <c r="A31" s="10">
        <v>28</v>
      </c>
      <c r="B31" s="73">
        <v>46231</v>
      </c>
      <c r="C31" s="11">
        <f>IFERROR(Britador!O757,"")</f>
        <v>3538220</v>
      </c>
      <c r="D31" s="11">
        <f>IFERROR('Linha 1'!O757,"")</f>
        <v>1264410</v>
      </c>
      <c r="E31" s="11">
        <f>IFERROR('Linha 2'!O757,"")</f>
        <v>426160</v>
      </c>
      <c r="F31" s="11">
        <f>IFERROR('Linha 3'!O757,"")</f>
        <v>1181050</v>
      </c>
      <c r="G31" s="12">
        <f t="shared" si="0"/>
        <v>2871620</v>
      </c>
    </row>
    <row r="32" spans="1:7" ht="15.75" customHeight="1">
      <c r="A32" s="7">
        <v>29</v>
      </c>
      <c r="B32" s="72">
        <v>46232</v>
      </c>
      <c r="C32" s="8">
        <f>IFERROR(Britador!O784,"")</f>
        <v>1751285</v>
      </c>
      <c r="D32" s="8">
        <f>IFERROR('Linha 1'!O784,"")</f>
        <v>610890</v>
      </c>
      <c r="E32" s="8">
        <f>IFERROR('Linha 2'!O784,"")</f>
        <v>172140</v>
      </c>
      <c r="F32" s="8">
        <f>IFERROR('Linha 3'!O784,"")</f>
        <v>39360</v>
      </c>
      <c r="G32" s="9">
        <f>IFERROR(D32+E32+F32,"")</f>
        <v>822390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87532313</v>
      </c>
      <c r="D35" s="13">
        <f>IFERROR(SUM(D4:D34),"")</f>
        <v>35210690</v>
      </c>
      <c r="E35" s="13">
        <f>IFERROR(SUM(E4:E34),"")</f>
        <v>19876800</v>
      </c>
      <c r="F35" s="13">
        <f>IFERROR(SUM(F4:F34),"")</f>
        <v>36042620</v>
      </c>
      <c r="G35" s="13">
        <f>IFERROR(SUM(G4:G34),"")</f>
        <v>91130110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8" zoomScale="85" zoomScaleNormal="85" workbookViewId="0">
      <selection activeCell="M58" sqref="M58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 t="s">
        <v>115</v>
      </c>
      <c r="K19" s="17" t="s">
        <v>116</v>
      </c>
      <c r="L19" s="17"/>
      <c r="M19" s="17" t="s">
        <v>117</v>
      </c>
    </row>
    <row r="20" spans="1:13" ht="15.75" customHeight="1">
      <c r="A20" s="16"/>
      <c r="C20" s="16"/>
      <c r="E20" s="16"/>
      <c r="G20" s="16" t="s">
        <v>118</v>
      </c>
      <c r="H20" s="113"/>
      <c r="I20" s="16"/>
      <c r="J20" s="16"/>
      <c r="K20" s="16" t="s">
        <v>119</v>
      </c>
      <c r="L20" s="16"/>
      <c r="M20" s="16" t="s">
        <v>120</v>
      </c>
    </row>
    <row r="21" spans="1:13" ht="15.75" customHeight="1">
      <c r="A21" s="17"/>
      <c r="C21" s="17"/>
      <c r="E21" s="17"/>
      <c r="G21" s="17" t="s">
        <v>121</v>
      </c>
      <c r="H21" s="113"/>
      <c r="I21" s="17"/>
      <c r="J21" s="17"/>
      <c r="K21" s="17" t="s">
        <v>122</v>
      </c>
      <c r="L21" s="17"/>
      <c r="M21" s="17" t="s">
        <v>123</v>
      </c>
    </row>
    <row r="22" spans="1:13" ht="15.75" customHeight="1">
      <c r="A22" s="16"/>
      <c r="C22" s="16"/>
      <c r="E22" s="16"/>
      <c r="G22" s="16" t="s">
        <v>124</v>
      </c>
      <c r="H22" s="113"/>
      <c r="I22" s="16"/>
      <c r="J22" s="16"/>
      <c r="K22" s="16" t="s">
        <v>125</v>
      </c>
      <c r="L22" s="16"/>
      <c r="M22" s="16" t="s">
        <v>126</v>
      </c>
    </row>
    <row r="23" spans="1:13" ht="15.75" customHeight="1">
      <c r="A23" s="17"/>
      <c r="C23" s="17"/>
      <c r="E23" s="17"/>
      <c r="G23" s="17" t="s">
        <v>127</v>
      </c>
      <c r="H23" s="113"/>
      <c r="I23" s="17"/>
      <c r="J23" s="17"/>
      <c r="K23" s="17" t="s">
        <v>128</v>
      </c>
      <c r="L23" s="17"/>
      <c r="M23" s="17" t="s">
        <v>129</v>
      </c>
    </row>
    <row r="24" spans="1:13" ht="15.75" customHeight="1">
      <c r="A24" s="16"/>
      <c r="C24" s="16"/>
      <c r="E24" s="16"/>
      <c r="G24" s="16" t="s">
        <v>130</v>
      </c>
      <c r="H24" s="113"/>
      <c r="I24" s="16"/>
      <c r="J24" s="16"/>
      <c r="K24" s="16" t="s">
        <v>131</v>
      </c>
      <c r="L24" s="16"/>
      <c r="M24" s="16" t="s">
        <v>132</v>
      </c>
    </row>
    <row r="25" spans="1:13" ht="15.75" customHeight="1">
      <c r="A25" s="17"/>
      <c r="C25" s="17"/>
      <c r="E25" s="17"/>
      <c r="G25" s="17" t="s">
        <v>133</v>
      </c>
      <c r="H25" s="113"/>
      <c r="I25" s="17"/>
      <c r="J25" s="17"/>
      <c r="K25" s="17" t="s">
        <v>134</v>
      </c>
      <c r="L25" s="17"/>
      <c r="M25" s="17" t="s">
        <v>135</v>
      </c>
    </row>
    <row r="26" spans="1:13" ht="15.75" customHeight="1">
      <c r="A26" s="16"/>
      <c r="C26" s="16"/>
      <c r="E26" s="16"/>
      <c r="G26" s="16" t="s">
        <v>136</v>
      </c>
      <c r="H26" s="113"/>
      <c r="I26" s="16"/>
      <c r="J26" s="16"/>
      <c r="K26" s="16" t="s">
        <v>137</v>
      </c>
      <c r="L26" s="16"/>
      <c r="M26" s="16"/>
    </row>
    <row r="27" spans="1:13" ht="15.75" customHeight="1">
      <c r="A27" s="17"/>
      <c r="C27" s="17"/>
      <c r="E27" s="17"/>
      <c r="G27" s="17" t="s">
        <v>138</v>
      </c>
      <c r="H27" s="113"/>
      <c r="I27" s="17"/>
      <c r="J27" s="17"/>
      <c r="K27" s="17" t="s">
        <v>129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139</v>
      </c>
      <c r="H28" s="113"/>
      <c r="I28" s="16"/>
      <c r="J28" s="16"/>
      <c r="K28" s="16" t="s">
        <v>132</v>
      </c>
      <c r="L28" s="16"/>
      <c r="M28" s="16" t="s">
        <v>140</v>
      </c>
    </row>
    <row r="29" spans="1:13" ht="15.75" customHeight="1">
      <c r="A29" s="17"/>
      <c r="C29" s="17"/>
      <c r="E29" s="17"/>
      <c r="G29" s="17" t="s">
        <v>141</v>
      </c>
      <c r="H29" s="113"/>
      <c r="I29" s="17"/>
      <c r="J29" s="17"/>
      <c r="K29" s="17" t="s">
        <v>142</v>
      </c>
      <c r="L29" s="17"/>
      <c r="M29" s="17" t="s">
        <v>143</v>
      </c>
    </row>
    <row r="30" spans="1:13" ht="15.75" customHeight="1">
      <c r="A30" s="16"/>
      <c r="C30" s="16"/>
      <c r="E30" s="16"/>
      <c r="G30" s="16" t="s">
        <v>144</v>
      </c>
      <c r="H30" s="113"/>
      <c r="I30" s="16"/>
      <c r="J30" s="16"/>
      <c r="K30" s="16" t="s">
        <v>145</v>
      </c>
      <c r="L30" s="16"/>
      <c r="M30" s="16" t="s">
        <v>146</v>
      </c>
    </row>
    <row r="31" spans="1:13" ht="15.75" customHeight="1">
      <c r="A31" s="17"/>
      <c r="C31" s="17"/>
      <c r="E31" s="17"/>
      <c r="G31" s="17" t="s">
        <v>147</v>
      </c>
      <c r="H31" s="113"/>
      <c r="I31" s="17"/>
      <c r="J31" s="17"/>
      <c r="K31" s="18" t="s">
        <v>148</v>
      </c>
      <c r="L31" s="17"/>
      <c r="M31" s="17" t="s">
        <v>149</v>
      </c>
    </row>
    <row r="32" spans="1:13" ht="15.75" customHeight="1">
      <c r="A32" s="16"/>
      <c r="C32" s="16"/>
      <c r="E32" s="16"/>
      <c r="G32" s="16" t="s">
        <v>150</v>
      </c>
      <c r="H32" s="113"/>
      <c r="I32" s="16"/>
      <c r="J32" s="16"/>
      <c r="K32" s="16" t="s">
        <v>151</v>
      </c>
      <c r="L32" s="16"/>
      <c r="M32" t="s">
        <v>152</v>
      </c>
    </row>
    <row r="33" spans="1:13" ht="15.75" customHeight="1">
      <c r="A33" s="17"/>
      <c r="C33" s="17"/>
      <c r="E33" s="17"/>
      <c r="G33" s="17" t="s">
        <v>153</v>
      </c>
      <c r="H33" s="113"/>
      <c r="I33" s="17"/>
      <c r="J33" s="17"/>
      <c r="K33" s="18" t="s">
        <v>154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155</v>
      </c>
      <c r="H34" s="113"/>
      <c r="I34" s="16"/>
      <c r="J34" s="16"/>
      <c r="K34" s="16" t="s">
        <v>79</v>
      </c>
      <c r="L34" s="16"/>
      <c r="M34" s="16" t="s">
        <v>156</v>
      </c>
    </row>
    <row r="35" spans="1:13" ht="15.75" customHeight="1">
      <c r="A35" s="17"/>
      <c r="C35" s="17"/>
      <c r="E35" s="17"/>
      <c r="G35" s="17" t="s">
        <v>157</v>
      </c>
      <c r="H35" s="113"/>
      <c r="I35" s="17"/>
      <c r="J35" s="17"/>
      <c r="K35" s="17" t="s">
        <v>158</v>
      </c>
      <c r="L35" s="17"/>
      <c r="M35" s="17" t="s">
        <v>159</v>
      </c>
    </row>
    <row r="36" spans="1:13" ht="15.75" customHeight="1">
      <c r="A36" s="16"/>
      <c r="C36" s="16"/>
      <c r="E36" s="16"/>
      <c r="G36" s="16" t="s">
        <v>160</v>
      </c>
      <c r="H36" s="113"/>
      <c r="I36" s="16"/>
      <c r="J36" s="16"/>
      <c r="K36" s="16" t="s">
        <v>161</v>
      </c>
      <c r="L36" s="16"/>
      <c r="M36" s="16" t="s">
        <v>162</v>
      </c>
    </row>
    <row r="37" spans="1:13" ht="15.75" customHeight="1">
      <c r="A37" s="17"/>
      <c r="C37" s="17"/>
      <c r="E37" s="17"/>
      <c r="G37" s="17" t="s">
        <v>163</v>
      </c>
      <c r="H37" s="113"/>
      <c r="I37" s="17"/>
      <c r="J37" s="17"/>
      <c r="K37" s="17" t="s">
        <v>164</v>
      </c>
      <c r="L37" s="17"/>
      <c r="M37" s="17" t="s">
        <v>165</v>
      </c>
    </row>
    <row r="38" spans="1:13" ht="15.75" customHeight="1">
      <c r="A38" s="16"/>
      <c r="C38" s="16"/>
      <c r="E38" s="16"/>
      <c r="G38" s="16" t="s">
        <v>166</v>
      </c>
      <c r="H38" s="113"/>
      <c r="I38" s="16"/>
      <c r="J38" s="16"/>
      <c r="K38" s="16" t="s">
        <v>167</v>
      </c>
      <c r="L38" s="16"/>
      <c r="M38" s="16" t="s">
        <v>168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169</v>
      </c>
      <c r="L39" s="17"/>
      <c r="M39" s="17" t="s">
        <v>170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171</v>
      </c>
      <c r="L40" s="16"/>
      <c r="M40" s="16" t="s">
        <v>172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173</v>
      </c>
      <c r="L41" s="17"/>
      <c r="M41" s="17" t="s">
        <v>174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175</v>
      </c>
      <c r="L42" s="16"/>
      <c r="M42" s="16" t="s">
        <v>176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177</v>
      </c>
      <c r="L43" s="17"/>
      <c r="M43" s="17" t="s">
        <v>178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179</v>
      </c>
      <c r="L44" s="16"/>
      <c r="M44" s="16" t="s">
        <v>180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181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182</v>
      </c>
      <c r="L46" s="16"/>
      <c r="M46" s="16" t="s">
        <v>183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184</v>
      </c>
      <c r="L47" s="17"/>
      <c r="M47" s="17" t="s">
        <v>185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186</v>
      </c>
      <c r="L48" s="16"/>
      <c r="M48" s="16" t="s">
        <v>187</v>
      </c>
    </row>
    <row r="49" spans="1:13" ht="18" customHeight="1">
      <c r="H49" s="113"/>
      <c r="I49" s="17"/>
      <c r="J49" s="17"/>
      <c r="K49" s="17" t="s">
        <v>188</v>
      </c>
      <c r="L49" s="17"/>
      <c r="M49" s="17" t="s">
        <v>189</v>
      </c>
    </row>
    <row r="50" spans="1:13" ht="21" customHeight="1">
      <c r="A50" s="19" t="s">
        <v>190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191</v>
      </c>
      <c r="L50" s="16"/>
      <c r="M50" s="16" t="s">
        <v>192</v>
      </c>
    </row>
    <row r="51" spans="1:13" ht="24" customHeight="1">
      <c r="H51" s="113"/>
      <c r="I51" s="17"/>
      <c r="J51" s="17"/>
      <c r="K51" s="17" t="s">
        <v>193</v>
      </c>
      <c r="L51" s="17"/>
      <c r="M51" s="17" t="s">
        <v>194</v>
      </c>
    </row>
    <row r="52" spans="1:13" ht="24" customHeight="1">
      <c r="H52" s="113"/>
      <c r="I52" s="16"/>
      <c r="J52" s="16"/>
      <c r="K52" s="16" t="s">
        <v>195</v>
      </c>
      <c r="L52" s="16"/>
      <c r="M52" s="16" t="s">
        <v>196</v>
      </c>
    </row>
    <row r="53" spans="1:13" ht="36" customHeight="1">
      <c r="H53" s="113"/>
      <c r="I53" s="17"/>
      <c r="J53" s="17"/>
      <c r="K53" s="17" t="s">
        <v>197</v>
      </c>
      <c r="L53" s="17"/>
      <c r="M53" s="17" t="s">
        <v>198</v>
      </c>
    </row>
    <row r="54" spans="1:13" ht="15" customHeight="1">
      <c r="H54" s="113"/>
      <c r="I54" s="16"/>
      <c r="J54" s="16"/>
      <c r="K54" s="16" t="s">
        <v>199</v>
      </c>
      <c r="L54" s="16"/>
      <c r="M54" s="16" t="s">
        <v>200</v>
      </c>
    </row>
    <row r="55" spans="1:13" ht="15" customHeight="1">
      <c r="H55" s="113"/>
      <c r="I55" s="17"/>
      <c r="J55" s="17"/>
      <c r="K55" s="17" t="s">
        <v>201</v>
      </c>
      <c r="L55" s="17"/>
      <c r="M55" s="17" t="s">
        <v>202</v>
      </c>
    </row>
    <row r="56" spans="1:13" ht="15" customHeight="1">
      <c r="H56" s="113"/>
      <c r="I56" s="16"/>
      <c r="J56" s="16"/>
      <c r="K56" s="16" t="s">
        <v>203</v>
      </c>
      <c r="L56" s="16"/>
      <c r="M56" s="16" t="s">
        <v>204</v>
      </c>
    </row>
    <row r="57" spans="1:13" ht="15" customHeight="1">
      <c r="H57" s="113"/>
      <c r="I57" s="17"/>
      <c r="J57" s="17"/>
      <c r="K57" s="17" t="s">
        <v>50</v>
      </c>
      <c r="L57" s="17"/>
      <c r="M57" s="17" t="s">
        <v>205</v>
      </c>
    </row>
    <row r="58" spans="1:13" ht="15" customHeight="1">
      <c r="H58" s="113"/>
      <c r="I58" s="16"/>
      <c r="J58" s="16"/>
      <c r="K58" s="16" t="s">
        <v>206</v>
      </c>
      <c r="L58" s="16"/>
      <c r="M58" s="16"/>
    </row>
    <row r="59" spans="1:13" ht="15" customHeight="1">
      <c r="H59" s="113"/>
      <c r="I59" s="17"/>
      <c r="J59" s="17"/>
      <c r="K59" s="17" t="s">
        <v>207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208</v>
      </c>
      <c r="L61" s="17"/>
      <c r="M61" s="17"/>
    </row>
    <row r="62" spans="1:13" ht="15" customHeight="1">
      <c r="H62" s="113"/>
      <c r="I62" s="16"/>
      <c r="J62" s="16"/>
      <c r="K62" s="16" t="s">
        <v>209</v>
      </c>
      <c r="L62" s="16"/>
      <c r="M62" s="16"/>
    </row>
    <row r="63" spans="1:13" ht="15" customHeight="1">
      <c r="H63" s="113"/>
      <c r="I63" s="17"/>
      <c r="J63" s="17"/>
      <c r="K63" s="17" t="s">
        <v>210</v>
      </c>
      <c r="L63" s="17"/>
      <c r="M63" s="17"/>
    </row>
    <row r="64" spans="1:13" ht="15" customHeight="1">
      <c r="H64" s="113"/>
      <c r="I64" s="16"/>
      <c r="J64" s="16"/>
      <c r="K64" s="16" t="s">
        <v>211</v>
      </c>
      <c r="L64" s="16"/>
      <c r="M64" s="16"/>
    </row>
    <row r="65" spans="8:13" ht="15" customHeight="1">
      <c r="H65" s="113"/>
      <c r="I65" s="17"/>
      <c r="J65" s="17"/>
      <c r="K65" s="17" t="s">
        <v>212</v>
      </c>
      <c r="L65" s="17"/>
      <c r="M65" s="17"/>
    </row>
    <row r="66" spans="8:13" ht="15" customHeight="1">
      <c r="H66" s="113"/>
      <c r="I66" s="16"/>
      <c r="J66" s="16"/>
      <c r="K66" s="16" t="s">
        <v>213</v>
      </c>
      <c r="L66" s="16"/>
      <c r="M66" s="16"/>
    </row>
    <row r="67" spans="8:13" ht="15" customHeight="1">
      <c r="H67" s="113"/>
      <c r="I67" s="17"/>
      <c r="J67" s="17"/>
      <c r="K67" s="17" t="s">
        <v>214</v>
      </c>
      <c r="L67" s="17"/>
      <c r="M67" s="17"/>
    </row>
    <row r="68" spans="8:13" ht="15" customHeight="1">
      <c r="H68" s="113"/>
      <c r="I68" s="16"/>
      <c r="J68" s="16"/>
      <c r="K68" s="16" t="s">
        <v>215</v>
      </c>
      <c r="L68" s="16"/>
      <c r="M68" s="16"/>
    </row>
    <row r="69" spans="8:13" ht="15" customHeight="1">
      <c r="H69" s="113"/>
      <c r="I69" s="17"/>
      <c r="J69" s="17"/>
      <c r="K69" s="17" t="s">
        <v>216</v>
      </c>
      <c r="L69" s="17"/>
      <c r="M69" s="17"/>
    </row>
    <row r="70" spans="8:13" ht="15" customHeight="1">
      <c r="H70" s="113"/>
      <c r="I70" s="16"/>
      <c r="J70" s="16"/>
      <c r="K70" s="16" t="s">
        <v>217</v>
      </c>
      <c r="L70" s="16"/>
      <c r="M70" s="16"/>
    </row>
    <row r="71" spans="8:13" ht="15" customHeight="1">
      <c r="H71" s="113"/>
      <c r="I71" s="17"/>
      <c r="J71" s="17"/>
      <c r="K71" s="17" t="s">
        <v>218</v>
      </c>
      <c r="L71" s="17"/>
      <c r="M71" s="17"/>
    </row>
    <row r="72" spans="8:13" ht="15" customHeight="1">
      <c r="H72" s="113"/>
      <c r="I72" s="16"/>
      <c r="J72" s="16"/>
      <c r="K72" s="16" t="s">
        <v>219</v>
      </c>
      <c r="L72" s="16"/>
      <c r="M72" s="16"/>
    </row>
    <row r="73" spans="8:13" ht="15" customHeight="1">
      <c r="H73" s="113"/>
      <c r="I73" s="17"/>
      <c r="J73" s="17"/>
      <c r="K73" s="17" t="s">
        <v>220</v>
      </c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752" activePane="bottomLeft" state="frozen"/>
      <selection pane="bottomLeft" activeCell="F772" sqref="F772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79.42578125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231</v>
      </c>
      <c r="E2" s="59" t="s">
        <v>232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233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143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235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235</v>
      </c>
      <c r="O27" s="39">
        <v>1183060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238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184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239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235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235</v>
      </c>
      <c r="O54" s="39">
        <v>959290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238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235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181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132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240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235</v>
      </c>
      <c r="O81" s="39">
        <v>878050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238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167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241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 t="s">
        <v>20</v>
      </c>
      <c r="I85" s="33" t="s">
        <v>144</v>
      </c>
      <c r="J85" s="33" t="s">
        <v>129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193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235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242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235</v>
      </c>
      <c r="O108" s="39">
        <v>1700000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238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235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187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189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235</v>
      </c>
      <c r="O135" s="39">
        <v>862330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238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187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235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164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143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232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232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232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232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232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232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232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232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232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232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235</v>
      </c>
      <c r="O162" s="44">
        <v>1546080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238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232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128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232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232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232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232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232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232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232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232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232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232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232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235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232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232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232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232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232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232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232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232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232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232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232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232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235</v>
      </c>
      <c r="O189" s="39">
        <v>2355810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238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232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232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232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232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232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232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232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232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232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232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232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232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235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232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154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232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232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232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232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232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232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232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232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232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232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235</v>
      </c>
      <c r="O216" s="45">
        <v>2013260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238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232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243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232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232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232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232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232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232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232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232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232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232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232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235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232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187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232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232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232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232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232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232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232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232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235</v>
      </c>
      <c r="O243" s="39">
        <v>1545480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238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232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164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232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232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232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232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232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232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232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232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232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232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232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235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232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232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232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232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232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232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232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232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232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232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232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235</v>
      </c>
      <c r="O270" s="39">
        <v>1182690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238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232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232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232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232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232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232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232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232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232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232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232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232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235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232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245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232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232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232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246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232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246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232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246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232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246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232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246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232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246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232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246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232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246</v>
      </c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235</v>
      </c>
      <c r="O297" s="39">
        <v>1843460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238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232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128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247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232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232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132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248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232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232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232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232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232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232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232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232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235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249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232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249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249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249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232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249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235</v>
      </c>
      <c r="O324" s="39">
        <v>1940000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238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232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132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250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232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232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232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232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232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232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232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232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232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232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235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232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232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232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177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232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177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232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232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232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232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232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232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232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232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235</v>
      </c>
      <c r="O351" s="39">
        <v>701874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238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232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181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251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232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187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232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232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232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232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232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232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232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232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232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232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235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232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187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232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187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232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232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232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232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232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232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232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232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232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232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235</v>
      </c>
      <c r="O378" s="39">
        <v>1088710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238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232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212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232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252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232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253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232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232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200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232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232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232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232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232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232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232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235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164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232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232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132</v>
      </c>
      <c r="K395" s="29">
        <v>0.21180555555555555</v>
      </c>
      <c r="L395" s="29" t="s">
        <v>254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232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232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232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232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232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232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232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232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232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235</v>
      </c>
      <c r="O405" s="39">
        <v>1202270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238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232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255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232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164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232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132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256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232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232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232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232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232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257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257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232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235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232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232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232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232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232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232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232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232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232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232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232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235</v>
      </c>
      <c r="O432" s="39">
        <v>1801910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238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232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216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232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232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232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232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232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232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232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232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232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232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232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235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259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217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259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259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259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259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259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259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259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259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259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259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259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235</v>
      </c>
      <c r="O459" s="39">
        <v>2675000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238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235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235</v>
      </c>
      <c r="O486" s="39">
        <v>2310070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238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164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187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232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232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232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232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232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235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232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232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232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232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232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232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232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232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232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232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232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235</v>
      </c>
      <c r="O513" s="39">
        <v>1298429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238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232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260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232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232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232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232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232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232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232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232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232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232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232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235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232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232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261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232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232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232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232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232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232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232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232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232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232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235</v>
      </c>
      <c r="O540" s="39">
        <v>1240140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238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232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209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262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232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232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232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232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232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232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232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232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232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232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232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235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232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232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232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232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232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232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232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232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232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232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232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232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235</v>
      </c>
      <c r="O567" s="39">
        <v>1482110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238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164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232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232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232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232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232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232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235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232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204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204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232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232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232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232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232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232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232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232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232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235</v>
      </c>
      <c r="O594" s="39">
        <v>1036800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238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232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187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232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232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232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232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232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232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232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232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232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232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232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235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164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263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232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232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232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232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232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232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232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232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232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235</v>
      </c>
      <c r="O621" s="39">
        <v>1295785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238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232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232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232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232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232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232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232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232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232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232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232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232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235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232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164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264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232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232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232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232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232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232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232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232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232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232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232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235</v>
      </c>
      <c r="O648" s="39">
        <v>1954490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238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232</v>
      </c>
      <c r="F650" s="27">
        <v>30</v>
      </c>
      <c r="G650" s="28">
        <f t="shared" ref="G650:G661" si="144">IF(F650="","",IF(E650="PC 17",F650*4.2,IF(E650="PC 19",F650*5,"")))</f>
        <v>150</v>
      </c>
      <c r="H650" s="26" t="s">
        <v>18</v>
      </c>
      <c r="I650" s="26" t="s">
        <v>23</v>
      </c>
      <c r="J650" s="26" t="s">
        <v>164</v>
      </c>
      <c r="K650" s="29">
        <v>0.72361111111111109</v>
      </c>
      <c r="L650" s="29">
        <v>0.73263888888888884</v>
      </c>
      <c r="M650" s="30">
        <f t="shared" ref="M650:M661" ca="1" si="145">IFERROR(IF(K650="","",IF(L650="",MOD(NOW()-K650,1),IF(L650&gt;=K650,L650-K650,L650+1-K650))),"")</f>
        <v>9.0277777777777457E-3</v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232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232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232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232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232</v>
      </c>
      <c r="F656" s="27">
        <v>37</v>
      </c>
      <c r="G656" s="28">
        <f t="shared" si="144"/>
        <v>185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232</v>
      </c>
      <c r="F657" s="27">
        <v>28</v>
      </c>
      <c r="G657" s="34">
        <f t="shared" si="144"/>
        <v>140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232</v>
      </c>
      <c r="F658" s="27">
        <v>31</v>
      </c>
      <c r="G658" s="28">
        <f t="shared" si="144"/>
        <v>155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232</v>
      </c>
      <c r="F659" s="27">
        <v>43</v>
      </c>
      <c r="G659" s="34">
        <f t="shared" si="144"/>
        <v>215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232</v>
      </c>
      <c r="F660" s="27">
        <v>20</v>
      </c>
      <c r="G660" s="28">
        <f t="shared" si="144"/>
        <v>100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232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232</v>
      </c>
      <c r="B662" s="104"/>
      <c r="C662" s="104"/>
      <c r="D662" s="104"/>
      <c r="E662" s="105">
        <f>SUM(E650:E661)</f>
        <v>0</v>
      </c>
      <c r="F662" s="36">
        <f>SUM(F650:F661)</f>
        <v>328</v>
      </c>
      <c r="G662" s="36">
        <f>SUM(G650:G661)</f>
        <v>1640</v>
      </c>
      <c r="H662" s="37"/>
      <c r="I662" s="37"/>
      <c r="J662" s="37"/>
      <c r="K662" s="37"/>
      <c r="L662" s="37"/>
      <c r="M662" s="38">
        <f ca="1">IFERROR(SUM(M650:M661),"")</f>
        <v>9.0277777777777457E-3</v>
      </c>
      <c r="N662" s="36" t="s">
        <v>235</v>
      </c>
      <c r="O662" s="39">
        <v>927770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232</v>
      </c>
      <c r="F663" s="27">
        <v>31</v>
      </c>
      <c r="G663" s="34">
        <f t="shared" ref="G663:G674" si="147">IF(F663="","",IF(E663="PC 17",F663*4.2,IF(E663="PC 19",F663*5,"")))</f>
        <v>155</v>
      </c>
      <c r="H663" s="33" t="s">
        <v>20</v>
      </c>
      <c r="I663" s="33" t="s">
        <v>23</v>
      </c>
      <c r="J663" s="33" t="s">
        <v>132</v>
      </c>
      <c r="K663" s="29">
        <v>0.85902777777777772</v>
      </c>
      <c r="L663" s="29">
        <v>2.013888888888889E-2</v>
      </c>
      <c r="M663" s="35">
        <f t="shared" ref="M663:M674" ca="1" si="148">IFERROR(IF(K663="","",IF(L663="",MOD(NOW()-K663,1),IF(L663&gt;=K663,L663-K663,L663+1-K663))),"")</f>
        <v>0.1611111111111112</v>
      </c>
      <c r="N663" s="46" t="s">
        <v>265</v>
      </c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232</v>
      </c>
      <c r="F664" s="27">
        <v>8</v>
      </c>
      <c r="G664" s="28">
        <f t="shared" si="147"/>
        <v>40</v>
      </c>
      <c r="H664" s="26" t="s">
        <v>18</v>
      </c>
      <c r="I664" s="26" t="s">
        <v>23</v>
      </c>
      <c r="J664" s="26" t="s">
        <v>34</v>
      </c>
      <c r="K664" s="29">
        <v>9.7222222222222224E-2</v>
      </c>
      <c r="L664" s="29">
        <v>0.29166666666666669</v>
      </c>
      <c r="M664" s="30">
        <f t="shared" ca="1" si="148"/>
        <v>0.19444444444444448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232</v>
      </c>
      <c r="F665" s="27">
        <v>0</v>
      </c>
      <c r="G665" s="34">
        <f t="shared" si="147"/>
        <v>0</v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232</v>
      </c>
      <c r="F666" s="27">
        <v>0</v>
      </c>
      <c r="G666" s="28">
        <f t="shared" si="147"/>
        <v>0</v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232</v>
      </c>
      <c r="F667" s="27">
        <v>0</v>
      </c>
      <c r="G667" s="34">
        <f t="shared" si="147"/>
        <v>0</v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232</v>
      </c>
      <c r="F668" s="27">
        <v>6</v>
      </c>
      <c r="G668" s="28">
        <f t="shared" si="147"/>
        <v>30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232</v>
      </c>
      <c r="F669" s="27">
        <v>31</v>
      </c>
      <c r="G669" s="34">
        <f t="shared" si="147"/>
        <v>155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232</v>
      </c>
      <c r="F670" s="27">
        <v>0</v>
      </c>
      <c r="G670" s="28">
        <f t="shared" si="147"/>
        <v>0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232</v>
      </c>
      <c r="F671" s="27">
        <v>0</v>
      </c>
      <c r="G671" s="34">
        <f t="shared" si="147"/>
        <v>0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232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232</v>
      </c>
      <c r="F673" s="27">
        <v>0</v>
      </c>
      <c r="G673" s="34">
        <f t="shared" si="147"/>
        <v>0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232</v>
      </c>
      <c r="F674" s="27">
        <v>0</v>
      </c>
      <c r="G674" s="28">
        <f t="shared" si="147"/>
        <v>0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76</v>
      </c>
      <c r="G675" s="36">
        <f>SUM(G663:G674)</f>
        <v>380</v>
      </c>
      <c r="H675" s="37"/>
      <c r="I675" s="37"/>
      <c r="J675" s="37"/>
      <c r="K675" s="37"/>
      <c r="L675" s="37"/>
      <c r="M675" s="38">
        <f ca="1">IFERROR(SUM(M663:M674),"")</f>
        <v>0.35555555555555568</v>
      </c>
      <c r="N675" s="36" t="s">
        <v>235</v>
      </c>
      <c r="O675" s="39">
        <v>471180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404</v>
      </c>
      <c r="G676" s="40">
        <f>G662+G675</f>
        <v>2020</v>
      </c>
      <c r="H676" s="41"/>
      <c r="I676" s="41"/>
      <c r="J676" s="41"/>
      <c r="K676" s="41"/>
      <c r="L676" s="41"/>
      <c r="M676" s="42">
        <f ca="1">IFERROR(M662+M675,"")</f>
        <v>0.36458333333333343</v>
      </c>
      <c r="N676" s="40" t="s">
        <v>238</v>
      </c>
      <c r="O676" s="48">
        <f>IFERROR(O662+O675,"")</f>
        <v>1398950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232</v>
      </c>
      <c r="F677" s="27">
        <v>0</v>
      </c>
      <c r="G677" s="34">
        <f t="shared" ref="G677:G688" si="150">IF(F677="","",IF(E677="PC 17",F677*4.2,IF(E677="PC 19",F677*5,"")))</f>
        <v>0</v>
      </c>
      <c r="H677" s="33" t="s">
        <v>18</v>
      </c>
      <c r="I677" s="33" t="s">
        <v>23</v>
      </c>
      <c r="J677" s="33" t="s">
        <v>34</v>
      </c>
      <c r="K677" s="29">
        <v>0.29166666666666669</v>
      </c>
      <c r="L677" s="29">
        <v>0.41249999999999998</v>
      </c>
      <c r="M677" s="35">
        <f t="shared" ref="M677:M688" ca="1" si="151">IFERROR(IF(K677="","",IF(L677="",MOD(NOW()-K677,1),IF(L677&gt;=K677,L677-K677,L677+1-K677))),"")</f>
        <v>0.12083333333333329</v>
      </c>
      <c r="N677" s="46" t="s">
        <v>266</v>
      </c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232</v>
      </c>
      <c r="F678" s="27">
        <v>0</v>
      </c>
      <c r="G678" s="28">
        <f t="shared" si="150"/>
        <v>0</v>
      </c>
      <c r="H678" s="26" t="s">
        <v>19</v>
      </c>
      <c r="I678" s="26" t="s">
        <v>23</v>
      </c>
      <c r="J678" s="26" t="s">
        <v>50</v>
      </c>
      <c r="K678" s="29">
        <v>0.47222222222222221</v>
      </c>
      <c r="L678" s="29">
        <v>0.54374999999999996</v>
      </c>
      <c r="M678" s="30">
        <f t="shared" ca="1" si="151"/>
        <v>7.1527777777777746E-2</v>
      </c>
      <c r="N678" s="46" t="s">
        <v>267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232</v>
      </c>
      <c r="F679" s="27">
        <v>12</v>
      </c>
      <c r="G679" s="34">
        <f t="shared" si="150"/>
        <v>60</v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232</v>
      </c>
      <c r="F680" s="27">
        <v>32</v>
      </c>
      <c r="G680" s="28">
        <f t="shared" si="150"/>
        <v>160</v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232</v>
      </c>
      <c r="F681" s="27">
        <v>0</v>
      </c>
      <c r="G681" s="34">
        <f t="shared" si="150"/>
        <v>0</v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232</v>
      </c>
      <c r="F682" s="27">
        <v>52</v>
      </c>
      <c r="G682" s="28">
        <f t="shared" si="150"/>
        <v>260</v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232</v>
      </c>
      <c r="F683" s="27">
        <v>36</v>
      </c>
      <c r="G683" s="34">
        <f t="shared" si="150"/>
        <v>180</v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232</v>
      </c>
      <c r="F684" s="27">
        <v>48</v>
      </c>
      <c r="G684" s="28">
        <f t="shared" si="150"/>
        <v>240</v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232</v>
      </c>
      <c r="F685" s="27">
        <v>35</v>
      </c>
      <c r="G685" s="34">
        <f t="shared" si="150"/>
        <v>175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232</v>
      </c>
      <c r="F686" s="27">
        <v>42</v>
      </c>
      <c r="G686" s="28">
        <f t="shared" si="150"/>
        <v>210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232</v>
      </c>
      <c r="F687" s="27">
        <v>41</v>
      </c>
      <c r="G687" s="34">
        <f t="shared" si="150"/>
        <v>205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232</v>
      </c>
      <c r="F688" s="27">
        <v>0</v>
      </c>
      <c r="G688" s="28">
        <f t="shared" si="150"/>
        <v>0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298</v>
      </c>
      <c r="G689" s="36">
        <f>SUM(G677:G688)</f>
        <v>1490</v>
      </c>
      <c r="H689" s="37"/>
      <c r="I689" s="37"/>
      <c r="J689" s="37"/>
      <c r="K689" s="37"/>
      <c r="L689" s="37"/>
      <c r="M689" s="38">
        <f ca="1">IFERROR(SUM(M677:M688),"")</f>
        <v>0.19236111111111104</v>
      </c>
      <c r="N689" s="36" t="s">
        <v>235</v>
      </c>
      <c r="O689" s="39">
        <v>1352990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232</v>
      </c>
      <c r="F690" s="27">
        <v>23</v>
      </c>
      <c r="G690" s="28">
        <f t="shared" ref="G690:G701" si="153">IF(F690="","",IF(E690="PC 17",F690*4.2,IF(E690="PC 19",F690*5,"")))</f>
        <v>115</v>
      </c>
      <c r="H690" s="26" t="s">
        <v>18</v>
      </c>
      <c r="I690" s="26" t="s">
        <v>23</v>
      </c>
      <c r="J690" s="26" t="s">
        <v>154</v>
      </c>
      <c r="K690" s="29">
        <v>0.82291666666666663</v>
      </c>
      <c r="L690" s="29">
        <v>0.92708333333333337</v>
      </c>
      <c r="M690" s="30">
        <f t="shared" ref="M690:M701" ca="1" si="154">IFERROR(IF(K690="","",IF(L690="",MOD(NOW()-K690,1),IF(L690&gt;=K690,L690-K690,L690+1-K690))),"")</f>
        <v>0.10416666666666674</v>
      </c>
      <c r="N690" s="46" t="s">
        <v>268</v>
      </c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0</v>
      </c>
      <c r="G691" s="34">
        <f t="shared" si="153"/>
        <v>0</v>
      </c>
      <c r="H691" s="33" t="s">
        <v>20</v>
      </c>
      <c r="I691" s="33" t="s">
        <v>23</v>
      </c>
      <c r="J691" s="33" t="s">
        <v>132</v>
      </c>
      <c r="K691" s="29">
        <v>0.24305555555555555</v>
      </c>
      <c r="L691" s="29">
        <v>0.29166666666666669</v>
      </c>
      <c r="M691" s="35">
        <f t="shared" ca="1" si="154"/>
        <v>4.8611111111111133E-2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232</v>
      </c>
      <c r="F693" s="27">
        <v>30</v>
      </c>
      <c r="G693" s="34">
        <f t="shared" si="153"/>
        <v>150</v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232</v>
      </c>
      <c r="F694" s="27">
        <v>20</v>
      </c>
      <c r="G694" s="28">
        <f t="shared" si="153"/>
        <v>100</v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232</v>
      </c>
      <c r="F695" s="27">
        <v>31</v>
      </c>
      <c r="G695" s="34">
        <f t="shared" si="153"/>
        <v>155</v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232</v>
      </c>
      <c r="F696" s="27">
        <v>31</v>
      </c>
      <c r="G696" s="28">
        <f t="shared" si="153"/>
        <v>155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232</v>
      </c>
      <c r="F697" s="27">
        <v>22</v>
      </c>
      <c r="G697" s="34">
        <f t="shared" si="153"/>
        <v>110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232</v>
      </c>
      <c r="F698" s="27">
        <v>38</v>
      </c>
      <c r="G698" s="28">
        <f t="shared" si="153"/>
        <v>190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232</v>
      </c>
      <c r="F699" s="27">
        <v>26</v>
      </c>
      <c r="G699" s="34">
        <f t="shared" si="153"/>
        <v>130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232</v>
      </c>
      <c r="F700" s="27">
        <v>16</v>
      </c>
      <c r="G700" s="28">
        <f t="shared" si="153"/>
        <v>80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232</v>
      </c>
      <c r="F701" s="27">
        <v>0</v>
      </c>
      <c r="G701" s="34">
        <f t="shared" si="153"/>
        <v>0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237</v>
      </c>
      <c r="G702" s="36">
        <f>SUM(G690:G701)</f>
        <v>1185</v>
      </c>
      <c r="H702" s="37"/>
      <c r="I702" s="37"/>
      <c r="J702" s="37"/>
      <c r="K702" s="37"/>
      <c r="L702" s="37"/>
      <c r="M702" s="38">
        <f ca="1">IFERROR(SUM(M690:M701),"")</f>
        <v>0.15277777777777787</v>
      </c>
      <c r="N702" s="36" t="s">
        <v>235</v>
      </c>
      <c r="O702" s="39">
        <v>1620480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535</v>
      </c>
      <c r="G703" s="40">
        <f>G689+G702</f>
        <v>2675</v>
      </c>
      <c r="H703" s="41"/>
      <c r="I703" s="41"/>
      <c r="J703" s="41"/>
      <c r="K703" s="41"/>
      <c r="L703" s="41"/>
      <c r="M703" s="42">
        <f ca="1">IFERROR(M689+M702,"")</f>
        <v>0.34513888888888888</v>
      </c>
      <c r="N703" s="40" t="s">
        <v>238</v>
      </c>
      <c r="O703" s="48">
        <f>IFERROR(O689+O702,"")</f>
        <v>2973470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232</v>
      </c>
      <c r="F704" s="27">
        <v>8</v>
      </c>
      <c r="G704" s="28">
        <f t="shared" ref="G704:G715" si="156">IF(F704="","",IF(E704="PC 17",F704*4.2,IF(E704="PC 19",F704*5,"")))</f>
        <v>40</v>
      </c>
      <c r="H704" s="26" t="s">
        <v>20</v>
      </c>
      <c r="I704" s="26" t="s">
        <v>23</v>
      </c>
      <c r="J704" s="26" t="s">
        <v>132</v>
      </c>
      <c r="K704" s="29">
        <v>0.29166666666666669</v>
      </c>
      <c r="L704" s="29">
        <v>0.31527777777777777</v>
      </c>
      <c r="M704" s="30">
        <f t="shared" ref="M704:M715" ca="1" si="157">IFERROR(IF(K704="","",IF(L704="",MOD(NOW()-K704,1),IF(L704&gt;=K704,L704-K704,L704+1-K704))),"")</f>
        <v>2.3611111111111083E-2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232</v>
      </c>
      <c r="F705" s="27">
        <v>25</v>
      </c>
      <c r="G705" s="34">
        <f t="shared" si="156"/>
        <v>125</v>
      </c>
      <c r="H705" s="33" t="s">
        <v>18</v>
      </c>
      <c r="I705" s="33" t="s">
        <v>23</v>
      </c>
      <c r="J705" s="33" t="s">
        <v>128</v>
      </c>
      <c r="K705" s="29">
        <v>0.4465277777777778</v>
      </c>
      <c r="L705" s="29">
        <v>0.46736111111111112</v>
      </c>
      <c r="M705" s="35">
        <f t="shared" ca="1" si="157"/>
        <v>2.0833333333333315E-2</v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232</v>
      </c>
      <c r="F706" s="27">
        <v>45</v>
      </c>
      <c r="G706" s="28">
        <f t="shared" si="156"/>
        <v>225</v>
      </c>
      <c r="H706" s="26" t="s">
        <v>19</v>
      </c>
      <c r="I706" s="26" t="s">
        <v>23</v>
      </c>
      <c r="J706" s="26" t="s">
        <v>67</v>
      </c>
      <c r="K706" s="29">
        <v>0.74652777777777779</v>
      </c>
      <c r="L706" s="29">
        <v>0.79166666666666663</v>
      </c>
      <c r="M706" s="30">
        <f t="shared" ca="1" si="157"/>
        <v>4.513888888888884E-2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232</v>
      </c>
      <c r="F707" s="27">
        <v>10</v>
      </c>
      <c r="G707" s="34">
        <f t="shared" si="156"/>
        <v>50</v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232</v>
      </c>
      <c r="F708" s="27">
        <v>21</v>
      </c>
      <c r="G708" s="28">
        <f t="shared" si="156"/>
        <v>105</v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232</v>
      </c>
      <c r="F709" s="27">
        <v>33</v>
      </c>
      <c r="G709" s="34">
        <f t="shared" si="156"/>
        <v>165</v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232</v>
      </c>
      <c r="F710" s="27">
        <v>26</v>
      </c>
      <c r="G710" s="28">
        <f t="shared" si="156"/>
        <v>130</v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232</v>
      </c>
      <c r="F711" s="27">
        <v>40</v>
      </c>
      <c r="G711" s="34">
        <f t="shared" si="156"/>
        <v>200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232</v>
      </c>
      <c r="F712" s="27">
        <v>39</v>
      </c>
      <c r="G712" s="28">
        <f t="shared" si="156"/>
        <v>195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232</v>
      </c>
      <c r="F713" s="27">
        <v>38</v>
      </c>
      <c r="G713" s="34">
        <f t="shared" si="156"/>
        <v>190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232</v>
      </c>
      <c r="F714" s="27">
        <v>18</v>
      </c>
      <c r="G714" s="28">
        <f t="shared" si="156"/>
        <v>90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232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303</v>
      </c>
      <c r="G716" s="36">
        <f>SUM(G704:G715)</f>
        <v>1515</v>
      </c>
      <c r="H716" s="37"/>
      <c r="I716" s="37"/>
      <c r="J716" s="37"/>
      <c r="K716" s="37"/>
      <c r="L716" s="37"/>
      <c r="M716" s="38">
        <f ca="1">IFERROR(SUM(M704:M715),"")</f>
        <v>8.9583333333333237E-2</v>
      </c>
      <c r="N716" s="36" t="s">
        <v>235</v>
      </c>
      <c r="O716" s="39">
        <v>1568140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232</v>
      </c>
      <c r="F717" s="27">
        <v>15</v>
      </c>
      <c r="G717" s="34">
        <f t="shared" ref="G717:G728" si="159">IF(F717="","",IF(E717="PC 17",F717*4.2,IF(E717="PC 19",F717*5,"")))</f>
        <v>75</v>
      </c>
      <c r="H717" s="33" t="s">
        <v>19</v>
      </c>
      <c r="I717" s="33" t="s">
        <v>23</v>
      </c>
      <c r="J717" s="33" t="s">
        <v>67</v>
      </c>
      <c r="K717" s="29">
        <v>0.83333333333333337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0</v>
      </c>
      <c r="N717" s="46" t="s">
        <v>269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6</v>
      </c>
      <c r="G718" s="28">
        <f t="shared" si="159"/>
        <v>30</v>
      </c>
      <c r="H718" s="26" t="s">
        <v>18</v>
      </c>
      <c r="I718" s="26" t="s">
        <v>23</v>
      </c>
      <c r="J718" s="26" t="s">
        <v>154</v>
      </c>
      <c r="K718" s="29">
        <v>1.3888888888888888E-2</v>
      </c>
      <c r="L718" s="29">
        <v>4.1666666666666664E-2</v>
      </c>
      <c r="M718" s="30">
        <f t="shared" ca="1" si="160"/>
        <v>2.7777777777777776E-2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232</v>
      </c>
      <c r="F719" s="27">
        <v>25</v>
      </c>
      <c r="G719" s="34">
        <f t="shared" si="159"/>
        <v>125</v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232</v>
      </c>
      <c r="F720" s="27">
        <v>20</v>
      </c>
      <c r="G720" s="28">
        <f t="shared" si="159"/>
        <v>100</v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232</v>
      </c>
      <c r="F721" s="27">
        <v>20</v>
      </c>
      <c r="G721" s="34">
        <f t="shared" si="159"/>
        <v>100</v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232</v>
      </c>
      <c r="F722" s="27">
        <v>5</v>
      </c>
      <c r="G722" s="28">
        <f t="shared" si="159"/>
        <v>25</v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232</v>
      </c>
      <c r="F723" s="27">
        <v>25</v>
      </c>
      <c r="G723" s="34">
        <f t="shared" si="159"/>
        <v>125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232</v>
      </c>
      <c r="F724" s="27">
        <v>21</v>
      </c>
      <c r="G724" s="28">
        <f t="shared" si="159"/>
        <v>105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259</v>
      </c>
      <c r="F725" s="27">
        <v>30</v>
      </c>
      <c r="G725" s="34">
        <f t="shared" si="159"/>
        <v>126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259</v>
      </c>
      <c r="F726" s="27">
        <v>30</v>
      </c>
      <c r="G726" s="28">
        <f t="shared" si="159"/>
        <v>126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259</v>
      </c>
      <c r="F727" s="27">
        <v>22</v>
      </c>
      <c r="G727" s="34">
        <f t="shared" si="159"/>
        <v>92.4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20</v>
      </c>
      <c r="G728" s="28">
        <f t="shared" si="159"/>
        <v>84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239</v>
      </c>
      <c r="G729" s="36">
        <f>SUM(G717:G728)</f>
        <v>1113.4000000000001</v>
      </c>
      <c r="H729" s="37"/>
      <c r="I729" s="37"/>
      <c r="J729" s="37"/>
      <c r="K729" s="37"/>
      <c r="L729" s="37"/>
      <c r="M729" s="38">
        <f ca="1">IFERROR(SUM(M717:M728),"")</f>
        <v>2.7777777777777776E-2</v>
      </c>
      <c r="N729" s="36" t="s">
        <v>235</v>
      </c>
      <c r="O729" s="39">
        <v>1145450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542</v>
      </c>
      <c r="G730" s="40">
        <f>G716+G729</f>
        <v>2628.4</v>
      </c>
      <c r="H730" s="41"/>
      <c r="I730" s="41"/>
      <c r="J730" s="41"/>
      <c r="K730" s="41"/>
      <c r="L730" s="41"/>
      <c r="M730" s="42">
        <f ca="1">IFERROR(M716+M729,"")</f>
        <v>0.11736111111111101</v>
      </c>
      <c r="N730" s="40" t="s">
        <v>238</v>
      </c>
      <c r="O730" s="48">
        <f>IFERROR(O716+O729,"")</f>
        <v>2713590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/>
      <c r="F731" s="27">
        <v>5</v>
      </c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 t="s">
        <v>270</v>
      </c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232</v>
      </c>
      <c r="F732" s="27">
        <v>13</v>
      </c>
      <c r="G732" s="28">
        <f t="shared" si="162"/>
        <v>65</v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232</v>
      </c>
      <c r="F733" s="27">
        <v>38</v>
      </c>
      <c r="G733" s="34">
        <f t="shared" si="162"/>
        <v>190</v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232</v>
      </c>
      <c r="F734" s="27">
        <v>39</v>
      </c>
      <c r="G734" s="28">
        <f t="shared" si="162"/>
        <v>195</v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232</v>
      </c>
      <c r="F735" s="27">
        <v>29</v>
      </c>
      <c r="G735" s="34">
        <f t="shared" si="162"/>
        <v>145</v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232</v>
      </c>
      <c r="F736" s="27">
        <v>72</v>
      </c>
      <c r="G736" s="28">
        <f t="shared" si="162"/>
        <v>360</v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232</v>
      </c>
      <c r="F737" s="27">
        <v>57</v>
      </c>
      <c r="G737" s="34">
        <f t="shared" si="162"/>
        <v>285</v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232</v>
      </c>
      <c r="F738" s="27">
        <v>50</v>
      </c>
      <c r="G738" s="28">
        <f t="shared" si="162"/>
        <v>250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232</v>
      </c>
      <c r="F739" s="27">
        <v>40</v>
      </c>
      <c r="G739" s="34">
        <f t="shared" si="162"/>
        <v>200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232</v>
      </c>
      <c r="F740" s="27">
        <v>37</v>
      </c>
      <c r="G740" s="28">
        <f t="shared" si="162"/>
        <v>185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232</v>
      </c>
      <c r="F741" s="27">
        <v>33</v>
      </c>
      <c r="G741" s="34">
        <f t="shared" si="162"/>
        <v>165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232</v>
      </c>
      <c r="F742" s="27">
        <v>0</v>
      </c>
      <c r="G742" s="28">
        <f t="shared" si="162"/>
        <v>0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413</v>
      </c>
      <c r="G743" s="90">
        <f>SUM(G731:G742)</f>
        <v>2040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235</v>
      </c>
      <c r="O743" s="39">
        <v>1888710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232</v>
      </c>
      <c r="F744" s="27">
        <v>30</v>
      </c>
      <c r="G744" s="28">
        <f t="shared" ref="G744:G755" si="165">IF(F744="","",IF(E744="PC 17",F744*4.2,IF(E744="PC 19",F744*5,"")))</f>
        <v>150</v>
      </c>
      <c r="H744" s="26" t="s">
        <v>19</v>
      </c>
      <c r="I744" s="26" t="s">
        <v>23</v>
      </c>
      <c r="J744" s="26" t="s">
        <v>50</v>
      </c>
      <c r="K744" s="29">
        <v>0.875</v>
      </c>
      <c r="L744" s="29">
        <v>0.95625000000000004</v>
      </c>
      <c r="M744" s="30">
        <f t="shared" ref="M744:M755" ca="1" si="166">IFERROR(IF(K744="","",IF(L744="",MOD(NOW()-K744,1),IF(L744&gt;=K744,L744-K744,L744+1-K744))),"")</f>
        <v>8.1250000000000044E-2</v>
      </c>
      <c r="N744" s="46" t="s">
        <v>271</v>
      </c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232</v>
      </c>
      <c r="F745" s="27">
        <v>14</v>
      </c>
      <c r="G745" s="34">
        <f t="shared" si="165"/>
        <v>70</v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232</v>
      </c>
      <c r="F746" s="27">
        <v>0</v>
      </c>
      <c r="G746" s="28">
        <f t="shared" si="165"/>
        <v>0</v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232</v>
      </c>
      <c r="F747" s="27">
        <v>0</v>
      </c>
      <c r="G747" s="34">
        <f t="shared" si="165"/>
        <v>0</v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232</v>
      </c>
      <c r="F748" s="27">
        <v>16</v>
      </c>
      <c r="G748" s="28">
        <f t="shared" si="165"/>
        <v>80</v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232</v>
      </c>
      <c r="F749" s="27">
        <v>25</v>
      </c>
      <c r="G749" s="34">
        <f t="shared" si="165"/>
        <v>125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232</v>
      </c>
      <c r="F750" s="27">
        <v>30</v>
      </c>
      <c r="G750" s="28">
        <f t="shared" si="165"/>
        <v>150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232</v>
      </c>
      <c r="F751" s="27">
        <v>25</v>
      </c>
      <c r="G751" s="34">
        <f t="shared" si="165"/>
        <v>125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232</v>
      </c>
      <c r="F752" s="27">
        <v>30</v>
      </c>
      <c r="G752" s="28">
        <f t="shared" si="165"/>
        <v>150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232</v>
      </c>
      <c r="F753" s="27">
        <v>30</v>
      </c>
      <c r="G753" s="34">
        <f t="shared" si="165"/>
        <v>150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232</v>
      </c>
      <c r="F754" s="27">
        <v>30</v>
      </c>
      <c r="G754" s="28">
        <f t="shared" si="165"/>
        <v>150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232</v>
      </c>
      <c r="F755" s="27">
        <v>18</v>
      </c>
      <c r="G755" s="34">
        <f t="shared" si="165"/>
        <v>90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248</v>
      </c>
      <c r="G756" s="36">
        <f>SUM(G744:G755)</f>
        <v>1240</v>
      </c>
      <c r="H756" s="37"/>
      <c r="I756" s="37"/>
      <c r="J756" s="37"/>
      <c r="K756" s="37"/>
      <c r="L756" s="37"/>
      <c r="M756" s="38">
        <f ca="1">IFERROR(SUM(M744:M755),"")</f>
        <v>8.1250000000000044E-2</v>
      </c>
      <c r="N756" s="36" t="s">
        <v>235</v>
      </c>
      <c r="O756" s="39">
        <v>1649510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661</v>
      </c>
      <c r="G757" s="40">
        <f>G743+G756</f>
        <v>3280</v>
      </c>
      <c r="H757" s="41"/>
      <c r="I757" s="41"/>
      <c r="J757" s="41"/>
      <c r="K757" s="41"/>
      <c r="L757" s="41"/>
      <c r="M757" s="42">
        <f ca="1">IFERROR(M743+M756,"")</f>
        <v>8.1250000000000044E-2</v>
      </c>
      <c r="N757" s="40" t="s">
        <v>238</v>
      </c>
      <c r="O757" s="48">
        <f>IFERROR(O743+O756,"")</f>
        <v>3538220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232</v>
      </c>
      <c r="F758" s="27">
        <v>6</v>
      </c>
      <c r="G758" s="28">
        <f t="shared" ref="G758:G769" si="168">IF(F758="","",IF(E758="PC 17",F758*4.2,IF(E758="PC 19",F758*5,"")))</f>
        <v>30</v>
      </c>
      <c r="H758" s="26" t="s">
        <v>18</v>
      </c>
      <c r="I758" s="26" t="s">
        <v>23</v>
      </c>
      <c r="J758" s="26" t="s">
        <v>167</v>
      </c>
      <c r="K758" s="29">
        <v>0.29166666666666669</v>
      </c>
      <c r="L758" s="29">
        <v>0.32291666666666669</v>
      </c>
      <c r="M758" s="30">
        <f t="shared" ref="M758:M769" ca="1" si="169">IFERROR(IF(K758="","",IF(L758="",MOD(NOW()-K758,1),IF(L758&gt;=K758,L758-K758,L758+1-K758))),"")</f>
        <v>3.125E-2</v>
      </c>
      <c r="N758" s="46" t="s">
        <v>272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232</v>
      </c>
      <c r="F759" s="27">
        <v>40</v>
      </c>
      <c r="G759" s="34">
        <f t="shared" si="168"/>
        <v>200</v>
      </c>
      <c r="H759" s="33" t="s">
        <v>20</v>
      </c>
      <c r="I759" s="33" t="s">
        <v>23</v>
      </c>
      <c r="J759" s="33" t="s">
        <v>200</v>
      </c>
      <c r="K759" s="29">
        <v>0.75138888888888888</v>
      </c>
      <c r="L759" s="29">
        <v>0.79166666666666663</v>
      </c>
      <c r="M759" s="35">
        <f t="shared" ca="1" si="169"/>
        <v>4.0277777777777746E-2</v>
      </c>
      <c r="N759" s="46" t="s">
        <v>273</v>
      </c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232</v>
      </c>
      <c r="F760" s="27">
        <v>34</v>
      </c>
      <c r="G760" s="28">
        <f t="shared" si="168"/>
        <v>170</v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232</v>
      </c>
      <c r="F761" s="27">
        <v>18</v>
      </c>
      <c r="G761" s="34">
        <f t="shared" si="168"/>
        <v>90</v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232</v>
      </c>
      <c r="F762" s="27">
        <v>11</v>
      </c>
      <c r="G762" s="28">
        <f t="shared" si="168"/>
        <v>55</v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45</v>
      </c>
      <c r="G763" s="34">
        <f t="shared" si="168"/>
        <v>225</v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232</v>
      </c>
      <c r="F764" s="27">
        <v>24</v>
      </c>
      <c r="G764" s="28">
        <f t="shared" si="168"/>
        <v>120</v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232</v>
      </c>
      <c r="F765" s="27">
        <v>44</v>
      </c>
      <c r="G765" s="34">
        <f t="shared" si="168"/>
        <v>220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232</v>
      </c>
      <c r="F766" s="27">
        <v>45</v>
      </c>
      <c r="G766" s="28">
        <f t="shared" si="168"/>
        <v>225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232</v>
      </c>
      <c r="F767" s="27">
        <v>38</v>
      </c>
      <c r="G767" s="34">
        <f t="shared" si="168"/>
        <v>190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232</v>
      </c>
      <c r="F768" s="27">
        <v>45</v>
      </c>
      <c r="G768" s="28">
        <f t="shared" si="168"/>
        <v>225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232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350</v>
      </c>
      <c r="G770" s="36">
        <f>SUM(G758:G769)</f>
        <v>1750</v>
      </c>
      <c r="H770" s="37"/>
      <c r="I770" s="37"/>
      <c r="J770" s="37"/>
      <c r="K770" s="37"/>
      <c r="L770" s="37"/>
      <c r="M770" s="38">
        <f ca="1">IFERROR(SUM(M758:M769),"")</f>
        <v>7.1527777777777746E-2</v>
      </c>
      <c r="N770" s="36" t="s">
        <v>235</v>
      </c>
      <c r="O770" s="39">
        <v>1751285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232</v>
      </c>
      <c r="F771" s="27">
        <v>30</v>
      </c>
      <c r="G771" s="34">
        <f t="shared" ref="G771:G782" si="171">IF(F771="","",IF(E771="PC 17",F771*4.2,IF(E771="PC 19",F771*5,"")))</f>
        <v>150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232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232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232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232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232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232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232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232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232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232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232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30</v>
      </c>
      <c r="G783" s="36">
        <f>SUM(G771:G782)</f>
        <v>150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380</v>
      </c>
      <c r="G784" s="40">
        <f>G770+G783</f>
        <v>1900</v>
      </c>
      <c r="H784" s="41"/>
      <c r="I784" s="41"/>
      <c r="J784" s="41"/>
      <c r="K784" s="41"/>
      <c r="L784" s="41"/>
      <c r="M784" s="42">
        <f ca="1">IFERROR(M770+M783,"")</f>
        <v>7.1527777777777746E-2</v>
      </c>
      <c r="N784" s="40" t="s">
        <v>238</v>
      </c>
      <c r="O784" s="48">
        <f>IFERROR(O770+O783,"")</f>
        <v>1751285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59" t="s">
        <v>232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  <row r="812" spans="1:15" ht="15"/>
  </sheetData>
  <mergeCells count="89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750" activePane="bottomLeft" state="frozen"/>
      <selection pane="bottomLeft" activeCell="F772" sqref="F7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3.57031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10</v>
      </c>
      <c r="G3" s="34">
        <f t="shared" si="0"/>
        <v>42</v>
      </c>
      <c r="H3" s="33" t="s">
        <v>19</v>
      </c>
      <c r="I3" s="33" t="s">
        <v>157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8</v>
      </c>
      <c r="G4" s="28">
        <f t="shared" si="0"/>
        <v>33.6</v>
      </c>
      <c r="H4" s="26" t="s">
        <v>19</v>
      </c>
      <c r="I4" s="26" t="s">
        <v>157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235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157</v>
      </c>
      <c r="J15" s="33" t="s">
        <v>164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235</v>
      </c>
      <c r="O27" s="77">
        <v>393200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238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274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193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165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235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259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275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259</v>
      </c>
      <c r="F45" s="27">
        <v>0</v>
      </c>
      <c r="G45" s="28">
        <f t="shared" si="9"/>
        <v>0</v>
      </c>
      <c r="H45" s="33" t="s">
        <v>20</v>
      </c>
      <c r="I45" s="33" t="s">
        <v>157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259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259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259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259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259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259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259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259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84">
        <v>276360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238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276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277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235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18</v>
      </c>
      <c r="G70" s="28">
        <f t="shared" si="15"/>
        <v>75.600000000000009</v>
      </c>
      <c r="H70" s="26" t="s">
        <v>19</v>
      </c>
      <c r="I70" s="26" t="s">
        <v>157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235</v>
      </c>
      <c r="O81" s="54">
        <v>787860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238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259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278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185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235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145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279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280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154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281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235</v>
      </c>
      <c r="O108" s="54">
        <v>1087080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238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165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282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235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164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283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154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250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154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284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 t="s">
        <v>18</v>
      </c>
      <c r="I127" s="33" t="s">
        <v>157</v>
      </c>
      <c r="J127" s="33" t="s">
        <v>164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192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199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199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235</v>
      </c>
      <c r="O135" s="54">
        <v>794480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238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199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286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235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288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207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235</v>
      </c>
      <c r="O162" s="54">
        <v>882280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238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259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259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259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235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235</v>
      </c>
      <c r="O189" s="77"/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238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235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154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145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290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291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235</v>
      </c>
      <c r="O216" s="77">
        <v>648410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238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292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128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293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234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235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207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294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15</v>
      </c>
      <c r="G233" s="34">
        <f t="shared" si="51"/>
        <v>63</v>
      </c>
      <c r="H233" s="33" t="s">
        <v>20</v>
      </c>
      <c r="I233" s="33" t="s">
        <v>147</v>
      </c>
      <c r="J233" s="33" t="s">
        <v>180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8</v>
      </c>
      <c r="G234" s="28">
        <f t="shared" si="51"/>
        <v>33.6</v>
      </c>
      <c r="H234" s="26" t="s">
        <v>20</v>
      </c>
      <c r="I234" s="26" t="s">
        <v>147</v>
      </c>
      <c r="J234" s="26" t="s">
        <v>180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288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139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259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235</v>
      </c>
      <c r="O243" s="77">
        <v>849060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238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295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235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232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125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3</v>
      </c>
      <c r="G261" s="28">
        <f t="shared" si="57"/>
        <v>12.600000000000001</v>
      </c>
      <c r="H261" s="33" t="s">
        <v>19</v>
      </c>
      <c r="I261" s="33" t="s">
        <v>157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154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235</v>
      </c>
      <c r="O270" s="77">
        <v>625070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238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296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297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235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128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298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154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235</v>
      </c>
      <c r="O297" s="77">
        <v>761660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238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6</v>
      </c>
      <c r="G300" s="28">
        <f t="shared" si="66"/>
        <v>25.200000000000003</v>
      </c>
      <c r="H300" s="26" t="s">
        <v>17</v>
      </c>
      <c r="I300" s="26" t="s">
        <v>136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299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299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8</v>
      </c>
      <c r="G304" s="28">
        <f t="shared" si="66"/>
        <v>33.6</v>
      </c>
      <c r="H304" s="26" t="s">
        <v>19</v>
      </c>
      <c r="I304" s="26" t="s">
        <v>157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235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155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300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301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235</v>
      </c>
      <c r="O324" s="77">
        <v>524410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238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259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157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10</v>
      </c>
      <c r="G328" s="28">
        <f t="shared" si="72"/>
        <v>42</v>
      </c>
      <c r="H328" s="26" t="s">
        <v>20</v>
      </c>
      <c r="I328" s="26" t="s">
        <v>121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302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232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259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259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259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259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259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259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259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235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121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303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304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235</v>
      </c>
      <c r="O351" s="77">
        <v>598420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238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157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157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129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235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129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129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20</v>
      </c>
      <c r="G370" s="28">
        <f t="shared" si="81"/>
        <v>84</v>
      </c>
      <c r="H370" s="26" t="s">
        <v>20</v>
      </c>
      <c r="I370" s="26" t="s">
        <v>155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129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132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129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129</v>
      </c>
      <c r="K377" s="29">
        <v>0.23958333333333334</v>
      </c>
      <c r="L377" s="29"/>
      <c r="M377" s="35">
        <f t="shared" ca="1" si="82"/>
        <v>0.59778310184628936</v>
      </c>
      <c r="N377" s="46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0.75542199073517824</v>
      </c>
      <c r="N378" s="36" t="s">
        <v>235</v>
      </c>
      <c r="O378" s="77">
        <v>511980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0.8651442129574004</v>
      </c>
      <c r="N379" s="40" t="s">
        <v>238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157</v>
      </c>
      <c r="J380" s="26" t="s">
        <v>119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15</v>
      </c>
      <c r="G381" s="34">
        <f t="shared" si="84"/>
        <v>63</v>
      </c>
      <c r="H381" s="33" t="s">
        <v>18</v>
      </c>
      <c r="I381" s="33" t="s">
        <v>118</v>
      </c>
      <c r="J381" s="33" t="s">
        <v>213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194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288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 t="s">
        <v>16</v>
      </c>
      <c r="I384" s="26" t="s">
        <v>157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305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235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259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157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306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250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199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235</v>
      </c>
      <c r="O405" s="77">
        <v>552440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238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 t="s">
        <v>136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232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259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235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0.57625532407109858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236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0.74708865740443198</v>
      </c>
      <c r="N432" s="36" t="s">
        <v>235</v>
      </c>
      <c r="O432" s="77">
        <v>484540</v>
      </c>
    </row>
    <row r="433" spans="1:15" ht="18" customHeight="1">
      <c r="A433" s="93" t="s">
        <v>237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0.89222754629332091</v>
      </c>
      <c r="N433" s="40" t="s">
        <v>238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308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154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20</v>
      </c>
      <c r="G436" s="28">
        <f t="shared" si="96"/>
        <v>84</v>
      </c>
      <c r="H436" s="26" t="s">
        <v>19</v>
      </c>
      <c r="I436" s="26" t="s">
        <v>157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309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235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310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235</v>
      </c>
      <c r="O459" s="77">
        <v>631190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238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311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17</v>
      </c>
      <c r="G463" s="34">
        <f t="shared" si="102"/>
        <v>85</v>
      </c>
      <c r="H463" s="33" t="s">
        <v>18</v>
      </c>
      <c r="I463" s="33" t="s">
        <v>147</v>
      </c>
      <c r="J463" s="33" t="s">
        <v>128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154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312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165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313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235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314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235</v>
      </c>
      <c r="O486" s="77">
        <v>969510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238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157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164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315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259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235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157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236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235</v>
      </c>
      <c r="O513" s="77">
        <v>556040</v>
      </c>
    </row>
    <row r="514" spans="1:15" ht="18" customHeight="1">
      <c r="A514" s="93" t="s">
        <v>237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238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20</v>
      </c>
      <c r="G519" s="34">
        <f t="shared" si="114"/>
        <v>84</v>
      </c>
      <c r="H519" s="33" t="s">
        <v>19</v>
      </c>
      <c r="I519" s="33" t="s">
        <v>157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157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316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235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10</v>
      </c>
      <c r="G529" s="34">
        <f t="shared" si="117"/>
        <v>42</v>
      </c>
      <c r="H529" s="33" t="s">
        <v>19</v>
      </c>
      <c r="I529" s="33" t="s">
        <v>157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129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235</v>
      </c>
      <c r="O540" s="77">
        <v>548610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238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181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317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21</v>
      </c>
      <c r="G544" s="28">
        <f t="shared" si="120"/>
        <v>88.2</v>
      </c>
      <c r="H544" s="26" t="s">
        <v>19</v>
      </c>
      <c r="I544" s="26" t="s">
        <v>157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121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235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318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235</v>
      </c>
      <c r="O567" s="77">
        <v>722660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238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37</v>
      </c>
      <c r="G570" s="34">
        <f t="shared" si="126"/>
        <v>155.4</v>
      </c>
      <c r="H570" s="26" t="s">
        <v>19</v>
      </c>
      <c r="I570" s="26" t="s">
        <v>157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319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235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11</v>
      </c>
      <c r="G583" s="34">
        <f t="shared" si="129"/>
        <v>55</v>
      </c>
      <c r="H583" s="33" t="s">
        <v>19</v>
      </c>
      <c r="I583" s="33" t="s">
        <v>157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235</v>
      </c>
      <c r="O594" s="77">
        <v>644900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238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320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235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321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235</v>
      </c>
      <c r="O621" s="77">
        <v>348050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238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99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259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132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259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259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259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259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259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259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235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157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 t="s">
        <v>20</v>
      </c>
      <c r="I638" s="26" t="s">
        <v>121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235</v>
      </c>
      <c r="O648" s="77">
        <v>757160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238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322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128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323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324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325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>
        <v>0.73124999999999996</v>
      </c>
      <c r="L655" s="29">
        <v>0.79166666666666663</v>
      </c>
      <c r="M655" s="35">
        <f t="shared" ca="1" si="145"/>
        <v>6.0416666666666674E-2</v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9</v>
      </c>
      <c r="G657" s="34">
        <f t="shared" si="144"/>
        <v>37.800000000000004</v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17</v>
      </c>
      <c r="G658" s="28">
        <f t="shared" si="144"/>
        <v>71.400000000000006</v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14</v>
      </c>
      <c r="G659" s="34">
        <f t="shared" si="144"/>
        <v>58.800000000000004</v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13</v>
      </c>
      <c r="G660" s="28">
        <f t="shared" si="144"/>
        <v>54.6</v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125</v>
      </c>
      <c r="G662" s="36">
        <f>SUM(G650:G661)</f>
        <v>533</v>
      </c>
      <c r="H662" s="37"/>
      <c r="I662" s="37"/>
      <c r="J662" s="37"/>
      <c r="K662" s="37"/>
      <c r="L662" s="37"/>
      <c r="M662" s="38">
        <f ca="1">IFERROR(SUM(M650:M661),"")</f>
        <v>0.1930555555555557</v>
      </c>
      <c r="N662" s="36" t="s">
        <v>235</v>
      </c>
      <c r="O662" s="77">
        <v>595370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19</v>
      </c>
      <c r="G663" s="34">
        <f t="shared" ref="G663:G674" si="147">IF(F663="","",IF(E663="PC 17",F663*4.2,IF(E663="PC 19",F663*5,"")))</f>
        <v>79.8</v>
      </c>
      <c r="H663" s="33" t="s">
        <v>19</v>
      </c>
      <c r="I663" s="33" t="s">
        <v>157</v>
      </c>
      <c r="J663" s="33" t="s">
        <v>27</v>
      </c>
      <c r="K663" s="29">
        <v>0.81944444444444442</v>
      </c>
      <c r="L663" s="29">
        <v>0.8354166666666667</v>
      </c>
      <c r="M663" s="35">
        <f t="shared" ref="M663:M674" ca="1" si="148">IFERROR(IF(K663="","",IF(L663="",MOD(NOW()-K663,1),IF(L663&gt;=K663,L663-K663,L663+1-K663))),"")</f>
        <v>1.5972222222222276E-2</v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11</v>
      </c>
      <c r="G664" s="28">
        <f t="shared" si="147"/>
        <v>46.2</v>
      </c>
      <c r="H664" s="26" t="s">
        <v>20</v>
      </c>
      <c r="I664" s="26" t="s">
        <v>39</v>
      </c>
      <c r="J664" s="26" t="s">
        <v>51</v>
      </c>
      <c r="K664" s="29">
        <v>0.85763888888888884</v>
      </c>
      <c r="L664" s="29">
        <v>0.86458333333333337</v>
      </c>
      <c r="M664" s="30">
        <f t="shared" ca="1" si="148"/>
        <v>6.9444444444445308E-3</v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 t="s">
        <v>18</v>
      </c>
      <c r="I665" s="33" t="s">
        <v>39</v>
      </c>
      <c r="J665" s="33" t="s">
        <v>122</v>
      </c>
      <c r="K665" s="29">
        <v>0.90069444444444446</v>
      </c>
      <c r="L665" s="29">
        <v>0.91319444444444442</v>
      </c>
      <c r="M665" s="35">
        <f t="shared" ca="1" si="148"/>
        <v>1.2499999999999956E-2</v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25</v>
      </c>
      <c r="G666" s="28">
        <f t="shared" si="147"/>
        <v>105</v>
      </c>
      <c r="H666" s="26" t="s">
        <v>20</v>
      </c>
      <c r="I666" s="26" t="s">
        <v>121</v>
      </c>
      <c r="J666" s="26" t="s">
        <v>113</v>
      </c>
      <c r="K666" s="29">
        <v>0.96527777777777779</v>
      </c>
      <c r="L666" s="29">
        <v>0.99305555555555558</v>
      </c>
      <c r="M666" s="30">
        <f t="shared" ca="1" si="148"/>
        <v>2.777777777777779E-2</v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8</v>
      </c>
      <c r="G667" s="34">
        <f t="shared" si="147"/>
        <v>33.6</v>
      </c>
      <c r="H667" s="33" t="s">
        <v>20</v>
      </c>
      <c r="I667" s="33" t="s">
        <v>31</v>
      </c>
      <c r="J667" s="33" t="s">
        <v>62</v>
      </c>
      <c r="K667" s="29">
        <v>9.0277777777777776E-2</v>
      </c>
      <c r="L667" s="29">
        <v>0.1388888888888889</v>
      </c>
      <c r="M667" s="35">
        <f t="shared" ca="1" si="148"/>
        <v>4.8611111111111119E-2</v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20</v>
      </c>
      <c r="G668" s="28">
        <f t="shared" si="147"/>
        <v>84</v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11</v>
      </c>
      <c r="G669" s="34">
        <f t="shared" si="147"/>
        <v>46.2</v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8</v>
      </c>
      <c r="G670" s="28">
        <f t="shared" si="147"/>
        <v>33.6</v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14</v>
      </c>
      <c r="G671" s="34">
        <f t="shared" si="147"/>
        <v>58.800000000000004</v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10</v>
      </c>
      <c r="G672" s="28">
        <f t="shared" si="147"/>
        <v>42</v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20</v>
      </c>
      <c r="G673" s="34">
        <f t="shared" si="147"/>
        <v>84</v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5</v>
      </c>
      <c r="G674" s="28">
        <f t="shared" si="147"/>
        <v>21</v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161</v>
      </c>
      <c r="G675" s="36">
        <f>SUM(G663:G674)</f>
        <v>676.2</v>
      </c>
      <c r="H675" s="37"/>
      <c r="I675" s="37"/>
      <c r="J675" s="37"/>
      <c r="K675" s="37"/>
      <c r="L675" s="37"/>
      <c r="M675" s="38">
        <f ca="1">IFERROR(SUM(M663:M674),"")</f>
        <v>0.11180555555555567</v>
      </c>
      <c r="N675" s="36" t="s">
        <v>235</v>
      </c>
      <c r="O675" s="77">
        <v>681950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286</v>
      </c>
      <c r="G676" s="40">
        <f>G662+G675</f>
        <v>1209.2</v>
      </c>
      <c r="H676" s="41"/>
      <c r="I676" s="41"/>
      <c r="J676" s="41"/>
      <c r="K676" s="41"/>
      <c r="L676" s="41"/>
      <c r="M676" s="42">
        <f ca="1">IFERROR(M662+M675,"")</f>
        <v>0.30486111111111136</v>
      </c>
      <c r="N676" s="40" t="s">
        <v>238</v>
      </c>
      <c r="O676" s="83">
        <f>IFERROR(O662+O675,"")</f>
        <v>1277320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18</v>
      </c>
      <c r="G677" s="34">
        <f t="shared" ref="G677:G688" si="150">IF(F677="","",IF(E677="PC 17",F677*4.2,IF(E677="PC 19",F677*5,"")))</f>
        <v>75.600000000000009</v>
      </c>
      <c r="H677" s="33" t="s">
        <v>18</v>
      </c>
      <c r="I677" s="33" t="s">
        <v>136</v>
      </c>
      <c r="J677" s="33" t="s">
        <v>208</v>
      </c>
      <c r="K677" s="29">
        <v>0.31319444444444444</v>
      </c>
      <c r="L677" s="29">
        <v>0.34930555555555554</v>
      </c>
      <c r="M677" s="35">
        <f t="shared" ref="M677:M688" ca="1" si="151">IFERROR(IF(K677="","",IF(L677="",MOD(NOW()-K677,1),IF(L677&gt;=K677,L677-K677,L677+1-K677))),"")</f>
        <v>3.6111111111111094E-2</v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</v>
      </c>
      <c r="G678" s="28">
        <f t="shared" si="150"/>
        <v>8.4</v>
      </c>
      <c r="H678" s="26" t="s">
        <v>19</v>
      </c>
      <c r="I678" s="26" t="s">
        <v>157</v>
      </c>
      <c r="J678" s="26" t="s">
        <v>27</v>
      </c>
      <c r="K678" s="29">
        <v>0.34930555555555554</v>
      </c>
      <c r="L678" s="29">
        <v>0.35972222222222222</v>
      </c>
      <c r="M678" s="35">
        <f t="shared" ca="1" si="151"/>
        <v>1.0416666666666685E-2</v>
      </c>
      <c r="N678" s="46" t="s">
        <v>326</v>
      </c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18</v>
      </c>
      <c r="G679" s="34">
        <f t="shared" si="150"/>
        <v>75.600000000000009</v>
      </c>
      <c r="H679" s="33" t="s">
        <v>19</v>
      </c>
      <c r="I679" s="33" t="s">
        <v>136</v>
      </c>
      <c r="J679" s="33" t="s">
        <v>61</v>
      </c>
      <c r="K679" s="29">
        <v>0.37152777777777779</v>
      </c>
      <c r="L679" s="29">
        <v>0.42083333333333334</v>
      </c>
      <c r="M679" s="35">
        <f t="shared" ca="1" si="151"/>
        <v>4.9305555555555547E-2</v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100" t="s">
        <v>259</v>
      </c>
      <c r="F680" s="101"/>
      <c r="G680" s="102"/>
      <c r="H680" s="81"/>
      <c r="I680" s="81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23</v>
      </c>
      <c r="G681" s="34">
        <f t="shared" si="150"/>
        <v>96.600000000000009</v>
      </c>
      <c r="H681" s="33" t="s">
        <v>20</v>
      </c>
      <c r="I681" s="33" t="s">
        <v>157</v>
      </c>
      <c r="J681" s="33" t="s">
        <v>28</v>
      </c>
      <c r="K681" s="29">
        <v>0.57638888888888884</v>
      </c>
      <c r="L681" s="29">
        <v>0.58750000000000002</v>
      </c>
      <c r="M681" s="35">
        <f t="shared" ca="1" si="151"/>
        <v>1.1111111111111183E-2</v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13</v>
      </c>
      <c r="G682" s="28">
        <f t="shared" si="150"/>
        <v>54.6</v>
      </c>
      <c r="H682" s="26" t="s">
        <v>20</v>
      </c>
      <c r="I682" s="26" t="s">
        <v>31</v>
      </c>
      <c r="J682" s="26" t="s">
        <v>56</v>
      </c>
      <c r="K682" s="29" t="s">
        <v>327</v>
      </c>
      <c r="L682" s="29">
        <v>0.64513888888888893</v>
      </c>
      <c r="M682" s="35">
        <v>10</v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11</v>
      </c>
      <c r="G683" s="34">
        <f t="shared" si="150"/>
        <v>46.2</v>
      </c>
      <c r="H683" s="33" t="s">
        <v>20</v>
      </c>
      <c r="I683" s="33" t="s">
        <v>157</v>
      </c>
      <c r="J683" s="33" t="s">
        <v>28</v>
      </c>
      <c r="K683" s="29">
        <v>0.67569444444444449</v>
      </c>
      <c r="L683" s="29">
        <v>0.6875</v>
      </c>
      <c r="M683" s="35">
        <f t="shared" ca="1" si="151"/>
        <v>1.1805555555555514E-2</v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10</v>
      </c>
      <c r="G684" s="28">
        <f t="shared" si="150"/>
        <v>42</v>
      </c>
      <c r="H684" s="26" t="s">
        <v>19</v>
      </c>
      <c r="I684" s="26" t="s">
        <v>157</v>
      </c>
      <c r="J684" s="26" t="s">
        <v>27</v>
      </c>
      <c r="K684" s="29">
        <v>0.73958333333333337</v>
      </c>
      <c r="L684" s="29">
        <v>0.79166666666666663</v>
      </c>
      <c r="M684" s="30">
        <f t="shared" ca="1" si="151"/>
        <v>5.2083333333333259E-2</v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12</v>
      </c>
      <c r="G685" s="34">
        <f t="shared" si="150"/>
        <v>50.400000000000006</v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10</v>
      </c>
      <c r="G686" s="28">
        <f t="shared" si="150"/>
        <v>42</v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8</v>
      </c>
      <c r="G687" s="34">
        <f t="shared" si="150"/>
        <v>33.6</v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4</v>
      </c>
      <c r="G688" s="28">
        <f t="shared" si="150"/>
        <v>16.8</v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15" t="s">
        <v>234</v>
      </c>
      <c r="B689" s="116"/>
      <c r="C689" s="116"/>
      <c r="D689" s="116"/>
      <c r="E689" s="117">
        <f>SUM(E677:E688)</f>
        <v>0</v>
      </c>
      <c r="F689" s="36">
        <f>SUM(F677:F688)</f>
        <v>129</v>
      </c>
      <c r="G689" s="36">
        <f>SUM(G677:G688)</f>
        <v>541.80000000000007</v>
      </c>
      <c r="H689" s="37"/>
      <c r="I689" s="37"/>
      <c r="J689" s="37"/>
      <c r="K689" s="37"/>
      <c r="L689" s="37"/>
      <c r="M689" s="38">
        <f ca="1">IFERROR(SUM(M677:M688),"")</f>
        <v>10.170833333333334</v>
      </c>
      <c r="N689" s="36" t="s">
        <v>235</v>
      </c>
      <c r="O689" s="77">
        <v>516320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15</v>
      </c>
      <c r="G690" s="28">
        <f t="shared" ref="G690:G701" si="153">IF(F690="","",IF(E690="PC 17",F690*4.2,IF(E690="PC 19",F690*5,"")))</f>
        <v>63</v>
      </c>
      <c r="H690" s="26" t="s">
        <v>20</v>
      </c>
      <c r="I690" s="26" t="s">
        <v>31</v>
      </c>
      <c r="J690" s="26" t="s">
        <v>28</v>
      </c>
      <c r="K690" s="29">
        <v>0.84305555555555556</v>
      </c>
      <c r="L690" s="29">
        <v>0.84791666666666665</v>
      </c>
      <c r="M690" s="30">
        <f t="shared" ref="M690:M701" ca="1" si="154">IFERROR(IF(K690="","",IF(L690="",MOD(NOW()-K690,1),IF(L690&gt;=K690,L690-K690,L690+1-K690))),"")</f>
        <v>4.8611111111110938E-3</v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12</v>
      </c>
      <c r="G691" s="34">
        <f t="shared" si="153"/>
        <v>60</v>
      </c>
      <c r="H691" s="33" t="s">
        <v>20</v>
      </c>
      <c r="I691" s="33" t="s">
        <v>39</v>
      </c>
      <c r="J691" s="33" t="s">
        <v>28</v>
      </c>
      <c r="K691" s="29">
        <v>0.94444444444444442</v>
      </c>
      <c r="L691" s="29">
        <v>0.94722222222222219</v>
      </c>
      <c r="M691" s="35">
        <f t="shared" ca="1" si="154"/>
        <v>2.7777777777777679E-3</v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7</v>
      </c>
      <c r="G692" s="28">
        <f t="shared" si="153"/>
        <v>35</v>
      </c>
      <c r="H692" s="26" t="s">
        <v>18</v>
      </c>
      <c r="I692" s="26" t="s">
        <v>31</v>
      </c>
      <c r="J692" s="26" t="s">
        <v>154</v>
      </c>
      <c r="K692" s="29">
        <v>0.96458333333333335</v>
      </c>
      <c r="L692" s="29">
        <v>0.99652777777777779</v>
      </c>
      <c r="M692" s="30">
        <f t="shared" ca="1" si="154"/>
        <v>3.1944444444444442E-2</v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23</v>
      </c>
      <c r="G693" s="34">
        <f t="shared" si="153"/>
        <v>96.600000000000009</v>
      </c>
      <c r="H693" s="33" t="s">
        <v>20</v>
      </c>
      <c r="I693" s="33" t="s">
        <v>39</v>
      </c>
      <c r="J693" s="33" t="s">
        <v>56</v>
      </c>
      <c r="K693" s="29">
        <v>1.7361111111111112E-2</v>
      </c>
      <c r="L693" s="29">
        <v>3.8194444444444448E-2</v>
      </c>
      <c r="M693" s="35">
        <f t="shared" ca="1" si="154"/>
        <v>2.0833333333333336E-2</v>
      </c>
      <c r="N693" s="46" t="s">
        <v>328</v>
      </c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0</v>
      </c>
      <c r="G694" s="28">
        <f t="shared" si="153"/>
        <v>0</v>
      </c>
      <c r="H694" s="26" t="s">
        <v>20</v>
      </c>
      <c r="I694" s="26" t="s">
        <v>31</v>
      </c>
      <c r="J694" s="26" t="s">
        <v>36</v>
      </c>
      <c r="K694" s="29">
        <v>4.1666666666666664E-2</v>
      </c>
      <c r="L694" s="29">
        <v>4.8611111111111112E-2</v>
      </c>
      <c r="M694" s="30">
        <f t="shared" ca="1" si="154"/>
        <v>6.9444444444444475E-3</v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12</v>
      </c>
      <c r="G695" s="34">
        <f t="shared" si="153"/>
        <v>50.400000000000006</v>
      </c>
      <c r="H695" s="33" t="s">
        <v>20</v>
      </c>
      <c r="I695" s="33" t="s">
        <v>47</v>
      </c>
      <c r="J695" s="33" t="s">
        <v>51</v>
      </c>
      <c r="K695" s="29">
        <v>0.14930555555555555</v>
      </c>
      <c r="L695" s="29">
        <v>0.16666666666666666</v>
      </c>
      <c r="M695" s="35">
        <f t="shared" ca="1" si="154"/>
        <v>1.7361111111111105E-2</v>
      </c>
      <c r="N695" s="46" t="s">
        <v>329</v>
      </c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12</v>
      </c>
      <c r="G696" s="28">
        <f t="shared" si="153"/>
        <v>50.400000000000006</v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16</v>
      </c>
      <c r="G697" s="34">
        <f t="shared" si="153"/>
        <v>67.2</v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15</v>
      </c>
      <c r="G698" s="28">
        <f t="shared" si="153"/>
        <v>63</v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18</v>
      </c>
      <c r="G699" s="34">
        <f t="shared" si="153"/>
        <v>75.600000000000009</v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12</v>
      </c>
      <c r="G700" s="28">
        <f t="shared" si="153"/>
        <v>50.400000000000006</v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15</v>
      </c>
      <c r="G701" s="34">
        <f t="shared" si="153"/>
        <v>63</v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157</v>
      </c>
      <c r="G702" s="36">
        <f>SUM(G690:G701)</f>
        <v>674.59999999999991</v>
      </c>
      <c r="H702" s="37"/>
      <c r="I702" s="37"/>
      <c r="J702" s="37"/>
      <c r="K702" s="37"/>
      <c r="L702" s="37"/>
      <c r="M702" s="38">
        <f ca="1">IFERROR(SUM(M690:M701),"")</f>
        <v>8.4722222222222199E-2</v>
      </c>
      <c r="N702" s="36" t="s">
        <v>235</v>
      </c>
      <c r="O702" s="77">
        <v>813880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286</v>
      </c>
      <c r="G703" s="40">
        <f>G689+G702</f>
        <v>1216.4000000000001</v>
      </c>
      <c r="H703" s="41"/>
      <c r="I703" s="41"/>
      <c r="J703" s="41"/>
      <c r="K703" s="41"/>
      <c r="L703" s="41"/>
      <c r="M703" s="42">
        <f ca="1">IFERROR(M689+M702,"")</f>
        <v>10.255555555555556</v>
      </c>
      <c r="N703" s="40" t="s">
        <v>238</v>
      </c>
      <c r="O703" s="83">
        <f>IFERROR(O689+O702,"")</f>
        <v>1330200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11</v>
      </c>
      <c r="G704" s="28">
        <f t="shared" ref="G704:G715" si="156">IF(F704="","",IF(E704="PC 17",F704*4.2,IF(E704="PC 19",F704*5,"")))</f>
        <v>46.2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31</v>
      </c>
      <c r="J705" s="33" t="s">
        <v>56</v>
      </c>
      <c r="K705" s="29">
        <v>0.4201388888888889</v>
      </c>
      <c r="L705" s="29">
        <v>0.44583333333333336</v>
      </c>
      <c r="M705" s="35">
        <f t="shared" ca="1" si="157"/>
        <v>2.5694444444444464E-2</v>
      </c>
      <c r="N705" s="46" t="s">
        <v>330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20</v>
      </c>
      <c r="G706" s="28">
        <f t="shared" si="156"/>
        <v>84</v>
      </c>
      <c r="H706" s="26" t="s">
        <v>20</v>
      </c>
      <c r="I706" s="26" t="s">
        <v>39</v>
      </c>
      <c r="J706" s="26" t="s">
        <v>129</v>
      </c>
      <c r="K706" s="29">
        <v>0.47499999999999998</v>
      </c>
      <c r="L706" s="29">
        <v>0.47638888888888886</v>
      </c>
      <c r="M706" s="30">
        <f t="shared" ca="1" si="157"/>
        <v>1.388888888888884E-3</v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25</v>
      </c>
      <c r="G707" s="34">
        <f t="shared" si="156"/>
        <v>105</v>
      </c>
      <c r="H707" s="33" t="s">
        <v>19</v>
      </c>
      <c r="I707" s="33" t="s">
        <v>31</v>
      </c>
      <c r="J707" s="33" t="s">
        <v>35</v>
      </c>
      <c r="K707" s="29">
        <v>0.51736111111111116</v>
      </c>
      <c r="L707" s="29">
        <v>0.75</v>
      </c>
      <c r="M707" s="35">
        <f t="shared" ca="1" si="157"/>
        <v>0.23263888888888884</v>
      </c>
      <c r="N707" s="46" t="s">
        <v>331</v>
      </c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7</v>
      </c>
      <c r="G708" s="28">
        <f t="shared" si="156"/>
        <v>29.400000000000002</v>
      </c>
      <c r="H708" s="26" t="s">
        <v>20</v>
      </c>
      <c r="I708" s="26"/>
      <c r="J708" s="26" t="s">
        <v>129</v>
      </c>
      <c r="K708" s="29">
        <v>0.5625</v>
      </c>
      <c r="L708" s="29">
        <v>0.56458333333333333</v>
      </c>
      <c r="M708" s="30">
        <f t="shared" ca="1" si="157"/>
        <v>2.0833333333333259E-3</v>
      </c>
      <c r="N708" s="46" t="s">
        <v>332</v>
      </c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8</v>
      </c>
      <c r="G709" s="34">
        <f t="shared" si="156"/>
        <v>33.6</v>
      </c>
      <c r="H709" s="33" t="s">
        <v>20</v>
      </c>
      <c r="I709" s="33"/>
      <c r="J709" s="33" t="s">
        <v>129</v>
      </c>
      <c r="K709" s="29">
        <v>0.57847222222222228</v>
      </c>
      <c r="L709" s="29">
        <v>0.58472222222222225</v>
      </c>
      <c r="M709" s="35">
        <f t="shared" ca="1" si="157"/>
        <v>6.2499999999999778E-3</v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8</v>
      </c>
      <c r="G710" s="28">
        <f t="shared" si="156"/>
        <v>33.6</v>
      </c>
      <c r="H710" s="26" t="s">
        <v>20</v>
      </c>
      <c r="I710" s="26" t="s">
        <v>39</v>
      </c>
      <c r="J710" s="26" t="s">
        <v>181</v>
      </c>
      <c r="K710" s="29">
        <v>0.67361111111111116</v>
      </c>
      <c r="L710" s="29">
        <v>0.68333333333333335</v>
      </c>
      <c r="M710" s="30">
        <f t="shared" ca="1" si="157"/>
        <v>9.7222222222221877E-3</v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7</v>
      </c>
      <c r="G712" s="28">
        <f t="shared" si="156"/>
        <v>29.400000000000002</v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7</v>
      </c>
      <c r="G713" s="34">
        <f t="shared" si="156"/>
        <v>29.400000000000002</v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8</v>
      </c>
      <c r="G714" s="28">
        <f t="shared" si="156"/>
        <v>33.6</v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3</v>
      </c>
      <c r="G715" s="34">
        <f t="shared" si="156"/>
        <v>12.600000000000001</v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117</v>
      </c>
      <c r="G716" s="36">
        <f>SUM(G704:G715)</f>
        <v>491.40000000000003</v>
      </c>
      <c r="H716" s="37"/>
      <c r="I716" s="37"/>
      <c r="J716" s="37"/>
      <c r="K716" s="37"/>
      <c r="L716" s="37"/>
      <c r="M716" s="38">
        <f ca="1">IFERROR(SUM(M704:M715),"")</f>
        <v>0.2937499999999999</v>
      </c>
      <c r="N716" s="36" t="s">
        <v>235</v>
      </c>
      <c r="O716" s="77">
        <v>479760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59" t="s">
        <v>259</v>
      </c>
      <c r="F717" s="27">
        <v>17</v>
      </c>
      <c r="G717" s="34">
        <f t="shared" ref="G717:G728" si="159">IF(F717="","",IF(E717="PC 17",F717*4.2,IF(E717="PC 19",F717*5,"")))</f>
        <v>71.400000000000006</v>
      </c>
      <c r="H717" s="33" t="s">
        <v>20</v>
      </c>
      <c r="I717" s="33" t="s">
        <v>121</v>
      </c>
      <c r="J717" s="33" t="s">
        <v>56</v>
      </c>
      <c r="K717" s="29">
        <v>0.81944444444444442</v>
      </c>
      <c r="L717" s="29">
        <v>0.84375</v>
      </c>
      <c r="M717" s="35">
        <f t="shared" ref="M717:M728" ca="1" si="160">IFERROR(IF(K717="","",IF(L717="",MOD(NOW()-K717,1),IF(L717&gt;=K717,L717-K717,L717+1-K717))),"")</f>
        <v>2.430555555555558E-2</v>
      </c>
      <c r="N717" s="46" t="s">
        <v>333</v>
      </c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59" t="s">
        <v>232</v>
      </c>
      <c r="F718" s="27">
        <v>4</v>
      </c>
      <c r="G718" s="28">
        <f t="shared" si="159"/>
        <v>20</v>
      </c>
      <c r="H718" s="26" t="s">
        <v>20</v>
      </c>
      <c r="I718" s="26" t="s">
        <v>31</v>
      </c>
      <c r="J718" s="26" t="s">
        <v>28</v>
      </c>
      <c r="K718" s="29">
        <v>0.86111111111111116</v>
      </c>
      <c r="L718" s="29">
        <v>0.87152777777777779</v>
      </c>
      <c r="M718" s="30">
        <f t="shared" ca="1" si="160"/>
        <v>1.041666666666663E-2</v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59" t="s">
        <v>259</v>
      </c>
      <c r="F719" s="27">
        <v>30</v>
      </c>
      <c r="G719" s="34">
        <f t="shared" si="159"/>
        <v>126</v>
      </c>
      <c r="H719" s="33" t="s">
        <v>20</v>
      </c>
      <c r="I719" s="33" t="s">
        <v>31</v>
      </c>
      <c r="J719" s="33" t="s">
        <v>62</v>
      </c>
      <c r="K719" s="29">
        <v>0.95486111111111116</v>
      </c>
      <c r="L719" s="29">
        <v>0.96597222222222223</v>
      </c>
      <c r="M719" s="35">
        <f t="shared" ca="1" si="160"/>
        <v>1.1111111111111072E-2</v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59" t="s">
        <v>259</v>
      </c>
      <c r="F720" s="27">
        <v>13</v>
      </c>
      <c r="G720" s="28">
        <f t="shared" si="159"/>
        <v>54.6</v>
      </c>
      <c r="H720" s="26" t="s">
        <v>20</v>
      </c>
      <c r="I720" s="26" t="s">
        <v>31</v>
      </c>
      <c r="J720" s="26" t="s">
        <v>62</v>
      </c>
      <c r="K720" s="29">
        <v>0.97847222222222219</v>
      </c>
      <c r="L720" s="29">
        <v>0.9916666666666667</v>
      </c>
      <c r="M720" s="30">
        <f t="shared" ca="1" si="160"/>
        <v>1.3194444444444509E-2</v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59" t="s">
        <v>259</v>
      </c>
      <c r="F721" s="27">
        <v>2</v>
      </c>
      <c r="G721" s="34">
        <f t="shared" si="159"/>
        <v>8.4</v>
      </c>
      <c r="H721" s="33" t="s">
        <v>20</v>
      </c>
      <c r="I721" s="33" t="s">
        <v>39</v>
      </c>
      <c r="J721" s="33" t="s">
        <v>28</v>
      </c>
      <c r="K721" s="29">
        <v>3.888888888888889E-2</v>
      </c>
      <c r="L721" s="29">
        <v>7.2222222222222215E-2</v>
      </c>
      <c r="M721" s="35">
        <f t="shared" ca="1" si="160"/>
        <v>3.3333333333333326E-2</v>
      </c>
      <c r="N721" s="46" t="s">
        <v>334</v>
      </c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59" t="s">
        <v>259</v>
      </c>
      <c r="F722" s="27">
        <v>24</v>
      </c>
      <c r="G722" s="28">
        <f t="shared" si="159"/>
        <v>100.80000000000001</v>
      </c>
      <c r="H722" s="26" t="s">
        <v>18</v>
      </c>
      <c r="I722" s="26" t="s">
        <v>39</v>
      </c>
      <c r="J722" s="26" t="s">
        <v>154</v>
      </c>
      <c r="K722" s="29">
        <v>0.16319444444444445</v>
      </c>
      <c r="L722" s="29">
        <v>0.18680555555555556</v>
      </c>
      <c r="M722" s="30">
        <f t="shared" ca="1" si="160"/>
        <v>2.361111111111111E-2</v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59" t="s">
        <v>259</v>
      </c>
      <c r="F723" s="27">
        <v>10</v>
      </c>
      <c r="G723" s="34">
        <f t="shared" si="159"/>
        <v>42</v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59" t="s">
        <v>259</v>
      </c>
      <c r="F724" s="27">
        <v>10</v>
      </c>
      <c r="G724" s="28">
        <f t="shared" si="159"/>
        <v>42</v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59" t="s">
        <v>232</v>
      </c>
      <c r="F725" s="27">
        <v>20</v>
      </c>
      <c r="G725" s="34">
        <f t="shared" si="159"/>
        <v>100</v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59" t="s">
        <v>232</v>
      </c>
      <c r="F726" s="27">
        <v>12</v>
      </c>
      <c r="G726" s="28">
        <f t="shared" si="159"/>
        <v>60</v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59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59" t="s">
        <v>259</v>
      </c>
      <c r="F728" s="27">
        <v>6</v>
      </c>
      <c r="G728" s="28">
        <f t="shared" si="159"/>
        <v>25.200000000000003</v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158</v>
      </c>
      <c r="G729" s="36">
        <f>SUM(G717:G728)</f>
        <v>700.40000000000009</v>
      </c>
      <c r="H729" s="37"/>
      <c r="I729" s="37"/>
      <c r="J729" s="37"/>
      <c r="K729" s="37"/>
      <c r="L729" s="37"/>
      <c r="M729" s="38">
        <f ca="1">IFERROR(SUM(M717:M728),"")</f>
        <v>0.11597222222222223</v>
      </c>
      <c r="N729" s="36" t="s">
        <v>235</v>
      </c>
      <c r="O729" s="77">
        <v>766420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275</v>
      </c>
      <c r="G730" s="40">
        <f>G716+G729</f>
        <v>1191.8000000000002</v>
      </c>
      <c r="H730" s="41"/>
      <c r="I730" s="41"/>
      <c r="J730" s="41"/>
      <c r="K730" s="41"/>
      <c r="L730" s="41"/>
      <c r="M730" s="42">
        <f ca="1">IFERROR(M716+M729,"")</f>
        <v>0.4097222222222221</v>
      </c>
      <c r="N730" s="40" t="s">
        <v>238</v>
      </c>
      <c r="O730" s="83">
        <f>IFERROR(O716+O729,"")</f>
        <v>1246180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14</v>
      </c>
      <c r="G731" s="34">
        <f t="shared" ref="G731:G742" si="162">IF(F731="","",IF(E731="PC 17",F731*4.2,IF(E731="PC 19",F731*5,"")))</f>
        <v>58.800000000000004</v>
      </c>
      <c r="H731" s="33" t="s">
        <v>19</v>
      </c>
      <c r="I731" s="33" t="s">
        <v>31</v>
      </c>
      <c r="J731" s="33" t="s">
        <v>27</v>
      </c>
      <c r="K731" s="29">
        <v>0.51944444444444449</v>
      </c>
      <c r="L731" s="29">
        <v>0.52986111111111112</v>
      </c>
      <c r="M731" s="35">
        <f t="shared" ref="M731:M742" ca="1" si="163">IFERROR(IF(K731="","",IF(L731="",MOD(NOW()-K731,1),IF(L731&gt;=K731,L731-K731,L731+1-K731))),"")</f>
        <v>1.041666666666663E-2</v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13</v>
      </c>
      <c r="G732" s="28">
        <f t="shared" si="162"/>
        <v>54.6</v>
      </c>
      <c r="H732" s="26" t="s">
        <v>18</v>
      </c>
      <c r="I732" s="26" t="s">
        <v>31</v>
      </c>
      <c r="J732" s="26" t="s">
        <v>128</v>
      </c>
      <c r="K732" s="29">
        <v>0.52986111111111112</v>
      </c>
      <c r="L732" s="29">
        <v>0.54166666666666663</v>
      </c>
      <c r="M732" s="30">
        <f t="shared" ca="1" si="163"/>
        <v>1.1805555555555514E-2</v>
      </c>
      <c r="N732" s="46" t="s">
        <v>335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14</v>
      </c>
      <c r="G733" s="34">
        <f t="shared" si="162"/>
        <v>58.800000000000004</v>
      </c>
      <c r="H733" s="33" t="s">
        <v>19</v>
      </c>
      <c r="I733" s="33" t="s">
        <v>39</v>
      </c>
      <c r="J733" s="33" t="s">
        <v>27</v>
      </c>
      <c r="K733" s="29">
        <v>0.54166666666666663</v>
      </c>
      <c r="L733" s="29">
        <v>0.55208333333333337</v>
      </c>
      <c r="M733" s="35">
        <f t="shared" ca="1" si="163"/>
        <v>1.0416666666666741E-2</v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13</v>
      </c>
      <c r="G734" s="28">
        <f t="shared" si="162"/>
        <v>54.6</v>
      </c>
      <c r="H734" s="26" t="s">
        <v>19</v>
      </c>
      <c r="I734" s="26" t="s">
        <v>39</v>
      </c>
      <c r="J734" s="26" t="s">
        <v>35</v>
      </c>
      <c r="K734" s="29">
        <v>0.55208333333333337</v>
      </c>
      <c r="L734" s="29">
        <v>0.56388888888888888</v>
      </c>
      <c r="M734" s="30">
        <f t="shared" ca="1" si="163"/>
        <v>1.1805555555555514E-2</v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12</v>
      </c>
      <c r="G735" s="34">
        <f t="shared" si="162"/>
        <v>50.400000000000006</v>
      </c>
      <c r="H735" s="33" t="s">
        <v>20</v>
      </c>
      <c r="I735" s="33" t="s">
        <v>121</v>
      </c>
      <c r="J735" s="33" t="s">
        <v>113</v>
      </c>
      <c r="K735" s="29">
        <v>0.68680555555555556</v>
      </c>
      <c r="L735" s="29">
        <v>0.7006944444444444</v>
      </c>
      <c r="M735" s="35">
        <f t="shared" ca="1" si="163"/>
        <v>1.388888888888884E-2</v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17</v>
      </c>
      <c r="I736" s="26" t="s">
        <v>133</v>
      </c>
      <c r="J736" s="26" t="s">
        <v>49</v>
      </c>
      <c r="K736" s="29">
        <v>0.7006944444444444</v>
      </c>
      <c r="L736" s="29">
        <v>0.70277777777777772</v>
      </c>
      <c r="M736" s="30">
        <f t="shared" ca="1" si="163"/>
        <v>2.0833333333333259E-3</v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27</v>
      </c>
      <c r="G737" s="34">
        <f t="shared" si="162"/>
        <v>113.4</v>
      </c>
      <c r="H737" s="33" t="s">
        <v>20</v>
      </c>
      <c r="I737" s="33" t="s">
        <v>39</v>
      </c>
      <c r="J737" s="33" t="s">
        <v>56</v>
      </c>
      <c r="K737" s="29">
        <v>0.72847222222222219</v>
      </c>
      <c r="L737" s="29">
        <v>0.73819444444444449</v>
      </c>
      <c r="M737" s="35">
        <f t="shared" ca="1" si="163"/>
        <v>9.7222222222222987E-3</v>
      </c>
      <c r="N737" s="46" t="s">
        <v>336</v>
      </c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13</v>
      </c>
      <c r="G738" s="28">
        <f t="shared" si="162"/>
        <v>54.6</v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15</v>
      </c>
      <c r="G740" s="28">
        <f t="shared" si="162"/>
        <v>63</v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9</v>
      </c>
      <c r="G741" s="34">
        <f t="shared" si="162"/>
        <v>37.800000000000004</v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5</v>
      </c>
      <c r="G742" s="28">
        <f t="shared" si="162"/>
        <v>21</v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135</v>
      </c>
      <c r="G743" s="36">
        <f>SUM(G731:G742)</f>
        <v>567</v>
      </c>
      <c r="H743" s="37"/>
      <c r="I743" s="37"/>
      <c r="J743" s="37"/>
      <c r="K743" s="37"/>
      <c r="L743" s="37"/>
      <c r="M743" s="38">
        <f ca="1">IFERROR(SUM(M731:M742),"")</f>
        <v>7.0138888888888862E-2</v>
      </c>
      <c r="N743" s="36" t="s">
        <v>235</v>
      </c>
      <c r="O743" s="77">
        <v>658990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11</v>
      </c>
      <c r="G745" s="34">
        <f t="shared" si="165"/>
        <v>46.2</v>
      </c>
      <c r="H745" s="33" t="s">
        <v>20</v>
      </c>
      <c r="I745" s="33" t="s">
        <v>39</v>
      </c>
      <c r="J745" s="33" t="s">
        <v>28</v>
      </c>
      <c r="K745" s="29">
        <v>0.93541666666666667</v>
      </c>
      <c r="L745" s="29">
        <v>0.9375</v>
      </c>
      <c r="M745" s="35">
        <f t="shared" ca="1" si="166"/>
        <v>2.0833333333333259E-3</v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10</v>
      </c>
      <c r="G746" s="28">
        <f t="shared" si="165"/>
        <v>42</v>
      </c>
      <c r="H746" s="26" t="s">
        <v>20</v>
      </c>
      <c r="I746" s="26" t="s">
        <v>39</v>
      </c>
      <c r="J746" s="26" t="s">
        <v>62</v>
      </c>
      <c r="K746" s="29">
        <v>7.6388888888888886E-3</v>
      </c>
      <c r="L746" s="29">
        <v>1.3888888888888888E-2</v>
      </c>
      <c r="M746" s="30">
        <f t="shared" ca="1" si="166"/>
        <v>6.2499999999999995E-3</v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9</v>
      </c>
      <c r="G747" s="34">
        <f t="shared" si="165"/>
        <v>37.800000000000004</v>
      </c>
      <c r="H747" s="33" t="s">
        <v>19</v>
      </c>
      <c r="I747" s="33" t="s">
        <v>157</v>
      </c>
      <c r="J747" s="33" t="s">
        <v>27</v>
      </c>
      <c r="K747" s="29">
        <v>6.805555555555555E-2</v>
      </c>
      <c r="L747" s="29">
        <v>9.7916666666666666E-2</v>
      </c>
      <c r="M747" s="35">
        <f t="shared" ca="1" si="166"/>
        <v>2.9861111111111116E-2</v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14</v>
      </c>
      <c r="G748" s="28">
        <f t="shared" si="165"/>
        <v>58.800000000000004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5</v>
      </c>
      <c r="G750" s="28">
        <f t="shared" si="165"/>
        <v>21</v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5</v>
      </c>
      <c r="G751" s="34">
        <f t="shared" si="165"/>
        <v>21</v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14</v>
      </c>
      <c r="G752" s="28">
        <f t="shared" si="165"/>
        <v>58.800000000000004</v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9</v>
      </c>
      <c r="G753" s="34">
        <f t="shared" si="165"/>
        <v>37.800000000000004</v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11</v>
      </c>
      <c r="G754" s="28">
        <f t="shared" si="165"/>
        <v>46.2</v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4</v>
      </c>
      <c r="G755" s="34">
        <f t="shared" si="165"/>
        <v>16.8</v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137</v>
      </c>
      <c r="G756" s="36">
        <f>SUM(G744:G755)</f>
        <v>575.4</v>
      </c>
      <c r="H756" s="37"/>
      <c r="I756" s="37"/>
      <c r="J756" s="37"/>
      <c r="K756" s="37"/>
      <c r="L756" s="37"/>
      <c r="M756" s="38">
        <f ca="1">IFERROR(SUM(M744:M755),"")</f>
        <v>9.7222222222222321E-2</v>
      </c>
      <c r="N756" s="36" t="s">
        <v>235</v>
      </c>
      <c r="O756" s="39">
        <v>605420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272</v>
      </c>
      <c r="G757" s="40">
        <f>G743+G756</f>
        <v>1142.4000000000001</v>
      </c>
      <c r="H757" s="41"/>
      <c r="I757" s="41"/>
      <c r="J757" s="41"/>
      <c r="K757" s="41"/>
      <c r="L757" s="41"/>
      <c r="M757" s="42">
        <f ca="1">IFERROR(M743+M756,"")</f>
        <v>0.16736111111111118</v>
      </c>
      <c r="N757" s="40" t="s">
        <v>238</v>
      </c>
      <c r="O757" s="83">
        <f>IFERROR(O743+O756,"")</f>
        <v>1264410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21</v>
      </c>
      <c r="G758" s="28">
        <f t="shared" ref="G758:G769" si="168">IF(F758="","",IF(E758="PC 17",F758*4.2,IF(E758="PC 19",F758*5,"")))</f>
        <v>88.2</v>
      </c>
      <c r="H758" s="26" t="s">
        <v>20</v>
      </c>
      <c r="I758" s="26" t="s">
        <v>155</v>
      </c>
      <c r="J758" s="26" t="s">
        <v>74</v>
      </c>
      <c r="K758" s="29">
        <v>0.37986111111111109</v>
      </c>
      <c r="L758" s="29" t="s">
        <v>337</v>
      </c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20</v>
      </c>
      <c r="G759" s="34">
        <f t="shared" si="168"/>
        <v>84</v>
      </c>
      <c r="H759" s="33" t="s">
        <v>19</v>
      </c>
      <c r="I759" s="33" t="s">
        <v>31</v>
      </c>
      <c r="J759" s="33" t="s">
        <v>50</v>
      </c>
      <c r="K759" s="29">
        <v>0.40902777777777777</v>
      </c>
      <c r="L759" s="29">
        <v>0.45347222222222222</v>
      </c>
      <c r="M759" s="35">
        <f t="shared" ca="1" si="169"/>
        <v>4.4444444444444453E-2</v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8</v>
      </c>
      <c r="G760" s="28">
        <f t="shared" si="168"/>
        <v>33.6</v>
      </c>
      <c r="H760" s="26" t="s">
        <v>20</v>
      </c>
      <c r="I760" s="26" t="s">
        <v>155</v>
      </c>
      <c r="J760" s="26" t="s">
        <v>74</v>
      </c>
      <c r="K760" s="29">
        <v>0.52083333333333337</v>
      </c>
      <c r="L760" s="29">
        <v>0.52847222222222223</v>
      </c>
      <c r="M760" s="30">
        <f t="shared" ca="1" si="169"/>
        <v>7.6388888888888618E-3</v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0</v>
      </c>
      <c r="G761" s="34">
        <f t="shared" si="168"/>
        <v>0</v>
      </c>
      <c r="H761" s="33" t="s">
        <v>19</v>
      </c>
      <c r="I761" s="33" t="s">
        <v>157</v>
      </c>
      <c r="J761" s="33" t="s">
        <v>27</v>
      </c>
      <c r="K761" s="29">
        <v>0.59097222222222223</v>
      </c>
      <c r="L761" s="29">
        <v>0.60416666666666663</v>
      </c>
      <c r="M761" s="35">
        <f t="shared" ca="1" si="169"/>
        <v>1.3194444444444398E-2</v>
      </c>
      <c r="N761" s="46" t="s">
        <v>338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13</v>
      </c>
      <c r="G762" s="28">
        <f t="shared" si="168"/>
        <v>54.6</v>
      </c>
      <c r="H762" s="26" t="s">
        <v>20</v>
      </c>
      <c r="I762" s="26" t="s">
        <v>155</v>
      </c>
      <c r="J762" s="26" t="s">
        <v>74</v>
      </c>
      <c r="K762" s="29">
        <v>0.65069444444444446</v>
      </c>
      <c r="L762" s="29">
        <v>0.65347222222222223</v>
      </c>
      <c r="M762" s="30">
        <f t="shared" ca="1" si="169"/>
        <v>2.7777777777777679E-3</v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10</v>
      </c>
      <c r="G763" s="34">
        <f t="shared" si="168"/>
        <v>50</v>
      </c>
      <c r="H763" s="33" t="s">
        <v>17</v>
      </c>
      <c r="I763" s="33"/>
      <c r="J763" s="33" t="s">
        <v>86</v>
      </c>
      <c r="K763" s="29">
        <v>0.73541666666666672</v>
      </c>
      <c r="L763" s="29">
        <v>0.76041666666666663</v>
      </c>
      <c r="M763" s="35">
        <f t="shared" ca="1" si="169"/>
        <v>2.4999999999999911E-2</v>
      </c>
      <c r="N763" s="46" t="s">
        <v>339</v>
      </c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22</v>
      </c>
      <c r="E764" s="59" t="s">
        <v>259</v>
      </c>
      <c r="F764" s="27">
        <v>9</v>
      </c>
      <c r="G764" s="28">
        <f t="shared" si="168"/>
        <v>37.800000000000004</v>
      </c>
      <c r="H764" s="26" t="s">
        <v>17</v>
      </c>
      <c r="I764" s="26"/>
      <c r="J764" s="26" t="s">
        <v>25</v>
      </c>
      <c r="K764" s="29">
        <v>0.76458333333333328</v>
      </c>
      <c r="L764" s="29">
        <v>0.76666666666666672</v>
      </c>
      <c r="M764" s="30">
        <f t="shared" ca="1" si="169"/>
        <v>2.083333333333437E-3</v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22</v>
      </c>
      <c r="E765" s="62" t="s">
        <v>259</v>
      </c>
      <c r="F765" s="27">
        <v>15</v>
      </c>
      <c r="G765" s="34">
        <f t="shared" si="168"/>
        <v>63</v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22</v>
      </c>
      <c r="E766" s="59" t="s">
        <v>259</v>
      </c>
      <c r="F766" s="27">
        <v>12</v>
      </c>
      <c r="G766" s="28">
        <f t="shared" si="168"/>
        <v>50.400000000000006</v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22</v>
      </c>
      <c r="E767" s="62" t="s">
        <v>259</v>
      </c>
      <c r="F767" s="27">
        <v>15</v>
      </c>
      <c r="G767" s="34">
        <f t="shared" si="168"/>
        <v>63</v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22</v>
      </c>
      <c r="E768" s="59" t="s">
        <v>259</v>
      </c>
      <c r="F768" s="27">
        <v>10</v>
      </c>
      <c r="G768" s="28">
        <f t="shared" si="168"/>
        <v>42</v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22</v>
      </c>
      <c r="E769" s="62" t="s">
        <v>259</v>
      </c>
      <c r="F769" s="27">
        <v>1</v>
      </c>
      <c r="G769" s="34">
        <f t="shared" si="168"/>
        <v>4.2</v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134</v>
      </c>
      <c r="G770" s="36">
        <f>SUM(G758:G769)</f>
        <v>570.80000000000007</v>
      </c>
      <c r="H770" s="37"/>
      <c r="I770" s="37"/>
      <c r="J770" s="37"/>
      <c r="K770" s="37"/>
      <c r="L770" s="37"/>
      <c r="M770" s="38">
        <f ca="1">IFERROR(SUM(M758:M769),"")</f>
        <v>9.5138888888888828E-2</v>
      </c>
      <c r="N770" s="36" t="s">
        <v>235</v>
      </c>
      <c r="O770" s="77">
        <v>610890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15</v>
      </c>
      <c r="G771" s="34">
        <f t="shared" ref="G771:G782" si="171">IF(F771="","",IF(E771="PC 17",F771*4.2,IF(E771="PC 19",F771*5,"")))</f>
        <v>63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259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15</v>
      </c>
      <c r="G783" s="36">
        <f>SUM(G771:G782)</f>
        <v>63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149</v>
      </c>
      <c r="G784" s="40">
        <f>G770+G783</f>
        <v>633.80000000000007</v>
      </c>
      <c r="H784" s="41"/>
      <c r="I784" s="41"/>
      <c r="J784" s="41"/>
      <c r="K784" s="41"/>
      <c r="L784" s="41"/>
      <c r="M784" s="42">
        <f ca="1">IFERROR(M770+M783,"")</f>
        <v>9.5138888888888828E-2</v>
      </c>
      <c r="N784" s="40" t="s">
        <v>238</v>
      </c>
      <c r="O784" s="83">
        <f>IFERROR(O770+O783,"")</f>
        <v>610890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82">
        <f>IFERROR(O797+O810,"")</f>
        <v>0</v>
      </c>
    </row>
  </sheetData>
  <mergeCells count="85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H406 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topLeftCell="A754" zoomScale="50" zoomScaleNormal="50" workbookViewId="0">
      <selection activeCell="F772" sqref="F772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4" style="20" customWidth="1"/>
    <col min="15" max="15" width="14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178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324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340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164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235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259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259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259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259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259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259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259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259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259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235</v>
      </c>
      <c r="O27" s="39">
        <v>308500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238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165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341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259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259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259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235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259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259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259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259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259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259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259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259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259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259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259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235</v>
      </c>
      <c r="O54" s="39">
        <v>124290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238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342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259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259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259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259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259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259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259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259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235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165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310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259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235</v>
      </c>
      <c r="O81" s="39">
        <v>396340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238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343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235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235</v>
      </c>
      <c r="O108" s="39">
        <v>41230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238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235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192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235</v>
      </c>
      <c r="O135" s="39">
        <v>381250</v>
      </c>
    </row>
    <row r="136" spans="1:15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238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344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287</v>
      </c>
      <c r="K141" s="29">
        <v>0.71597222222222223</v>
      </c>
      <c r="L141" s="29" t="s">
        <v>345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232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232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232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232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235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346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289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235</v>
      </c>
      <c r="O162" s="39">
        <v>337120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238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259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128</v>
      </c>
      <c r="K166" s="29">
        <v>0.45694444444444443</v>
      </c>
      <c r="L166" s="29">
        <v>0.47222222222222221</v>
      </c>
      <c r="M166" s="30" t="s">
        <v>347</v>
      </c>
      <c r="N166" s="27" t="s">
        <v>348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259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259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259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259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259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259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259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259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235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235</v>
      </c>
      <c r="O189" s="39">
        <v>747210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238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136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170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349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162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235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235</v>
      </c>
      <c r="O216" s="39">
        <v>468430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238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259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259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259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259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259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235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147</v>
      </c>
      <c r="J231" s="33" t="s">
        <v>180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7</v>
      </c>
      <c r="G232" s="28">
        <f t="shared" si="51"/>
        <v>35</v>
      </c>
      <c r="H232" s="26" t="s">
        <v>20</v>
      </c>
      <c r="I232" s="26" t="s">
        <v>147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139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259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235</v>
      </c>
      <c r="O243" s="39">
        <v>575930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238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209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259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259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259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259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259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235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196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350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122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351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235</v>
      </c>
      <c r="O270" s="39">
        <v>483510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238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235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128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352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259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353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259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235</v>
      </c>
      <c r="O297" s="39">
        <v>487980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238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133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7</v>
      </c>
      <c r="G300" s="28">
        <f t="shared" si="66"/>
        <v>29.400000000000002</v>
      </c>
      <c r="H300" s="26" t="s">
        <v>20</v>
      </c>
      <c r="I300" s="26" t="s">
        <v>133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354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232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235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259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355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356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235</v>
      </c>
      <c r="O324" s="39">
        <v>609460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238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259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357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259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259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259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198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310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232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259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344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259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128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259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259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259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259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259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3" t="s">
        <v>234</v>
      </c>
      <c r="B338" s="104"/>
      <c r="C338" s="104"/>
      <c r="D338" s="104"/>
      <c r="E338" s="105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235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8</v>
      </c>
      <c r="G340" s="28">
        <f t="shared" si="75"/>
        <v>33.6</v>
      </c>
      <c r="H340" s="26" t="s">
        <v>20</v>
      </c>
      <c r="I340" s="26" t="s">
        <v>121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235</v>
      </c>
      <c r="O351" s="39">
        <v>437940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238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259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259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3" t="s">
        <v>234</v>
      </c>
      <c r="B365" s="104"/>
      <c r="C365" s="104"/>
      <c r="D365" s="104"/>
      <c r="E365" s="105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235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259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259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259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235</v>
      </c>
      <c r="O378" s="39">
        <v>473310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238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259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259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259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259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259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259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259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259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259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235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235</v>
      </c>
      <c r="O405" s="39">
        <v>507450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238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259</v>
      </c>
      <c r="F408" s="27">
        <v>5</v>
      </c>
      <c r="G408" s="28">
        <f t="shared" si="90"/>
        <v>21</v>
      </c>
      <c r="H408" s="26" t="s">
        <v>17</v>
      </c>
      <c r="I408" s="26" t="s">
        <v>136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259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259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259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259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259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259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232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232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259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259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235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232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166</v>
      </c>
      <c r="J420" s="26" t="s">
        <v>116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307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235</v>
      </c>
      <c r="O432" s="39">
        <v>229150</v>
      </c>
    </row>
    <row r="433" spans="1:15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238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358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235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232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235</v>
      </c>
      <c r="O459" s="39">
        <v>409980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238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7</v>
      </c>
      <c r="G462" s="28">
        <f t="shared" si="102"/>
        <v>35</v>
      </c>
      <c r="H462" s="26" t="s">
        <v>18</v>
      </c>
      <c r="I462" s="26" t="s">
        <v>147</v>
      </c>
      <c r="J462" s="26" t="s">
        <v>128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202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232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232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232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232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235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235</v>
      </c>
      <c r="O486" s="39">
        <v>341550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238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359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232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232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232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232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259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259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259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259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259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259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235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235</v>
      </c>
      <c r="O513" s="39">
        <v>276610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238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202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235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360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361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165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362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235</v>
      </c>
      <c r="O540" s="39">
        <v>194990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238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128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363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5</v>
      </c>
      <c r="G544" s="28">
        <f t="shared" si="120"/>
        <v>21</v>
      </c>
      <c r="H544" s="26" t="s">
        <v>20</v>
      </c>
      <c r="I544" s="26" t="s">
        <v>121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235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259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181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364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259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259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259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259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259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259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259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235</v>
      </c>
      <c r="O567" s="39">
        <v>315860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238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155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365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235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155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232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259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259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259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259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259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259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259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235</v>
      </c>
      <c r="O594" s="39">
        <v>424930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238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366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0</v>
      </c>
      <c r="G599" s="34">
        <f t="shared" si="132"/>
        <v>0</v>
      </c>
      <c r="H599" s="33" t="s">
        <v>20</v>
      </c>
      <c r="I599" s="33" t="s">
        <v>155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326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235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232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232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235</v>
      </c>
      <c r="O621" s="39">
        <v>377360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238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235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121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235</v>
      </c>
      <c r="O648" s="39">
        <v>319500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238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259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128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367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259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259</v>
      </c>
      <c r="F652" s="27">
        <v>0</v>
      </c>
      <c r="G652" s="34">
        <f t="shared" si="144"/>
        <v>0</v>
      </c>
      <c r="H652" s="26" t="s">
        <v>19</v>
      </c>
      <c r="I652" s="26" t="s">
        <v>47</v>
      </c>
      <c r="J652" s="26" t="s">
        <v>27</v>
      </c>
      <c r="K652" s="29">
        <v>0.70694444444444449</v>
      </c>
      <c r="L652" s="29">
        <v>0.72777777777777775</v>
      </c>
      <c r="M652" s="30">
        <f t="shared" ca="1" si="145"/>
        <v>2.0833333333333259E-2</v>
      </c>
      <c r="N652" s="27" t="s">
        <v>326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259</v>
      </c>
      <c r="F653" s="27">
        <v>11</v>
      </c>
      <c r="G653" s="34">
        <f t="shared" si="144"/>
        <v>46.2</v>
      </c>
      <c r="H653" s="33" t="s">
        <v>17</v>
      </c>
      <c r="I653" s="33" t="s">
        <v>47</v>
      </c>
      <c r="J653" s="33" t="s">
        <v>71</v>
      </c>
      <c r="K653" s="29">
        <v>0.7319444444444444</v>
      </c>
      <c r="L653" s="29">
        <v>0.76458333333333328</v>
      </c>
      <c r="M653" s="35">
        <f t="shared" ca="1" si="145"/>
        <v>3.2638888888888884E-2</v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232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259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259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259</v>
      </c>
      <c r="F657" s="27">
        <v>7</v>
      </c>
      <c r="G657" s="34">
        <f t="shared" si="144"/>
        <v>29.400000000000002</v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259</v>
      </c>
      <c r="F658" s="27">
        <v>13</v>
      </c>
      <c r="G658" s="28">
        <f t="shared" si="144"/>
        <v>54.6</v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259</v>
      </c>
      <c r="F659" s="27">
        <v>12</v>
      </c>
      <c r="G659" s="34">
        <f t="shared" si="144"/>
        <v>50.400000000000006</v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259</v>
      </c>
      <c r="F660" s="27">
        <v>1</v>
      </c>
      <c r="G660" s="28">
        <f t="shared" si="144"/>
        <v>4.2</v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259</v>
      </c>
      <c r="F661" s="27">
        <v>0</v>
      </c>
      <c r="G661" s="34">
        <f t="shared" si="144"/>
        <v>0</v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95</v>
      </c>
      <c r="G662" s="36">
        <f>SUM(G650:G661)</f>
        <v>406.99999999999994</v>
      </c>
      <c r="H662" s="37"/>
      <c r="I662" s="37"/>
      <c r="J662" s="37"/>
      <c r="K662" s="37"/>
      <c r="L662" s="37"/>
      <c r="M662" s="38">
        <f ca="1">IFERROR(SUM(M650:M661),"")</f>
        <v>0.12361111111111112</v>
      </c>
      <c r="N662" s="36" t="s">
        <v>235</v>
      </c>
      <c r="O662" s="39">
        <v>446880</v>
      </c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 t="s">
        <v>30</v>
      </c>
      <c r="E663" s="62" t="s">
        <v>259</v>
      </c>
      <c r="F663" s="27">
        <v>10</v>
      </c>
      <c r="G663" s="34">
        <f t="shared" ref="G663:G674" si="147">IF(F663="","",IF(E663="PC 17",F663*4.2,IF(E663="PC 19",F663*5,"")))</f>
        <v>42</v>
      </c>
      <c r="H663" s="33" t="s">
        <v>20</v>
      </c>
      <c r="I663" s="33" t="s">
        <v>121</v>
      </c>
      <c r="J663" s="33" t="s">
        <v>113</v>
      </c>
      <c r="K663" s="29">
        <v>0.96527777777777779</v>
      </c>
      <c r="L663" s="29">
        <v>0.99305555555555558</v>
      </c>
      <c r="M663" s="35">
        <f t="shared" ref="M663:M674" ca="1" si="148">IFERROR(IF(K663="","",IF(L663="",MOD(NOW()-K663,1),IF(L663&gt;=K663,L663-K663,L663+1-K663))),"")</f>
        <v>2.777777777777779E-2</v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 t="s">
        <v>30</v>
      </c>
      <c r="E664" s="62" t="s">
        <v>259</v>
      </c>
      <c r="F664" s="27">
        <v>10</v>
      </c>
      <c r="G664" s="28">
        <f t="shared" si="147"/>
        <v>42</v>
      </c>
      <c r="H664" s="26" t="s">
        <v>20</v>
      </c>
      <c r="I664" s="26" t="s">
        <v>47</v>
      </c>
      <c r="J664" s="26" t="s">
        <v>36</v>
      </c>
      <c r="K664" s="29">
        <v>0.1111111111111111</v>
      </c>
      <c r="L664" s="29">
        <v>0.15486111111111112</v>
      </c>
      <c r="M664" s="30">
        <f t="shared" ca="1" si="148"/>
        <v>4.3750000000000011E-2</v>
      </c>
      <c r="N664" s="27" t="s">
        <v>368</v>
      </c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 t="s">
        <v>30</v>
      </c>
      <c r="E665" s="62" t="s">
        <v>259</v>
      </c>
      <c r="F665" s="27">
        <v>10</v>
      </c>
      <c r="G665" s="34">
        <f t="shared" si="147"/>
        <v>42</v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 t="s">
        <v>30</v>
      </c>
      <c r="E666" s="62" t="s">
        <v>259</v>
      </c>
      <c r="F666" s="27">
        <v>12</v>
      </c>
      <c r="G666" s="28">
        <f t="shared" si="147"/>
        <v>50.400000000000006</v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 t="s">
        <v>30</v>
      </c>
      <c r="E667" s="62" t="s">
        <v>259</v>
      </c>
      <c r="F667" s="27">
        <v>3</v>
      </c>
      <c r="G667" s="34">
        <f t="shared" si="147"/>
        <v>12.600000000000001</v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7</v>
      </c>
      <c r="G668" s="28">
        <f t="shared" si="147"/>
        <v>29.400000000000002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4</v>
      </c>
      <c r="G669" s="34">
        <f t="shared" si="147"/>
        <v>16.8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6</v>
      </c>
      <c r="G670" s="28">
        <f t="shared" si="147"/>
        <v>25.200000000000003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3</v>
      </c>
      <c r="G671" s="34">
        <f t="shared" si="147"/>
        <v>12.600000000000001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0</v>
      </c>
      <c r="G672" s="28">
        <f t="shared" si="147"/>
        <v>0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5</v>
      </c>
      <c r="G673" s="34">
        <f t="shared" si="147"/>
        <v>21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3</v>
      </c>
      <c r="G674" s="28">
        <f t="shared" si="147"/>
        <v>12.600000000000001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73</v>
      </c>
      <c r="G675" s="36">
        <f>SUM(G663:G674)</f>
        <v>306.60000000000008</v>
      </c>
      <c r="H675" s="37"/>
      <c r="I675" s="37"/>
      <c r="J675" s="37"/>
      <c r="K675" s="37"/>
      <c r="L675" s="37"/>
      <c r="M675" s="38">
        <f ca="1">IFERROR(SUM(M663:M674),"")</f>
        <v>7.1527777777777801E-2</v>
      </c>
      <c r="N675" s="36" t="s">
        <v>235</v>
      </c>
      <c r="O675" s="39">
        <v>323580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168</v>
      </c>
      <c r="G676" s="40">
        <f>G662+G675</f>
        <v>713.6</v>
      </c>
      <c r="H676" s="41"/>
      <c r="I676" s="41"/>
      <c r="J676" s="41"/>
      <c r="K676" s="41"/>
      <c r="L676" s="41"/>
      <c r="M676" s="42">
        <f ca="1">IFERROR(M662+M675,"")</f>
        <v>0.19513888888888892</v>
      </c>
      <c r="N676" s="40" t="s">
        <v>238</v>
      </c>
      <c r="O676" s="48">
        <f>IFERROR(O662+O675,"")</f>
        <v>770460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14</v>
      </c>
      <c r="G677" s="34">
        <f t="shared" ref="G677:G688" si="150">IF(F677="","",IF(E677="PC 17",F677*4.2,IF(E677="PC 19",F677*5,"")))</f>
        <v>58.800000000000004</v>
      </c>
      <c r="H677" s="33" t="s">
        <v>20</v>
      </c>
      <c r="I677" s="33" t="s">
        <v>47</v>
      </c>
      <c r="J677" s="33" t="s">
        <v>51</v>
      </c>
      <c r="K677" s="29">
        <v>0.37152777777777779</v>
      </c>
      <c r="L677" s="29">
        <v>0.37569444444444444</v>
      </c>
      <c r="M677" s="35">
        <f t="shared" ref="M677:M688" ca="1" si="151">IFERROR(IF(K677="","",IF(L677="",MOD(NOW()-K677,1),IF(L677&gt;=K677,L677-K677,L677+1-K677))),"")</f>
        <v>4.1666666666666519E-3</v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10</v>
      </c>
      <c r="G678" s="28">
        <f t="shared" si="150"/>
        <v>42</v>
      </c>
      <c r="H678" s="26" t="s">
        <v>19</v>
      </c>
      <c r="I678" s="26" t="s">
        <v>47</v>
      </c>
      <c r="J678" s="26" t="s">
        <v>27</v>
      </c>
      <c r="K678" s="29">
        <v>0.48055555555555557</v>
      </c>
      <c r="L678" s="29">
        <v>0.5</v>
      </c>
      <c r="M678" s="30">
        <f t="shared" ca="1" si="151"/>
        <v>1.9444444444444431E-2</v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10</v>
      </c>
      <c r="G679" s="34">
        <f t="shared" si="150"/>
        <v>42</v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8</v>
      </c>
      <c r="G680" s="28">
        <f t="shared" si="150"/>
        <v>33.6</v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62" t="s">
        <v>259</v>
      </c>
      <c r="F681" s="27">
        <v>6</v>
      </c>
      <c r="G681" s="34">
        <f t="shared" si="150"/>
        <v>25.200000000000003</v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8</v>
      </c>
      <c r="G682" s="28">
        <f t="shared" si="150"/>
        <v>33.6</v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17</v>
      </c>
      <c r="G683" s="34">
        <f t="shared" si="150"/>
        <v>71.400000000000006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14</v>
      </c>
      <c r="G684" s="28">
        <f t="shared" si="150"/>
        <v>58.800000000000004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14</v>
      </c>
      <c r="G685" s="34">
        <f t="shared" si="150"/>
        <v>58.800000000000004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13</v>
      </c>
      <c r="G686" s="34">
        <f t="shared" si="150"/>
        <v>54.6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13</v>
      </c>
      <c r="G687" s="34">
        <f t="shared" si="150"/>
        <v>54.6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3</v>
      </c>
      <c r="G688" s="28">
        <f t="shared" si="150"/>
        <v>12.600000000000001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130</v>
      </c>
      <c r="G689" s="36">
        <f>SUM(G677:G688)</f>
        <v>546.00000000000011</v>
      </c>
      <c r="H689" s="37"/>
      <c r="I689" s="37"/>
      <c r="J689" s="37"/>
      <c r="K689" s="37"/>
      <c r="L689" s="37"/>
      <c r="M689" s="38">
        <f ca="1">IFERROR(SUM(M677:M688),"")</f>
        <v>2.3611111111111083E-2</v>
      </c>
      <c r="N689" s="36" t="s">
        <v>235</v>
      </c>
      <c r="O689" s="39">
        <v>585300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10</v>
      </c>
      <c r="G690" s="28">
        <f t="shared" ref="G690:G701" si="153">IF(F690="","",IF(E690="PC 17",F690*4.2,IF(E690="PC 19",F690*5,"")))</f>
        <v>42</v>
      </c>
      <c r="H690" s="26" t="s">
        <v>19</v>
      </c>
      <c r="I690" s="26" t="s">
        <v>47</v>
      </c>
      <c r="J690" s="26" t="s">
        <v>27</v>
      </c>
      <c r="K690" s="29">
        <v>0.10416666666666667</v>
      </c>
      <c r="L690" s="29">
        <v>0.12291666666666666</v>
      </c>
      <c r="M690" s="30">
        <f t="shared" ref="M690:M701" ca="1" si="154">IFERROR(IF(K690="","",IF(L690="",MOD(NOW()-K690,1),IF(L690&gt;=K690,L690-K690,L690+1-K690))),"")</f>
        <v>1.8749999999999989E-2</v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4</v>
      </c>
      <c r="G691" s="34">
        <f t="shared" si="153"/>
        <v>20</v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0</v>
      </c>
      <c r="G692" s="28">
        <f t="shared" si="153"/>
        <v>0</v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7</v>
      </c>
      <c r="G693" s="34">
        <f t="shared" si="153"/>
        <v>29.400000000000002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8</v>
      </c>
      <c r="G694" s="28">
        <f t="shared" si="153"/>
        <v>33.6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15</v>
      </c>
      <c r="G695" s="34">
        <f t="shared" si="153"/>
        <v>63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0</v>
      </c>
      <c r="G696" s="28">
        <f t="shared" si="153"/>
        <v>0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10</v>
      </c>
      <c r="G697" s="34">
        <f t="shared" si="153"/>
        <v>42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0</v>
      </c>
      <c r="G698" s="28">
        <f t="shared" si="153"/>
        <v>0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10</v>
      </c>
      <c r="G699" s="34">
        <f t="shared" si="153"/>
        <v>42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5</v>
      </c>
      <c r="G700" s="28">
        <f t="shared" si="153"/>
        <v>21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74</v>
      </c>
      <c r="G702" s="36">
        <f>SUM(G690:G701)</f>
        <v>314</v>
      </c>
      <c r="H702" s="37"/>
      <c r="I702" s="37"/>
      <c r="J702" s="37"/>
      <c r="K702" s="37"/>
      <c r="L702" s="37"/>
      <c r="M702" s="38">
        <f ca="1">IFERROR(SUM(M690:M701),"")</f>
        <v>1.8749999999999989E-2</v>
      </c>
      <c r="N702" s="36" t="s">
        <v>235</v>
      </c>
      <c r="O702" s="39">
        <v>349730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204</v>
      </c>
      <c r="G703" s="40">
        <f>G689+G702</f>
        <v>860.00000000000011</v>
      </c>
      <c r="H703" s="41"/>
      <c r="I703" s="41"/>
      <c r="J703" s="41"/>
      <c r="K703" s="41"/>
      <c r="L703" s="41"/>
      <c r="M703" s="42">
        <f ca="1">IFERROR(M689+M702,"")</f>
        <v>4.2361111111111072E-2</v>
      </c>
      <c r="N703" s="40" t="s">
        <v>238</v>
      </c>
      <c r="O703" s="48">
        <f>IFERROR(O689+O702,"")</f>
        <v>935030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8</v>
      </c>
      <c r="G704" s="28">
        <f t="shared" ref="G704:G715" si="156">IF(F704="","",IF(E704="PC 17",F704*4.2,IF(E704="PC 19",F704*5,"")))</f>
        <v>33.6</v>
      </c>
      <c r="H704" s="26" t="s">
        <v>17</v>
      </c>
      <c r="I704" s="26" t="s">
        <v>138</v>
      </c>
      <c r="J704" s="26" t="s">
        <v>115</v>
      </c>
      <c r="K704" s="29">
        <v>0.35486111111111113</v>
      </c>
      <c r="L704" s="29">
        <v>0.37083333333333335</v>
      </c>
      <c r="M704" s="30">
        <f t="shared" ref="M704:M715" ca="1" si="157">IFERROR(IF(K704="","",IF(L704="",MOD(NOW()-K704,1),IF(L704&gt;=K704,L704-K704,L704+1-K704))),"")</f>
        <v>1.5972222222222221E-2</v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7</v>
      </c>
      <c r="G705" s="34">
        <f t="shared" si="156"/>
        <v>29.400000000000002</v>
      </c>
      <c r="H705" s="33" t="s">
        <v>20</v>
      </c>
      <c r="I705" s="33" t="s">
        <v>47</v>
      </c>
      <c r="J705" s="33" t="s">
        <v>36</v>
      </c>
      <c r="K705" s="29">
        <v>0.61250000000000004</v>
      </c>
      <c r="L705" s="29">
        <v>0.66527777777777775</v>
      </c>
      <c r="M705" s="35">
        <f t="shared" ca="1" si="157"/>
        <v>5.2777777777777701E-2</v>
      </c>
      <c r="N705" s="27" t="s">
        <v>310</v>
      </c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5</v>
      </c>
      <c r="G706" s="28">
        <f t="shared" si="156"/>
        <v>21</v>
      </c>
      <c r="H706" s="26" t="s">
        <v>20</v>
      </c>
      <c r="I706" s="26" t="s">
        <v>47</v>
      </c>
      <c r="J706" s="26" t="s">
        <v>36</v>
      </c>
      <c r="K706" s="29">
        <v>0.69305555555555554</v>
      </c>
      <c r="L706" s="29">
        <v>0.70833333333333337</v>
      </c>
      <c r="M706" s="30">
        <f t="shared" ca="1" si="157"/>
        <v>1.5277777777777835E-2</v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15</v>
      </c>
      <c r="G707" s="34">
        <f t="shared" si="156"/>
        <v>63</v>
      </c>
      <c r="H707" s="33" t="s">
        <v>20</v>
      </c>
      <c r="I707" s="33" t="s">
        <v>47</v>
      </c>
      <c r="J707" s="33" t="s">
        <v>36</v>
      </c>
      <c r="K707" s="29">
        <v>0.72499999999999998</v>
      </c>
      <c r="L707" s="29">
        <v>0.74444444444444446</v>
      </c>
      <c r="M707" s="35">
        <f t="shared" ca="1" si="157"/>
        <v>1.9444444444444486E-2</v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12</v>
      </c>
      <c r="G708" s="28">
        <f t="shared" si="156"/>
        <v>50.400000000000006</v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5</v>
      </c>
      <c r="G709" s="34">
        <f t="shared" si="156"/>
        <v>21</v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7</v>
      </c>
      <c r="G710" s="28">
        <f t="shared" si="156"/>
        <v>29.400000000000002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6</v>
      </c>
      <c r="G711" s="34">
        <f t="shared" si="156"/>
        <v>25.200000000000003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6</v>
      </c>
      <c r="G712" s="28">
        <f t="shared" si="156"/>
        <v>25.200000000000003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3</v>
      </c>
      <c r="G713" s="34">
        <f t="shared" si="156"/>
        <v>12.600000000000001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2</v>
      </c>
      <c r="G714" s="28">
        <f t="shared" si="156"/>
        <v>8.4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0</v>
      </c>
      <c r="G715" s="34">
        <f t="shared" si="156"/>
        <v>0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76</v>
      </c>
      <c r="G716" s="36">
        <f>SUM(G704:G715)</f>
        <v>319.2</v>
      </c>
      <c r="H716" s="37"/>
      <c r="I716" s="37"/>
      <c r="J716" s="37"/>
      <c r="K716" s="37"/>
      <c r="L716" s="37"/>
      <c r="M716" s="38">
        <f ca="1">IFERROR(SUM(M704:M715),"")</f>
        <v>0.10347222222222224</v>
      </c>
      <c r="N716" s="36" t="s">
        <v>235</v>
      </c>
      <c r="O716" s="39">
        <v>333820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4</v>
      </c>
      <c r="G717" s="34">
        <f t="shared" ref="G717:G728" si="159">IF(F717="","",IF(E717="PC 17",F717*4.2,IF(E717="PC 19",F717*5,"")))</f>
        <v>16.8</v>
      </c>
      <c r="H717" s="33" t="s">
        <v>20</v>
      </c>
      <c r="I717" s="33" t="s">
        <v>121</v>
      </c>
      <c r="J717" s="33" t="s">
        <v>113</v>
      </c>
      <c r="K717" s="29">
        <v>0.81944444444444442</v>
      </c>
      <c r="L717" s="29">
        <v>0.83333333333333337</v>
      </c>
      <c r="M717" s="35">
        <f t="shared" ref="M717:M728" ca="1" si="160">IFERROR(IF(K717="","",IF(L717="",MOD(NOW()-K717,1),IF(L717&gt;=K717,L717-K717,L717+1-K717))),"")</f>
        <v>1.3888888888888951E-2</v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2</v>
      </c>
      <c r="G718" s="28">
        <f t="shared" si="159"/>
        <v>10</v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4</v>
      </c>
      <c r="G719" s="34">
        <f t="shared" si="159"/>
        <v>16.8</v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</v>
      </c>
      <c r="G720" s="28">
        <f t="shared" si="159"/>
        <v>8.4</v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0</v>
      </c>
      <c r="G721" s="34">
        <f t="shared" si="159"/>
        <v>0</v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5</v>
      </c>
      <c r="G722" s="28">
        <f t="shared" si="159"/>
        <v>21</v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4</v>
      </c>
      <c r="G723" s="34">
        <f t="shared" si="159"/>
        <v>16.8</v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2</v>
      </c>
      <c r="G724" s="28">
        <f t="shared" si="159"/>
        <v>8.4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4</v>
      </c>
      <c r="G725" s="34">
        <f t="shared" si="159"/>
        <v>20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6</v>
      </c>
      <c r="G726" s="28">
        <f t="shared" si="159"/>
        <v>30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2</v>
      </c>
      <c r="G727" s="34">
        <f t="shared" si="159"/>
        <v>10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0</v>
      </c>
      <c r="G728" s="28">
        <f t="shared" si="159"/>
        <v>0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35</v>
      </c>
      <c r="G729" s="36">
        <f>SUM(G717:G728)</f>
        <v>158.19999999999999</v>
      </c>
      <c r="H729" s="37"/>
      <c r="I729" s="37"/>
      <c r="J729" s="37"/>
      <c r="K729" s="37"/>
      <c r="L729" s="37"/>
      <c r="M729" s="38">
        <f ca="1">IFERROR(SUM(M717:M728),"")</f>
        <v>1.3888888888888951E-2</v>
      </c>
      <c r="N729" s="36" t="s">
        <v>235</v>
      </c>
      <c r="O729" s="39">
        <v>175420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111</v>
      </c>
      <c r="G730" s="40">
        <f>G716+G729</f>
        <v>477.4</v>
      </c>
      <c r="H730" s="41"/>
      <c r="I730" s="41"/>
      <c r="J730" s="41"/>
      <c r="K730" s="41"/>
      <c r="L730" s="41"/>
      <c r="M730" s="42">
        <f ca="1">IFERROR(M716+M729,"")</f>
        <v>0.11736111111111119</v>
      </c>
      <c r="N730" s="40" t="s">
        <v>238</v>
      </c>
      <c r="O730" s="48">
        <f>IFERROR(O716+O729,"")</f>
        <v>509240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46</v>
      </c>
      <c r="E731" s="62" t="s">
        <v>259</v>
      </c>
      <c r="F731" s="27">
        <v>1</v>
      </c>
      <c r="G731" s="34">
        <f t="shared" ref="G731:G742" si="162">IF(F731="","",IF(E731="PC 17",F731*4.2,IF(E731="PC 19",F731*5,"")))</f>
        <v>4.2</v>
      </c>
      <c r="H731" s="33" t="s">
        <v>20</v>
      </c>
      <c r="I731" s="33" t="s">
        <v>47</v>
      </c>
      <c r="J731" s="33" t="s">
        <v>36</v>
      </c>
      <c r="K731" s="29">
        <v>0.29375000000000001</v>
      </c>
      <c r="L731" s="29">
        <v>0.30902777777777779</v>
      </c>
      <c r="M731" s="35">
        <f t="shared" ref="M731:M742" ca="1" si="163">IFERROR(IF(K731="","",IF(L731="",MOD(NOW()-K731,1),IF(L731&gt;=K731,L731-K731,L731+1-K731))),"")</f>
        <v>1.5277777777777779E-2</v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46</v>
      </c>
      <c r="E732" s="59" t="s">
        <v>259</v>
      </c>
      <c r="F732" s="27">
        <v>10</v>
      </c>
      <c r="G732" s="28">
        <f t="shared" si="162"/>
        <v>42</v>
      </c>
      <c r="H732" s="26" t="s">
        <v>18</v>
      </c>
      <c r="I732" s="26" t="s">
        <v>47</v>
      </c>
      <c r="J732" s="26" t="s">
        <v>128</v>
      </c>
      <c r="K732" s="29">
        <v>0.4548611111111111</v>
      </c>
      <c r="L732" s="29">
        <v>0.48055555555555557</v>
      </c>
      <c r="M732" s="30">
        <f t="shared" ca="1" si="163"/>
        <v>2.5694444444444464E-2</v>
      </c>
      <c r="N732" s="27" t="s">
        <v>324</v>
      </c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46</v>
      </c>
      <c r="E733" s="62" t="s">
        <v>259</v>
      </c>
      <c r="F733" s="27">
        <v>13</v>
      </c>
      <c r="G733" s="34">
        <f t="shared" si="162"/>
        <v>54.6</v>
      </c>
      <c r="H733" s="33" t="s">
        <v>20</v>
      </c>
      <c r="I733" s="33" t="s">
        <v>47</v>
      </c>
      <c r="J733" s="33" t="s">
        <v>181</v>
      </c>
      <c r="K733" s="29">
        <v>0.67500000000000004</v>
      </c>
      <c r="L733" s="29">
        <v>0.67777777777777781</v>
      </c>
      <c r="M733" s="35">
        <f t="shared" ca="1" si="163"/>
        <v>2.7777777777777679E-3</v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46</v>
      </c>
      <c r="E734" s="59" t="s">
        <v>259</v>
      </c>
      <c r="F734" s="27">
        <v>6</v>
      </c>
      <c r="G734" s="28">
        <f t="shared" si="162"/>
        <v>25.200000000000003</v>
      </c>
      <c r="H734" s="26" t="s">
        <v>19</v>
      </c>
      <c r="I734" s="26" t="s">
        <v>47</v>
      </c>
      <c r="J734" s="26" t="s">
        <v>27</v>
      </c>
      <c r="K734" s="29">
        <v>0.67777777777777781</v>
      </c>
      <c r="L734" s="29">
        <v>0.68472222222222223</v>
      </c>
      <c r="M734" s="30">
        <f t="shared" ca="1" si="163"/>
        <v>6.9444444444444198E-3</v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46</v>
      </c>
      <c r="E735" s="62" t="s">
        <v>259</v>
      </c>
      <c r="F735" s="27">
        <v>0</v>
      </c>
      <c r="G735" s="34">
        <f t="shared" si="162"/>
        <v>0</v>
      </c>
      <c r="H735" s="33" t="s">
        <v>18</v>
      </c>
      <c r="I735" s="33" t="s">
        <v>47</v>
      </c>
      <c r="J735" s="33" t="s">
        <v>128</v>
      </c>
      <c r="K735" s="29">
        <v>0.68472222222222223</v>
      </c>
      <c r="L735" s="29">
        <v>0.69861111111111107</v>
      </c>
      <c r="M735" s="35">
        <f t="shared" ca="1" si="163"/>
        <v>1.388888888888884E-2</v>
      </c>
      <c r="N735" s="27" t="s">
        <v>324</v>
      </c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46</v>
      </c>
      <c r="E736" s="59" t="s">
        <v>259</v>
      </c>
      <c r="F736" s="27">
        <v>0</v>
      </c>
      <c r="G736" s="28">
        <f t="shared" si="162"/>
        <v>0</v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46</v>
      </c>
      <c r="E737" s="62" t="s">
        <v>259</v>
      </c>
      <c r="F737" s="27">
        <v>15</v>
      </c>
      <c r="G737" s="34">
        <f t="shared" si="162"/>
        <v>63</v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46</v>
      </c>
      <c r="E738" s="59" t="s">
        <v>259</v>
      </c>
      <c r="F738" s="27">
        <v>6</v>
      </c>
      <c r="G738" s="28">
        <f t="shared" si="162"/>
        <v>25.200000000000003</v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46</v>
      </c>
      <c r="E739" s="62" t="s">
        <v>259</v>
      </c>
      <c r="F739" s="27">
        <v>0</v>
      </c>
      <c r="G739" s="34">
        <f t="shared" si="162"/>
        <v>0</v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46</v>
      </c>
      <c r="E740" s="59" t="s">
        <v>259</v>
      </c>
      <c r="F740" s="27">
        <v>2</v>
      </c>
      <c r="G740" s="28">
        <f t="shared" si="162"/>
        <v>8.4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46</v>
      </c>
      <c r="E741" s="59" t="s">
        <v>259</v>
      </c>
      <c r="F741" s="27">
        <v>6</v>
      </c>
      <c r="G741" s="28">
        <f t="shared" si="162"/>
        <v>25.200000000000003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46</v>
      </c>
      <c r="E742" s="62" t="s">
        <v>259</v>
      </c>
      <c r="F742" s="27">
        <v>6</v>
      </c>
      <c r="G742" s="28">
        <f t="shared" si="162"/>
        <v>25.200000000000003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65</v>
      </c>
      <c r="G743" s="36">
        <f>SUM(G731:G742)</f>
        <v>273</v>
      </c>
      <c r="H743" s="37"/>
      <c r="I743" s="37"/>
      <c r="J743" s="37"/>
      <c r="K743" s="37"/>
      <c r="L743" s="37"/>
      <c r="M743" s="38">
        <f ca="1">IFERROR(SUM(M731:M742),"")</f>
        <v>6.458333333333327E-2</v>
      </c>
      <c r="N743" s="36" t="s">
        <v>235</v>
      </c>
      <c r="O743" s="39">
        <v>272000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5</v>
      </c>
      <c r="G744" s="28">
        <f t="shared" ref="G744:G755" si="165">IF(F744="","",IF(E744="PC 17",F744*4.2,IF(E744="PC 19",F744*5,"")))</f>
        <v>21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2</v>
      </c>
      <c r="G745" s="34">
        <f t="shared" si="165"/>
        <v>8.4</v>
      </c>
      <c r="H745" s="33" t="s">
        <v>20</v>
      </c>
      <c r="I745" s="33" t="s">
        <v>47</v>
      </c>
      <c r="J745" s="33" t="s">
        <v>28</v>
      </c>
      <c r="K745" s="29">
        <v>0.97222222222222221</v>
      </c>
      <c r="L745" s="29">
        <v>0.98124999999999996</v>
      </c>
      <c r="M745" s="35">
        <f t="shared" ca="1" si="166"/>
        <v>9.0277777777777457E-3</v>
      </c>
      <c r="N745" s="27" t="s">
        <v>369</v>
      </c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4</v>
      </c>
      <c r="G746" s="28">
        <f t="shared" si="165"/>
        <v>16.8</v>
      </c>
      <c r="H746" s="26" t="s">
        <v>20</v>
      </c>
      <c r="I746" s="26" t="s">
        <v>47</v>
      </c>
      <c r="J746" s="26" t="s">
        <v>202</v>
      </c>
      <c r="K746" s="29">
        <v>5.1388888888888887E-2</v>
      </c>
      <c r="L746" s="29">
        <v>7.6388888888888895E-2</v>
      </c>
      <c r="M746" s="30">
        <f t="shared" ca="1" si="166"/>
        <v>2.5000000000000008E-2</v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2</v>
      </c>
      <c r="G747" s="34">
        <f t="shared" si="165"/>
        <v>8.4</v>
      </c>
      <c r="H747" s="33" t="s">
        <v>20</v>
      </c>
      <c r="I747" s="33" t="s">
        <v>47</v>
      </c>
      <c r="J747" s="33" t="s">
        <v>202</v>
      </c>
      <c r="K747" s="29">
        <v>8.3333333333333329E-2</v>
      </c>
      <c r="L747" s="29">
        <v>9.7222222222222224E-2</v>
      </c>
      <c r="M747" s="35">
        <f t="shared" ca="1" si="166"/>
        <v>1.3888888888888895E-2</v>
      </c>
      <c r="N747" s="27" t="s">
        <v>370</v>
      </c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3</v>
      </c>
      <c r="G748" s="28">
        <f t="shared" si="165"/>
        <v>12.600000000000001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6</v>
      </c>
      <c r="G749" s="34">
        <f t="shared" si="165"/>
        <v>25.200000000000003</v>
      </c>
      <c r="H749" s="33" t="s">
        <v>20</v>
      </c>
      <c r="I749" s="33" t="s">
        <v>47</v>
      </c>
      <c r="J749" s="33" t="s">
        <v>36</v>
      </c>
      <c r="K749" s="29">
        <v>0.1388888888888889</v>
      </c>
      <c r="L749" s="29">
        <v>0.15277777777777779</v>
      </c>
      <c r="M749" s="35">
        <f t="shared" ca="1" si="166"/>
        <v>1.3888888888888895E-2</v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2</v>
      </c>
      <c r="G750" s="28">
        <f t="shared" si="165"/>
        <v>8.4</v>
      </c>
      <c r="H750" s="26" t="s">
        <v>20</v>
      </c>
      <c r="I750" s="26" t="s">
        <v>47</v>
      </c>
      <c r="J750" s="26" t="s">
        <v>36</v>
      </c>
      <c r="K750" s="29">
        <v>0.19930555555555557</v>
      </c>
      <c r="L750" s="29">
        <v>0.21875</v>
      </c>
      <c r="M750" s="30">
        <f t="shared" ca="1" si="166"/>
        <v>1.9444444444444431E-2</v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4</v>
      </c>
      <c r="G751" s="34">
        <f t="shared" si="165"/>
        <v>16.8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0</v>
      </c>
      <c r="G752" s="28">
        <f t="shared" si="165"/>
        <v>0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4</v>
      </c>
      <c r="G753" s="34">
        <f t="shared" si="165"/>
        <v>16.8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2</v>
      </c>
      <c r="G754" s="28">
        <f t="shared" si="165"/>
        <v>8.4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1</v>
      </c>
      <c r="G755" s="34">
        <f t="shared" si="165"/>
        <v>4.2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35</v>
      </c>
      <c r="G756" s="36">
        <f>SUM(G744:G755)</f>
        <v>147</v>
      </c>
      <c r="H756" s="37"/>
      <c r="I756" s="37"/>
      <c r="J756" s="37"/>
      <c r="K756" s="37"/>
      <c r="L756" s="37"/>
      <c r="M756" s="38">
        <f ca="1">IFERROR(SUM(M744:M755),"")</f>
        <v>0.14027777777777783</v>
      </c>
      <c r="N756" s="36" t="s">
        <v>235</v>
      </c>
      <c r="O756" s="39">
        <v>154160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100</v>
      </c>
      <c r="G757" s="40">
        <f>G743+G756</f>
        <v>420</v>
      </c>
      <c r="H757" s="41"/>
      <c r="I757" s="41"/>
      <c r="J757" s="41"/>
      <c r="K757" s="41"/>
      <c r="L757" s="41"/>
      <c r="M757" s="42">
        <f ca="1">IFERROR(M743+M756,"")</f>
        <v>0.2048611111111111</v>
      </c>
      <c r="N757" s="40" t="s">
        <v>238</v>
      </c>
      <c r="O757" s="48">
        <f>IFERROR(O743+O756,"")</f>
        <v>426160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 t="s">
        <v>259</v>
      </c>
      <c r="F758" s="27">
        <v>2</v>
      </c>
      <c r="G758" s="28">
        <f t="shared" ref="G758:G769" si="168">IF(F758="","",IF(E758="PC 17",F758*4.2,IF(E758="PC 19",F758*5,"")))</f>
        <v>8.4</v>
      </c>
      <c r="H758" s="26" t="s">
        <v>18</v>
      </c>
      <c r="I758" s="26" t="s">
        <v>47</v>
      </c>
      <c r="J758" s="26" t="s">
        <v>128</v>
      </c>
      <c r="K758" s="29">
        <v>0.29930555555555555</v>
      </c>
      <c r="L758" s="29">
        <v>0.31597222222222221</v>
      </c>
      <c r="M758" s="30">
        <f t="shared" ref="M758:M769" ca="1" si="169">IFERROR(IF(K758="","",IF(L758="",MOD(NOW()-K758,1),IF(L758&gt;=K758,L758-K758,L758+1-K758))),"")</f>
        <v>1.6666666666666663E-2</v>
      </c>
      <c r="N758" s="27" t="s">
        <v>371</v>
      </c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 t="s">
        <v>259</v>
      </c>
      <c r="F759" s="27">
        <v>1</v>
      </c>
      <c r="G759" s="34">
        <f t="shared" si="168"/>
        <v>4.2</v>
      </c>
      <c r="H759" s="33" t="s">
        <v>20</v>
      </c>
      <c r="I759" s="33" t="s">
        <v>47</v>
      </c>
      <c r="J759" s="33" t="s">
        <v>36</v>
      </c>
      <c r="K759" s="29">
        <v>0.34236111111111112</v>
      </c>
      <c r="L759" s="29">
        <v>0.36458333333333331</v>
      </c>
      <c r="M759" s="35">
        <f t="shared" ca="1" si="169"/>
        <v>2.2222222222222199E-2</v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 t="s">
        <v>259</v>
      </c>
      <c r="F760" s="27">
        <v>5</v>
      </c>
      <c r="G760" s="28">
        <f t="shared" si="168"/>
        <v>21</v>
      </c>
      <c r="H760" s="26" t="s">
        <v>20</v>
      </c>
      <c r="I760" s="26" t="s">
        <v>155</v>
      </c>
      <c r="J760" s="26" t="s">
        <v>74</v>
      </c>
      <c r="K760" s="29">
        <v>0.37986111111111109</v>
      </c>
      <c r="L760" s="29">
        <v>0.38541666666666669</v>
      </c>
      <c r="M760" s="30">
        <f t="shared" ca="1" si="169"/>
        <v>5.5555555555555913E-3</v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 t="s">
        <v>259</v>
      </c>
      <c r="F761" s="27">
        <v>4</v>
      </c>
      <c r="G761" s="34">
        <f t="shared" si="168"/>
        <v>16.8</v>
      </c>
      <c r="H761" s="33" t="s">
        <v>18</v>
      </c>
      <c r="I761" s="33" t="s">
        <v>47</v>
      </c>
      <c r="J761" s="33" t="s">
        <v>128</v>
      </c>
      <c r="K761" s="29">
        <v>0.39861111111111114</v>
      </c>
      <c r="L761" s="29">
        <v>0.4201388888888889</v>
      </c>
      <c r="M761" s="35">
        <f t="shared" ca="1" si="169"/>
        <v>2.1527777777777757E-2</v>
      </c>
      <c r="N761" s="27" t="s">
        <v>324</v>
      </c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 t="s">
        <v>259</v>
      </c>
      <c r="F762" s="27">
        <v>8</v>
      </c>
      <c r="G762" s="28">
        <f t="shared" si="168"/>
        <v>33.6</v>
      </c>
      <c r="H762" s="26" t="s">
        <v>20</v>
      </c>
      <c r="I762" s="26" t="s">
        <v>155</v>
      </c>
      <c r="J762" s="26" t="s">
        <v>74</v>
      </c>
      <c r="K762" s="29">
        <v>0.52083333333333337</v>
      </c>
      <c r="L762" s="29">
        <v>0.52847222222222223</v>
      </c>
      <c r="M762" s="30">
        <f t="shared" ca="1" si="169"/>
        <v>7.6388888888888618E-3</v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 t="s">
        <v>232</v>
      </c>
      <c r="F763" s="27">
        <v>5</v>
      </c>
      <c r="G763" s="34">
        <f t="shared" si="168"/>
        <v>25</v>
      </c>
      <c r="H763" s="33" t="s">
        <v>20</v>
      </c>
      <c r="I763" s="33" t="s">
        <v>47</v>
      </c>
      <c r="J763" s="33" t="s">
        <v>51</v>
      </c>
      <c r="K763" s="29">
        <v>0.57361111111111107</v>
      </c>
      <c r="L763" s="29">
        <v>0.57708333333333328</v>
      </c>
      <c r="M763" s="35">
        <f t="shared" ca="1" si="169"/>
        <v>3.4722222222222099E-3</v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 t="s">
        <v>259</v>
      </c>
      <c r="F764" s="27">
        <v>1</v>
      </c>
      <c r="G764" s="28">
        <f t="shared" si="168"/>
        <v>4.2</v>
      </c>
      <c r="H764" s="26" t="s">
        <v>20</v>
      </c>
      <c r="I764" s="26" t="s">
        <v>47</v>
      </c>
      <c r="J764" s="26" t="s">
        <v>51</v>
      </c>
      <c r="K764" s="29">
        <v>0.61111111111111116</v>
      </c>
      <c r="L764" s="29">
        <v>0.61527777777777781</v>
      </c>
      <c r="M764" s="30">
        <f t="shared" ca="1" si="169"/>
        <v>4.1666666666666519E-3</v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 t="s">
        <v>259</v>
      </c>
      <c r="F765" s="27">
        <v>5</v>
      </c>
      <c r="G765" s="34">
        <f t="shared" si="168"/>
        <v>21</v>
      </c>
      <c r="H765" s="33" t="s">
        <v>20</v>
      </c>
      <c r="I765" s="33" t="s">
        <v>47</v>
      </c>
      <c r="J765" s="33" t="s">
        <v>51</v>
      </c>
      <c r="K765" s="29">
        <v>0.63888888888888884</v>
      </c>
      <c r="L765" s="29">
        <v>0.64236111111111116</v>
      </c>
      <c r="M765" s="35">
        <f t="shared" ca="1" si="169"/>
        <v>3.4722222222223209E-3</v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 t="s">
        <v>259</v>
      </c>
      <c r="F766" s="27">
        <v>0</v>
      </c>
      <c r="G766" s="28">
        <f t="shared" si="168"/>
        <v>0</v>
      </c>
      <c r="H766" s="26" t="s">
        <v>20</v>
      </c>
      <c r="I766" s="26" t="s">
        <v>47</v>
      </c>
      <c r="J766" s="26" t="s">
        <v>51</v>
      </c>
      <c r="K766" s="29">
        <v>0.66319444444444442</v>
      </c>
      <c r="L766" s="29">
        <v>0.66597222222222219</v>
      </c>
      <c r="M766" s="30">
        <f t="shared" ca="1" si="169"/>
        <v>2.7777777777777679E-3</v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 t="s">
        <v>259</v>
      </c>
      <c r="F767" s="27">
        <v>5</v>
      </c>
      <c r="G767" s="34">
        <f t="shared" si="168"/>
        <v>21</v>
      </c>
      <c r="H767" s="33" t="s">
        <v>17</v>
      </c>
      <c r="I767" s="33"/>
      <c r="J767" s="33" t="s">
        <v>86</v>
      </c>
      <c r="K767" s="29">
        <v>0.73541666666666672</v>
      </c>
      <c r="L767" s="29">
        <v>0.76041666666666663</v>
      </c>
      <c r="M767" s="35">
        <f t="shared" ca="1" si="169"/>
        <v>2.4999999999999911E-2</v>
      </c>
      <c r="N767" s="27" t="s">
        <v>372</v>
      </c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 t="s">
        <v>17</v>
      </c>
      <c r="I768" s="26"/>
      <c r="J768" s="26" t="s">
        <v>25</v>
      </c>
      <c r="K768" s="29">
        <v>0.76458333333333328</v>
      </c>
      <c r="L768" s="29">
        <v>0.76597222222222228</v>
      </c>
      <c r="M768" s="30">
        <f t="shared" ca="1" si="169"/>
        <v>1.388888888888995E-3</v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0</v>
      </c>
      <c r="G769" s="34">
        <f t="shared" si="168"/>
        <v>0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41</v>
      </c>
      <c r="G770" s="36">
        <f>SUM(G758:G769)</f>
        <v>176.2</v>
      </c>
      <c r="H770" s="37"/>
      <c r="I770" s="37"/>
      <c r="J770" s="37"/>
      <c r="K770" s="37"/>
      <c r="L770" s="37"/>
      <c r="M770" s="38">
        <f ca="1">IFERROR(SUM(M758:M769),"")</f>
        <v>0.11388888888888893</v>
      </c>
      <c r="N770" s="36" t="s">
        <v>235</v>
      </c>
      <c r="O770" s="39">
        <v>172140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10</v>
      </c>
      <c r="G771" s="34">
        <f t="shared" ref="G771:G782" si="171">IF(F771="","",IF(E771="PC 17",F771*4.2,IF(E771="PC 19",F771*5,"")))</f>
        <v>42</v>
      </c>
      <c r="H771" s="33" t="s">
        <v>20</v>
      </c>
      <c r="I771" s="33" t="s">
        <v>47</v>
      </c>
      <c r="J771" s="33" t="s">
        <v>51</v>
      </c>
      <c r="K771" s="29">
        <v>0.81666666666666665</v>
      </c>
      <c r="L771" s="29"/>
      <c r="M771" s="35">
        <f t="shared" ref="M771:M782" ca="1" si="172">IFERROR(IF(K771="","",IF(L771="",MOD(NOW()-K771,1),IF(L771&gt;=K771,L771-K771,L771+1-K771))),"")</f>
        <v>2.0699768516351469E-2</v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259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10</v>
      </c>
      <c r="G783" s="36">
        <f>SUM(G771:G782)</f>
        <v>42</v>
      </c>
      <c r="H783" s="37"/>
      <c r="I783" s="37"/>
      <c r="J783" s="37"/>
      <c r="K783" s="37"/>
      <c r="L783" s="37"/>
      <c r="M783" s="38">
        <f ca="1">IFERROR(SUM(M771:M782),"")</f>
        <v>2.0699768516351469E-2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51</v>
      </c>
      <c r="G784" s="40">
        <f>G770+G783</f>
        <v>218.2</v>
      </c>
      <c r="H784" s="41"/>
      <c r="I784" s="41"/>
      <c r="J784" s="41"/>
      <c r="K784" s="41"/>
      <c r="L784" s="41"/>
      <c r="M784" s="42">
        <f ca="1">IFERROR(M770+M783,"")</f>
        <v>0.1345886574052404</v>
      </c>
      <c r="N784" s="40" t="s">
        <v>238</v>
      </c>
      <c r="O784" s="48">
        <f>IFERROR(O770+O783,"")</f>
        <v>172140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748" activePane="bottomLeft" state="frozen"/>
      <selection pane="bottomLeft" activeCell="F772" sqref="F772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52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221</v>
      </c>
      <c r="C1" s="23" t="s">
        <v>12</v>
      </c>
      <c r="D1" s="22" t="s">
        <v>13</v>
      </c>
      <c r="E1" s="22" t="s">
        <v>222</v>
      </c>
      <c r="F1" s="23" t="s">
        <v>223</v>
      </c>
      <c r="G1" s="23" t="s">
        <v>224</v>
      </c>
      <c r="H1" s="23" t="s">
        <v>14</v>
      </c>
      <c r="I1" s="23" t="s">
        <v>15</v>
      </c>
      <c r="J1" s="23" t="s">
        <v>225</v>
      </c>
      <c r="K1" s="23" t="s">
        <v>226</v>
      </c>
      <c r="L1" s="23" t="s">
        <v>227</v>
      </c>
      <c r="M1" s="24" t="s">
        <v>228</v>
      </c>
      <c r="N1" s="23" t="s">
        <v>229</v>
      </c>
      <c r="O1" s="23" t="s">
        <v>230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259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139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373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259</v>
      </c>
      <c r="F3" s="27">
        <v>0</v>
      </c>
      <c r="G3" s="34">
        <f t="shared" si="0"/>
        <v>0</v>
      </c>
      <c r="H3" s="33" t="s">
        <v>18</v>
      </c>
      <c r="I3" s="33" t="s">
        <v>160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310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259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191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259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259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259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259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259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259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259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259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259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3" t="s">
        <v>234</v>
      </c>
      <c r="B14" s="104"/>
      <c r="C14" s="104"/>
      <c r="D14" s="104"/>
      <c r="E14" s="105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235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259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259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374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259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259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259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259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259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259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259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259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259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259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3" t="s">
        <v>236</v>
      </c>
      <c r="B27" s="104"/>
      <c r="C27" s="104"/>
      <c r="D27" s="104"/>
      <c r="E27" s="105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235</v>
      </c>
      <c r="O27" s="39">
        <v>202230</v>
      </c>
    </row>
    <row r="28" spans="1:15" ht="18" customHeight="1">
      <c r="A28" s="106" t="s">
        <v>237</v>
      </c>
      <c r="B28" s="107"/>
      <c r="C28" s="107"/>
      <c r="D28" s="107"/>
      <c r="E28" s="108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238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259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127</v>
      </c>
      <c r="J29" s="33" t="s">
        <v>195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375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259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259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259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259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259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376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259</v>
      </c>
      <c r="F35" s="27">
        <v>0</v>
      </c>
      <c r="G35" s="28">
        <f t="shared" si="6"/>
        <v>0</v>
      </c>
      <c r="H35" s="33" t="s">
        <v>20</v>
      </c>
      <c r="I35" s="33" t="s">
        <v>150</v>
      </c>
      <c r="J35" s="33" t="s">
        <v>180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259</v>
      </c>
      <c r="F36" s="27">
        <v>0</v>
      </c>
      <c r="G36" s="34">
        <f t="shared" si="6"/>
        <v>0</v>
      </c>
      <c r="H36" s="26" t="s">
        <v>20</v>
      </c>
      <c r="I36" s="26" t="s">
        <v>150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259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259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259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259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3" t="s">
        <v>234</v>
      </c>
      <c r="B41" s="104"/>
      <c r="C41" s="104"/>
      <c r="D41" s="104"/>
      <c r="E41" s="105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235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259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259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259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259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259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259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259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259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259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259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259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259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3" t="s">
        <v>236</v>
      </c>
      <c r="B54" s="104"/>
      <c r="C54" s="104"/>
      <c r="D54" s="104"/>
      <c r="E54" s="105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235</v>
      </c>
      <c r="O54" s="39">
        <v>473910</v>
      </c>
    </row>
    <row r="55" spans="1:15" ht="18" customHeight="1">
      <c r="A55" s="106" t="s">
        <v>237</v>
      </c>
      <c r="B55" s="107"/>
      <c r="C55" s="107"/>
      <c r="D55" s="107"/>
      <c r="E55" s="108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238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259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259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259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377</v>
      </c>
      <c r="L58" s="29">
        <v>0.54097222222222219</v>
      </c>
      <c r="M58" s="30" t="str">
        <f t="shared" ca="1" si="13"/>
        <v/>
      </c>
      <c r="N58" s="27" t="s">
        <v>378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259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259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259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259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259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259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259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259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259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3" t="s">
        <v>234</v>
      </c>
      <c r="B68" s="104"/>
      <c r="C68" s="104"/>
      <c r="D68" s="104"/>
      <c r="E68" s="105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235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259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259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324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259</v>
      </c>
      <c r="F71" s="27">
        <v>12</v>
      </c>
      <c r="G71" s="34">
        <f t="shared" si="15"/>
        <v>50.400000000000006</v>
      </c>
      <c r="H71" s="33" t="s">
        <v>18</v>
      </c>
      <c r="I71" s="33" t="s">
        <v>127</v>
      </c>
      <c r="J71" s="33" t="s">
        <v>197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259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165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379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259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165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380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259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381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259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165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382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259</v>
      </c>
      <c r="F76" s="27">
        <v>1</v>
      </c>
      <c r="G76" s="28">
        <f t="shared" si="15"/>
        <v>4.2</v>
      </c>
      <c r="H76" s="26" t="s">
        <v>20</v>
      </c>
      <c r="I76" s="26" t="s">
        <v>150</v>
      </c>
      <c r="J76" s="26" t="s">
        <v>183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259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259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259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259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3" t="s">
        <v>236</v>
      </c>
      <c r="B81" s="104"/>
      <c r="C81" s="104"/>
      <c r="D81" s="104"/>
      <c r="E81" s="105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235</v>
      </c>
      <c r="O81" s="39">
        <v>565120</v>
      </c>
    </row>
    <row r="82" spans="1:15" ht="18" customHeight="1">
      <c r="A82" s="106" t="s">
        <v>237</v>
      </c>
      <c r="B82" s="107"/>
      <c r="C82" s="107"/>
      <c r="D82" s="107"/>
      <c r="E82" s="108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238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259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383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259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259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259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259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3" t="s">
        <v>234</v>
      </c>
      <c r="B95" s="104"/>
      <c r="C95" s="104"/>
      <c r="D95" s="104"/>
      <c r="E95" s="105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235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259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160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259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259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199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259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259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259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259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259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259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259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259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259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3" t="s">
        <v>236</v>
      </c>
      <c r="B108" s="104"/>
      <c r="C108" s="104"/>
      <c r="D108" s="104"/>
      <c r="E108" s="105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235</v>
      </c>
      <c r="O108" s="39">
        <v>558590</v>
      </c>
    </row>
    <row r="109" spans="1:15" ht="18" customHeight="1">
      <c r="A109" s="106" t="s">
        <v>237</v>
      </c>
      <c r="B109" s="107"/>
      <c r="C109" s="107"/>
      <c r="D109" s="107"/>
      <c r="E109" s="108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238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259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199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384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259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259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259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259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259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259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259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259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259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259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259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3" t="s">
        <v>234</v>
      </c>
      <c r="B122" s="104"/>
      <c r="C122" s="104"/>
      <c r="D122" s="104"/>
      <c r="E122" s="105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235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385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232</v>
      </c>
      <c r="F125" s="27">
        <v>20</v>
      </c>
      <c r="G125" s="34">
        <f t="shared" si="27"/>
        <v>100</v>
      </c>
      <c r="H125" s="33" t="s">
        <v>18</v>
      </c>
      <c r="I125" s="33" t="s">
        <v>127</v>
      </c>
      <c r="J125" s="33" t="s">
        <v>203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386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232</v>
      </c>
      <c r="F126" s="27">
        <v>23</v>
      </c>
      <c r="G126" s="28">
        <f t="shared" si="27"/>
        <v>115</v>
      </c>
      <c r="H126" s="26" t="s">
        <v>19</v>
      </c>
      <c r="I126" s="26" t="s">
        <v>160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192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0.58806087962875608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285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3" t="s">
        <v>236</v>
      </c>
      <c r="B135" s="104"/>
      <c r="C135" s="104"/>
      <c r="D135" s="104"/>
      <c r="E135" s="105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0.78736643518431171</v>
      </c>
      <c r="N135" s="36" t="s">
        <v>235</v>
      </c>
      <c r="O135" s="39">
        <v>729290</v>
      </c>
    </row>
    <row r="136" spans="1:18" ht="18" customHeight="1">
      <c r="A136" s="106" t="s">
        <v>237</v>
      </c>
      <c r="B136" s="107"/>
      <c r="C136" s="107"/>
      <c r="D136" s="107"/>
      <c r="E136" s="108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1.1547275462954227</v>
      </c>
      <c r="N136" s="40" t="s">
        <v>238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232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232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232</v>
      </c>
      <c r="F139" s="27">
        <v>28</v>
      </c>
      <c r="G139" s="34">
        <f t="shared" si="30"/>
        <v>140</v>
      </c>
      <c r="H139" s="33" t="s">
        <v>19</v>
      </c>
      <c r="I139" s="33" t="s">
        <v>160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387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232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287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232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232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232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232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232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232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232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232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3" t="s">
        <v>234</v>
      </c>
      <c r="B149" s="104"/>
      <c r="C149" s="104"/>
      <c r="D149" s="104"/>
      <c r="E149" s="105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235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232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344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232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259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165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388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259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259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259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259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259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259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259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259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259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3" t="s">
        <v>236</v>
      </c>
      <c r="B162" s="104"/>
      <c r="C162" s="104"/>
      <c r="D162" s="104"/>
      <c r="E162" s="105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235</v>
      </c>
      <c r="O162" s="39">
        <v>697320</v>
      </c>
    </row>
    <row r="163" spans="1:15" ht="18" customHeight="1">
      <c r="A163" s="106" t="s">
        <v>237</v>
      </c>
      <c r="B163" s="107"/>
      <c r="C163" s="107"/>
      <c r="D163" s="107"/>
      <c r="E163" s="108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238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232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259</v>
      </c>
      <c r="F165" s="27">
        <v>20</v>
      </c>
      <c r="G165" s="34">
        <f t="shared" si="36"/>
        <v>84</v>
      </c>
      <c r="H165" s="33" t="s">
        <v>20</v>
      </c>
      <c r="I165" s="33" t="s">
        <v>139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259</v>
      </c>
      <c r="F166" s="27">
        <v>10</v>
      </c>
      <c r="G166" s="28">
        <f t="shared" si="36"/>
        <v>42</v>
      </c>
      <c r="H166" s="26" t="s">
        <v>19</v>
      </c>
      <c r="I166" s="26" t="s">
        <v>139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259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259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389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259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259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259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259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259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259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259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3" t="s">
        <v>234</v>
      </c>
      <c r="B176" s="104"/>
      <c r="C176" s="104"/>
      <c r="D176" s="104"/>
      <c r="E176" s="105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235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259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160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259</v>
      </c>
      <c r="F178" s="27">
        <v>16</v>
      </c>
      <c r="G178" s="28">
        <f t="shared" si="39"/>
        <v>67.2</v>
      </c>
      <c r="H178" s="26" t="s">
        <v>20</v>
      </c>
      <c r="I178" s="26" t="s">
        <v>139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259</v>
      </c>
      <c r="F179" s="27">
        <v>20</v>
      </c>
      <c r="G179" s="34">
        <f t="shared" si="39"/>
        <v>84</v>
      </c>
      <c r="H179" s="33" t="s">
        <v>20</v>
      </c>
      <c r="I179" s="33" t="s">
        <v>139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259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259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259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259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259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259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259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259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259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3" t="s">
        <v>236</v>
      </c>
      <c r="B189" s="104"/>
      <c r="C189" s="104"/>
      <c r="D189" s="104"/>
      <c r="E189" s="105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235</v>
      </c>
      <c r="O189" s="39">
        <v>973580</v>
      </c>
    </row>
    <row r="190" spans="1:15" ht="18" customHeight="1">
      <c r="A190" s="106" t="s">
        <v>237</v>
      </c>
      <c r="B190" s="107"/>
      <c r="C190" s="107"/>
      <c r="D190" s="107"/>
      <c r="E190" s="108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238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259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141</v>
      </c>
      <c r="J191" s="33" t="s">
        <v>128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259</v>
      </c>
      <c r="F192" s="27">
        <v>15</v>
      </c>
      <c r="G192" s="28">
        <f t="shared" si="42"/>
        <v>63</v>
      </c>
      <c r="H192" s="26" t="s">
        <v>19</v>
      </c>
      <c r="I192" s="26" t="s">
        <v>160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259</v>
      </c>
      <c r="F193" s="27">
        <v>15</v>
      </c>
      <c r="G193" s="34">
        <f t="shared" si="42"/>
        <v>63</v>
      </c>
      <c r="H193" s="33" t="s">
        <v>18</v>
      </c>
      <c r="I193" s="33" t="s">
        <v>139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390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259</v>
      </c>
      <c r="F194" s="27">
        <v>15</v>
      </c>
      <c r="G194" s="28">
        <f t="shared" si="42"/>
        <v>63</v>
      </c>
      <c r="H194" s="26" t="s">
        <v>19</v>
      </c>
      <c r="I194" s="26" t="s">
        <v>160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391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259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259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259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259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259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259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259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259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3" t="s">
        <v>234</v>
      </c>
      <c r="B203" s="104"/>
      <c r="C203" s="104"/>
      <c r="D203" s="104"/>
      <c r="E203" s="105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235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259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232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259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164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392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259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259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259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259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259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259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259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259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259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3" t="s">
        <v>236</v>
      </c>
      <c r="B216" s="104"/>
      <c r="C216" s="104"/>
      <c r="D216" s="104"/>
      <c r="E216" s="105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235</v>
      </c>
      <c r="O216" s="45">
        <v>1060630</v>
      </c>
    </row>
    <row r="217" spans="1:15" ht="18" customHeight="1">
      <c r="A217" s="106" t="s">
        <v>237</v>
      </c>
      <c r="B217" s="107"/>
      <c r="C217" s="107"/>
      <c r="D217" s="107"/>
      <c r="E217" s="108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238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259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393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259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259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394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259</v>
      </c>
      <c r="F221" s="27">
        <v>10</v>
      </c>
      <c r="G221" s="34">
        <f t="shared" si="48"/>
        <v>42</v>
      </c>
      <c r="H221" s="33" t="s">
        <v>20</v>
      </c>
      <c r="I221" s="33" t="s">
        <v>139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259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259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259</v>
      </c>
      <c r="F224" s="27">
        <v>30</v>
      </c>
      <c r="G224" s="28">
        <f t="shared" si="48"/>
        <v>126</v>
      </c>
      <c r="H224" s="26" t="s">
        <v>20</v>
      </c>
      <c r="I224" s="26" t="s">
        <v>139</v>
      </c>
      <c r="J224" s="26" t="s">
        <v>183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259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395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259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259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259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259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3" t="s">
        <v>234</v>
      </c>
      <c r="B230" s="104"/>
      <c r="C230" s="104"/>
      <c r="D230" s="104"/>
      <c r="E230" s="105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235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259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232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396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259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154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259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259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259</v>
      </c>
      <c r="F236" s="27">
        <v>27</v>
      </c>
      <c r="G236" s="28">
        <f t="shared" si="51"/>
        <v>113.4</v>
      </c>
      <c r="H236" s="50" t="s">
        <v>20</v>
      </c>
      <c r="I236" s="50" t="s">
        <v>139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259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259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232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259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232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259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3" t="s">
        <v>236</v>
      </c>
      <c r="B243" s="104"/>
      <c r="C243" s="104"/>
      <c r="D243" s="104"/>
      <c r="E243" s="105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235</v>
      </c>
      <c r="O243" s="39">
        <v>982340</v>
      </c>
    </row>
    <row r="244" spans="1:15" ht="18" customHeight="1">
      <c r="A244" s="106" t="s">
        <v>237</v>
      </c>
      <c r="B244" s="107"/>
      <c r="C244" s="107"/>
      <c r="D244" s="107"/>
      <c r="E244" s="108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238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259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160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397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259</v>
      </c>
      <c r="F246" s="27">
        <v>20</v>
      </c>
      <c r="G246" s="34">
        <f t="shared" si="54"/>
        <v>84</v>
      </c>
      <c r="H246" s="33" t="s">
        <v>18</v>
      </c>
      <c r="I246" s="26" t="s">
        <v>138</v>
      </c>
      <c r="J246" s="33" t="s">
        <v>208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259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259</v>
      </c>
      <c r="F248" s="27">
        <v>5</v>
      </c>
      <c r="G248" s="34">
        <f t="shared" si="54"/>
        <v>21</v>
      </c>
      <c r="H248" s="26" t="s">
        <v>20</v>
      </c>
      <c r="I248" s="26" t="s">
        <v>155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259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259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259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259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259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259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259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259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3" t="s">
        <v>234</v>
      </c>
      <c r="B257" s="104"/>
      <c r="C257" s="104"/>
      <c r="D257" s="104"/>
      <c r="E257" s="105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235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259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155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259</v>
      </c>
      <c r="F259" s="27">
        <v>19</v>
      </c>
      <c r="G259" s="28">
        <f t="shared" si="57"/>
        <v>79.8</v>
      </c>
      <c r="H259" s="50" t="s">
        <v>19</v>
      </c>
      <c r="I259" s="50" t="s">
        <v>160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259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259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259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259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259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259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259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259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259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259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3" t="s">
        <v>236</v>
      </c>
      <c r="B270" s="104"/>
      <c r="C270" s="104"/>
      <c r="D270" s="104"/>
      <c r="E270" s="105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235</v>
      </c>
      <c r="O270" s="39">
        <v>1208450</v>
      </c>
    </row>
    <row r="271" spans="1:15" ht="18" customHeight="1">
      <c r="A271" s="106" t="s">
        <v>237</v>
      </c>
      <c r="B271" s="107"/>
      <c r="C271" s="107"/>
      <c r="D271" s="107"/>
      <c r="E271" s="108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238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259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160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259</v>
      </c>
      <c r="F273" s="27">
        <v>25</v>
      </c>
      <c r="G273" s="34">
        <f t="shared" si="60"/>
        <v>105</v>
      </c>
      <c r="H273" s="33" t="s">
        <v>20</v>
      </c>
      <c r="I273" s="33" t="s">
        <v>155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259</v>
      </c>
      <c r="F274" s="27">
        <v>12</v>
      </c>
      <c r="G274" s="28">
        <f t="shared" si="60"/>
        <v>50.400000000000006</v>
      </c>
      <c r="H274" s="26" t="s">
        <v>19</v>
      </c>
      <c r="I274" s="26" t="s">
        <v>160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259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259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259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259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259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259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259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259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259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3" t="s">
        <v>234</v>
      </c>
      <c r="B284" s="104"/>
      <c r="C284" s="104"/>
      <c r="D284" s="104"/>
      <c r="E284" s="105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235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259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259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259</v>
      </c>
      <c r="F287" s="27">
        <v>40</v>
      </c>
      <c r="G287" s="34">
        <f t="shared" si="63"/>
        <v>168</v>
      </c>
      <c r="H287" s="33" t="s">
        <v>20</v>
      </c>
      <c r="I287" s="33" t="s">
        <v>155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259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232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259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259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259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259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259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259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259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3" t="s">
        <v>236</v>
      </c>
      <c r="B297" s="104"/>
      <c r="C297" s="104"/>
      <c r="D297" s="104"/>
      <c r="E297" s="105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235</v>
      </c>
      <c r="O297" s="39">
        <v>1049090</v>
      </c>
    </row>
    <row r="298" spans="1:15" ht="18" customHeight="1">
      <c r="A298" s="106" t="s">
        <v>237</v>
      </c>
      <c r="B298" s="107"/>
      <c r="C298" s="107"/>
      <c r="D298" s="107"/>
      <c r="E298" s="108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238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259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398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259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210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259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211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259</v>
      </c>
      <c r="F302" s="27">
        <v>0</v>
      </c>
      <c r="G302" s="28">
        <f t="shared" si="66"/>
        <v>0</v>
      </c>
      <c r="H302" s="26" t="s">
        <v>18</v>
      </c>
      <c r="I302" s="26" t="s">
        <v>138</v>
      </c>
      <c r="J302" s="26" t="s">
        <v>128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259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259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259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259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259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259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259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259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3" t="s">
        <v>234</v>
      </c>
      <c r="B311" s="104"/>
      <c r="C311" s="104"/>
      <c r="D311" s="104"/>
      <c r="E311" s="105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235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232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138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259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170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259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259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259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259</v>
      </c>
      <c r="F317" s="27">
        <v>20</v>
      </c>
      <c r="G317" s="34">
        <f t="shared" si="69"/>
        <v>84</v>
      </c>
      <c r="H317" s="33" t="s">
        <v>20</v>
      </c>
      <c r="I317" s="33" t="s">
        <v>130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259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282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259</v>
      </c>
      <c r="F319" s="27">
        <v>26</v>
      </c>
      <c r="G319" s="34">
        <f t="shared" si="69"/>
        <v>109.2</v>
      </c>
      <c r="H319" s="33" t="s">
        <v>20</v>
      </c>
      <c r="I319" s="33" t="s">
        <v>155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259</v>
      </c>
      <c r="F320" s="27">
        <v>30</v>
      </c>
      <c r="G320" s="28">
        <f t="shared" si="69"/>
        <v>126</v>
      </c>
      <c r="H320" s="26" t="s">
        <v>19</v>
      </c>
      <c r="I320" s="26" t="s">
        <v>160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259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259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232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3" t="s">
        <v>236</v>
      </c>
      <c r="B324" s="104"/>
      <c r="C324" s="104"/>
      <c r="D324" s="104"/>
      <c r="E324" s="105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235</v>
      </c>
      <c r="O324" s="39">
        <v>1063720</v>
      </c>
    </row>
    <row r="325" spans="1:15" ht="18" customHeight="1">
      <c r="A325" s="106" t="s">
        <v>237</v>
      </c>
      <c r="B325" s="107"/>
      <c r="C325" s="107"/>
      <c r="D325" s="107"/>
      <c r="E325" s="108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238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259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259</v>
      </c>
      <c r="F327" s="27">
        <v>20</v>
      </c>
      <c r="G327" s="34">
        <v>84</v>
      </c>
      <c r="H327" s="33" t="s">
        <v>18</v>
      </c>
      <c r="I327" s="33" t="s">
        <v>160</v>
      </c>
      <c r="J327" s="33" t="s">
        <v>119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310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259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130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259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232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259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259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259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259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259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259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259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3" t="s">
        <v>234</v>
      </c>
      <c r="B338" s="104"/>
      <c r="C338" s="104"/>
      <c r="D338" s="104"/>
      <c r="E338" s="105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235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259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259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259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259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259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259</v>
      </c>
      <c r="F344" s="27">
        <v>20</v>
      </c>
      <c r="G344" s="28">
        <f t="shared" si="75"/>
        <v>84</v>
      </c>
      <c r="H344" s="26" t="s">
        <v>20</v>
      </c>
      <c r="I344" s="26" t="s">
        <v>155</v>
      </c>
      <c r="J344" s="26" t="s">
        <v>74</v>
      </c>
      <c r="K344" s="29" t="s">
        <v>399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259</v>
      </c>
      <c r="F345" s="27">
        <v>5</v>
      </c>
      <c r="G345" s="34">
        <f t="shared" si="75"/>
        <v>21</v>
      </c>
      <c r="H345" s="33" t="s">
        <v>20</v>
      </c>
      <c r="I345" s="33" t="s">
        <v>155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259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259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400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259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259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259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3" t="s">
        <v>236</v>
      </c>
      <c r="B351" s="104"/>
      <c r="C351" s="104"/>
      <c r="D351" s="104"/>
      <c r="E351" s="105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235</v>
      </c>
      <c r="O351" s="39">
        <v>696140</v>
      </c>
    </row>
    <row r="352" spans="1:15" ht="18" customHeight="1">
      <c r="A352" s="106" t="s">
        <v>237</v>
      </c>
      <c r="B352" s="107"/>
      <c r="C352" s="107"/>
      <c r="D352" s="107"/>
      <c r="E352" s="108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238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259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259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259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344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259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259</v>
      </c>
      <c r="F357" s="27">
        <v>10</v>
      </c>
      <c r="G357" s="34">
        <f t="shared" si="78"/>
        <v>42</v>
      </c>
      <c r="H357" s="33" t="s">
        <v>18</v>
      </c>
      <c r="I357" s="33" t="s">
        <v>138</v>
      </c>
      <c r="J357" s="33" t="s">
        <v>128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259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259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259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259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259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259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259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234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235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259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259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259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401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259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259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259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259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259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259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259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119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259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259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103" t="s">
        <v>236</v>
      </c>
      <c r="B378" s="104"/>
      <c r="C378" s="104"/>
      <c r="D378" s="104"/>
      <c r="E378" s="105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235</v>
      </c>
      <c r="O378" s="39">
        <v>704750</v>
      </c>
    </row>
    <row r="379" spans="1:15" ht="18" customHeight="1">
      <c r="A379" s="106" t="s">
        <v>237</v>
      </c>
      <c r="B379" s="107"/>
      <c r="C379" s="107"/>
      <c r="D379" s="107"/>
      <c r="E379" s="108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238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259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402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259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259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389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259</v>
      </c>
      <c r="F383" s="27">
        <v>0</v>
      </c>
      <c r="G383" s="34">
        <f t="shared" si="84"/>
        <v>0</v>
      </c>
      <c r="H383" s="33" t="s">
        <v>18</v>
      </c>
      <c r="I383" s="33" t="s">
        <v>138</v>
      </c>
      <c r="J383" s="33" t="s">
        <v>128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259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259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259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259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259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259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259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259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3" t="s">
        <v>234</v>
      </c>
      <c r="B392" s="104"/>
      <c r="C392" s="104"/>
      <c r="D392" s="104"/>
      <c r="E392" s="105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235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232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160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259</v>
      </c>
      <c r="F394" s="27">
        <v>10</v>
      </c>
      <c r="G394" s="28">
        <f t="shared" si="87"/>
        <v>42</v>
      </c>
      <c r="H394" s="26" t="s">
        <v>20</v>
      </c>
      <c r="I394" s="26" t="s">
        <v>138</v>
      </c>
      <c r="J394" s="26" t="s">
        <v>181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403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259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259</v>
      </c>
      <c r="F396" s="27">
        <v>21</v>
      </c>
      <c r="G396" s="28">
        <f t="shared" si="87"/>
        <v>88.2</v>
      </c>
      <c r="H396" s="26" t="s">
        <v>16</v>
      </c>
      <c r="I396" s="26" t="s">
        <v>160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259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259</v>
      </c>
      <c r="F398" s="27">
        <v>15</v>
      </c>
      <c r="G398" s="28">
        <f t="shared" si="87"/>
        <v>63</v>
      </c>
      <c r="H398" s="26" t="s">
        <v>19</v>
      </c>
      <c r="I398" s="26" t="s">
        <v>160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404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259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259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259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259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259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259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3" t="s">
        <v>236</v>
      </c>
      <c r="B405" s="104"/>
      <c r="C405" s="104"/>
      <c r="D405" s="104"/>
      <c r="E405" s="105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235</v>
      </c>
      <c r="O405" s="39">
        <v>958130</v>
      </c>
    </row>
    <row r="406" spans="1:15" ht="18" customHeight="1">
      <c r="A406" s="106" t="s">
        <v>237</v>
      </c>
      <c r="B406" s="107"/>
      <c r="C406" s="107"/>
      <c r="D406" s="107"/>
      <c r="E406" s="108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238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259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259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119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259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259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138</v>
      </c>
      <c r="J410" s="26" t="s">
        <v>128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259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259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259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259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232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259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259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232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3" t="s">
        <v>234</v>
      </c>
      <c r="B419" s="104"/>
      <c r="C419" s="104"/>
      <c r="D419" s="104"/>
      <c r="E419" s="105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235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259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166</v>
      </c>
      <c r="J420" s="26" t="s">
        <v>214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259</v>
      </c>
      <c r="F421" s="27">
        <v>0</v>
      </c>
      <c r="G421" s="34">
        <f t="shared" si="93"/>
        <v>0</v>
      </c>
      <c r="H421" s="33" t="s">
        <v>20</v>
      </c>
      <c r="I421" s="33" t="s">
        <v>155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259</v>
      </c>
      <c r="F422" s="27">
        <v>0</v>
      </c>
      <c r="G422" s="28">
        <f t="shared" si="93"/>
        <v>0</v>
      </c>
      <c r="H422" s="26" t="s">
        <v>20</v>
      </c>
      <c r="I422" s="26" t="s">
        <v>139</v>
      </c>
      <c r="J422" s="26" t="s">
        <v>180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259</v>
      </c>
      <c r="F423" s="27">
        <v>0</v>
      </c>
      <c r="G423" s="34">
        <f t="shared" si="93"/>
        <v>0</v>
      </c>
      <c r="H423" s="33" t="s">
        <v>20</v>
      </c>
      <c r="I423" s="33" t="s">
        <v>155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259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259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405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259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164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259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259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259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259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259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3" t="s">
        <v>236</v>
      </c>
      <c r="B432" s="104"/>
      <c r="C432" s="104"/>
      <c r="D432" s="104"/>
      <c r="E432" s="105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235</v>
      </c>
      <c r="O432" s="39">
        <v>605220</v>
      </c>
    </row>
    <row r="433" spans="1:17" ht="18" customHeight="1">
      <c r="A433" s="106" t="s">
        <v>237</v>
      </c>
      <c r="B433" s="107"/>
      <c r="C433" s="107"/>
      <c r="D433" s="107"/>
      <c r="E433" s="108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238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259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215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259</v>
      </c>
      <c r="F435" s="27">
        <v>6</v>
      </c>
      <c r="G435" s="28">
        <f t="shared" si="96"/>
        <v>25.200000000000003</v>
      </c>
      <c r="H435" s="33" t="s">
        <v>19</v>
      </c>
      <c r="I435" s="33" t="s">
        <v>160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259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138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259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259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259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259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259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259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259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259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259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3" t="s">
        <v>234</v>
      </c>
      <c r="B446" s="104"/>
      <c r="C446" s="104"/>
      <c r="D446" s="104"/>
      <c r="E446" s="105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235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232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232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232</v>
      </c>
      <c r="F449" s="27">
        <v>6</v>
      </c>
      <c r="G449" s="34">
        <f t="shared" si="99"/>
        <v>30</v>
      </c>
      <c r="H449" s="33" t="s">
        <v>18</v>
      </c>
      <c r="I449" s="33" t="s">
        <v>138</v>
      </c>
      <c r="J449" s="33" t="s">
        <v>128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321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232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232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232</v>
      </c>
      <c r="F453" s="27">
        <v>3</v>
      </c>
      <c r="G453" s="34">
        <f t="shared" si="99"/>
        <v>15</v>
      </c>
      <c r="H453" s="33" t="s">
        <v>20</v>
      </c>
      <c r="I453" s="33" t="s">
        <v>150</v>
      </c>
      <c r="J453" s="33" t="s">
        <v>180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232</v>
      </c>
      <c r="F454" s="27">
        <v>12</v>
      </c>
      <c r="G454" s="28">
        <f t="shared" si="99"/>
        <v>60</v>
      </c>
      <c r="H454" s="26" t="s">
        <v>18</v>
      </c>
      <c r="I454" s="26" t="s">
        <v>138</v>
      </c>
      <c r="J454" s="26" t="s">
        <v>128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232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218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232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232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232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3" t="s">
        <v>236</v>
      </c>
      <c r="B459" s="104"/>
      <c r="C459" s="104"/>
      <c r="D459" s="104"/>
      <c r="E459" s="105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235</v>
      </c>
      <c r="O459" s="39">
        <v>615330</v>
      </c>
    </row>
    <row r="460" spans="1:15" ht="18" customHeight="1">
      <c r="A460" s="106" t="s">
        <v>237</v>
      </c>
      <c r="B460" s="107"/>
      <c r="C460" s="107"/>
      <c r="D460" s="107"/>
      <c r="E460" s="108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238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232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128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406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232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407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232</v>
      </c>
      <c r="F463" s="27">
        <v>4</v>
      </c>
      <c r="G463" s="34">
        <f t="shared" si="102"/>
        <v>20</v>
      </c>
      <c r="H463" s="33" t="s">
        <v>20</v>
      </c>
      <c r="I463" s="33" t="s">
        <v>139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232</v>
      </c>
      <c r="F464" s="27">
        <v>20</v>
      </c>
      <c r="G464" s="28">
        <f t="shared" si="102"/>
        <v>100</v>
      </c>
      <c r="H464" s="26" t="s">
        <v>18</v>
      </c>
      <c r="I464" s="26" t="s">
        <v>139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232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165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382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232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232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232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232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232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232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232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3" t="s">
        <v>234</v>
      </c>
      <c r="B473" s="104"/>
      <c r="C473" s="104"/>
      <c r="D473" s="104"/>
      <c r="E473" s="105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235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232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160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232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232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232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232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232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232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232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232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232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232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232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3" t="s">
        <v>236</v>
      </c>
      <c r="B486" s="104"/>
      <c r="C486" s="104"/>
      <c r="D486" s="104"/>
      <c r="E486" s="105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235</v>
      </c>
      <c r="O486" s="39">
        <v>1120830</v>
      </c>
    </row>
    <row r="487" spans="1:15" ht="18" customHeight="1">
      <c r="A487" s="106" t="s">
        <v>237</v>
      </c>
      <c r="B487" s="107"/>
      <c r="C487" s="107"/>
      <c r="D487" s="107"/>
      <c r="E487" s="108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238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232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232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165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382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232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232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232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232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259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259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259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259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259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259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3" t="s">
        <v>234</v>
      </c>
      <c r="B500" s="104"/>
      <c r="C500" s="104"/>
      <c r="D500" s="104"/>
      <c r="E500" s="105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235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259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160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232</v>
      </c>
      <c r="F502" s="27">
        <v>6</v>
      </c>
      <c r="G502" s="28">
        <f t="shared" si="111"/>
        <v>30</v>
      </c>
      <c r="H502" s="26" t="s">
        <v>20</v>
      </c>
      <c r="I502" s="26" t="s">
        <v>130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259</v>
      </c>
      <c r="F503" s="27">
        <v>10</v>
      </c>
      <c r="G503" s="34">
        <f t="shared" si="111"/>
        <v>42</v>
      </c>
      <c r="H503" s="33" t="s">
        <v>20</v>
      </c>
      <c r="I503" s="33" t="s">
        <v>130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408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259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259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259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259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259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259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259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259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259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3" t="s">
        <v>236</v>
      </c>
      <c r="B513" s="104"/>
      <c r="C513" s="104"/>
      <c r="D513" s="104"/>
      <c r="E513" s="105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235</v>
      </c>
      <c r="O513" s="39">
        <v>416720</v>
      </c>
    </row>
    <row r="514" spans="1:15" ht="18" customHeight="1">
      <c r="A514" s="106" t="s">
        <v>237</v>
      </c>
      <c r="B514" s="107"/>
      <c r="C514" s="107"/>
      <c r="D514" s="107"/>
      <c r="E514" s="108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238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259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219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409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259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259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165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410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259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259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259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259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259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259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259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259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259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3" t="s">
        <v>234</v>
      </c>
      <c r="B527" s="104"/>
      <c r="C527" s="104"/>
      <c r="D527" s="104"/>
      <c r="E527" s="105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235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259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259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259</v>
      </c>
      <c r="F530" s="27">
        <v>5</v>
      </c>
      <c r="G530" s="28">
        <f t="shared" si="117"/>
        <v>21</v>
      </c>
      <c r="H530" s="26" t="s">
        <v>19</v>
      </c>
      <c r="I530" s="26" t="s">
        <v>160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259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259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259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194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259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259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259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259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259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259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3" t="s">
        <v>236</v>
      </c>
      <c r="B540" s="104"/>
      <c r="C540" s="104"/>
      <c r="D540" s="104"/>
      <c r="E540" s="105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235</v>
      </c>
      <c r="O540" s="39">
        <v>404370</v>
      </c>
    </row>
    <row r="541" spans="1:15" ht="18" customHeight="1">
      <c r="A541" s="106" t="s">
        <v>237</v>
      </c>
      <c r="B541" s="107"/>
      <c r="C541" s="107"/>
      <c r="D541" s="107"/>
      <c r="E541" s="108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238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259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138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411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259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128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412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259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145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413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259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259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259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259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259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259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259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259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259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3" t="s">
        <v>234</v>
      </c>
      <c r="B554" s="104"/>
      <c r="C554" s="104"/>
      <c r="D554" s="104"/>
      <c r="E554" s="105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235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259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128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259</v>
      </c>
      <c r="F556" s="27">
        <v>5</v>
      </c>
      <c r="G556" s="28">
        <f t="shared" si="123"/>
        <v>21</v>
      </c>
      <c r="H556" s="26" t="s">
        <v>20</v>
      </c>
      <c r="I556" s="26" t="s">
        <v>139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259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181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414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259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259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259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259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259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259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259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259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259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3" t="s">
        <v>236</v>
      </c>
      <c r="B567" s="104"/>
      <c r="C567" s="104"/>
      <c r="D567" s="104"/>
      <c r="E567" s="105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235</v>
      </c>
      <c r="O567" s="39">
        <v>499820</v>
      </c>
    </row>
    <row r="568" spans="1:15" ht="18" customHeight="1">
      <c r="A568" s="106" t="s">
        <v>237</v>
      </c>
      <c r="B568" s="107"/>
      <c r="C568" s="107"/>
      <c r="D568" s="107"/>
      <c r="E568" s="108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238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259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415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259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259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259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259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259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259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259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259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259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259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259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3" t="s">
        <v>234</v>
      </c>
      <c r="B581" s="104"/>
      <c r="C581" s="104"/>
      <c r="D581" s="104"/>
      <c r="E581" s="105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235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259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259</v>
      </c>
      <c r="F583" s="27">
        <v>5</v>
      </c>
      <c r="G583" s="34">
        <f t="shared" si="129"/>
        <v>21</v>
      </c>
      <c r="H583" s="33" t="s">
        <v>19</v>
      </c>
      <c r="I583" s="33" t="s">
        <v>160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259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259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259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259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259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259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259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259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259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259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103" t="s">
        <v>236</v>
      </c>
      <c r="B594" s="104"/>
      <c r="C594" s="104"/>
      <c r="D594" s="104"/>
      <c r="E594" s="105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235</v>
      </c>
      <c r="O594" s="39">
        <v>572580</v>
      </c>
    </row>
    <row r="595" spans="1:15" ht="18" customHeight="1">
      <c r="A595" s="106" t="s">
        <v>237</v>
      </c>
      <c r="B595" s="107"/>
      <c r="C595" s="107"/>
      <c r="D595" s="107"/>
      <c r="E595" s="108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238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259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220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259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259</v>
      </c>
      <c r="F598" s="27">
        <v>16</v>
      </c>
      <c r="G598" s="28">
        <f t="shared" si="132"/>
        <v>67.2</v>
      </c>
      <c r="H598" s="26" t="s">
        <v>20</v>
      </c>
      <c r="I598" s="26" t="s">
        <v>127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259</v>
      </c>
      <c r="F599" s="27">
        <v>20</v>
      </c>
      <c r="G599" s="34">
        <f t="shared" si="132"/>
        <v>84</v>
      </c>
      <c r="H599" s="33" t="s">
        <v>20</v>
      </c>
      <c r="I599" s="33" t="s">
        <v>155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259</v>
      </c>
      <c r="F600" s="27">
        <v>5</v>
      </c>
      <c r="G600" s="28">
        <f t="shared" si="132"/>
        <v>21</v>
      </c>
      <c r="H600" s="26" t="s">
        <v>20</v>
      </c>
      <c r="I600" s="26" t="s">
        <v>155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259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160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416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259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259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259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259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259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259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3" t="s">
        <v>234</v>
      </c>
      <c r="B608" s="104"/>
      <c r="C608" s="104"/>
      <c r="D608" s="104"/>
      <c r="E608" s="105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235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259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259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232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259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259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259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259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259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259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259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259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259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3" t="s">
        <v>236</v>
      </c>
      <c r="B621" s="104"/>
      <c r="C621" s="104"/>
      <c r="D621" s="104"/>
      <c r="E621" s="105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235</v>
      </c>
      <c r="O621" s="39">
        <v>414860</v>
      </c>
    </row>
    <row r="622" spans="1:15" ht="18" customHeight="1">
      <c r="A622" s="106" t="s">
        <v>237</v>
      </c>
      <c r="B622" s="107"/>
      <c r="C622" s="107"/>
      <c r="D622" s="107"/>
      <c r="E622" s="108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238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259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210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259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259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220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259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259</v>
      </c>
      <c r="F627" s="27">
        <v>10</v>
      </c>
      <c r="G627" s="34">
        <f t="shared" si="138"/>
        <v>42</v>
      </c>
      <c r="H627" s="33" t="s">
        <v>20</v>
      </c>
      <c r="I627" s="33" t="s">
        <v>153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417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259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220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259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259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259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259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259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259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3" t="s">
        <v>234</v>
      </c>
      <c r="B635" s="104"/>
      <c r="C635" s="104"/>
      <c r="D635" s="104"/>
      <c r="E635" s="105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235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259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418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259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259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259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259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259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259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259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259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259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259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259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3" t="s">
        <v>236</v>
      </c>
      <c r="B648" s="104"/>
      <c r="C648" s="104"/>
      <c r="D648" s="104"/>
      <c r="E648" s="105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235</v>
      </c>
      <c r="O648" s="39">
        <v>284850</v>
      </c>
    </row>
    <row r="649" spans="1:15" ht="18" customHeight="1">
      <c r="A649" s="106" t="s">
        <v>237</v>
      </c>
      <c r="B649" s="107"/>
      <c r="C649" s="107"/>
      <c r="D649" s="107"/>
      <c r="E649" s="108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238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220</v>
      </c>
      <c r="K650" s="29">
        <v>0.29166666666666669</v>
      </c>
      <c r="L650" s="29">
        <v>0.79166666666666663</v>
      </c>
      <c r="M650" s="30">
        <f t="shared" ref="M650:M661" ca="1" si="145">IFERROR(IF(K650="","",IF(L650="",MOD(NOW()-K650,1),IF(L650&gt;=K650,L650-K650,L650+1-K650))),"")</f>
        <v>0.49999999999999994</v>
      </c>
      <c r="N650" s="27" t="s">
        <v>419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>
        <v>0</v>
      </c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>
        <v>0</v>
      </c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>
        <v>0</v>
      </c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>
        <v>0</v>
      </c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>
        <v>0</v>
      </c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>
        <v>0</v>
      </c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>
        <v>0</v>
      </c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>
        <v>0</v>
      </c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>
        <v>0</v>
      </c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3" t="s">
        <v>234</v>
      </c>
      <c r="B662" s="104"/>
      <c r="C662" s="104"/>
      <c r="D662" s="104"/>
      <c r="E662" s="105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0.49999999999999994</v>
      </c>
      <c r="N662" s="36" t="s">
        <v>235</v>
      </c>
      <c r="O662" s="39"/>
    </row>
    <row r="663" spans="1:15" ht="15" customHeight="1">
      <c r="A663" s="69">
        <v>46228</v>
      </c>
      <c r="B663" s="32">
        <v>0.83333333333333304</v>
      </c>
      <c r="C663" s="33" t="s">
        <v>21</v>
      </c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 t="s">
        <v>18</v>
      </c>
      <c r="I663" s="33" t="s">
        <v>75</v>
      </c>
      <c r="J663" s="33" t="s">
        <v>220</v>
      </c>
      <c r="K663" s="29">
        <v>0.79166666666666663</v>
      </c>
      <c r="L663" s="29">
        <v>2.7777777777777776E-2</v>
      </c>
      <c r="M663" s="35">
        <f t="shared" ref="M663:M674" ca="1" si="148">IFERROR(IF(K663="","",IF(L663="",MOD(NOW()-K663,1),IF(L663&gt;=K663,L663-K663,L663+1-K663))),"")</f>
        <v>0.23611111111111105</v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 t="s">
        <v>21</v>
      </c>
      <c r="D664" s="62"/>
      <c r="E664" s="62"/>
      <c r="F664" s="27"/>
      <c r="G664" s="28" t="str">
        <f t="shared" si="147"/>
        <v/>
      </c>
      <c r="H664" s="26" t="s">
        <v>19</v>
      </c>
      <c r="I664" s="26" t="s">
        <v>160</v>
      </c>
      <c r="J664" s="26" t="s">
        <v>27</v>
      </c>
      <c r="K664" s="29">
        <v>0.22222222222222221</v>
      </c>
      <c r="L664" s="29">
        <v>0.24166666666666667</v>
      </c>
      <c r="M664" s="30">
        <f t="shared" ca="1" si="148"/>
        <v>1.9444444444444459E-2</v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 t="s">
        <v>21</v>
      </c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 t="s">
        <v>21</v>
      </c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 t="s">
        <v>420</v>
      </c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 t="s">
        <v>21</v>
      </c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 t="s">
        <v>21</v>
      </c>
      <c r="D668" s="62" t="s">
        <v>30</v>
      </c>
      <c r="E668" s="62" t="s">
        <v>259</v>
      </c>
      <c r="F668" s="27">
        <v>13</v>
      </c>
      <c r="G668" s="28">
        <f t="shared" si="147"/>
        <v>54.6</v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 t="s">
        <v>21</v>
      </c>
      <c r="D669" s="62" t="s">
        <v>30</v>
      </c>
      <c r="E669" s="62" t="s">
        <v>259</v>
      </c>
      <c r="F669" s="27">
        <v>20</v>
      </c>
      <c r="G669" s="34">
        <f t="shared" si="147"/>
        <v>84</v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 t="s">
        <v>21</v>
      </c>
      <c r="D670" s="62" t="s">
        <v>30</v>
      </c>
      <c r="E670" s="62" t="s">
        <v>259</v>
      </c>
      <c r="F670" s="27">
        <v>20</v>
      </c>
      <c r="G670" s="28">
        <f t="shared" si="147"/>
        <v>84</v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 t="s">
        <v>21</v>
      </c>
      <c r="D671" s="62" t="s">
        <v>30</v>
      </c>
      <c r="E671" s="62" t="s">
        <v>259</v>
      </c>
      <c r="F671" s="27">
        <v>15</v>
      </c>
      <c r="G671" s="34">
        <f t="shared" si="147"/>
        <v>63</v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 t="s">
        <v>21</v>
      </c>
      <c r="D672" s="62" t="s">
        <v>30</v>
      </c>
      <c r="E672" s="62" t="s">
        <v>259</v>
      </c>
      <c r="F672" s="27">
        <v>22</v>
      </c>
      <c r="G672" s="28">
        <f t="shared" si="147"/>
        <v>92.4</v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 t="s">
        <v>21</v>
      </c>
      <c r="D673" s="62" t="s">
        <v>30</v>
      </c>
      <c r="E673" s="62" t="s">
        <v>259</v>
      </c>
      <c r="F673" s="27">
        <v>11</v>
      </c>
      <c r="G673" s="34">
        <f t="shared" si="147"/>
        <v>46.2</v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33" t="s">
        <v>21</v>
      </c>
      <c r="D674" s="62" t="s">
        <v>30</v>
      </c>
      <c r="E674" s="62" t="s">
        <v>259</v>
      </c>
      <c r="F674" s="27">
        <v>7</v>
      </c>
      <c r="G674" s="28">
        <f t="shared" si="147"/>
        <v>29.400000000000002</v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3" t="s">
        <v>236</v>
      </c>
      <c r="B675" s="104"/>
      <c r="C675" s="104"/>
      <c r="D675" s="104"/>
      <c r="E675" s="105">
        <f>SUM(E663:E674)</f>
        <v>0</v>
      </c>
      <c r="F675" s="36">
        <f>SUM(F663:F674)</f>
        <v>108</v>
      </c>
      <c r="G675" s="36">
        <f>SUM(G663:G674)</f>
        <v>453.59999999999997</v>
      </c>
      <c r="H675" s="37"/>
      <c r="I675" s="37"/>
      <c r="J675" s="37"/>
      <c r="K675" s="61"/>
      <c r="L675" s="61"/>
      <c r="M675" s="38">
        <f ca="1">IFERROR(SUM(M663:M674),"")</f>
        <v>0.25555555555555554</v>
      </c>
      <c r="N675" s="36" t="s">
        <v>235</v>
      </c>
      <c r="O675" s="39">
        <v>486620</v>
      </c>
    </row>
    <row r="676" spans="1:15" ht="18" customHeight="1">
      <c r="A676" s="106" t="s">
        <v>237</v>
      </c>
      <c r="B676" s="107"/>
      <c r="C676" s="107"/>
      <c r="D676" s="107"/>
      <c r="E676" s="108">
        <f>E662+E675</f>
        <v>0</v>
      </c>
      <c r="F676" s="40">
        <f>F662+F675</f>
        <v>108</v>
      </c>
      <c r="G676" s="40">
        <f>G662+G675</f>
        <v>453.59999999999997</v>
      </c>
      <c r="H676" s="41"/>
      <c r="I676" s="41"/>
      <c r="J676" s="41"/>
      <c r="K676" s="63"/>
      <c r="L676" s="63"/>
      <c r="M676" s="42">
        <f ca="1">IFERROR(M662+M675,"")</f>
        <v>0.75555555555555554</v>
      </c>
      <c r="N676" s="40" t="s">
        <v>238</v>
      </c>
      <c r="O676" s="48">
        <f>IFERROR(O662+O675,"")</f>
        <v>486620</v>
      </c>
    </row>
    <row r="677" spans="1:15" ht="15" customHeight="1">
      <c r="A677" s="69">
        <v>46229</v>
      </c>
      <c r="B677" s="32">
        <v>0.33333333333333298</v>
      </c>
      <c r="C677" s="33" t="s">
        <v>29</v>
      </c>
      <c r="D677" s="62" t="s">
        <v>30</v>
      </c>
      <c r="E677" s="62" t="s">
        <v>259</v>
      </c>
      <c r="F677" s="27">
        <v>22</v>
      </c>
      <c r="G677" s="34">
        <f t="shared" ref="G677:G688" si="150">IF(F677="","",IF(E677="PC 17",F677*4.2,IF(E677="PC 19",F677*5,"")))</f>
        <v>92.4</v>
      </c>
      <c r="H677" s="33" t="s">
        <v>20</v>
      </c>
      <c r="I677" s="33" t="s">
        <v>57</v>
      </c>
      <c r="J677" s="33" t="s">
        <v>51</v>
      </c>
      <c r="K677" s="29">
        <v>0.31736111111111109</v>
      </c>
      <c r="L677" s="29">
        <v>0.31944444444444442</v>
      </c>
      <c r="M677" s="35">
        <f t="shared" ref="M677:M688" ca="1" si="151">IFERROR(IF(K677="","",IF(L677="",MOD(NOW()-K677,1),IF(L677&gt;=K677,L677-K677,L677+1-K677))),"")</f>
        <v>2.0833333333333259E-3</v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 t="s">
        <v>29</v>
      </c>
      <c r="D678" s="62" t="s">
        <v>30</v>
      </c>
      <c r="E678" s="62" t="s">
        <v>259</v>
      </c>
      <c r="F678" s="27">
        <v>20</v>
      </c>
      <c r="G678" s="28">
        <f t="shared" si="150"/>
        <v>84</v>
      </c>
      <c r="H678" s="26" t="s">
        <v>18</v>
      </c>
      <c r="I678" s="26" t="s">
        <v>160</v>
      </c>
      <c r="J678" s="26" t="s">
        <v>122</v>
      </c>
      <c r="K678" s="29">
        <v>0.39861111111111114</v>
      </c>
      <c r="L678" s="29">
        <v>0.43472222222222223</v>
      </c>
      <c r="M678" s="30">
        <f t="shared" ca="1" si="151"/>
        <v>3.6111111111111094E-2</v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 t="s">
        <v>29</v>
      </c>
      <c r="D679" s="62" t="s">
        <v>30</v>
      </c>
      <c r="E679" s="62" t="s">
        <v>259</v>
      </c>
      <c r="F679" s="27">
        <v>14</v>
      </c>
      <c r="G679" s="34">
        <f t="shared" si="150"/>
        <v>58.800000000000004</v>
      </c>
      <c r="H679" s="33" t="s">
        <v>20</v>
      </c>
      <c r="I679" s="33" t="s">
        <v>57</v>
      </c>
      <c r="J679" s="33" t="s">
        <v>62</v>
      </c>
      <c r="K679" s="29">
        <v>0.50763888888888886</v>
      </c>
      <c r="L679" s="29">
        <v>0.51597222222222228</v>
      </c>
      <c r="M679" s="35">
        <f t="shared" ca="1" si="151"/>
        <v>8.3333333333334147E-3</v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 t="s">
        <v>29</v>
      </c>
      <c r="D680" s="62" t="s">
        <v>30</v>
      </c>
      <c r="E680" s="62" t="s">
        <v>259</v>
      </c>
      <c r="F680" s="27">
        <v>13</v>
      </c>
      <c r="G680" s="28">
        <f t="shared" si="150"/>
        <v>54.6</v>
      </c>
      <c r="H680" s="26" t="s">
        <v>20</v>
      </c>
      <c r="I680" s="26" t="s">
        <v>52</v>
      </c>
      <c r="J680" s="26" t="s">
        <v>28</v>
      </c>
      <c r="K680" s="29">
        <v>0.57638888888888884</v>
      </c>
      <c r="L680" s="29">
        <v>0.59722222222222221</v>
      </c>
      <c r="M680" s="30">
        <f t="shared" ca="1" si="151"/>
        <v>2.083333333333337E-2</v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 t="s">
        <v>29</v>
      </c>
      <c r="D681" s="62" t="s">
        <v>30</v>
      </c>
      <c r="E681" s="57" t="s">
        <v>259</v>
      </c>
      <c r="F681" s="27">
        <v>10</v>
      </c>
      <c r="G681" s="34">
        <f>IF(F681="","",IF(E682="PC 17",F681*4.2,IF(E682="PC 19",F681*5,"")))</f>
        <v>42</v>
      </c>
      <c r="H681" s="33" t="s">
        <v>19</v>
      </c>
      <c r="I681" s="33" t="s">
        <v>160</v>
      </c>
      <c r="J681" s="33" t="s">
        <v>27</v>
      </c>
      <c r="K681" s="29">
        <v>0.70833333333333337</v>
      </c>
      <c r="L681" s="29">
        <v>0.72430555555555554</v>
      </c>
      <c r="M681" s="35">
        <f t="shared" ca="1" si="151"/>
        <v>1.5972222222222165E-2</v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 t="s">
        <v>29</v>
      </c>
      <c r="D682" s="62" t="s">
        <v>30</v>
      </c>
      <c r="E682" s="62" t="s">
        <v>259</v>
      </c>
      <c r="F682" s="27">
        <v>17</v>
      </c>
      <c r="G682" s="28"/>
      <c r="H682" s="26" t="s">
        <v>18</v>
      </c>
      <c r="I682" s="26" t="s">
        <v>52</v>
      </c>
      <c r="J682" s="26" t="s">
        <v>122</v>
      </c>
      <c r="K682" s="29">
        <v>0.72430555555555554</v>
      </c>
      <c r="L682" s="29">
        <v>0.7319444444444444</v>
      </c>
      <c r="M682" s="30">
        <f t="shared" ca="1" si="151"/>
        <v>7.6388888888888618E-3</v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 t="s">
        <v>29</v>
      </c>
      <c r="D683" s="62" t="s">
        <v>30</v>
      </c>
      <c r="E683" s="62" t="s">
        <v>259</v>
      </c>
      <c r="F683" s="27">
        <v>25</v>
      </c>
      <c r="G683" s="34">
        <f t="shared" si="150"/>
        <v>105</v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 t="s">
        <v>29</v>
      </c>
      <c r="D684" s="62" t="s">
        <v>30</v>
      </c>
      <c r="E684" s="62" t="s">
        <v>259</v>
      </c>
      <c r="F684" s="27">
        <v>24</v>
      </c>
      <c r="G684" s="28">
        <f t="shared" si="150"/>
        <v>100.80000000000001</v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 t="s">
        <v>29</v>
      </c>
      <c r="D685" s="62" t="s">
        <v>30</v>
      </c>
      <c r="E685" s="62" t="s">
        <v>259</v>
      </c>
      <c r="F685" s="27">
        <v>22</v>
      </c>
      <c r="G685" s="34">
        <f t="shared" si="150"/>
        <v>92.4</v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 t="s">
        <v>29</v>
      </c>
      <c r="D686" s="62" t="s">
        <v>30</v>
      </c>
      <c r="E686" s="62" t="s">
        <v>259</v>
      </c>
      <c r="F686" s="27">
        <v>17</v>
      </c>
      <c r="G686" s="34">
        <f t="shared" si="150"/>
        <v>71.400000000000006</v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 t="s">
        <v>29</v>
      </c>
      <c r="D687" s="62" t="s">
        <v>30</v>
      </c>
      <c r="E687" s="62" t="s">
        <v>259</v>
      </c>
      <c r="F687" s="27">
        <v>10</v>
      </c>
      <c r="G687" s="34">
        <f t="shared" si="150"/>
        <v>42</v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 t="s">
        <v>29</v>
      </c>
      <c r="D688" s="62" t="s">
        <v>30</v>
      </c>
      <c r="E688" s="62" t="s">
        <v>259</v>
      </c>
      <c r="F688" s="27">
        <v>5</v>
      </c>
      <c r="G688" s="28">
        <f t="shared" si="150"/>
        <v>21</v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3" t="s">
        <v>234</v>
      </c>
      <c r="B689" s="104"/>
      <c r="C689" s="104"/>
      <c r="D689" s="104"/>
      <c r="E689" s="105">
        <f>SUM(E677:E688)</f>
        <v>0</v>
      </c>
      <c r="F689" s="36">
        <f>SUM(F677:F688)</f>
        <v>199</v>
      </c>
      <c r="G689" s="36">
        <f>SUM(G677:G688)</f>
        <v>764.4</v>
      </c>
      <c r="H689" s="37"/>
      <c r="I689" s="37"/>
      <c r="J689" s="37"/>
      <c r="K689" s="61"/>
      <c r="L689" s="61"/>
      <c r="M689" s="38">
        <f ca="1">IFERROR(SUM(M677:M688),"")</f>
        <v>9.0972222222222232E-2</v>
      </c>
      <c r="N689" s="36" t="s">
        <v>235</v>
      </c>
      <c r="O689" s="39">
        <v>838060</v>
      </c>
    </row>
    <row r="690" spans="1:15" ht="15" customHeight="1">
      <c r="A690" s="68">
        <v>46229</v>
      </c>
      <c r="B690" s="25">
        <v>0.83333333333333304</v>
      </c>
      <c r="C690" s="26" t="s">
        <v>21</v>
      </c>
      <c r="D690" s="59" t="s">
        <v>30</v>
      </c>
      <c r="E690" s="59" t="s">
        <v>259</v>
      </c>
      <c r="F690" s="27">
        <v>26</v>
      </c>
      <c r="G690" s="28">
        <f t="shared" ref="G690:G701" si="153">IF(F690="","",IF(E690="PC 17",F690*4.2,IF(E690="PC 19",F690*5,"")))</f>
        <v>109.2</v>
      </c>
      <c r="H690" s="26" t="s">
        <v>20</v>
      </c>
      <c r="I690" s="26" t="s">
        <v>57</v>
      </c>
      <c r="J690" s="26" t="s">
        <v>28</v>
      </c>
      <c r="K690" s="29">
        <v>0.84722222222222221</v>
      </c>
      <c r="L690" s="29">
        <v>0.85763888888888884</v>
      </c>
      <c r="M690" s="30">
        <f t="shared" ref="M690:M701" ca="1" si="154">IFERROR(IF(K690="","",IF(L690="",MOD(NOW()-K690,1),IF(L690&gt;=K690,L690-K690,L690+1-K690))),"")</f>
        <v>1.041666666666663E-2</v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 t="s">
        <v>21</v>
      </c>
      <c r="D691" s="59" t="s">
        <v>30</v>
      </c>
      <c r="E691" s="59" t="s">
        <v>232</v>
      </c>
      <c r="F691" s="27">
        <v>11</v>
      </c>
      <c r="G691" s="34">
        <f t="shared" si="153"/>
        <v>55</v>
      </c>
      <c r="H691" s="33" t="s">
        <v>20</v>
      </c>
      <c r="I691" s="33" t="s">
        <v>57</v>
      </c>
      <c r="J691" s="33" t="s">
        <v>56</v>
      </c>
      <c r="K691" s="29">
        <v>0.91319444444444442</v>
      </c>
      <c r="L691" s="29">
        <v>0.92500000000000004</v>
      </c>
      <c r="M691" s="35">
        <f t="shared" ca="1" si="154"/>
        <v>1.1805555555555625E-2</v>
      </c>
      <c r="N691" s="27" t="s">
        <v>421</v>
      </c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 t="s">
        <v>21</v>
      </c>
      <c r="D692" s="59" t="s">
        <v>30</v>
      </c>
      <c r="E692" s="59" t="s">
        <v>232</v>
      </c>
      <c r="F692" s="27">
        <v>14</v>
      </c>
      <c r="G692" s="28">
        <f t="shared" si="153"/>
        <v>70</v>
      </c>
      <c r="H692" s="26" t="s">
        <v>20</v>
      </c>
      <c r="I692" s="26" t="s">
        <v>57</v>
      </c>
      <c r="J692" s="26" t="s">
        <v>28</v>
      </c>
      <c r="K692" s="29">
        <v>0.16319444444444445</v>
      </c>
      <c r="L692" s="29">
        <v>0.19097222222222221</v>
      </c>
      <c r="M692" s="30">
        <f t="shared" ca="1" si="154"/>
        <v>2.7777777777777762E-2</v>
      </c>
      <c r="N692" s="27" t="s">
        <v>422</v>
      </c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 t="s">
        <v>21</v>
      </c>
      <c r="D693" s="59" t="s">
        <v>30</v>
      </c>
      <c r="E693" s="59" t="s">
        <v>259</v>
      </c>
      <c r="F693" s="27">
        <v>6</v>
      </c>
      <c r="G693" s="34">
        <f t="shared" si="153"/>
        <v>25.200000000000003</v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 t="s">
        <v>21</v>
      </c>
      <c r="D694" s="59" t="s">
        <v>30</v>
      </c>
      <c r="E694" s="59" t="s">
        <v>259</v>
      </c>
      <c r="F694" s="27">
        <v>22</v>
      </c>
      <c r="G694" s="28">
        <f t="shared" si="153"/>
        <v>92.4</v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 t="s">
        <v>21</v>
      </c>
      <c r="D695" s="59" t="s">
        <v>30</v>
      </c>
      <c r="E695" s="59" t="s">
        <v>259</v>
      </c>
      <c r="F695" s="27">
        <v>20</v>
      </c>
      <c r="G695" s="34">
        <f t="shared" si="153"/>
        <v>84</v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 t="s">
        <v>21</v>
      </c>
      <c r="D696" s="59" t="s">
        <v>30</v>
      </c>
      <c r="E696" s="59" t="s">
        <v>259</v>
      </c>
      <c r="F696" s="27">
        <v>22</v>
      </c>
      <c r="G696" s="28">
        <f t="shared" si="153"/>
        <v>92.4</v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 t="s">
        <v>21</v>
      </c>
      <c r="D697" s="59" t="s">
        <v>30</v>
      </c>
      <c r="E697" s="59" t="s">
        <v>259</v>
      </c>
      <c r="F697" s="27">
        <v>14</v>
      </c>
      <c r="G697" s="34">
        <f t="shared" si="153"/>
        <v>58.800000000000004</v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 t="s">
        <v>21</v>
      </c>
      <c r="D698" s="59" t="s">
        <v>30</v>
      </c>
      <c r="E698" s="59" t="s">
        <v>259</v>
      </c>
      <c r="F698" s="27">
        <v>25</v>
      </c>
      <c r="G698" s="28">
        <f t="shared" si="153"/>
        <v>105</v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 t="s">
        <v>21</v>
      </c>
      <c r="D699" s="59" t="s">
        <v>30</v>
      </c>
      <c r="E699" s="59" t="s">
        <v>259</v>
      </c>
      <c r="F699" s="27">
        <v>5</v>
      </c>
      <c r="G699" s="34">
        <f t="shared" si="153"/>
        <v>21</v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 t="s">
        <v>21</v>
      </c>
      <c r="D700" s="59" t="s">
        <v>30</v>
      </c>
      <c r="E700" s="59" t="s">
        <v>259</v>
      </c>
      <c r="F700" s="27">
        <v>22</v>
      </c>
      <c r="G700" s="28">
        <f t="shared" si="153"/>
        <v>92.4</v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 t="s">
        <v>21</v>
      </c>
      <c r="D701" s="59" t="s">
        <v>30</v>
      </c>
      <c r="E701" s="59" t="s">
        <v>259</v>
      </c>
      <c r="F701" s="27">
        <v>5</v>
      </c>
      <c r="G701" s="34">
        <f t="shared" si="153"/>
        <v>21</v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3" t="s">
        <v>236</v>
      </c>
      <c r="B702" s="104"/>
      <c r="C702" s="104"/>
      <c r="D702" s="104"/>
      <c r="E702" s="105">
        <f>SUM(E690:E701)</f>
        <v>0</v>
      </c>
      <c r="F702" s="36">
        <f>SUM(F690:F701)</f>
        <v>192</v>
      </c>
      <c r="G702" s="36">
        <f>SUM(G690:G701)</f>
        <v>826.39999999999986</v>
      </c>
      <c r="H702" s="37"/>
      <c r="I702" s="37"/>
      <c r="J702" s="37"/>
      <c r="K702" s="61"/>
      <c r="L702" s="61"/>
      <c r="M702" s="38">
        <f ca="1">IFERROR(SUM(M690:M701),"")</f>
        <v>5.0000000000000017E-2</v>
      </c>
      <c r="N702" s="36" t="s">
        <v>235</v>
      </c>
      <c r="O702" s="39">
        <v>988790</v>
      </c>
    </row>
    <row r="703" spans="1:15" ht="18" customHeight="1">
      <c r="A703" s="106" t="s">
        <v>237</v>
      </c>
      <c r="B703" s="107"/>
      <c r="C703" s="107"/>
      <c r="D703" s="107"/>
      <c r="E703" s="108">
        <f>E689+E702</f>
        <v>0</v>
      </c>
      <c r="F703" s="40">
        <f>F689+F702</f>
        <v>391</v>
      </c>
      <c r="G703" s="40">
        <f>G689+G702</f>
        <v>1590.7999999999997</v>
      </c>
      <c r="H703" s="41"/>
      <c r="I703" s="41"/>
      <c r="J703" s="41"/>
      <c r="K703" s="63"/>
      <c r="L703" s="63"/>
      <c r="M703" s="42">
        <f ca="1">IFERROR(M689+M702,"")</f>
        <v>0.14097222222222225</v>
      </c>
      <c r="N703" s="40" t="s">
        <v>238</v>
      </c>
      <c r="O703" s="48">
        <f>IFERROR(O689+O702,"")</f>
        <v>1826850</v>
      </c>
    </row>
    <row r="704" spans="1:15" ht="15" customHeight="1">
      <c r="A704" s="68">
        <v>46230</v>
      </c>
      <c r="B704" s="25">
        <v>0.33333333333333298</v>
      </c>
      <c r="C704" s="26" t="s">
        <v>29</v>
      </c>
      <c r="D704" s="59" t="s">
        <v>30</v>
      </c>
      <c r="E704" s="59" t="s">
        <v>259</v>
      </c>
      <c r="F704" s="27">
        <v>2</v>
      </c>
      <c r="G704" s="28">
        <f t="shared" ref="G704:G715" si="156">IF(F704="","",IF(E704="PC 17",F704*4.2,IF(E704="PC 19",F704*5,"")))</f>
        <v>8.4</v>
      </c>
      <c r="H704" s="26" t="s">
        <v>19</v>
      </c>
      <c r="I704" s="26" t="s">
        <v>52</v>
      </c>
      <c r="J704" s="26" t="s">
        <v>35</v>
      </c>
      <c r="K704" s="29">
        <v>0.29166666666666669</v>
      </c>
      <c r="L704" s="29">
        <v>0.33333333333333331</v>
      </c>
      <c r="M704" s="30">
        <f t="shared" ref="M704:M715" ca="1" si="157">IFERROR(IF(K704="","",IF(L704="",MOD(NOW()-K704,1),IF(L704&gt;=K704,L704-K704,L704+1-K704))),"")</f>
        <v>4.166666666666663E-2</v>
      </c>
      <c r="N704" s="27" t="s">
        <v>282</v>
      </c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 t="s">
        <v>29</v>
      </c>
      <c r="D705" s="59" t="s">
        <v>30</v>
      </c>
      <c r="E705" s="59" t="s">
        <v>259</v>
      </c>
      <c r="F705" s="27">
        <v>1</v>
      </c>
      <c r="G705" s="34">
        <f t="shared" si="156"/>
        <v>4.2</v>
      </c>
      <c r="H705" s="33" t="s">
        <v>17</v>
      </c>
      <c r="I705" s="33" t="s">
        <v>138</v>
      </c>
      <c r="J705" s="33" t="s">
        <v>115</v>
      </c>
      <c r="K705" s="29">
        <v>0.35486111111111113</v>
      </c>
      <c r="L705" s="29">
        <v>0.37083333333333335</v>
      </c>
      <c r="M705" s="35">
        <f t="shared" ca="1" si="157"/>
        <v>1.5972222222222221E-2</v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 t="s">
        <v>29</v>
      </c>
      <c r="D706" s="59" t="s">
        <v>30</v>
      </c>
      <c r="E706" s="59" t="s">
        <v>259</v>
      </c>
      <c r="F706" s="27">
        <v>13</v>
      </c>
      <c r="G706" s="28">
        <f t="shared" si="156"/>
        <v>54.6</v>
      </c>
      <c r="H706" s="26" t="s">
        <v>19</v>
      </c>
      <c r="I706" s="26" t="s">
        <v>57</v>
      </c>
      <c r="J706" s="26" t="s">
        <v>43</v>
      </c>
      <c r="K706" s="29">
        <v>0.33333333333333331</v>
      </c>
      <c r="L706" s="29">
        <v>0.3923611111111111</v>
      </c>
      <c r="M706" s="30">
        <f t="shared" ca="1" si="157"/>
        <v>5.902777777777779E-2</v>
      </c>
      <c r="N706" s="27" t="s">
        <v>324</v>
      </c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 t="s">
        <v>29</v>
      </c>
      <c r="D707" s="59" t="s">
        <v>30</v>
      </c>
      <c r="E707" s="59" t="s">
        <v>259</v>
      </c>
      <c r="F707" s="27">
        <v>30</v>
      </c>
      <c r="G707" s="34">
        <f t="shared" si="156"/>
        <v>126</v>
      </c>
      <c r="H707" s="33" t="s">
        <v>20</v>
      </c>
      <c r="I707" s="33" t="s">
        <v>57</v>
      </c>
      <c r="J707" s="33" t="s">
        <v>28</v>
      </c>
      <c r="K707" s="29">
        <v>0.43472222222222223</v>
      </c>
      <c r="L707" s="29">
        <v>0.44305555555555554</v>
      </c>
      <c r="M707" s="35">
        <f t="shared" ca="1" si="157"/>
        <v>8.3333333333333037E-3</v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 t="s">
        <v>29</v>
      </c>
      <c r="D708" s="59" t="s">
        <v>30</v>
      </c>
      <c r="E708" s="59" t="s">
        <v>259</v>
      </c>
      <c r="F708" s="27">
        <v>17</v>
      </c>
      <c r="G708" s="28">
        <f t="shared" si="156"/>
        <v>71.400000000000006</v>
      </c>
      <c r="H708" s="26" t="s">
        <v>18</v>
      </c>
      <c r="I708" s="26" t="s">
        <v>52</v>
      </c>
      <c r="J708" s="26" t="s">
        <v>128</v>
      </c>
      <c r="K708" s="29">
        <v>0.63055555555555554</v>
      </c>
      <c r="L708" s="29">
        <v>0.69513888888888886</v>
      </c>
      <c r="M708" s="30">
        <f t="shared" ca="1" si="157"/>
        <v>6.4583333333333326E-2</v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 t="s">
        <v>29</v>
      </c>
      <c r="D709" s="59" t="s">
        <v>30</v>
      </c>
      <c r="E709" s="59" t="s">
        <v>259</v>
      </c>
      <c r="F709" s="27">
        <v>14</v>
      </c>
      <c r="G709" s="34">
        <f t="shared" si="156"/>
        <v>58.800000000000004</v>
      </c>
      <c r="H709" s="33" t="s">
        <v>18</v>
      </c>
      <c r="I709" s="33" t="s">
        <v>127</v>
      </c>
      <c r="J709" s="33" t="s">
        <v>164</v>
      </c>
      <c r="K709" s="29">
        <v>0.69027777777777777</v>
      </c>
      <c r="L709" s="29">
        <v>0.70694444444444449</v>
      </c>
      <c r="M709" s="35">
        <f t="shared" ca="1" si="157"/>
        <v>1.6666666666666718E-2</v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 t="s">
        <v>29</v>
      </c>
      <c r="D710" s="59" t="s">
        <v>30</v>
      </c>
      <c r="E710" s="59" t="s">
        <v>259</v>
      </c>
      <c r="F710" s="27">
        <v>16</v>
      </c>
      <c r="G710" s="28">
        <f t="shared" si="156"/>
        <v>67.2</v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 t="s">
        <v>29</v>
      </c>
      <c r="D711" s="59" t="s">
        <v>30</v>
      </c>
      <c r="E711" s="59" t="s">
        <v>259</v>
      </c>
      <c r="F711" s="27">
        <v>13</v>
      </c>
      <c r="G711" s="34">
        <f t="shared" si="156"/>
        <v>54.6</v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 t="s">
        <v>29</v>
      </c>
      <c r="D712" s="59" t="s">
        <v>30</v>
      </c>
      <c r="E712" s="59" t="s">
        <v>259</v>
      </c>
      <c r="F712" s="27">
        <v>0</v>
      </c>
      <c r="G712" s="28">
        <f t="shared" si="156"/>
        <v>0</v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 t="s">
        <v>29</v>
      </c>
      <c r="D713" s="59" t="s">
        <v>30</v>
      </c>
      <c r="E713" s="59" t="s">
        <v>259</v>
      </c>
      <c r="F713" s="27">
        <v>15</v>
      </c>
      <c r="G713" s="34">
        <f t="shared" si="156"/>
        <v>63</v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 t="s">
        <v>29</v>
      </c>
      <c r="D714" s="59" t="s">
        <v>30</v>
      </c>
      <c r="E714" s="59" t="s">
        <v>259</v>
      </c>
      <c r="F714" s="27">
        <v>3</v>
      </c>
      <c r="G714" s="28">
        <f t="shared" si="156"/>
        <v>12.600000000000001</v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 t="s">
        <v>29</v>
      </c>
      <c r="D715" s="59" t="s">
        <v>30</v>
      </c>
      <c r="E715" s="59" t="s">
        <v>259</v>
      </c>
      <c r="F715" s="27">
        <v>8</v>
      </c>
      <c r="G715" s="34">
        <f t="shared" si="156"/>
        <v>33.6</v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3" t="s">
        <v>234</v>
      </c>
      <c r="B716" s="104"/>
      <c r="C716" s="104"/>
      <c r="D716" s="104"/>
      <c r="E716" s="105">
        <f>SUM(E704:E715)</f>
        <v>0</v>
      </c>
      <c r="F716" s="36">
        <f>SUM(F704:F715)</f>
        <v>132</v>
      </c>
      <c r="G716" s="36">
        <f>SUM(G704:G715)</f>
        <v>554.40000000000009</v>
      </c>
      <c r="H716" s="37"/>
      <c r="I716" s="37"/>
      <c r="J716" s="37"/>
      <c r="K716" s="61"/>
      <c r="L716" s="61"/>
      <c r="M716" s="38">
        <f ca="1">IFERROR(SUM(M704:M715),"")</f>
        <v>0.20624999999999999</v>
      </c>
      <c r="N716" s="36" t="s">
        <v>235</v>
      </c>
      <c r="O716" s="39">
        <v>613260</v>
      </c>
    </row>
    <row r="717" spans="1:15" ht="15" customHeight="1">
      <c r="A717" s="69">
        <v>46230</v>
      </c>
      <c r="B717" s="32">
        <v>0.83333333333333304</v>
      </c>
      <c r="C717" s="33" t="s">
        <v>21</v>
      </c>
      <c r="D717" s="62" t="s">
        <v>30</v>
      </c>
      <c r="E717" s="62" t="s">
        <v>259</v>
      </c>
      <c r="F717" s="27">
        <v>20</v>
      </c>
      <c r="G717" s="34">
        <f t="shared" ref="G717:G728" si="159">IF(F717="","",IF(E717="PC 17",F717*4.2,IF(E717="PC 19",F717*5,"")))</f>
        <v>84</v>
      </c>
      <c r="H717" s="33" t="s">
        <v>20</v>
      </c>
      <c r="I717" s="33" t="s">
        <v>57</v>
      </c>
      <c r="J717" s="33" t="s">
        <v>28</v>
      </c>
      <c r="K717" s="29">
        <v>0.84305555555555556</v>
      </c>
      <c r="L717" s="29">
        <v>0.85902777777777772</v>
      </c>
      <c r="M717" s="35">
        <f t="shared" ref="M717:M728" ca="1" si="160">IFERROR(IF(K717="","",IF(L717="",MOD(NOW()-K717,1),IF(L717&gt;=K717,L717-K717,L717+1-K717))),"")</f>
        <v>1.5972222222222165E-2</v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33" t="s">
        <v>21</v>
      </c>
      <c r="D718" s="62" t="s">
        <v>30</v>
      </c>
      <c r="E718" s="62" t="s">
        <v>232</v>
      </c>
      <c r="F718" s="27">
        <v>4</v>
      </c>
      <c r="G718" s="28">
        <f t="shared" si="159"/>
        <v>20</v>
      </c>
      <c r="H718" s="26" t="s">
        <v>19</v>
      </c>
      <c r="I718" s="26" t="s">
        <v>160</v>
      </c>
      <c r="J718" s="26" t="s">
        <v>27</v>
      </c>
      <c r="K718" s="29">
        <v>0.89930555555555558</v>
      </c>
      <c r="L718" s="29">
        <v>0.91319444444444442</v>
      </c>
      <c r="M718" s="30">
        <f t="shared" ca="1" si="160"/>
        <v>1.388888888888884E-2</v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 t="s">
        <v>21</v>
      </c>
      <c r="D719" s="62" t="s">
        <v>30</v>
      </c>
      <c r="E719" s="62" t="s">
        <v>259</v>
      </c>
      <c r="F719" s="27">
        <v>23</v>
      </c>
      <c r="G719" s="34">
        <f t="shared" si="159"/>
        <v>96.600000000000009</v>
      </c>
      <c r="H719" s="33" t="s">
        <v>20</v>
      </c>
      <c r="I719" s="33" t="s">
        <v>57</v>
      </c>
      <c r="J719" s="33" t="s">
        <v>28</v>
      </c>
      <c r="K719" s="29">
        <v>0.99305555555555558</v>
      </c>
      <c r="L719" s="29">
        <v>0.99791666666666667</v>
      </c>
      <c r="M719" s="35">
        <f t="shared" ca="1" si="160"/>
        <v>4.8611111111110938E-3</v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33" t="s">
        <v>21</v>
      </c>
      <c r="D720" s="62" t="s">
        <v>30</v>
      </c>
      <c r="E720" s="62" t="s">
        <v>259</v>
      </c>
      <c r="F720" s="27">
        <v>22</v>
      </c>
      <c r="G720" s="28">
        <f t="shared" si="159"/>
        <v>92.4</v>
      </c>
      <c r="H720" s="26" t="s">
        <v>20</v>
      </c>
      <c r="I720" s="26" t="s">
        <v>52</v>
      </c>
      <c r="J720" s="26" t="s">
        <v>28</v>
      </c>
      <c r="K720" s="29">
        <v>1.3888888888888889E-3</v>
      </c>
      <c r="L720" s="29">
        <v>1.1805555555555555E-2</v>
      </c>
      <c r="M720" s="30">
        <f t="shared" ca="1" si="160"/>
        <v>1.0416666666666666E-2</v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 t="s">
        <v>21</v>
      </c>
      <c r="D721" s="62" t="s">
        <v>30</v>
      </c>
      <c r="E721" s="62" t="s">
        <v>259</v>
      </c>
      <c r="F721" s="27">
        <v>8</v>
      </c>
      <c r="G721" s="34">
        <f t="shared" si="159"/>
        <v>33.6</v>
      </c>
      <c r="H721" s="33" t="s">
        <v>20</v>
      </c>
      <c r="I721" s="33" t="s">
        <v>52</v>
      </c>
      <c r="J721" s="33" t="s">
        <v>62</v>
      </c>
      <c r="K721" s="29">
        <v>9.6527777777777782E-2</v>
      </c>
      <c r="L721" s="29">
        <v>0.1</v>
      </c>
      <c r="M721" s="35">
        <f t="shared" ca="1" si="160"/>
        <v>3.4722222222222238E-3</v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33" t="s">
        <v>21</v>
      </c>
      <c r="D722" s="62" t="s">
        <v>30</v>
      </c>
      <c r="E722" s="62" t="s">
        <v>259</v>
      </c>
      <c r="F722" s="27">
        <v>14</v>
      </c>
      <c r="G722" s="28">
        <f t="shared" si="159"/>
        <v>58.800000000000004</v>
      </c>
      <c r="H722" s="26" t="s">
        <v>20</v>
      </c>
      <c r="I722" s="26" t="s">
        <v>139</v>
      </c>
      <c r="J722" s="26" t="s">
        <v>74</v>
      </c>
      <c r="K722" s="29">
        <v>0.18055555555555555</v>
      </c>
      <c r="L722" s="29">
        <v>0.19097222222222221</v>
      </c>
      <c r="M722" s="30">
        <f t="shared" ca="1" si="160"/>
        <v>1.0416666666666657E-2</v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 t="s">
        <v>21</v>
      </c>
      <c r="D723" s="62" t="s">
        <v>30</v>
      </c>
      <c r="E723" s="62" t="s">
        <v>259</v>
      </c>
      <c r="F723" s="27">
        <v>20</v>
      </c>
      <c r="G723" s="34">
        <f t="shared" si="159"/>
        <v>84</v>
      </c>
      <c r="H723" s="33" t="s">
        <v>19</v>
      </c>
      <c r="I723" s="33" t="s">
        <v>52</v>
      </c>
      <c r="J723" s="33" t="s">
        <v>27</v>
      </c>
      <c r="K723" s="29">
        <v>0.2013888888888889</v>
      </c>
      <c r="L723" s="29">
        <v>0.21527777777777779</v>
      </c>
      <c r="M723" s="35">
        <f t="shared" ca="1" si="160"/>
        <v>1.3888888888888895E-2</v>
      </c>
      <c r="N723" s="27" t="s">
        <v>423</v>
      </c>
      <c r="O723" s="60"/>
    </row>
    <row r="724" spans="1:15" ht="15" customHeight="1">
      <c r="A724" s="68">
        <v>46230</v>
      </c>
      <c r="B724" s="25">
        <f t="shared" si="161"/>
        <v>1.1249999999999998</v>
      </c>
      <c r="C724" s="33" t="s">
        <v>21</v>
      </c>
      <c r="D724" s="62" t="s">
        <v>30</v>
      </c>
      <c r="E724" s="62" t="s">
        <v>259</v>
      </c>
      <c r="F724" s="27">
        <v>7</v>
      </c>
      <c r="G724" s="28">
        <f t="shared" si="159"/>
        <v>29.400000000000002</v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 t="s">
        <v>21</v>
      </c>
      <c r="D725" s="62" t="s">
        <v>30</v>
      </c>
      <c r="E725" s="62" t="s">
        <v>232</v>
      </c>
      <c r="F725" s="27">
        <v>28</v>
      </c>
      <c r="G725" s="34">
        <f t="shared" si="159"/>
        <v>140</v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33" t="s">
        <v>21</v>
      </c>
      <c r="D726" s="62" t="s">
        <v>30</v>
      </c>
      <c r="E726" s="62" t="s">
        <v>232</v>
      </c>
      <c r="F726" s="27">
        <v>11</v>
      </c>
      <c r="G726" s="28">
        <f t="shared" si="159"/>
        <v>55</v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 t="s">
        <v>21</v>
      </c>
      <c r="D727" s="62" t="s">
        <v>30</v>
      </c>
      <c r="E727" s="62" t="s">
        <v>232</v>
      </c>
      <c r="F727" s="27">
        <v>10</v>
      </c>
      <c r="G727" s="34">
        <f t="shared" si="159"/>
        <v>50</v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33" t="s">
        <v>21</v>
      </c>
      <c r="D728" s="62" t="s">
        <v>30</v>
      </c>
      <c r="E728" s="62" t="s">
        <v>259</v>
      </c>
      <c r="F728" s="27">
        <v>5</v>
      </c>
      <c r="G728" s="28">
        <f t="shared" si="159"/>
        <v>21</v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3" t="s">
        <v>236</v>
      </c>
      <c r="B729" s="104"/>
      <c r="C729" s="104"/>
      <c r="D729" s="104"/>
      <c r="E729" s="105">
        <f>SUM(E717:E728)</f>
        <v>0</v>
      </c>
      <c r="F729" s="36">
        <f>SUM(F717:F728)</f>
        <v>172</v>
      </c>
      <c r="G729" s="36">
        <f>SUM(G717:G728)</f>
        <v>764.8</v>
      </c>
      <c r="H729" s="37"/>
      <c r="I729" s="37"/>
      <c r="J729" s="37"/>
      <c r="K729" s="61"/>
      <c r="L729" s="61"/>
      <c r="M729" s="38">
        <f ca="1">IFERROR(SUM(M717:M728),"")</f>
        <v>7.2916666666666546E-2</v>
      </c>
      <c r="N729" s="36" t="s">
        <v>235</v>
      </c>
      <c r="O729" s="39">
        <v>852470</v>
      </c>
    </row>
    <row r="730" spans="1:15" ht="18" customHeight="1">
      <c r="A730" s="106" t="s">
        <v>237</v>
      </c>
      <c r="B730" s="107"/>
      <c r="C730" s="107"/>
      <c r="D730" s="107"/>
      <c r="E730" s="108">
        <f>E716+E729</f>
        <v>0</v>
      </c>
      <c r="F730" s="40">
        <f>F716+F729</f>
        <v>304</v>
      </c>
      <c r="G730" s="40">
        <f>G716+G729</f>
        <v>1319.2</v>
      </c>
      <c r="H730" s="41"/>
      <c r="I730" s="41"/>
      <c r="J730" s="41"/>
      <c r="K730" s="63"/>
      <c r="L730" s="63"/>
      <c r="M730" s="42">
        <f ca="1">IFERROR(M716+M729,"")</f>
        <v>0.27916666666666656</v>
      </c>
      <c r="N730" s="40" t="s">
        <v>238</v>
      </c>
      <c r="O730" s="48">
        <f>IFERROR(O716+O729,"")</f>
        <v>1465730</v>
      </c>
    </row>
    <row r="731" spans="1:15" ht="15" customHeight="1">
      <c r="A731" s="69">
        <v>46231</v>
      </c>
      <c r="B731" s="32">
        <v>0.33333333333333298</v>
      </c>
      <c r="C731" s="33" t="s">
        <v>29</v>
      </c>
      <c r="D731" s="62" t="s">
        <v>30</v>
      </c>
      <c r="E731" s="62" t="s">
        <v>259</v>
      </c>
      <c r="F731" s="27">
        <v>15</v>
      </c>
      <c r="G731" s="34">
        <f t="shared" ref="G731:G742" si="162">IF(F731="","",IF(E731="PC 17",F731*4.2,IF(E731="PC 19",F731*5,"")))</f>
        <v>63</v>
      </c>
      <c r="H731" s="33" t="s">
        <v>20</v>
      </c>
      <c r="I731" s="33" t="s">
        <v>153</v>
      </c>
      <c r="J731" s="33" t="s">
        <v>192</v>
      </c>
      <c r="K731" s="29">
        <v>0.30555555555555558</v>
      </c>
      <c r="L731" s="29">
        <v>0.31319444444444444</v>
      </c>
      <c r="M731" s="35">
        <f t="shared" ref="M731:M742" ca="1" si="163">IFERROR(IF(K731="","",IF(L731="",MOD(NOW()-K731,1),IF(L731&gt;=K731,L731-K731,L731+1-K731))),"")</f>
        <v>7.6388888888888618E-3</v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33" t="s">
        <v>29</v>
      </c>
      <c r="D732" s="62" t="s">
        <v>30</v>
      </c>
      <c r="E732" s="59" t="s">
        <v>259</v>
      </c>
      <c r="F732" s="27">
        <v>10</v>
      </c>
      <c r="G732" s="28">
        <f t="shared" si="162"/>
        <v>42</v>
      </c>
      <c r="H732" s="26" t="s">
        <v>20</v>
      </c>
      <c r="I732" s="26" t="s">
        <v>52</v>
      </c>
      <c r="J732" s="26" t="s">
        <v>56</v>
      </c>
      <c r="K732" s="29">
        <v>0.33611111111111114</v>
      </c>
      <c r="L732" s="29">
        <v>0.3576388888888889</v>
      </c>
      <c r="M732" s="30">
        <f t="shared" ca="1" si="163"/>
        <v>2.1527777777777757E-2</v>
      </c>
      <c r="N732" s="27" t="s">
        <v>424</v>
      </c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 t="s">
        <v>29</v>
      </c>
      <c r="D733" s="62" t="s">
        <v>30</v>
      </c>
      <c r="E733" s="62" t="s">
        <v>259</v>
      </c>
      <c r="F733" s="27">
        <v>6</v>
      </c>
      <c r="G733" s="34">
        <f t="shared" si="162"/>
        <v>25.200000000000003</v>
      </c>
      <c r="H733" s="33" t="s">
        <v>19</v>
      </c>
      <c r="I733" s="33" t="s">
        <v>57</v>
      </c>
      <c r="J733" s="33" t="s">
        <v>27</v>
      </c>
      <c r="K733" s="29">
        <v>0.33611111111111114</v>
      </c>
      <c r="L733" s="29">
        <v>0.3576388888888889</v>
      </c>
      <c r="M733" s="35">
        <f t="shared" ca="1" si="163"/>
        <v>2.1527777777777757E-2</v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33" t="s">
        <v>29</v>
      </c>
      <c r="D734" s="62" t="s">
        <v>30</v>
      </c>
      <c r="E734" s="59" t="s">
        <v>259</v>
      </c>
      <c r="F734" s="27">
        <v>16</v>
      </c>
      <c r="G734" s="28">
        <f t="shared" si="162"/>
        <v>67.2</v>
      </c>
      <c r="H734" s="26" t="s">
        <v>18</v>
      </c>
      <c r="I734" s="26" t="s">
        <v>127</v>
      </c>
      <c r="J734" s="26" t="s">
        <v>164</v>
      </c>
      <c r="K734" s="29">
        <v>0.42708333333333331</v>
      </c>
      <c r="L734" s="29">
        <v>0.4513888888888889</v>
      </c>
      <c r="M734" s="30">
        <f t="shared" ca="1" si="163"/>
        <v>2.430555555555558E-2</v>
      </c>
      <c r="N734" s="27" t="s">
        <v>425</v>
      </c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 t="s">
        <v>29</v>
      </c>
      <c r="D735" s="62" t="s">
        <v>30</v>
      </c>
      <c r="E735" s="62" t="s">
        <v>259</v>
      </c>
      <c r="F735" s="27">
        <v>14</v>
      </c>
      <c r="G735" s="34">
        <f t="shared" si="162"/>
        <v>58.800000000000004</v>
      </c>
      <c r="H735" s="33" t="s">
        <v>20</v>
      </c>
      <c r="I735" s="33" t="s">
        <v>155</v>
      </c>
      <c r="J735" s="33" t="s">
        <v>74</v>
      </c>
      <c r="K735" s="29">
        <v>0.49305555555555558</v>
      </c>
      <c r="L735" s="29">
        <v>0.47152777777777777</v>
      </c>
      <c r="M735" s="35">
        <f t="shared" ca="1" si="163"/>
        <v>0.97847222222222219</v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33" t="s">
        <v>29</v>
      </c>
      <c r="D736" s="62" t="s">
        <v>30</v>
      </c>
      <c r="E736" s="59" t="s">
        <v>259</v>
      </c>
      <c r="F736" s="27">
        <v>0</v>
      </c>
      <c r="G736" s="28">
        <f t="shared" si="162"/>
        <v>0</v>
      </c>
      <c r="H736" s="26" t="s">
        <v>19</v>
      </c>
      <c r="I736" s="26" t="s">
        <v>52</v>
      </c>
      <c r="J736" s="26" t="s">
        <v>27</v>
      </c>
      <c r="K736" s="29">
        <v>0.6069444444444444</v>
      </c>
      <c r="L736" s="29">
        <v>0.61875000000000002</v>
      </c>
      <c r="M736" s="30">
        <f t="shared" ca="1" si="163"/>
        <v>1.1805555555555625E-2</v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 t="s">
        <v>29</v>
      </c>
      <c r="D737" s="62" t="s">
        <v>30</v>
      </c>
      <c r="E737" s="62" t="s">
        <v>259</v>
      </c>
      <c r="F737" s="27">
        <v>26</v>
      </c>
      <c r="G737" s="34">
        <f t="shared" si="162"/>
        <v>109.2</v>
      </c>
      <c r="H737" s="33" t="s">
        <v>20</v>
      </c>
      <c r="I737" s="33" t="s">
        <v>57</v>
      </c>
      <c r="J737" s="33" t="s">
        <v>132</v>
      </c>
      <c r="K737" s="29">
        <v>0.70694444444444449</v>
      </c>
      <c r="L737" s="29">
        <v>0.71805555555555556</v>
      </c>
      <c r="M737" s="35">
        <f t="shared" ca="1" si="163"/>
        <v>1.1111111111111072E-2</v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33" t="s">
        <v>29</v>
      </c>
      <c r="D738" s="62" t="s">
        <v>30</v>
      </c>
      <c r="E738" s="59" t="s">
        <v>259</v>
      </c>
      <c r="F738" s="27">
        <v>25</v>
      </c>
      <c r="G738" s="28">
        <f t="shared" si="162"/>
        <v>105</v>
      </c>
      <c r="H738" s="26" t="s">
        <v>20</v>
      </c>
      <c r="I738" s="26" t="s">
        <v>150</v>
      </c>
      <c r="J738" s="26" t="s">
        <v>180</v>
      </c>
      <c r="K738" s="29">
        <v>0.71388888888888891</v>
      </c>
      <c r="L738" s="29">
        <v>0.74097222222222225</v>
      </c>
      <c r="M738" s="30">
        <f t="shared" ca="1" si="163"/>
        <v>2.7083333333333348E-2</v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 t="s">
        <v>29</v>
      </c>
      <c r="D739" s="62" t="s">
        <v>30</v>
      </c>
      <c r="E739" s="62" t="s">
        <v>259</v>
      </c>
      <c r="F739" s="27">
        <v>27</v>
      </c>
      <c r="G739" s="34">
        <f t="shared" si="162"/>
        <v>113.4</v>
      </c>
      <c r="H739" s="33" t="s">
        <v>19</v>
      </c>
      <c r="I739" s="33" t="s">
        <v>57</v>
      </c>
      <c r="J739" s="33" t="s">
        <v>27</v>
      </c>
      <c r="K739" s="29">
        <v>0.71805555555555556</v>
      </c>
      <c r="L739" s="29">
        <v>0.72291666666666665</v>
      </c>
      <c r="M739" s="35">
        <f t="shared" ca="1" si="163"/>
        <v>4.8611111111110938E-3</v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33" t="s">
        <v>29</v>
      </c>
      <c r="D740" s="62" t="s">
        <v>30</v>
      </c>
      <c r="E740" s="59" t="s">
        <v>259</v>
      </c>
      <c r="F740" s="27">
        <v>5</v>
      </c>
      <c r="G740" s="28">
        <f t="shared" si="162"/>
        <v>21</v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 t="s">
        <v>29</v>
      </c>
      <c r="D741" s="62" t="s">
        <v>30</v>
      </c>
      <c r="E741" s="62" t="s">
        <v>259</v>
      </c>
      <c r="F741" s="27">
        <v>5</v>
      </c>
      <c r="G741" s="34">
        <f t="shared" si="162"/>
        <v>21</v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33" t="s">
        <v>29</v>
      </c>
      <c r="D742" s="62" t="s">
        <v>30</v>
      </c>
      <c r="E742" s="59" t="s">
        <v>259</v>
      </c>
      <c r="F742" s="27">
        <v>8</v>
      </c>
      <c r="G742" s="28">
        <f t="shared" si="162"/>
        <v>33.6</v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3" t="s">
        <v>234</v>
      </c>
      <c r="B743" s="104"/>
      <c r="C743" s="104"/>
      <c r="D743" s="104"/>
      <c r="E743" s="105">
        <f>SUM(E731:E742)</f>
        <v>0</v>
      </c>
      <c r="F743" s="36">
        <f>SUM(F731:F742)</f>
        <v>157</v>
      </c>
      <c r="G743" s="36">
        <f>SUM(G731:G742)</f>
        <v>659.4</v>
      </c>
      <c r="H743" s="37"/>
      <c r="I743" s="37"/>
      <c r="J743" s="37"/>
      <c r="K743" s="61"/>
      <c r="L743" s="61"/>
      <c r="M743" s="38">
        <f ca="1">IFERROR(SUM(M731:M742),"")</f>
        <v>1.1083333333333334</v>
      </c>
      <c r="N743" s="36" t="s">
        <v>235</v>
      </c>
      <c r="O743" s="39">
        <v>635080</v>
      </c>
    </row>
    <row r="744" spans="1:15" ht="15" customHeight="1">
      <c r="A744" s="68">
        <v>46231</v>
      </c>
      <c r="B744" s="25">
        <v>0.83333333333333304</v>
      </c>
      <c r="C744" s="26" t="s">
        <v>21</v>
      </c>
      <c r="D744" s="59" t="s">
        <v>30</v>
      </c>
      <c r="E744" s="59" t="s">
        <v>259</v>
      </c>
      <c r="F744" s="27">
        <v>24</v>
      </c>
      <c r="G744" s="28">
        <f t="shared" ref="G744:G755" si="165">IF(F744="","",IF(E744="PC 17",F744*4.2,IF(E744="PC 19",F744*5,"")))</f>
        <v>100.80000000000001</v>
      </c>
      <c r="H744" s="26" t="s">
        <v>17</v>
      </c>
      <c r="I744" s="26"/>
      <c r="J744" s="26" t="s">
        <v>25</v>
      </c>
      <c r="K744" s="29">
        <v>0.88888888888888884</v>
      </c>
      <c r="L744" s="29">
        <v>0.92708333333333337</v>
      </c>
      <c r="M744" s="30">
        <f t="shared" ref="M744:M755" ca="1" si="166">IFERROR(IF(K744="","",IF(L744="",MOD(NOW()-K744,1),IF(L744&gt;=K744,L744-K744,L744+1-K744))),"")</f>
        <v>3.8194444444444531E-2</v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26" t="s">
        <v>21</v>
      </c>
      <c r="D745" s="59" t="s">
        <v>30</v>
      </c>
      <c r="E745" s="59" t="s">
        <v>259</v>
      </c>
      <c r="F745" s="27">
        <v>17</v>
      </c>
      <c r="G745" s="34">
        <f t="shared" si="165"/>
        <v>71.400000000000006</v>
      </c>
      <c r="H745" s="33" t="s">
        <v>20</v>
      </c>
      <c r="I745" s="33" t="s">
        <v>139</v>
      </c>
      <c r="J745" s="33" t="s">
        <v>205</v>
      </c>
      <c r="K745" s="29">
        <v>0.92708333333333337</v>
      </c>
      <c r="L745" s="29">
        <v>0.93333333333333335</v>
      </c>
      <c r="M745" s="35">
        <f t="shared" ca="1" si="166"/>
        <v>6.2499999999999778E-3</v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 t="s">
        <v>21</v>
      </c>
      <c r="D746" s="59" t="s">
        <v>30</v>
      </c>
      <c r="E746" s="59" t="s">
        <v>259</v>
      </c>
      <c r="F746" s="27">
        <v>9</v>
      </c>
      <c r="G746" s="28">
        <f t="shared" si="165"/>
        <v>37.800000000000004</v>
      </c>
      <c r="H746" s="26" t="s">
        <v>19</v>
      </c>
      <c r="I746" s="26" t="s">
        <v>160</v>
      </c>
      <c r="J746" s="33" t="s">
        <v>27</v>
      </c>
      <c r="K746" s="29">
        <v>4.8611111111111112E-2</v>
      </c>
      <c r="L746" s="29">
        <v>6.5972222222222224E-2</v>
      </c>
      <c r="M746" s="30">
        <f t="shared" ca="1" si="166"/>
        <v>1.7361111111111112E-2</v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26" t="s">
        <v>21</v>
      </c>
      <c r="D747" s="59" t="s">
        <v>30</v>
      </c>
      <c r="E747" s="59" t="s">
        <v>259</v>
      </c>
      <c r="F747" s="27">
        <v>8</v>
      </c>
      <c r="G747" s="34">
        <f t="shared" si="165"/>
        <v>33.6</v>
      </c>
      <c r="H747" s="33" t="s">
        <v>20</v>
      </c>
      <c r="I747" s="33" t="s">
        <v>139</v>
      </c>
      <c r="J747" s="33" t="s">
        <v>205</v>
      </c>
      <c r="K747" s="29">
        <v>6.5972222222222224E-2</v>
      </c>
      <c r="L747" s="29">
        <v>8.0555555555555561E-2</v>
      </c>
      <c r="M747" s="35">
        <f t="shared" ca="1" si="166"/>
        <v>1.4583333333333337E-2</v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 t="s">
        <v>21</v>
      </c>
      <c r="D748" s="59" t="s">
        <v>30</v>
      </c>
      <c r="E748" s="59" t="s">
        <v>259</v>
      </c>
      <c r="F748" s="27">
        <v>13</v>
      </c>
      <c r="G748" s="28">
        <f t="shared" si="165"/>
        <v>54.6</v>
      </c>
      <c r="H748" s="26" t="s">
        <v>17</v>
      </c>
      <c r="I748" s="26"/>
      <c r="J748" s="26" t="s">
        <v>25</v>
      </c>
      <c r="K748" s="29">
        <v>0.11805555555555555</v>
      </c>
      <c r="L748" s="29">
        <v>0.1388888888888889</v>
      </c>
      <c r="M748" s="30">
        <f t="shared" ca="1" si="166"/>
        <v>2.0833333333333343E-2</v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26" t="s">
        <v>21</v>
      </c>
      <c r="D749" s="59" t="s">
        <v>30</v>
      </c>
      <c r="E749" s="59" t="s">
        <v>259</v>
      </c>
      <c r="F749" s="27">
        <v>21</v>
      </c>
      <c r="G749" s="34">
        <f t="shared" si="165"/>
        <v>88.2</v>
      </c>
      <c r="H749" s="33" t="s">
        <v>16</v>
      </c>
      <c r="I749" s="33"/>
      <c r="J749" s="33" t="s">
        <v>86</v>
      </c>
      <c r="K749" s="29">
        <v>0.22222222222222221</v>
      </c>
      <c r="L749" s="29">
        <v>0.29166666666666669</v>
      </c>
      <c r="M749" s="35">
        <f t="shared" ca="1" si="166"/>
        <v>6.9444444444444475E-2</v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 t="s">
        <v>21</v>
      </c>
      <c r="D750" s="59" t="s">
        <v>30</v>
      </c>
      <c r="E750" s="59" t="s">
        <v>259</v>
      </c>
      <c r="F750" s="27">
        <v>1</v>
      </c>
      <c r="G750" s="28">
        <f t="shared" si="165"/>
        <v>4.2</v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26" t="s">
        <v>21</v>
      </c>
      <c r="D751" s="59" t="s">
        <v>30</v>
      </c>
      <c r="E751" s="59" t="s">
        <v>259</v>
      </c>
      <c r="F751" s="27">
        <v>6</v>
      </c>
      <c r="G751" s="34">
        <f t="shared" si="165"/>
        <v>25.200000000000003</v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 t="s">
        <v>21</v>
      </c>
      <c r="D752" s="59" t="s">
        <v>30</v>
      </c>
      <c r="E752" s="59" t="s">
        <v>259</v>
      </c>
      <c r="F752" s="27">
        <v>10</v>
      </c>
      <c r="G752" s="28">
        <f t="shared" si="165"/>
        <v>42</v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26" t="s">
        <v>21</v>
      </c>
      <c r="D753" s="59" t="s">
        <v>30</v>
      </c>
      <c r="E753" s="59" t="s">
        <v>259</v>
      </c>
      <c r="F753" s="27">
        <v>0</v>
      </c>
      <c r="G753" s="34">
        <f t="shared" si="165"/>
        <v>0</v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 t="s">
        <v>21</v>
      </c>
      <c r="D754" s="59" t="s">
        <v>30</v>
      </c>
      <c r="E754" s="59" t="s">
        <v>259</v>
      </c>
      <c r="F754" s="27">
        <v>0</v>
      </c>
      <c r="G754" s="28">
        <f t="shared" si="165"/>
        <v>0</v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26" t="s">
        <v>21</v>
      </c>
      <c r="D755" s="59" t="s">
        <v>30</v>
      </c>
      <c r="E755" s="59" t="s">
        <v>259</v>
      </c>
      <c r="F755" s="27">
        <v>0</v>
      </c>
      <c r="G755" s="34">
        <f t="shared" si="165"/>
        <v>0</v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3" t="s">
        <v>236</v>
      </c>
      <c r="B756" s="104"/>
      <c r="C756" s="104"/>
      <c r="D756" s="104"/>
      <c r="E756" s="105">
        <f>SUM(E744:E755)</f>
        <v>0</v>
      </c>
      <c r="F756" s="36">
        <f>SUM(F744:F755)</f>
        <v>109</v>
      </c>
      <c r="G756" s="36">
        <f>SUM(G744:G755)</f>
        <v>457.8</v>
      </c>
      <c r="H756" s="37"/>
      <c r="I756" s="37"/>
      <c r="J756" s="37"/>
      <c r="K756" s="61"/>
      <c r="L756" s="61"/>
      <c r="M756" s="38">
        <f ca="1">IFERROR(SUM(M744:M755),"")</f>
        <v>0.16666666666666677</v>
      </c>
      <c r="N756" s="36" t="s">
        <v>235</v>
      </c>
      <c r="O756" s="39">
        <v>545970</v>
      </c>
    </row>
    <row r="757" spans="1:15" ht="18" customHeight="1">
      <c r="A757" s="106" t="s">
        <v>237</v>
      </c>
      <c r="B757" s="107"/>
      <c r="C757" s="107"/>
      <c r="D757" s="107"/>
      <c r="E757" s="108">
        <f>E743+E756</f>
        <v>0</v>
      </c>
      <c r="F757" s="40">
        <f>F743+F756</f>
        <v>266</v>
      </c>
      <c r="G757" s="40">
        <f>G743+G756</f>
        <v>1117.2</v>
      </c>
      <c r="H757" s="41"/>
      <c r="I757" s="41"/>
      <c r="J757" s="41"/>
      <c r="K757" s="63"/>
      <c r="L757" s="63"/>
      <c r="M757" s="42">
        <f ca="1">IFERROR(M743+M756,"")</f>
        <v>1.2750000000000001</v>
      </c>
      <c r="N757" s="40" t="s">
        <v>238</v>
      </c>
      <c r="O757" s="48">
        <f>IFERROR(O743+O756,"")</f>
        <v>1181050</v>
      </c>
    </row>
    <row r="758" spans="1:15" ht="15" customHeight="1">
      <c r="A758" s="68">
        <v>46232</v>
      </c>
      <c r="B758" s="25">
        <v>0.33333333333333298</v>
      </c>
      <c r="C758" s="26" t="s">
        <v>29</v>
      </c>
      <c r="D758" s="59" t="s">
        <v>30</v>
      </c>
      <c r="E758" s="59"/>
      <c r="F758" s="27">
        <v>0</v>
      </c>
      <c r="G758" s="28" t="str">
        <f t="shared" ref="G758:G769" si="168">IF(F758="","",IF(E758="PC 17",F758*4.2,IF(E758="PC 19",F758*5,"")))</f>
        <v/>
      </c>
      <c r="H758" s="26" t="s">
        <v>16</v>
      </c>
      <c r="I758" s="26"/>
      <c r="J758" s="26" t="s">
        <v>86</v>
      </c>
      <c r="K758" s="29">
        <v>0.29166666666666669</v>
      </c>
      <c r="L758" s="29">
        <v>0.72916666666666663</v>
      </c>
      <c r="M758" s="30">
        <f t="shared" ref="M758:M769" ca="1" si="169">IFERROR(IF(K758="","",IF(L758="",MOD(NOW()-K758,1),IF(L758&gt;=K758,L758-K758,L758+1-K758))),"")</f>
        <v>0.43749999999999994</v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26" t="s">
        <v>29</v>
      </c>
      <c r="D759" s="59" t="s">
        <v>30</v>
      </c>
      <c r="E759" s="62"/>
      <c r="F759" s="27">
        <v>0</v>
      </c>
      <c r="G759" s="34" t="str">
        <f t="shared" si="168"/>
        <v/>
      </c>
      <c r="H759" s="33" t="s">
        <v>17</v>
      </c>
      <c r="I759" s="33"/>
      <c r="J759" s="33" t="s">
        <v>86</v>
      </c>
      <c r="K759" s="29">
        <v>0.73541666666666672</v>
      </c>
      <c r="L759" s="29">
        <v>0.76041666666666663</v>
      </c>
      <c r="M759" s="35">
        <f t="shared" ca="1" si="169"/>
        <v>2.4999999999999911E-2</v>
      </c>
      <c r="N759" s="27" t="s">
        <v>339</v>
      </c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 t="s">
        <v>29</v>
      </c>
      <c r="D760" s="59" t="s">
        <v>30</v>
      </c>
      <c r="E760" s="59"/>
      <c r="F760" s="27">
        <v>0</v>
      </c>
      <c r="G760" s="28" t="str">
        <f t="shared" si="168"/>
        <v/>
      </c>
      <c r="H760" s="26" t="s">
        <v>17</v>
      </c>
      <c r="I760" s="26"/>
      <c r="J760" s="26" t="s">
        <v>25</v>
      </c>
      <c r="K760" s="29">
        <v>0.76458333333333328</v>
      </c>
      <c r="L760" s="29">
        <v>0.76597222222222228</v>
      </c>
      <c r="M760" s="30">
        <f t="shared" ca="1" si="169"/>
        <v>1.388888888888995E-3</v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26" t="s">
        <v>29</v>
      </c>
      <c r="D761" s="59" t="s">
        <v>30</v>
      </c>
      <c r="E761" s="62"/>
      <c r="F761" s="27">
        <v>0</v>
      </c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 t="s">
        <v>29</v>
      </c>
      <c r="D762" s="59" t="s">
        <v>30</v>
      </c>
      <c r="E762" s="59"/>
      <c r="F762" s="27">
        <v>0</v>
      </c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26" t="s">
        <v>29</v>
      </c>
      <c r="D763" s="59" t="s">
        <v>30</v>
      </c>
      <c r="E763" s="62"/>
      <c r="F763" s="27">
        <v>0</v>
      </c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 t="s">
        <v>29</v>
      </c>
      <c r="D764" s="59" t="s">
        <v>30</v>
      </c>
      <c r="E764" s="59"/>
      <c r="F764" s="27">
        <v>0</v>
      </c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26" t="s">
        <v>29</v>
      </c>
      <c r="D765" s="59" t="s">
        <v>30</v>
      </c>
      <c r="E765" s="62"/>
      <c r="F765" s="27">
        <v>0</v>
      </c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 t="s">
        <v>29</v>
      </c>
      <c r="D766" s="59" t="s">
        <v>30</v>
      </c>
      <c r="E766" s="59"/>
      <c r="F766" s="27">
        <v>0</v>
      </c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26" t="s">
        <v>29</v>
      </c>
      <c r="D767" s="59" t="s">
        <v>30</v>
      </c>
      <c r="E767" s="62"/>
      <c r="F767" s="27">
        <v>0</v>
      </c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 t="s">
        <v>29</v>
      </c>
      <c r="D768" s="59" t="s">
        <v>30</v>
      </c>
      <c r="E768" s="59" t="s">
        <v>259</v>
      </c>
      <c r="F768" s="27">
        <v>5</v>
      </c>
      <c r="G768" s="28">
        <f t="shared" si="168"/>
        <v>21</v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26" t="s">
        <v>29</v>
      </c>
      <c r="D769" s="59" t="s">
        <v>30</v>
      </c>
      <c r="E769" s="62" t="s">
        <v>259</v>
      </c>
      <c r="F769" s="27">
        <v>3</v>
      </c>
      <c r="G769" s="34">
        <f t="shared" si="168"/>
        <v>12.600000000000001</v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3" t="s">
        <v>234</v>
      </c>
      <c r="B770" s="104"/>
      <c r="C770" s="104"/>
      <c r="D770" s="104"/>
      <c r="E770" s="105">
        <f>SUM(E758:E769)</f>
        <v>0</v>
      </c>
      <c r="F770" s="36">
        <f>SUM(F758:F769)</f>
        <v>8</v>
      </c>
      <c r="G770" s="36">
        <f>SUM(G758:G769)</f>
        <v>33.6</v>
      </c>
      <c r="H770" s="37"/>
      <c r="I770" s="37"/>
      <c r="J770" s="37"/>
      <c r="K770" s="61"/>
      <c r="L770" s="61"/>
      <c r="M770" s="38">
        <f ca="1">IFERROR(SUM(M758:M769),"")</f>
        <v>0.46388888888888885</v>
      </c>
      <c r="N770" s="36" t="s">
        <v>235</v>
      </c>
      <c r="O770" s="39">
        <v>39360</v>
      </c>
    </row>
    <row r="771" spans="1:15" ht="15" customHeight="1">
      <c r="A771" s="69">
        <v>46232</v>
      </c>
      <c r="B771" s="32">
        <v>0.83333333333333304</v>
      </c>
      <c r="C771" s="33" t="s">
        <v>21</v>
      </c>
      <c r="D771" s="62" t="s">
        <v>22</v>
      </c>
      <c r="E771" s="62" t="s">
        <v>259</v>
      </c>
      <c r="F771" s="27">
        <v>30</v>
      </c>
      <c r="G771" s="34">
        <f t="shared" ref="G771:G782" si="171">IF(F771="","",IF(E771="PC 17",F771*4.2,IF(E771="PC 19",F771*5,"")))</f>
        <v>126</v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33" t="s">
        <v>21</v>
      </c>
      <c r="D772" s="62" t="s">
        <v>22</v>
      </c>
      <c r="E772" s="62" t="s">
        <v>259</v>
      </c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 t="s">
        <v>21</v>
      </c>
      <c r="D773" s="62" t="s">
        <v>22</v>
      </c>
      <c r="E773" s="62" t="s">
        <v>259</v>
      </c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33" t="s">
        <v>21</v>
      </c>
      <c r="D774" s="62" t="s">
        <v>22</v>
      </c>
      <c r="E774" s="62" t="s">
        <v>259</v>
      </c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 t="s">
        <v>21</v>
      </c>
      <c r="D775" s="62" t="s">
        <v>22</v>
      </c>
      <c r="E775" s="62" t="s">
        <v>259</v>
      </c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33" t="s">
        <v>21</v>
      </c>
      <c r="D776" s="62" t="s">
        <v>22</v>
      </c>
      <c r="E776" s="62" t="s">
        <v>259</v>
      </c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 t="s">
        <v>21</v>
      </c>
      <c r="D777" s="62" t="s">
        <v>22</v>
      </c>
      <c r="E777" s="62" t="s">
        <v>259</v>
      </c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33" t="s">
        <v>21</v>
      </c>
      <c r="D778" s="62" t="s">
        <v>22</v>
      </c>
      <c r="E778" s="62" t="s">
        <v>259</v>
      </c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 t="s">
        <v>21</v>
      </c>
      <c r="D779" s="62" t="s">
        <v>22</v>
      </c>
      <c r="E779" s="62" t="s">
        <v>259</v>
      </c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33" t="s">
        <v>21</v>
      </c>
      <c r="D780" s="62" t="s">
        <v>22</v>
      </c>
      <c r="E780" s="62" t="s">
        <v>259</v>
      </c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 t="s">
        <v>21</v>
      </c>
      <c r="D781" s="62" t="s">
        <v>22</v>
      </c>
      <c r="E781" s="62" t="s">
        <v>259</v>
      </c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33" t="s">
        <v>21</v>
      </c>
      <c r="D782" s="62" t="s">
        <v>22</v>
      </c>
      <c r="E782" s="62" t="s">
        <v>259</v>
      </c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3" t="s">
        <v>236</v>
      </c>
      <c r="B783" s="104"/>
      <c r="C783" s="104"/>
      <c r="D783" s="104"/>
      <c r="E783" s="105">
        <f>SUM(E771:E782)</f>
        <v>0</v>
      </c>
      <c r="F783" s="36">
        <f>SUM(F771:F782)</f>
        <v>30</v>
      </c>
      <c r="G783" s="36">
        <f>SUM(G771:G782)</f>
        <v>126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235</v>
      </c>
      <c r="O783" s="39"/>
    </row>
    <row r="784" spans="1:15" ht="18" customHeight="1">
      <c r="A784" s="106" t="s">
        <v>237</v>
      </c>
      <c r="B784" s="107"/>
      <c r="C784" s="107"/>
      <c r="D784" s="107"/>
      <c r="E784" s="108">
        <f>E770+E783</f>
        <v>0</v>
      </c>
      <c r="F784" s="40">
        <f>F770+F783</f>
        <v>38</v>
      </c>
      <c r="G784" s="40">
        <f>G770+G783</f>
        <v>159.6</v>
      </c>
      <c r="H784" s="41"/>
      <c r="I784" s="41"/>
      <c r="J784" s="41"/>
      <c r="K784" s="63"/>
      <c r="L784" s="63"/>
      <c r="M784" s="42">
        <f ca="1">IFERROR(M770+M783,"")</f>
        <v>0.46388888888888885</v>
      </c>
      <c r="N784" s="40" t="s">
        <v>238</v>
      </c>
      <c r="O784" s="48">
        <f>IFERROR(O770+O783,"")</f>
        <v>39360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3" t="s">
        <v>234</v>
      </c>
      <c r="B797" s="104"/>
      <c r="C797" s="104"/>
      <c r="D797" s="104"/>
      <c r="E797" s="105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235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3" t="s">
        <v>236</v>
      </c>
      <c r="B810" s="104"/>
      <c r="C810" s="104"/>
      <c r="D810" s="104"/>
      <c r="E810" s="105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235</v>
      </c>
      <c r="O810" s="39"/>
    </row>
    <row r="811" spans="1:15" ht="18" customHeight="1">
      <c r="A811" s="106" t="s">
        <v>237</v>
      </c>
      <c r="B811" s="107"/>
      <c r="C811" s="107"/>
      <c r="D811" s="107"/>
      <c r="E811" s="108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238</v>
      </c>
      <c r="O811" s="43">
        <f>IFERROR(O797+O810,"")</f>
        <v>0</v>
      </c>
    </row>
  </sheetData>
  <mergeCells count="89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680 E682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2026-07-30T00:06:12Z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