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32" documentId="8_{AF585B22-221D-4780-BB9C-493D365A6A02}" xr6:coauthVersionLast="47" xr6:coauthVersionMax="47" xr10:uidLastSave="{F2142BB7-FF6F-42FF-8EFA-0B07045F7E6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<sst xmlns="http://schemas.openxmlformats.org/spreadsheetml/2006/main" count="11739" uniqueCount="426">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</sst>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75</v>
      </c>
      <c r="G783" s="36">
        <f>SUM(G771:G782)</f>
        <v>375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425</v>
      </c>
      <c r="G784" s="40">
        <f>G770+G783</f>
        <v>2125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0.64614236111083301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0.80378124999972189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0.91350347222194406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0.62461458333564224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0.79544791666897563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0.94058680555786456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34</v>
      </c>
      <c r="G783" s="36">
        <f>SUM(G771:G782)</f>
        <v>151.60000000000002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168</v>
      </c>
      <c r="G784" s="40">
        <f>G770+G783</f>
        <v>722.40000000000009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/>
      <c r="M771" s="35">
        <f t="shared" ref="M771:M782" ca="1" si="172">IFERROR(IF(K771="","",IF(L771="",MOD(NOW()-K771,1),IF(L771&gt;=K771,L771-K771,L771+1-K771))),"")</f>
        <v>6.9059027780895121E-2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</v>
      </c>
      <c r="G783" s="36">
        <f>SUM(G771:G782)</f>
        <v>67</v>
      </c>
      <c r="H783" s="37"/>
      <c r="I783" s="37"/>
      <c r="J783" s="37"/>
      <c r="K783" s="37"/>
      <c r="L783" s="37"/>
      <c r="M783" s="38">
        <f ca="1">IFERROR(SUM(M771:M782),"")</f>
        <v>6.9059027780895121E-2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56</v>
      </c>
      <c r="G784" s="40">
        <f>G770+G783</f>
        <v>243.2</v>
      </c>
      <c r="H784" s="41"/>
      <c r="I784" s="41"/>
      <c r="J784" s="41"/>
      <c r="K784" s="41"/>
      <c r="L784" s="41"/>
      <c r="M784" s="42">
        <f ca="1">IFERROR(M770+M783,"")</f>
        <v>0.18294791666978405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0.63642013889329974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0.83572569444885536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1.2030868055599664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42</v>
      </c>
      <c r="G783" s="36">
        <f>SUM(G771:G782)</f>
        <v>186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</v>
      </c>
      <c r="G784" s="40">
        <f>G770+G783</f>
        <v>219.6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2026-07-30T01:15:39Z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