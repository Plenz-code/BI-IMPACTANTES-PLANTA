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96" documentId="8_{C51EB6CB-002B-4D6B-B68F-DDEBDB4460C0}" xr6:coauthVersionLast="47" xr6:coauthVersionMax="47" xr10:uidLastSave="{A40911BE-3005-4711-BC5A-FF0631831799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<sst xmlns="http://schemas.openxmlformats.org/spreadsheetml/2006/main" count="1612" uniqueCount="253">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</sst>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6" sqref="F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194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194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4" activePane="bottomLeft" state="frozen"/>
      <selection pane="bottomLeft" activeCell="L31" sqref="L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>
        <v>0.43611111111111112</v>
      </c>
      <c r="M30" s="30">
        <f t="shared" ca="1" si="7"/>
        <v>6.2499999999999778E-3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40</v>
      </c>
      <c r="G41" s="36">
        <f>SUM(G29:G40)</f>
        <v>155.39999999999998</v>
      </c>
      <c r="H41" s="37"/>
      <c r="I41" s="37"/>
      <c r="J41" s="37"/>
      <c r="K41" s="37"/>
      <c r="L41" s="37"/>
      <c r="M41" s="38">
        <f ca="1">IFERROR(SUM(M29:M40),"")</f>
        <v>2.0138888888888873E-2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40</v>
      </c>
      <c r="G55" s="40">
        <f>G41+G54</f>
        <v>155.39999999999998</v>
      </c>
      <c r="H55" s="41"/>
      <c r="I55" s="41"/>
      <c r="J55" s="41"/>
      <c r="K55" s="41"/>
      <c r="L55" s="41"/>
      <c r="M55" s="42">
        <f ca="1">IFERROR(M41+M54,"")</f>
        <v>2.0138888888888873E-2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K30" sqref="K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/>
      <c r="M29" s="35">
        <f t="shared" ref="M29:M40" ca="1" si="7">IFERROR(IF(K29="","",IF(L29="",MOD(NOW()-K29,1),IF(L29&gt;=K29,L29-K29,L29+1-K29))),"")</f>
        <v>8.8249999971594661E-3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38</v>
      </c>
      <c r="G41" s="36">
        <f>SUM(G29:G40)</f>
        <v>159.6</v>
      </c>
      <c r="H41" s="37"/>
      <c r="I41" s="37"/>
      <c r="J41" s="37"/>
      <c r="K41" s="37"/>
      <c r="L41" s="37"/>
      <c r="M41" s="38">
        <f ca="1">IFERROR(SUM(M29:M40),"")</f>
        <v>8.8249999971594661E-3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38</v>
      </c>
      <c r="G55" s="40">
        <f>G41+G54</f>
        <v>159.6</v>
      </c>
      <c r="H55" s="41"/>
      <c r="I55" s="41"/>
      <c r="J55" s="41"/>
      <c r="K55" s="41"/>
      <c r="L55" s="41"/>
      <c r="M55" s="42">
        <f ca="1">IFERROR(M41+M54,"")</f>
        <v>8.8249999971594661E-3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H29" sqref="H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74</v>
      </c>
      <c r="G41" s="36">
        <f>SUM(G29:G40)</f>
        <v>310.8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74</v>
      </c>
      <c r="G55" s="40">
        <f>G41+G54</f>
        <v>310.8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2026-08-02T18:27:48Z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