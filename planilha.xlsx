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92" documentId="13_ncr:1_{0A10D8D4-8450-4366-8075-B53B08E6B7EA}" xr6:coauthVersionLast="47" xr6:coauthVersionMax="47" xr10:uidLastSave="{70B1B39E-6007-48D1-9F31-3FDD8D30171F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8" i="6" l="1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<sst xmlns="http://schemas.openxmlformats.org/spreadsheetml/2006/main" count="6535" uniqueCount="348">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</sst>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M25" sqref="M25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69" sqref="F36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115</v>
      </c>
      <c r="G378" s="36">
        <f>SUM(G366:G377)</f>
        <v>575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515</v>
      </c>
      <c r="G379" s="40">
        <f>G365+G378</f>
        <v>2541.4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70" sqref="G3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0.84189722222072305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0.98078611110961189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1.0655083333318343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51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214.2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159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667.8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0" sqref="G3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29.400000000000002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97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407.40000000000009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G370" sqref="G37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331.79999999999995</v>
      </c>
      <c r="L378" s="37"/>
      <c r="M378" s="37"/>
      <c r="N378" s="37"/>
      <c r="O378" s="61"/>
      <c r="P378" s="61"/>
      <c r="Q378" s="38">
        <f ca="1">IFERROR(SUM(Q366:Q377),"")</f>
        <v>5.1388888888888817E-2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275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1155</v>
      </c>
      <c r="L379" s="41"/>
      <c r="M379" s="41"/>
      <c r="N379" s="41"/>
      <c r="O379" s="63"/>
      <c r="P379" s="63"/>
      <c r="Q379" s="42">
        <f ca="1">IFERROR(Q365+Q378,"")</f>
        <v>0.16944444444444451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2026-08-15T03:07:31Z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