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95" documentId="13_ncr:1_{0A10D8D4-8450-4366-8075-B53B08E6B7EA}" xr6:coauthVersionLast="47" xr6:coauthVersionMax="47" xr10:uidLastSave="{42A6EBFD-E431-4F02-AC4F-2CFEE1E789EF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<sst xmlns="http://schemas.openxmlformats.org/spreadsheetml/2006/main" count="7721" uniqueCount="369">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</sst>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27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4.0590277778392192E-2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152</v>
      </c>
      <c r="G459" s="36">
        <f>SUM(G447:G458)</f>
        <v>760</v>
      </c>
      <c r="H459" s="37"/>
      <c r="I459" s="37"/>
      <c r="J459" s="37"/>
      <c r="K459" s="37"/>
      <c r="L459" s="37"/>
      <c r="M459" s="38">
        <f ca="1">IFERROR(SUM(M447:M458),"")</f>
        <v>7.8784722222836723E-2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320</v>
      </c>
      <c r="G460" s="40">
        <f>G446+G459</f>
        <v>1600</v>
      </c>
      <c r="H460" s="41"/>
      <c r="I460" s="41"/>
      <c r="J460" s="41"/>
      <c r="K460" s="41"/>
      <c r="L460" s="41"/>
      <c r="M460" s="42">
        <f ca="1">IFERROR(M446+M459,"")</f>
        <v>0.20725694444505904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0.88086805555212777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1.0197569444410166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1.104479166663239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167</v>
      </c>
      <c r="N449" s="33" t="s">
        <v>34</v>
      </c>
      <c r="O449" s="29">
        <v>0.99652777777777779</v>
      </c>
      <c r="P449" s="29"/>
      <c r="Q449" s="35">
        <f t="shared" ca="1" si="112"/>
        <v>5.8680555521277711E-3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237.2</v>
      </c>
      <c r="L459" s="37"/>
      <c r="M459" s="37"/>
      <c r="N459" s="37"/>
      <c r="O459" s="37"/>
      <c r="P459" s="37"/>
      <c r="Q459" s="38">
        <f ca="1">IFERROR(SUM(Q447:Q458),"")</f>
        <v>1.2812499996572191E-2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166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707.6</v>
      </c>
      <c r="L460" s="41"/>
      <c r="M460" s="41"/>
      <c r="N460" s="41"/>
      <c r="O460" s="41"/>
      <c r="P460" s="41"/>
      <c r="Q460" s="42">
        <f ca="1">IFERROR(Q446+Q459,"")</f>
        <v>8.0173611107683396E-2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N448" sqref="N4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206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201.59999999999997</v>
      </c>
      <c r="L459" s="37"/>
      <c r="M459" s="37"/>
      <c r="N459" s="37"/>
      <c r="O459" s="37"/>
      <c r="P459" s="37"/>
      <c r="Q459" s="38">
        <f ca="1">IFERROR(SUM(Q447:Q458),"")</f>
        <v>1.388888888888884E-2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133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558.6</v>
      </c>
      <c r="L460" s="41"/>
      <c r="M460" s="41"/>
      <c r="N460" s="41"/>
      <c r="O460" s="41"/>
      <c r="P460" s="41"/>
      <c r="Q460" s="42">
        <f ca="1">IFERROR(Q446+Q459,"")</f>
        <v>5.9027777777777735E-2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P448" sqref="P4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170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117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491.4</v>
      </c>
      <c r="L459" s="37"/>
      <c r="M459" s="37"/>
      <c r="N459" s="37"/>
      <c r="O459" s="61"/>
      <c r="P459" s="61"/>
      <c r="Q459" s="38">
        <f ca="1">IFERROR(SUM(Q447:Q458),"")</f>
        <v>2.430555555555558E-2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1260</v>
      </c>
      <c r="L460" s="41"/>
      <c r="M460" s="41"/>
      <c r="N460" s="41"/>
      <c r="O460" s="63"/>
      <c r="P460" s="63"/>
      <c r="Q460" s="42">
        <f ca="1">IFERROR(Q446+Q459,"")</f>
        <v>6.0416666666666674E-2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2026-08-18T04:03:59Z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