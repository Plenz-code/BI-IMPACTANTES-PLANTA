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46" documentId="8_{AF585B22-221D-4780-BB9C-493D365A6A02}" xr6:coauthVersionLast="47" xr6:coauthVersionMax="47" xr10:uidLastSave="{8E4BBEA5-D7BB-42CB-BC1E-59F1C471B30A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" i="3" l="1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13" i="4"/>
  <c r="G12" i="4"/>
  <c r="G11" i="4"/>
  <c r="G10" i="4"/>
  <c r="G9" i="4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<sst xmlns="http://schemas.openxmlformats.org/spreadsheetml/2006/main" count="1144" uniqueCount="199">
  <si>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</si>
  <si>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</si>
  <si>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</si>
  <si>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</si>
  <si>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</si>
  <si>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</si>
  <si>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</si>
  <si>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</si>
  <si>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</si>
  <si>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</si>
  <si>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</si>
  <si>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</si>
  <si>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</si>
  <si>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</si>
  <si>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</si>
  <si>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</si>
  <si>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</si>
  <si>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</si>
  <si>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</si>
  <si>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</si>
  <si>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</si>
  <si>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</si>
  <si>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</si>
  <si>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</si>
  <si>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</si>
  <si>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</si>
  <si>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</si>
  <si>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</si>
  <si>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</si>
  <si>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</si>
  <si>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</si>
  <si>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</si>
  <si>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</si>
  <si>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</si>
  <si>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</si>
  <si>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</si>
  <si>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</si>
  <si>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</si>
  <si>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</si>
  <si>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</si>
  <si>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</si>
  <si>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</si>
  <si>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</si>
  <si>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</si>
  <si>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</si>
  <si>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</si>
  <si>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</si>
  <si>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</si>
  <si>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</si>
  <si>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</si>
  <si>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</si>
  <si>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</si>
  <si>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</si>
  <si>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</si>
  <si>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</si>
  <si>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</si>
  <si>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</si>
  <si>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</si>
  <si>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</si>
  <si>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</si>
  <si>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</si>
  <si>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</si>
  <si>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</si>
  <si>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</si>
  <si>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</si>
  <si>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</si>
  <si>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</si>
  <si>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</si>
  <si>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</si>
  <si>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</si>
  <si>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</si>
  <si>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</si>
  <si>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</si>
  <si>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</si>
  <si>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</si>
  <si>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</si>
  <si>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</si>
  <si>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</si>
  <si>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</si>
  <si>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</si>
  <si>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</si>
  <si>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</si>
  <si>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</si>
  <si>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</si>
  <si>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</si>
  <si>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</si>
  <si>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</si>
  <si>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</si>
  <si>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</si>
  <si>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</si>
  <si>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</si>
  <si>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</si>
  <si>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</si>
  <si>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</si>
  <si>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</si>
  <si>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</si>
  <si>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</si>
  <si>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</si>
  <si>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</si>
  <si>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</si>
  <si>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</si>
  <si>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</si>
  <si>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</si>
  <si>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</si>
  <si>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</si>
  <si>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</si>
  <si>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</si>
  <si>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</si>
  <si>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</si>
  <si>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</si>
  <si>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</si>
  <si>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</si>
  <si>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</si>
  <si>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</si>
  <si>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</si>
  <si>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</si>
  <si>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</si>
  <si>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</si>
  <si>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</si>
  <si>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</si>
  <si>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</si>
  <si>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</si>
  <si>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</si>
  <si>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</si>
  <si>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</si>
  <si>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</si>
  <si>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</si>
  <si>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</si>
  <si>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</si>
  <si>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</si>
  <si>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</si>
  <si>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</si>
  <si>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</si>
  <si>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</si>
  <si>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</si>
  <si>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</si>
  <si>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</si>
  <si>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</si>
  <si>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</si>
  <si>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</si>
  <si>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</si>
  <si>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</si>
  <si>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</si>
  <si>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</si>
  <si>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</si>
  <si>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</si>
  <si>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</si>
  <si>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</si>
  <si>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</si>
  <si>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</si>
  <si>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</si>
  <si>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</si>
  <si>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</si>
  <si>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</si>
  <si>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</si>
  <si>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</si>
  <si>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</si>
  <si>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</si>
  <si>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</si>
  <si>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</si>
  <si>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</si>
  <si>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</si>
  <si>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</si>
  <si>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</si>
  <si>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</si>
  <si>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</si>
  <si>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</si>
  <si>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</si>
  <si>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</si>
  <si>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</si>
  <si>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</si>
  <si>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</si>
  <si>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</si>
  <si>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</si>
  <si>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</si>
  <si>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</si>
  <si>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</si>
  <si>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</si>
  <si>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</si>
  <si>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</si>
  <si>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</si>
  <si>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</si>
  <si>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</si>
  <si>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</si>
  <si>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</si>
  <si>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</si>
  <si>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</si>
  <si>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</si>
  <si>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</si>
  <si>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</si>
  <si>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</si>
  <si>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</si>
  <si>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</si>
  <si>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</si>
  <si>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</si>
  <si>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</si>
  <si>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13;12</t>
  </si>
  <si>
    <t>9;10</t>
  </si>
  <si>
    <t>manutençao no rolamento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</si>
</sst>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6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F7" sqref="F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186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187</v>
      </c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187</v>
      </c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187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187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187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75</v>
      </c>
      <c r="G14" s="36">
        <f>SUM(G2:G13)</f>
        <v>375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75</v>
      </c>
      <c r="G28" s="40">
        <f>G14+G27</f>
        <v>375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4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8" sqref="F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8</v>
      </c>
      <c r="G4" s="28">
        <f t="shared" si="0"/>
        <v>33.6</v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/>
      <c r="G8" s="28" t="str">
        <f t="shared" si="0"/>
        <v/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/>
      <c r="G9" s="34" t="str">
        <f t="shared" si="0"/>
        <v/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49</v>
      </c>
      <c r="G14" s="36">
        <f>SUM(G2:G13)</f>
        <v>205.79999999999998</v>
      </c>
      <c r="H14" s="37"/>
      <c r="I14" s="37"/>
      <c r="J14" s="37"/>
      <c r="K14" s="37"/>
      <c r="L14" s="37"/>
      <c r="M14" s="38">
        <f ca="1">IFERROR(SUM(M2:M13),"")</f>
        <v>6.458333333333327E-2</v>
      </c>
      <c r="N14" s="36" t="s">
        <v>190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54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49</v>
      </c>
      <c r="G28" s="40">
        <f>G14+G27</f>
        <v>205.79999999999998</v>
      </c>
      <c r="H28" s="41"/>
      <c r="I28" s="41"/>
      <c r="J28" s="41"/>
      <c r="K28" s="41"/>
      <c r="L28" s="41"/>
      <c r="M28" s="42">
        <f ca="1">IFERROR(M14+M27,"")</f>
        <v>6.458333333333327E-2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54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54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54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54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5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I5" sqref="I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6</v>
      </c>
      <c r="G5" s="34">
        <f t="shared" si="0"/>
        <v>25.200000000000003</v>
      </c>
      <c r="H5" s="33"/>
      <c r="I5" s="33" t="s">
        <v>47</v>
      </c>
      <c r="J5" s="33"/>
      <c r="K5" s="29" t="s">
        <v>196</v>
      </c>
      <c r="L5" s="29"/>
      <c r="M5" s="35" t="str">
        <f t="shared" ca="1" si="1"/>
        <v/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10</v>
      </c>
      <c r="G6" s="28">
        <f t="shared" si="0"/>
        <v>42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4</v>
      </c>
      <c r="G7" s="34">
        <f t="shared" si="0"/>
        <v>16.8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26</v>
      </c>
      <c r="G14" s="36">
        <f>SUM(G2:G13)</f>
        <v>109.2</v>
      </c>
      <c r="H14" s="37"/>
      <c r="I14" s="37"/>
      <c r="J14" s="37"/>
      <c r="K14" s="37"/>
      <c r="L14" s="37"/>
      <c r="M14" s="38">
        <f ca="1">IFERROR(SUM(M2:M13),"")</f>
        <v>6.3194444444444386E-2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26</v>
      </c>
      <c r="G28" s="40">
        <f>G14+G27</f>
        <v>109.2</v>
      </c>
      <c r="H28" s="41"/>
      <c r="I28" s="41"/>
      <c r="J28" s="41"/>
      <c r="K28" s="41"/>
      <c r="L28" s="41"/>
      <c r="M28" s="42">
        <f ca="1">IFERROR(M14+M27,"")</f>
        <v>6.3194444444444386E-2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39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F8" sqref="F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 t="s">
        <v>197</v>
      </c>
      <c r="M2" s="30" t="str">
        <f t="shared" ref="M2:M13" ca="1" si="1">IFERROR(IF(K2="","",IF(L2="",MOD(NOW()-K2,1),IF(L2&gt;=K2,L2-K2,L2+1-K2))),"")</f>
        <v/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/>
      <c r="I3" s="33"/>
      <c r="J3" s="33"/>
      <c r="K3" s="29"/>
      <c r="L3" s="29"/>
      <c r="M3" s="35" t="str">
        <f t="shared" ca="1" si="1"/>
        <v/>
      </c>
      <c r="N3" s="27"/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5</v>
      </c>
      <c r="G4" s="28">
        <f t="shared" si="0"/>
        <v>21</v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30</v>
      </c>
      <c r="G14" s="36">
        <f>SUM(G2:G13)</f>
        <v>126</v>
      </c>
      <c r="H14" s="37"/>
      <c r="I14" s="37"/>
      <c r="J14" s="37"/>
      <c r="K14" s="61"/>
      <c r="L14" s="61"/>
      <c r="M14" s="38">
        <f ca="1">IFERROR(SUM(M2:M13),"")</f>
        <v>0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30</v>
      </c>
      <c r="G28" s="40">
        <f>G14+G27</f>
        <v>126</v>
      </c>
      <c r="H28" s="41"/>
      <c r="I28" s="41"/>
      <c r="J28" s="41"/>
      <c r="K28" s="63"/>
      <c r="L28" s="63"/>
      <c r="M28" s="42">
        <f ca="1">IFERROR(M14+M27,"")</f>
        <v>0</v>
      </c>
      <c r="N28" s="40" t="s">
        <v>193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193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193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193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190</v>
      </c>
      <c r="O432" s="39"/>
    </row>
    <row r="433" spans="1:17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2026-07-01T17:15:56Z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