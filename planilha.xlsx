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99" documentId="8_{AF585B22-221D-4780-BB9C-493D365A6A02}" xr6:coauthVersionLast="47" xr6:coauthVersionMax="47" xr10:uidLastSave="{E98A484C-8288-49D0-922F-E19D76CD577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<sst xmlns="http://schemas.openxmlformats.org/spreadsheetml/2006/main" count="4077" uniqueCount="276">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</sst>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15" activePane="bottomLeft" state="frozen"/>
      <selection pane="bottomLeft"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>
        <v>0.79166666666666663</v>
      </c>
      <c r="L231" s="29"/>
      <c r="M231" s="35">
        <f t="shared" ref="M231:M242" ca="1" si="52">IFERROR(IF(K231="","",IF(L231="",MOD(NOW()-K231,1),IF(L231&gt;=K231,L231-K231,L231+1-K231))),"")</f>
        <v>2.5686111112008803E-2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2.5686111112008803E-2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0.35624166666756429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8" sqref="E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J231" sqref="J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0.56804722222295823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0.76735277777851385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1.1347138888896249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12</v>
      </c>
      <c r="G231" s="34">
        <f t="shared" ref="G231:G242" si="51">IF(F231="","",IF(E231="PC 17",F231*4.2,IF(E231="PC 19",F231*5,"")))</f>
        <v>50.400000000000006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/>
      <c r="M231" s="35">
        <f t="shared" ref="M231:M242" ca="1" si="52">IFERROR(IF(K231="","",IF(L231="",MOD(NOW()-K231,1),IF(L231&gt;=K231,L231-K231,L231+1-K231))),"")</f>
        <v>9.019444441946689E-3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12</v>
      </c>
      <c r="G243" s="36">
        <f>SUM(G231:G242)</f>
        <v>50.400000000000006</v>
      </c>
      <c r="H243" s="37"/>
      <c r="I243" s="37"/>
      <c r="J243" s="37"/>
      <c r="K243" s="61"/>
      <c r="L243" s="61"/>
      <c r="M243" s="38">
        <f ca="1">IFERROR(SUM(M231:M242),"")</f>
        <v>9.019444441946689E-3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130</v>
      </c>
      <c r="G244" s="40">
        <f>G230+G243</f>
        <v>546</v>
      </c>
      <c r="H244" s="41"/>
      <c r="I244" s="41"/>
      <c r="J244" s="41"/>
      <c r="K244" s="63"/>
      <c r="L244" s="63"/>
      <c r="M244" s="42">
        <f ca="1">IFERROR(M230+M243,"")</f>
        <v>0.20554722221972463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2026-07-09T23:37:56Z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