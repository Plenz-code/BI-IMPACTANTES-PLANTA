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37" documentId="8_{AF585B22-221D-4780-BB9C-493D365A6A02}" xr6:coauthVersionLast="47" xr6:coauthVersionMax="47" xr10:uidLastSave="{211235A4-253D-4202-80ED-6FDD70DAF70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<sst xmlns="http://schemas.openxmlformats.org/spreadsheetml/2006/main" count="4104" uniqueCount="276">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</sst>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6" activePane="bottomLeft" state="frozen"/>
      <selection pane="bottomLeft" activeCell="F233" sqref="F2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260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H232" sqref="H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/>
      <c r="G232" s="28" t="str">
        <f t="shared" si="51"/>
        <v/>
      </c>
      <c r="H232" s="26"/>
      <c r="I232" s="26" t="s">
        <v>31</v>
      </c>
      <c r="J232" s="26"/>
      <c r="K232" s="29">
        <v>0.875</v>
      </c>
      <c r="L232" s="29"/>
      <c r="M232" s="30">
        <f t="shared" ca="1" si="52"/>
        <v>2.465972225763835E-3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1</v>
      </c>
      <c r="G243" s="36">
        <f>SUM(G231:G242)</f>
        <v>4.2</v>
      </c>
      <c r="H243" s="37"/>
      <c r="I243" s="37"/>
      <c r="J243" s="37"/>
      <c r="K243" s="37"/>
      <c r="L243" s="37"/>
      <c r="M243" s="38">
        <f ca="1">IFERROR(SUM(M231:M242),"")</f>
        <v>6.4965972225763835E-2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116</v>
      </c>
      <c r="G244" s="40">
        <f>G230+G243</f>
        <v>487.2</v>
      </c>
      <c r="H244" s="41"/>
      <c r="I244" s="41"/>
      <c r="J244" s="41"/>
      <c r="K244" s="41"/>
      <c r="L244" s="41"/>
      <c r="M244" s="42">
        <f ca="1">IFERROR(M230+M243,"")</f>
        <v>0.39552152778131933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3" sqref="F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27</v>
      </c>
      <c r="G243" s="36">
        <f>SUM(G231:G242)</f>
        <v>113.4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129</v>
      </c>
      <c r="G244" s="40">
        <f>G230+G243</f>
        <v>541.79999999999995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F233" sqref="F2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0.62816041667247191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0.82746597222802754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1.1948270833391386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>
        <v>21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44</v>
      </c>
      <c r="G243" s="36">
        <f>SUM(G231:G242)</f>
        <v>96.600000000000009</v>
      </c>
      <c r="H243" s="37"/>
      <c r="I243" s="37"/>
      <c r="J243" s="37"/>
      <c r="K243" s="61"/>
      <c r="L243" s="61"/>
      <c r="M243" s="38">
        <f ca="1">IFERROR(SUM(M231:M242),"")</f>
        <v>1.4583333333333282E-2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592.20000000000005</v>
      </c>
      <c r="H244" s="41"/>
      <c r="I244" s="41"/>
      <c r="J244" s="41"/>
      <c r="K244" s="63"/>
      <c r="L244" s="63"/>
      <c r="M244" s="42">
        <f ca="1">IFERROR(M230+M243,"")</f>
        <v>0.21111111111111122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2026-07-10T01:03:37Z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