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80" documentId="13_ncr:1_{0A10D8D4-8450-4366-8075-B53B08E6B7EA}" xr6:coauthVersionLast="47" xr6:coauthVersionMax="47" xr10:uidLastSave="{05E7CA43-8EA4-4B63-85CE-916BF816F43A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9" i="5"/>
  <c r="J439" i="5" s="1"/>
  <c r="H440" i="5"/>
  <c r="J440" i="5" s="1"/>
  <c r="H441" i="5"/>
  <c r="J441" i="5" s="1"/>
  <c r="H442" i="5"/>
  <c r="J442" i="5" s="1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39" i="4"/>
  <c r="J439" i="4" s="1"/>
  <c r="H440" i="4"/>
  <c r="J440" i="4" s="1"/>
  <c r="H441" i="4"/>
  <c r="J441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H438" i="6" s="1"/>
  <c r="J438" i="6" s="1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H438" i="5" s="1"/>
  <c r="J438" i="5" s="1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H438" i="4" s="1"/>
  <c r="J438" i="4" s="1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36" i="6" l="1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<sst xmlns="http://schemas.openxmlformats.org/spreadsheetml/2006/main" count="7520" uniqueCount="363">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</sst>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8.5703125" customWidth="1"/>
    <col min="7" max="7" width="12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3412.1299999999997</v>
      </c>
      <c r="J35" s="130">
        <f>IFERROR(AVERAGE(J4:J34),"-")</f>
        <v>0.73940661175970868</v>
      </c>
      <c r="K35" s="157">
        <f>SUM(K4:K34)</f>
        <v>450.78</v>
      </c>
    </row>
  </sheetData>
  <sheetProtection algorithmName="SHA-512" hashValue="vpEPyIQ+isvhVNIhNXU5EEsbytcsu9Kt3n0qT2R0xzcP/yehSKOYg+oMKHRjbnTLVVLKhM6h/OPt0FoZ1a8srg==" saltValue="/7ZKhIhiYjEA6BCa9v2PBQ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04" activePane="bottomLeft" state="frozen"/>
      <selection pane="bottomLeft" activeCell="J434" sqref="J434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27</v>
      </c>
      <c r="I434" s="26" t="s">
        <v>30</v>
      </c>
      <c r="K434" s="29">
        <v>0.52638888888888891</v>
      </c>
      <c r="L434" s="29"/>
      <c r="M434" s="30">
        <f t="shared" ref="M434:M445" ca="1" si="92">IFERROR(IF(K434="","",IF(L434="",MOD(NOW()-K434,1),IF(L434&gt;=K434,L434-K434,L434+1-K434))),"")</f>
        <v>9.5333333374583162E-3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I435" s="33"/>
      <c r="J435" s="26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>
        <v>21</v>
      </c>
      <c r="G436" s="28">
        <f t="shared" si="91"/>
        <v>105</v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>
        <v>15</v>
      </c>
      <c r="G437" s="34">
        <f t="shared" si="91"/>
        <v>75</v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>
        <v>15</v>
      </c>
      <c r="G438" s="28">
        <f t="shared" si="91"/>
        <v>75</v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70</v>
      </c>
      <c r="G446" s="36">
        <f>SUM(G434:G445)</f>
        <v>350</v>
      </c>
      <c r="H446" s="37"/>
      <c r="I446" s="37"/>
      <c r="J446" s="37"/>
      <c r="K446" s="37"/>
      <c r="L446" s="37"/>
      <c r="M446" s="38">
        <f ca="1">IFERROR(SUM(M434:M445),"")</f>
        <v>9.5333333374583162E-3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70</v>
      </c>
      <c r="G460" s="40">
        <f>G446+G459</f>
        <v>350</v>
      </c>
      <c r="H460" s="41"/>
      <c r="I460" s="41"/>
      <c r="J460" s="41"/>
      <c r="K460" s="41"/>
      <c r="L460" s="41"/>
      <c r="M460" s="42">
        <f ca="1">IFERROR(M446+M459,"")</f>
        <v>9.5333333374583162E-3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3">
    <dataValidation type="list" allowBlank="1" showErrorMessage="1" errorTitle="Valor inválido" error="Selecione PC 17 ou PC 19 da lista." sqref="E15:E26 E2:E13 E454:E838 E29:E229 E231:E310 E312:E381 E383:E452" xr:uid="{997D648D-8B8D-4608-8680-D36F97031004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900" xr:uid="{CAD48489-D534-460E-998B-4291DED28366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5" xr:uid="{ADAA71FA-4ADB-4414-9F13-FAD644EEDDD9}">
      <formula1>INDIRECT("Desc_"&amp;SUBSTITUTE(SUBSTITUTE(SUBSTITUTE(SUBSTITUTE(SUBSTITUTE(SUBSTITUTE(SUBSTITUTE(SUBSTITUTE(SUBSTITUTE(SUBSTITUTE(H434,"é","e"),"ê","e"),"ã","a"),"ç","c"),"â","a"),"í","i"),"á","a"),"ó","o"),"ú","u"),"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5D255000-831F-4FEE-9FF6-2A9D4DB0CAEC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688A391B-1D47-4A28-A5AA-78C8B551994F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7B9F7A4A-0427-4263-B294-2FAAA3AB5A74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9C84FF90-6936-433C-A27D-71F689C077BB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892B80A9-C9F6-474B-A316-4F1D74267CF1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01" activePane="bottomLeft" state="frozen"/>
      <selection pane="bottomLeft" activeCell="G439" sqref="G439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0.41439444444404216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0.553283333332931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0.63800555555515337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46.2</v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58.800000000000004</v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77" t="s">
        <v>308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>IF(G440="","",IF(E445="PC 17",G440*4.2,IF(E445="PC 19",G440*5,IF(E445="CB",G440*24,""))))</f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49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205.8</v>
      </c>
      <c r="L446" s="37"/>
      <c r="M446" s="37"/>
      <c r="N446" s="37"/>
      <c r="O446" s="37"/>
      <c r="P446" s="37"/>
      <c r="Q446" s="38">
        <f ca="1">IFERROR(SUM(Q434:Q445),"")</f>
        <v>3.6805555555555536E-2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49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205.8</v>
      </c>
      <c r="L460" s="41"/>
      <c r="M460" s="41"/>
      <c r="N460" s="41"/>
      <c r="O460" s="41"/>
      <c r="P460" s="41"/>
      <c r="Q460" s="42">
        <f ca="1">IFERROR(Q446+Q459,"")</f>
        <v>3.6805555555555536E-2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93" activePane="bottomLeft" state="frozen"/>
      <selection pane="bottomLeft" activeCell="G439" sqref="G43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4"/>
        <v>0</v>
      </c>
      <c r="K436" s="28">
        <f t="shared" si="105"/>
        <v>46.2</v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4"/>
        <v>0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32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134.4</v>
      </c>
      <c r="L446" s="37"/>
      <c r="M446" s="37"/>
      <c r="N446" s="37"/>
      <c r="O446" s="37"/>
      <c r="P446" s="37"/>
      <c r="Q446" s="38">
        <f ca="1">IFERROR(SUM(Q434:Q445),"")</f>
        <v>9.7222222222222432E-3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32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134.4</v>
      </c>
      <c r="L460" s="41"/>
      <c r="M460" s="41"/>
      <c r="N460" s="41"/>
      <c r="O460" s="41"/>
      <c r="P460" s="41"/>
      <c r="Q460" s="42">
        <f ca="1">IFERROR(Q446+Q459,"")</f>
        <v>9.7222222222222432E-3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3" activePane="bottomLeft" state="frozen"/>
      <selection pane="bottomLeft" activeCell="G439" sqref="G439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0</v>
      </c>
      <c r="I436" s="135">
        <f>IFERROR(IF($D436="","",VLOOKUP($D436,Cadastro!$C$4:$G$7,5,FALSE)),"")</f>
        <v>0.6</v>
      </c>
      <c r="J436" s="136">
        <f t="shared" si="106"/>
        <v>0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0</v>
      </c>
      <c r="I437" s="135">
        <f>IFERROR(IF($D437="","",VLOOKUP($D437,Cadastro!$C$4:$G$7,5,FALSE)),"")</f>
        <v>0.6</v>
      </c>
      <c r="J437" s="136">
        <f t="shared" si="106"/>
        <v>0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6"/>
        <v>0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122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512.40000000000009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122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512.40000000000009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2026-08-17T16:51:43Z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