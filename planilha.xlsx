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086" documentId="8_{AF585B22-221D-4780-BB9C-493D365A6A02}" xr6:coauthVersionLast="47" xr6:coauthVersionMax="47" xr10:uidLastSave="{1F07BBB2-FC2D-4FCD-B635-C9CD00780010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<sst xmlns="http://schemas.openxmlformats.org/spreadsheetml/2006/main" count="2363" uniqueCount="228">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</sst>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6" sqref="G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1704450</v>
      </c>
      <c r="D7" s="11">
        <f>IFERROR('Linha 1'!O109,"")</f>
        <v>577610</v>
      </c>
      <c r="E7" s="11">
        <f>IFERROR('Linha 2'!O109,"")</f>
        <v>536290</v>
      </c>
      <c r="F7" s="11">
        <f>IFERROR('Linha 3'!O109,"")</f>
        <v>776910</v>
      </c>
      <c r="G7" s="12">
        <f t="shared" si="0"/>
        <v>1890810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8276020</v>
      </c>
      <c r="D35" s="13">
        <f>IFERROR(SUM(D4:D34),"")</f>
        <v>3014030</v>
      </c>
      <c r="E35" s="13">
        <f>IFERROR(SUM(E4:E34),"")</f>
        <v>2304980</v>
      </c>
      <c r="F35" s="13">
        <f>IFERROR(SUM(F4:F34),"")</f>
        <v>3413600</v>
      </c>
      <c r="G35" s="13">
        <f>IFERROR(SUM(G4:G34),"")</f>
        <v>8732610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27" zoomScale="85" zoomScaleNormal="85" workbookViewId="0">
      <selection activeCell="M48" sqref="M4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/>
    </row>
    <row r="49" spans="1:13" ht="18" customHeight="1">
      <c r="H49" s="96"/>
      <c r="I49" s="17"/>
      <c r="J49" s="17"/>
      <c r="K49" s="17" t="s">
        <v>178</v>
      </c>
      <c r="L49" s="17"/>
      <c r="M49" s="17"/>
    </row>
    <row r="50" spans="1:13" ht="21" customHeight="1">
      <c r="A50" s="19" t="s">
        <v>179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180</v>
      </c>
      <c r="L50" s="16"/>
      <c r="M50" s="16"/>
    </row>
    <row r="51" spans="1:13" ht="24" customHeight="1">
      <c r="H51" s="96"/>
      <c r="I51" s="17"/>
      <c r="J51" s="17"/>
      <c r="K51" s="17" t="s">
        <v>181</v>
      </c>
      <c r="L51" s="17"/>
      <c r="M51" s="17"/>
    </row>
    <row r="52" spans="1:13" ht="24" customHeight="1">
      <c r="H52" s="96"/>
      <c r="I52" s="16"/>
      <c r="J52" s="16"/>
      <c r="K52" s="16" t="s">
        <v>182</v>
      </c>
      <c r="L52" s="16"/>
      <c r="M52" s="16"/>
    </row>
    <row r="53" spans="1:13" ht="36" customHeight="1">
      <c r="H53" s="96"/>
      <c r="I53" s="17"/>
      <c r="J53" s="17"/>
      <c r="K53" s="17" t="s">
        <v>183</v>
      </c>
      <c r="L53" s="17"/>
      <c r="M53" s="17"/>
    </row>
    <row r="54" spans="1:13" ht="15" customHeight="1">
      <c r="H54" s="96"/>
      <c r="I54" s="16"/>
      <c r="J54" s="16"/>
      <c r="K54" s="16"/>
      <c r="L54" s="16"/>
      <c r="M54" s="16"/>
    </row>
    <row r="55" spans="1:13" ht="15" customHeight="1">
      <c r="H55" s="96"/>
      <c r="I55" s="17"/>
      <c r="J55" s="17"/>
      <c r="K55" s="17"/>
      <c r="L55" s="17"/>
      <c r="M55" s="17"/>
    </row>
    <row r="56" spans="1:13" ht="15" customHeight="1">
      <c r="H56" s="96"/>
      <c r="I56" s="16"/>
      <c r="J56" s="16"/>
      <c r="K56" s="16"/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73" activePane="bottomLeft" state="frozen"/>
      <selection pane="bottomLeft" activeCell="E99" sqref="E9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194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9" t="s">
        <v>197</v>
      </c>
      <c r="B14" s="90"/>
      <c r="C14" s="90"/>
      <c r="D14" s="90"/>
      <c r="E14" s="9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9" t="s">
        <v>199</v>
      </c>
      <c r="B27" s="90"/>
      <c r="C27" s="90"/>
      <c r="D27" s="90"/>
      <c r="E27" s="9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198</v>
      </c>
      <c r="O27" s="39">
        <v>1183060</v>
      </c>
    </row>
    <row r="28" spans="1:15" ht="18" customHeight="1">
      <c r="A28" s="86" t="s">
        <v>200</v>
      </c>
      <c r="B28" s="87"/>
      <c r="C28" s="87"/>
      <c r="D28" s="87"/>
      <c r="E28" s="8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9" t="s">
        <v>197</v>
      </c>
      <c r="B41" s="90"/>
      <c r="C41" s="90"/>
      <c r="D41" s="90"/>
      <c r="E41" s="9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9" t="s">
        <v>199</v>
      </c>
      <c r="B54" s="90"/>
      <c r="C54" s="90"/>
      <c r="D54" s="90"/>
      <c r="E54" s="9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198</v>
      </c>
      <c r="O54" s="39">
        <v>959290</v>
      </c>
    </row>
    <row r="55" spans="1:15" ht="18" customHeight="1">
      <c r="A55" s="86" t="s">
        <v>200</v>
      </c>
      <c r="B55" s="87"/>
      <c r="C55" s="87"/>
      <c r="D55" s="87"/>
      <c r="E55" s="8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9" t="s">
        <v>197</v>
      </c>
      <c r="B68" s="90"/>
      <c r="C68" s="90"/>
      <c r="D68" s="90"/>
      <c r="E68" s="9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9" t="s">
        <v>199</v>
      </c>
      <c r="B81" s="90"/>
      <c r="C81" s="90"/>
      <c r="D81" s="90"/>
      <c r="E81" s="9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198</v>
      </c>
      <c r="O81" s="39">
        <v>878050</v>
      </c>
    </row>
    <row r="82" spans="1:15" ht="18" customHeight="1">
      <c r="A82" s="86" t="s">
        <v>200</v>
      </c>
      <c r="B82" s="87"/>
      <c r="C82" s="87"/>
      <c r="D82" s="87"/>
      <c r="E82" s="8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195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9" t="s">
        <v>197</v>
      </c>
      <c r="B95" s="90"/>
      <c r="C95" s="90"/>
      <c r="D95" s="90"/>
      <c r="E95" s="9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198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195</v>
      </c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195</v>
      </c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195</v>
      </c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195</v>
      </c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9" t="s">
        <v>199</v>
      </c>
      <c r="B108" s="90"/>
      <c r="C108" s="90"/>
      <c r="D108" s="90"/>
      <c r="E108" s="9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198</v>
      </c>
      <c r="O108" s="39"/>
    </row>
    <row r="109" spans="1:15" ht="18" customHeight="1">
      <c r="A109" s="86" t="s">
        <v>200</v>
      </c>
      <c r="B109" s="87"/>
      <c r="C109" s="87"/>
      <c r="D109" s="87"/>
      <c r="E109" s="8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201</v>
      </c>
      <c r="O109" s="43">
        <f>IFERROR(O95+O108,"")</f>
        <v>1704450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9" t="s">
        <v>197</v>
      </c>
      <c r="B122" s="90"/>
      <c r="C122" s="90"/>
      <c r="D122" s="90"/>
      <c r="E122" s="9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9" t="s">
        <v>199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6" t="s">
        <v>200</v>
      </c>
      <c r="B136" s="87"/>
      <c r="C136" s="87"/>
      <c r="D136" s="87"/>
      <c r="E136" s="88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9" t="s">
        <v>197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9" t="s">
        <v>199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44"/>
    </row>
    <row r="163" spans="1:15" ht="18" customHeight="1">
      <c r="A163" s="86" t="s">
        <v>200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9" t="s">
        <v>197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9" t="s">
        <v>199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6" t="s">
        <v>200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9" t="s">
        <v>197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9" t="s">
        <v>199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45"/>
    </row>
    <row r="217" spans="1:15" ht="18" customHeight="1">
      <c r="A217" s="86" t="s">
        <v>200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9" t="s">
        <v>197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9" t="s">
        <v>199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6" t="s">
        <v>200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9" t="s">
        <v>197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9" t="s">
        <v>199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6" t="s">
        <v>200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9" t="s">
        <v>197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9" t="s">
        <v>199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6" t="s">
        <v>200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9" t="s">
        <v>197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9" t="s">
        <v>199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6" t="s">
        <v>200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9" t="s">
        <v>197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9" t="s">
        <v>199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6" t="s">
        <v>200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9" t="s">
        <v>197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9" t="s">
        <v>199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6" t="s">
        <v>200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9" t="s">
        <v>197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9" t="s">
        <v>199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6" t="s">
        <v>200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9" t="s">
        <v>197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9" t="s">
        <v>199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39"/>
    </row>
    <row r="433" spans="1:15" ht="18" customHeight="1">
      <c r="A433" s="86" t="s">
        <v>200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9" t="s">
        <v>197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9" t="s">
        <v>199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6" t="s">
        <v>200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9" t="s">
        <v>197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9" t="s">
        <v>199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6" t="s">
        <v>200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9" t="s">
        <v>197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9" t="s">
        <v>199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6" t="s">
        <v>200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9" t="s">
        <v>197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9" t="s">
        <v>199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6" t="s">
        <v>200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9" t="s">
        <v>197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9" t="s">
        <v>199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6" t="s">
        <v>200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9" t="s">
        <v>197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9" t="s">
        <v>199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6" t="s">
        <v>200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9" t="s">
        <v>197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9" t="s">
        <v>199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6" t="s">
        <v>200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9" t="s">
        <v>197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9" t="s">
        <v>199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6" t="s">
        <v>200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9" t="s">
        <v>197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9" t="s">
        <v>199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6" t="s">
        <v>200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9" t="s">
        <v>197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9" t="s">
        <v>199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6" t="s">
        <v>200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9" t="s">
        <v>197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9" t="s">
        <v>199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6" t="s">
        <v>200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9" t="s">
        <v>197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9" t="s">
        <v>199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6" t="s">
        <v>200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9" t="s">
        <v>197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9" t="s">
        <v>199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6" t="s">
        <v>200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9" t="s">
        <v>197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9" t="s">
        <v>199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6" t="s">
        <v>200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2" activePane="bottomLeft" state="frozen"/>
      <selection pane="bottomLeft" activeCell="F98" sqref="F9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205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9" t="s">
        <v>197</v>
      </c>
      <c r="B14" s="90"/>
      <c r="C14" s="90"/>
      <c r="D14" s="90"/>
      <c r="E14" s="9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9" t="s">
        <v>199</v>
      </c>
      <c r="B27" s="90"/>
      <c r="C27" s="90"/>
      <c r="D27" s="90"/>
      <c r="E27" s="9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198</v>
      </c>
      <c r="O27" s="78">
        <v>393200</v>
      </c>
    </row>
    <row r="28" spans="1:15" ht="18" customHeight="1">
      <c r="A28" s="86" t="s">
        <v>200</v>
      </c>
      <c r="B28" s="87"/>
      <c r="C28" s="87"/>
      <c r="D28" s="87"/>
      <c r="E28" s="8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9" t="s">
        <v>197</v>
      </c>
      <c r="B41" s="90"/>
      <c r="C41" s="90"/>
      <c r="D41" s="90"/>
      <c r="E41" s="9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205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9" t="s">
        <v>199</v>
      </c>
      <c r="B54" s="90"/>
      <c r="C54" s="90"/>
      <c r="D54" s="90"/>
      <c r="E54" s="9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198</v>
      </c>
      <c r="O54" s="85">
        <v>276360</v>
      </c>
    </row>
    <row r="55" spans="1:15" ht="18" customHeight="1">
      <c r="A55" s="86" t="s">
        <v>200</v>
      </c>
      <c r="B55" s="87"/>
      <c r="C55" s="87"/>
      <c r="D55" s="87"/>
      <c r="E55" s="8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208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209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9" t="s">
        <v>197</v>
      </c>
      <c r="B68" s="90"/>
      <c r="C68" s="90"/>
      <c r="D68" s="90"/>
      <c r="E68" s="9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198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9" t="s">
        <v>199</v>
      </c>
      <c r="B81" s="90"/>
      <c r="C81" s="90"/>
      <c r="D81" s="90"/>
      <c r="E81" s="9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198</v>
      </c>
      <c r="O81" s="54">
        <v>787860</v>
      </c>
    </row>
    <row r="82" spans="1:15" ht="18" customHeight="1">
      <c r="A82" s="86" t="s">
        <v>200</v>
      </c>
      <c r="B82" s="87"/>
      <c r="C82" s="87"/>
      <c r="D82" s="87"/>
      <c r="E82" s="8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9" t="s">
        <v>197</v>
      </c>
      <c r="B95" s="90"/>
      <c r="C95" s="90"/>
      <c r="D95" s="90"/>
      <c r="E95" s="9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198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205</v>
      </c>
      <c r="F96" s="27">
        <v>8</v>
      </c>
      <c r="G96" s="34">
        <f t="shared" ref="G96:G107" si="21">IF(F96="","",IF(E96="PC 17",F96*4.2,IF(E96="PC 19",F96*5,"")))</f>
        <v>33.6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205</v>
      </c>
      <c r="F97" s="27">
        <v>10</v>
      </c>
      <c r="G97" s="28">
        <f t="shared" si="21"/>
        <v>42</v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205</v>
      </c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205</v>
      </c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205</v>
      </c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205</v>
      </c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205</v>
      </c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205</v>
      </c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205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205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205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205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9" t="s">
        <v>199</v>
      </c>
      <c r="B108" s="90"/>
      <c r="C108" s="90"/>
      <c r="D108" s="90"/>
      <c r="E108" s="91">
        <f>SUM(E96:E107)</f>
        <v>0</v>
      </c>
      <c r="F108" s="36">
        <f>SUM(F96:F107)</f>
        <v>18</v>
      </c>
      <c r="G108" s="36">
        <f>SUM(G96:G107)</f>
        <v>75.599999999999994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198</v>
      </c>
      <c r="O108" s="54"/>
    </row>
    <row r="109" spans="1:15" ht="18" customHeight="1">
      <c r="A109" s="86" t="s">
        <v>200</v>
      </c>
      <c r="B109" s="87"/>
      <c r="C109" s="87"/>
      <c r="D109" s="87"/>
      <c r="E109" s="88">
        <f>E95+E108</f>
        <v>0</v>
      </c>
      <c r="F109" s="40">
        <f>F95+F108</f>
        <v>130</v>
      </c>
      <c r="G109" s="40">
        <f>G95+G108</f>
        <v>594.80000000000007</v>
      </c>
      <c r="H109" s="41"/>
      <c r="I109" s="41"/>
      <c r="J109" s="41"/>
      <c r="K109" s="41"/>
      <c r="L109" s="41"/>
      <c r="M109" s="42">
        <f ca="1">IFERROR(M95+M108,"")</f>
        <v>0.26180555555555557</v>
      </c>
      <c r="N109" s="40" t="s">
        <v>201</v>
      </c>
      <c r="O109" s="83">
        <f>IFERROR(O95+O108,"")</f>
        <v>577610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9" t="s">
        <v>197</v>
      </c>
      <c r="B122" s="90"/>
      <c r="C122" s="90"/>
      <c r="D122" s="90"/>
      <c r="E122" s="9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9" t="s">
        <v>199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54"/>
    </row>
    <row r="136" spans="1:15" ht="18" customHeight="1">
      <c r="A136" s="86" t="s">
        <v>200</v>
      </c>
      <c r="B136" s="87"/>
      <c r="C136" s="87"/>
      <c r="D136" s="87"/>
      <c r="E136" s="88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8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9" t="s">
        <v>197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9" t="s">
        <v>199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54"/>
    </row>
    <row r="163" spans="1:15" ht="18" customHeight="1">
      <c r="A163" s="86" t="s">
        <v>200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9" t="s">
        <v>197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9" t="s">
        <v>199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78"/>
    </row>
    <row r="190" spans="1:15" ht="18" customHeight="1">
      <c r="A190" s="86" t="s">
        <v>200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9" t="s">
        <v>197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9" t="s">
        <v>199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78"/>
    </row>
    <row r="217" spans="1:15" ht="18" customHeight="1">
      <c r="A217" s="86" t="s">
        <v>200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9" t="s">
        <v>197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9" t="s">
        <v>199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78"/>
    </row>
    <row r="244" spans="1:15" ht="18" customHeight="1">
      <c r="A244" s="86" t="s">
        <v>200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9" t="s">
        <v>197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9" t="s">
        <v>199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78"/>
    </row>
    <row r="271" spans="1:15" ht="18" customHeight="1">
      <c r="A271" s="86" t="s">
        <v>200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9" t="s">
        <v>197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9" t="s">
        <v>199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78"/>
    </row>
    <row r="298" spans="1:15" ht="18" customHeight="1">
      <c r="A298" s="86" t="s">
        <v>200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9" t="s">
        <v>197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9" t="s">
        <v>199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78"/>
    </row>
    <row r="325" spans="1:15" ht="18" customHeight="1">
      <c r="A325" s="86" t="s">
        <v>200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9" t="s">
        <v>197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9" t="s">
        <v>199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78"/>
    </row>
    <row r="352" spans="1:15" ht="18" customHeight="1">
      <c r="A352" s="86" t="s">
        <v>200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9" t="s">
        <v>197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9" t="s">
        <v>199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78"/>
    </row>
    <row r="379" spans="1:15" ht="18" customHeight="1">
      <c r="A379" s="86" t="s">
        <v>200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9" t="s">
        <v>197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9" t="s">
        <v>199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78"/>
    </row>
    <row r="406" spans="1:15" ht="18" customHeight="1">
      <c r="A406" s="86" t="s">
        <v>200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9" t="s">
        <v>197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9" t="s">
        <v>199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78"/>
    </row>
    <row r="433" spans="1:15" ht="18" customHeight="1">
      <c r="A433" s="86" t="s">
        <v>200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9" t="s">
        <v>197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9" t="s">
        <v>199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78"/>
    </row>
    <row r="460" spans="1:15" ht="18" customHeight="1">
      <c r="A460" s="86" t="s">
        <v>200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9" t="s">
        <v>197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9" t="s">
        <v>199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78"/>
    </row>
    <row r="487" spans="1:15" ht="18" customHeight="1">
      <c r="A487" s="86" t="s">
        <v>200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9" t="s">
        <v>197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9" t="s">
        <v>199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78"/>
    </row>
    <row r="514" spans="1:15" ht="18" customHeight="1">
      <c r="A514" s="86" t="s">
        <v>200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9" t="s">
        <v>197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9" t="s">
        <v>199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78"/>
    </row>
    <row r="541" spans="1:15" ht="18" customHeight="1">
      <c r="A541" s="86" t="s">
        <v>200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9" t="s">
        <v>197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9" t="s">
        <v>199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78"/>
    </row>
    <row r="568" spans="1:15" ht="18" customHeight="1">
      <c r="A568" s="86" t="s">
        <v>200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9" t="s">
        <v>197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9" t="s">
        <v>199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78"/>
    </row>
    <row r="595" spans="1:15" ht="18" customHeight="1">
      <c r="A595" s="86" t="s">
        <v>200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9" t="s">
        <v>197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9" t="s">
        <v>199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78"/>
    </row>
    <row r="622" spans="1:15" ht="18" customHeight="1">
      <c r="A622" s="86" t="s">
        <v>200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9" t="s">
        <v>197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9" t="s">
        <v>199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78"/>
    </row>
    <row r="649" spans="1:15" ht="18" customHeight="1">
      <c r="A649" s="86" t="s">
        <v>200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9" t="s">
        <v>197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9" t="s">
        <v>199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78"/>
    </row>
    <row r="676" spans="1:15" ht="18" customHeight="1">
      <c r="A676" s="86" t="s">
        <v>200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9" t="s">
        <v>197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9" t="s">
        <v>199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78"/>
    </row>
    <row r="703" spans="1:15" ht="18" customHeight="1">
      <c r="A703" s="86" t="s">
        <v>200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9" t="s">
        <v>197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9" t="s">
        <v>199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78"/>
    </row>
    <row r="730" spans="1:15" ht="18" customHeight="1">
      <c r="A730" s="86" t="s">
        <v>200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9" t="s">
        <v>197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9" t="s">
        <v>199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6" t="s">
        <v>200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9" t="s">
        <v>197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9" t="s">
        <v>199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6" t="s">
        <v>200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9" t="s">
        <v>197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9" t="s">
        <v>199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6" t="s">
        <v>200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66" activePane="bottomLeft" state="frozen"/>
      <selection pane="bottomLeft" activeCell="I96" sqref="I9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9" t="s">
        <v>197</v>
      </c>
      <c r="B14" s="90"/>
      <c r="C14" s="90"/>
      <c r="D14" s="90"/>
      <c r="E14" s="9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9" t="s">
        <v>199</v>
      </c>
      <c r="B27" s="90"/>
      <c r="C27" s="90"/>
      <c r="D27" s="90"/>
      <c r="E27" s="9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198</v>
      </c>
      <c r="O27" s="39">
        <v>308500</v>
      </c>
    </row>
    <row r="28" spans="1:15" ht="18" customHeight="1">
      <c r="A28" s="86" t="s">
        <v>200</v>
      </c>
      <c r="B28" s="87"/>
      <c r="C28" s="87"/>
      <c r="D28" s="87"/>
      <c r="E28" s="8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9" t="s">
        <v>197</v>
      </c>
      <c r="B41" s="90"/>
      <c r="C41" s="90"/>
      <c r="D41" s="90"/>
      <c r="E41" s="9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9" t="s">
        <v>199</v>
      </c>
      <c r="B54" s="90"/>
      <c r="C54" s="90"/>
      <c r="D54" s="90"/>
      <c r="E54" s="9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198</v>
      </c>
      <c r="O54" s="39">
        <v>124290</v>
      </c>
    </row>
    <row r="55" spans="1:15" ht="18" customHeight="1">
      <c r="A55" s="86" t="s">
        <v>200</v>
      </c>
      <c r="B55" s="87"/>
      <c r="C55" s="87"/>
      <c r="D55" s="87"/>
      <c r="E55" s="8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9" t="s">
        <v>197</v>
      </c>
      <c r="B68" s="90"/>
      <c r="C68" s="90"/>
      <c r="D68" s="90"/>
      <c r="E68" s="9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215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9" t="s">
        <v>199</v>
      </c>
      <c r="B81" s="90"/>
      <c r="C81" s="90"/>
      <c r="D81" s="90"/>
      <c r="E81" s="9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198</v>
      </c>
      <c r="O81" s="39">
        <v>396340</v>
      </c>
    </row>
    <row r="82" spans="1:15" ht="18" customHeight="1">
      <c r="A82" s="86" t="s">
        <v>200</v>
      </c>
      <c r="B82" s="87"/>
      <c r="C82" s="87"/>
      <c r="D82" s="87"/>
      <c r="E82" s="8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216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9" t="s">
        <v>197</v>
      </c>
      <c r="B95" s="90"/>
      <c r="C95" s="90"/>
      <c r="D95" s="90"/>
      <c r="E95" s="9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198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20</v>
      </c>
      <c r="I96" s="26" t="s">
        <v>47</v>
      </c>
      <c r="J96" s="26"/>
      <c r="K96" s="29">
        <v>0.87569444444444444</v>
      </c>
      <c r="L96" s="29"/>
      <c r="M96" s="30">
        <f t="shared" ref="M96:M107" ca="1" si="22">IFERROR(IF(K96="","",IF(L96="",MOD(NOW()-K96,1),IF(L96&gt;=K96,L96-K96,L96+1-K96))),"")</f>
        <v>2.3101736107491888E-2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205</v>
      </c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205</v>
      </c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205</v>
      </c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205</v>
      </c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205</v>
      </c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205</v>
      </c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205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205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205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205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9" t="s">
        <v>199</v>
      </c>
      <c r="B108" s="90"/>
      <c r="C108" s="90"/>
      <c r="D108" s="90"/>
      <c r="E108" s="91">
        <f>SUM(E96:E107)</f>
        <v>0</v>
      </c>
      <c r="F108" s="36">
        <f>SUM(F96:F107)</f>
        <v>5</v>
      </c>
      <c r="G108" s="36">
        <f>SUM(G96:G107)</f>
        <v>21</v>
      </c>
      <c r="H108" s="37"/>
      <c r="I108" s="37"/>
      <c r="J108" s="37"/>
      <c r="K108" s="37"/>
      <c r="L108" s="37"/>
      <c r="M108" s="38">
        <f ca="1">IFERROR(SUM(M96:M107),"")</f>
        <v>2.3101736107491888E-2</v>
      </c>
      <c r="N108" s="36" t="s">
        <v>198</v>
      </c>
      <c r="O108" s="39"/>
    </row>
    <row r="109" spans="1:15" ht="18" customHeight="1">
      <c r="A109" s="86" t="s">
        <v>200</v>
      </c>
      <c r="B109" s="87"/>
      <c r="C109" s="87"/>
      <c r="D109" s="87"/>
      <c r="E109" s="88">
        <f>E95+E108</f>
        <v>0</v>
      </c>
      <c r="F109" s="40">
        <f>F95+F108</f>
        <v>94</v>
      </c>
      <c r="G109" s="40">
        <f>G95+G108</f>
        <v>466</v>
      </c>
      <c r="H109" s="41"/>
      <c r="I109" s="41"/>
      <c r="J109" s="41"/>
      <c r="K109" s="41"/>
      <c r="L109" s="41"/>
      <c r="M109" s="42">
        <f ca="1">IFERROR(M95+M108,"")</f>
        <v>0.22449062499638078</v>
      </c>
      <c r="N109" s="40" t="s">
        <v>201</v>
      </c>
      <c r="O109" s="43">
        <f>IFERROR(O95+O108,"")</f>
        <v>536290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9" t="s">
        <v>197</v>
      </c>
      <c r="B122" s="90"/>
      <c r="C122" s="90"/>
      <c r="D122" s="90"/>
      <c r="E122" s="9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9" t="s">
        <v>199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6" t="s">
        <v>200</v>
      </c>
      <c r="B136" s="87"/>
      <c r="C136" s="87"/>
      <c r="D136" s="87"/>
      <c r="E136" s="88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9" t="s">
        <v>197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9" t="s">
        <v>199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39"/>
    </row>
    <row r="163" spans="1:15" ht="18" customHeight="1">
      <c r="A163" s="86" t="s">
        <v>200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9" t="s">
        <v>197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9" t="s">
        <v>199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6" t="s">
        <v>200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9" t="s">
        <v>197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9" t="s">
        <v>199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39"/>
    </row>
    <row r="217" spans="1:15" ht="18" customHeight="1">
      <c r="A217" s="86" t="s">
        <v>200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9" t="s">
        <v>197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9" t="s">
        <v>199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6" t="s">
        <v>200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9" t="s">
        <v>197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9" t="s">
        <v>199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6" t="s">
        <v>200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9" t="s">
        <v>197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9" t="s">
        <v>199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6" t="s">
        <v>200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9" t="s">
        <v>197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9" t="s">
        <v>199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6" t="s">
        <v>200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9" t="s">
        <v>197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9" t="s">
        <v>199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6" t="s">
        <v>200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9" t="s">
        <v>197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9" t="s">
        <v>199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6" t="s">
        <v>200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9" t="s">
        <v>197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9" t="s">
        <v>199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6" t="s">
        <v>200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9" t="s">
        <v>197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9" t="s">
        <v>199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39"/>
    </row>
    <row r="433" spans="1:15" ht="18" customHeight="1">
      <c r="A433" s="86" t="s">
        <v>200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9" t="s">
        <v>197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9" t="s">
        <v>199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6" t="s">
        <v>200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9" t="s">
        <v>197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9" t="s">
        <v>199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6" t="s">
        <v>200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9" t="s">
        <v>197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9" t="s">
        <v>199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6" t="s">
        <v>200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9" t="s">
        <v>197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9" t="s">
        <v>199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6" t="s">
        <v>200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9" t="s">
        <v>197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9" t="s">
        <v>199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6" t="s">
        <v>200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9" t="s">
        <v>197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9" t="s">
        <v>199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6" t="s">
        <v>200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9" t="s">
        <v>197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9" t="s">
        <v>199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6" t="s">
        <v>200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9" t="s">
        <v>197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9" t="s">
        <v>199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6" t="s">
        <v>200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9" t="s">
        <v>197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9" t="s">
        <v>199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6" t="s">
        <v>200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9" t="s">
        <v>197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9" t="s">
        <v>199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6" t="s">
        <v>200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9" t="s">
        <v>197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9" t="s">
        <v>199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6" t="s">
        <v>200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9" t="s">
        <v>197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9" t="s">
        <v>199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6" t="s">
        <v>200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9" t="s">
        <v>197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9" t="s">
        <v>199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6" t="s">
        <v>200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9" t="s">
        <v>197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9" t="s">
        <v>199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6" t="s">
        <v>200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73" activePane="bottomLeft" state="frozen"/>
      <selection pane="bottomLeft" activeCell="F98" sqref="F9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9" t="s">
        <v>197</v>
      </c>
      <c r="B14" s="90"/>
      <c r="C14" s="90"/>
      <c r="D14" s="90"/>
      <c r="E14" s="9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9" t="s">
        <v>199</v>
      </c>
      <c r="B27" s="90"/>
      <c r="C27" s="90"/>
      <c r="D27" s="90"/>
      <c r="E27" s="9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198</v>
      </c>
      <c r="O27" s="39">
        <v>202230</v>
      </c>
    </row>
    <row r="28" spans="1:15" ht="18" customHeight="1">
      <c r="A28" s="86" t="s">
        <v>200</v>
      </c>
      <c r="B28" s="87"/>
      <c r="C28" s="87"/>
      <c r="D28" s="87"/>
      <c r="E28" s="8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220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9" t="s">
        <v>197</v>
      </c>
      <c r="B41" s="90"/>
      <c r="C41" s="90"/>
      <c r="D41" s="90"/>
      <c r="E41" s="9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9" t="s">
        <v>199</v>
      </c>
      <c r="B54" s="90"/>
      <c r="C54" s="90"/>
      <c r="D54" s="90"/>
      <c r="E54" s="9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198</v>
      </c>
      <c r="O54" s="39">
        <v>473910</v>
      </c>
    </row>
    <row r="55" spans="1:15" ht="18" customHeight="1">
      <c r="A55" s="86" t="s">
        <v>200</v>
      </c>
      <c r="B55" s="87"/>
      <c r="C55" s="87"/>
      <c r="D55" s="87"/>
      <c r="E55" s="8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221</v>
      </c>
      <c r="L58" s="29">
        <v>0.54097222222222219</v>
      </c>
      <c r="M58" s="30" t="str">
        <f t="shared" ca="1" si="13"/>
        <v/>
      </c>
      <c r="N58" s="27" t="s">
        <v>222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9" t="s">
        <v>197</v>
      </c>
      <c r="B68" s="90"/>
      <c r="C68" s="90"/>
      <c r="D68" s="90"/>
      <c r="E68" s="9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223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224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225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226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9" t="s">
        <v>199</v>
      </c>
      <c r="B81" s="90"/>
      <c r="C81" s="90"/>
      <c r="D81" s="90"/>
      <c r="E81" s="9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198</v>
      </c>
      <c r="O81" s="39">
        <v>565120</v>
      </c>
    </row>
    <row r="82" spans="1:15" ht="18" customHeight="1">
      <c r="A82" s="86" t="s">
        <v>200</v>
      </c>
      <c r="B82" s="87"/>
      <c r="C82" s="87"/>
      <c r="D82" s="87"/>
      <c r="E82" s="8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227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195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9" t="s">
        <v>197</v>
      </c>
      <c r="B95" s="90"/>
      <c r="C95" s="90"/>
      <c r="D95" s="90"/>
      <c r="E95" s="9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198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205</v>
      </c>
      <c r="F96" s="27">
        <v>21</v>
      </c>
      <c r="G96" s="34">
        <f t="shared" ref="G96:G107" si="21">IF(F96="","",IF(E96="PC 17",F96*4.2,IF(E96="PC 19",F96*5,"")))</f>
        <v>88.2</v>
      </c>
      <c r="H96" s="26"/>
      <c r="I96" s="26"/>
      <c r="J96" s="26"/>
      <c r="K96" s="29">
        <v>0.85069444444444442</v>
      </c>
      <c r="L96" s="29">
        <v>0.86458333333333337</v>
      </c>
      <c r="M96" s="35">
        <f t="shared" ref="M96:M107" ca="1" si="22">IFERROR(IF(K96="","",IF(L96="",MOD(NOW()-K96,1),IF(L96&gt;=K96,L96-K96,L96+1-K96))),"")</f>
        <v>1.3888888888888951E-2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205</v>
      </c>
      <c r="F97" s="27">
        <v>0</v>
      </c>
      <c r="G97" s="28">
        <f t="shared" si="21"/>
        <v>0</v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205</v>
      </c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205</v>
      </c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205</v>
      </c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205</v>
      </c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205</v>
      </c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205</v>
      </c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205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205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205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205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9" t="s">
        <v>199</v>
      </c>
      <c r="B108" s="90"/>
      <c r="C108" s="90"/>
      <c r="D108" s="90"/>
      <c r="E108" s="91">
        <f>SUM(E96:E107)</f>
        <v>0</v>
      </c>
      <c r="F108" s="36">
        <f>SUM(F96:F107)</f>
        <v>21</v>
      </c>
      <c r="G108" s="36">
        <f>SUM(G96:G107)</f>
        <v>88.2</v>
      </c>
      <c r="H108" s="37"/>
      <c r="I108" s="37"/>
      <c r="J108" s="37"/>
      <c r="K108" s="61"/>
      <c r="L108" s="61"/>
      <c r="M108" s="38">
        <f ca="1">IFERROR(SUM(M96:M107),"")</f>
        <v>1.3888888888888951E-2</v>
      </c>
      <c r="N108" s="36" t="s">
        <v>198</v>
      </c>
      <c r="O108" s="39"/>
    </row>
    <row r="109" spans="1:15" ht="18" customHeight="1">
      <c r="A109" s="86" t="s">
        <v>200</v>
      </c>
      <c r="B109" s="87"/>
      <c r="C109" s="87"/>
      <c r="D109" s="87"/>
      <c r="E109" s="88">
        <f>E95+E108</f>
        <v>0</v>
      </c>
      <c r="F109" s="40">
        <f>F95+F108</f>
        <v>164</v>
      </c>
      <c r="G109" s="40">
        <f>G95+G108</f>
        <v>791.2</v>
      </c>
      <c r="H109" s="41"/>
      <c r="I109" s="41"/>
      <c r="J109" s="41"/>
      <c r="K109" s="63"/>
      <c r="L109" s="63"/>
      <c r="M109" s="42">
        <f ca="1">IFERROR(M95+M108,"")</f>
        <v>0.20208333333333345</v>
      </c>
      <c r="N109" s="40" t="s">
        <v>201</v>
      </c>
      <c r="O109" s="48">
        <f>IFERROR(O95+O108,"")</f>
        <v>776910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9" t="s">
        <v>197</v>
      </c>
      <c r="B122" s="90"/>
      <c r="C122" s="90"/>
      <c r="D122" s="90"/>
      <c r="E122" s="9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9" t="s">
        <v>199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6" t="s">
        <v>200</v>
      </c>
      <c r="B136" s="87"/>
      <c r="C136" s="87"/>
      <c r="D136" s="87"/>
      <c r="E136" s="88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201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9" t="s">
        <v>197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198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9" t="s">
        <v>199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198</v>
      </c>
      <c r="O162" s="39"/>
    </row>
    <row r="163" spans="1:15" ht="18" customHeight="1">
      <c r="A163" s="86" t="s">
        <v>200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9" t="s">
        <v>197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9" t="s">
        <v>199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6" t="s">
        <v>200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9" t="s">
        <v>197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9" t="s">
        <v>199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198</v>
      </c>
      <c r="O216" s="45"/>
    </row>
    <row r="217" spans="1:15" ht="18" customHeight="1">
      <c r="A217" s="86" t="s">
        <v>200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9" t="s">
        <v>197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9" t="s">
        <v>199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6" t="s">
        <v>200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9" t="s">
        <v>197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9" t="s">
        <v>199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6" t="s">
        <v>200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9" t="s">
        <v>197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9" t="s">
        <v>199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6" t="s">
        <v>200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9" t="s">
        <v>197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9" t="s">
        <v>199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6" t="s">
        <v>200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9" t="s">
        <v>197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9" t="s">
        <v>199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6" t="s">
        <v>200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9" t="s">
        <v>197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9" t="s">
        <v>199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6" t="s">
        <v>200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9" t="s">
        <v>197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9" t="s">
        <v>199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6" t="s">
        <v>200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9" t="s">
        <v>197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9" t="s">
        <v>199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198</v>
      </c>
      <c r="O432" s="39"/>
    </row>
    <row r="433" spans="1:17" ht="18" customHeight="1">
      <c r="A433" s="86" t="s">
        <v>200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9" t="s">
        <v>197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9" t="s">
        <v>199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6" t="s">
        <v>200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9" t="s">
        <v>197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9" t="s">
        <v>199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6" t="s">
        <v>200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9" t="s">
        <v>197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9" t="s">
        <v>199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6" t="s">
        <v>200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9" t="s">
        <v>197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9" t="s">
        <v>199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6" t="s">
        <v>200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9" t="s">
        <v>197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9" t="s">
        <v>199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6" t="s">
        <v>200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9" t="s">
        <v>197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9" t="s">
        <v>199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6" t="s">
        <v>200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9" t="s">
        <v>197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9" t="s">
        <v>199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6" t="s">
        <v>200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9" t="s">
        <v>197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9" t="s">
        <v>199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6" t="s">
        <v>200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9" t="s">
        <v>197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9" t="s">
        <v>199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6" t="s">
        <v>200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9" t="s">
        <v>197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9" t="s">
        <v>199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6" t="s">
        <v>200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9" t="s">
        <v>197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9" t="s">
        <v>199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6" t="s">
        <v>200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9" t="s">
        <v>197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9" t="s">
        <v>199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6" t="s">
        <v>200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9" t="s">
        <v>197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9" t="s">
        <v>199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6" t="s">
        <v>200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9" t="s">
        <v>197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9" t="s">
        <v>199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6" t="s">
        <v>200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2026-07-05T01:34:49Z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