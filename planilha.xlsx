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2097" documentId="8_{AF585B22-221D-4780-BB9C-493D365A6A02}" xr6:coauthVersionLast="47" xr6:coauthVersionMax="47" xr10:uidLastSave="{3C6E5852-F9C4-49F7-A64F-E408E4D7533D}"/>
  <bookViews>
    <workbookView xWindow="-110" yWindow="-110" windowWidth="25820" windowHeight="15500" tabRatio="500" firstSheet="4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M44" i="4" l="1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F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1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6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5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O109" i="3"/>
  <c r="C7" i="1" s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M225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<sst xmlns="http://schemas.openxmlformats.org/spreadsheetml/2006/main" count="2361" uniqueCount="229">
  <si>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</si>
  <si>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</si>
  <si>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</si>
  <si>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</si>
  <si>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</si>
  <si>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</si>
  <si>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</si>
  <si>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</si>
  <si>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</si>
  <si>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</si>
  <si>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</si>
  <si>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</si>
  <si>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</si>
  <si>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</si>
  <si>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</si>
  <si>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</si>
  <si>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</si>
  <si>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</si>
  <si>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</si>
  <si>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</si>
  <si>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</si>
  <si>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</si>
  <si>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</si>
  <si>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</si>
  <si>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</si>
  <si>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</si>
  <si>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</si>
  <si>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</si>
  <si>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</si>
  <si>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</si>
  <si>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</si>
  <si>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</si>
  <si>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</si>
  <si>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</si>
  <si>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</si>
  <si>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</si>
  <si>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</si>
  <si>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</si>
  <si>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</si>
  <si>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</si>
  <si>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</si>
  <si>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</si>
  <si>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</si>
  <si>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</si>
  <si>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</si>
  <si>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</si>
  <si>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</si>
  <si>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</si>
  <si>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</si>
  <si>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</si>
  <si>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</si>
  <si>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</si>
  <si>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</si>
  <si>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</si>
  <si>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</si>
  <si>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</si>
  <si>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</si>
  <si>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</si>
  <si>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</si>
  <si>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</si>
  <si>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</si>
  <si>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</si>
  <si>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</si>
  <si>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</si>
  <si>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</si>
  <si>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</si>
  <si>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</si>
  <si>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</si>
  <si>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</si>
  <si>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</si>
  <si>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</si>
  <si>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</si>
  <si>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</si>
  <si>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</si>
  <si>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</si>
  <si>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</si>
  <si>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</si>
  <si>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</si>
  <si>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</si>
  <si>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</si>
  <si>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</si>
  <si>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</si>
  <si>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</si>
  <si>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</si>
  <si>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</si>
  <si>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</si>
  <si>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</si>
  <si>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</si>
  <si>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</si>
  <si>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</si>
  <si>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</si>
  <si>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</si>
  <si>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</si>
  <si>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</si>
  <si>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</si>
  <si>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</si>
  <si>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</si>
  <si>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</si>
  <si>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</si>
  <si>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</si>
  <si>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</si>
  <si>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</si>
  <si>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</si>
  <si>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</si>
  <si>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</si>
  <si>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</si>
  <si>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</si>
  <si>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</si>
  <si>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</si>
  <si>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</si>
  <si>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</si>
  <si>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</si>
  <si>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</si>
  <si>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</si>
  <si>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</si>
  <si>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</si>
  <si>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</si>
  <si>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</si>
  <si>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</si>
  <si>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</si>
  <si>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</si>
  <si>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</si>
  <si>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</si>
  <si>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</si>
  <si>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</si>
  <si>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</si>
  <si>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</si>
  <si>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</si>
  <si>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</si>
  <si>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</si>
  <si>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</si>
  <si>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</si>
  <si>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</si>
  <si>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</si>
  <si>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</si>
  <si>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</si>
  <si>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</si>
  <si>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</si>
  <si>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</si>
  <si>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</si>
  <si>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</si>
  <si>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</si>
  <si>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</si>
  <si>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</si>
  <si>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</si>
  <si>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</si>
  <si>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</si>
  <si>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</si>
  <si>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</si>
  <si>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</si>
  <si>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</si>
  <si>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</si>
  <si>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</si>
  <si>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</si>
  <si>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</si>
  <si>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</si>
  <si>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</si>
  <si>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</si>
  <si>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</si>
  <si>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</si>
  <si>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</si>
  <si>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</si>
  <si>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</si>
  <si>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</si>
  <si>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</si>
  <si>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</si>
  <si>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</si>
  <si>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</si>
  <si>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</si>
  <si>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</si>
  <si>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</si>
  <si>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</si>
  <si>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</si>
  <si>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</si>
  <si>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</si>
  <si>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</si>
  <si>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</si>
  <si>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</si>
  <si>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TC3 travada</t>
  </si>
  <si>
    <t>ℹ  Cada coluna corresponde a um Tipo de Parada. Adicione descrições nas linhas vazias de cada coluna.</t>
  </si>
  <si>
    <t>anel de vedaçao encostando na trampa</t>
  </si>
  <si>
    <t>solda na luva do moinho</t>
  </si>
  <si>
    <t>Acoplamento solto</t>
  </si>
  <si>
    <t>Parafuso do acoplamento solto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</si>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</sst>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3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9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6" sqref="G6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2" t="s">
        <v>0</v>
      </c>
      <c r="B1" s="92"/>
      <c r="C1" s="92"/>
      <c r="D1" s="92"/>
      <c r="E1" s="92"/>
      <c r="F1" s="92"/>
      <c r="G1" s="92"/>
    </row>
    <row r="2" spans="1:7" ht="24.75" customHeight="1">
      <c r="A2" s="93"/>
      <c r="B2" s="93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1704450</v>
      </c>
      <c r="D7" s="11">
        <f>IFERROR('Linha 1'!O109,"")</f>
        <v>577610</v>
      </c>
      <c r="E7" s="11">
        <f>IFERROR('Linha 2'!O109,"")</f>
        <v>536290</v>
      </c>
      <c r="F7" s="11">
        <f>IFERROR('Linha 3'!O109,"")</f>
        <v>776910</v>
      </c>
      <c r="G7" s="12">
        <f t="shared" si="0"/>
        <v>1890810</v>
      </c>
    </row>
    <row r="8" spans="1:7" ht="15.75" customHeight="1">
      <c r="A8" s="7">
        <v>5</v>
      </c>
      <c r="B8" s="73">
        <v>46208</v>
      </c>
      <c r="C8" s="8">
        <f>IFERROR(Britador!O136,"")</f>
        <v>0</v>
      </c>
      <c r="D8" s="8">
        <f>IFERROR('Linha 1'!O136,"")</f>
        <v>0</v>
      </c>
      <c r="E8" s="8">
        <f>IFERROR('Linha 2'!O136,"")</f>
        <v>0</v>
      </c>
      <c r="F8" s="8">
        <f>IFERROR('Linha 3'!O136,"")</f>
        <v>0</v>
      </c>
      <c r="G8" s="9">
        <f t="shared" si="0"/>
        <v>0</v>
      </c>
    </row>
    <row r="9" spans="1:7" ht="15.75" customHeight="1">
      <c r="A9" s="10">
        <v>6</v>
      </c>
      <c r="B9" s="74">
        <v>46209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3">
        <v>46210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4">
        <v>46211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3">
        <v>46212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4">
        <v>46213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4" t="s">
        <v>9</v>
      </c>
      <c r="B35" s="94"/>
      <c r="C35" s="13">
        <f>IFERROR(SUM(C4:C34),"")</f>
        <v>8276020</v>
      </c>
      <c r="D35" s="13">
        <f>IFERROR(SUM(D4:D34),"")</f>
        <v>3014030</v>
      </c>
      <c r="E35" s="13">
        <f>IFERROR(SUM(E4:E34),"")</f>
        <v>2304980</v>
      </c>
      <c r="F35" s="13">
        <f>IFERROR(SUM(F4:F34),"")</f>
        <v>3413600</v>
      </c>
      <c r="G35" s="13">
        <f>IFERROR(SUM(G4:G34),"")</f>
        <v>8732610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I27" zoomScale="85" zoomScaleNormal="85" workbookViewId="0">
      <selection activeCell="M48" sqref="M48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95" t="s">
        <v>10</v>
      </c>
      <c r="B1" s="95"/>
      <c r="C1" s="95"/>
      <c r="D1" s="95"/>
      <c r="E1" s="95"/>
      <c r="F1" s="95"/>
      <c r="G1" s="95"/>
      <c r="H1" s="96"/>
      <c r="I1" s="97" t="s">
        <v>11</v>
      </c>
      <c r="J1" s="97"/>
      <c r="K1" s="97"/>
      <c r="L1" s="97"/>
      <c r="M1" s="97"/>
    </row>
    <row r="2" spans="1:13" ht="4.5" customHeight="1">
      <c r="H2" s="96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96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96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96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96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96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96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96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96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96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96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96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96"/>
      <c r="I14" s="16"/>
      <c r="J14" s="16" t="s">
        <v>86</v>
      </c>
      <c r="K14" s="16" t="s">
        <v>87</v>
      </c>
      <c r="L14" s="16" t="s">
        <v>88</v>
      </c>
      <c r="M14" s="16" t="s">
        <v>89</v>
      </c>
    </row>
    <row r="15" spans="1:13" ht="15.75" customHeight="1">
      <c r="A15" s="17"/>
      <c r="C15" s="17"/>
      <c r="E15" s="17"/>
      <c r="G15" s="17" t="s">
        <v>90</v>
      </c>
      <c r="H15" s="96"/>
      <c r="I15" s="17"/>
      <c r="J15" s="17" t="s">
        <v>91</v>
      </c>
      <c r="K15" s="17" t="s">
        <v>92</v>
      </c>
      <c r="L15" s="17" t="s">
        <v>93</v>
      </c>
      <c r="M15" s="17" t="s">
        <v>94</v>
      </c>
    </row>
    <row r="16" spans="1:13" ht="15.75" customHeight="1">
      <c r="A16" s="16"/>
      <c r="C16" s="16"/>
      <c r="E16" s="16"/>
      <c r="G16" s="16" t="s">
        <v>95</v>
      </c>
      <c r="H16" s="96"/>
      <c r="I16" s="16"/>
      <c r="J16" s="16"/>
      <c r="K16" s="16" t="s">
        <v>96</v>
      </c>
      <c r="L16" s="16" t="s">
        <v>97</v>
      </c>
      <c r="M16" s="16" t="s">
        <v>98</v>
      </c>
    </row>
    <row r="17" spans="1:13" ht="15.75" customHeight="1">
      <c r="A17" s="17"/>
      <c r="C17" s="17"/>
      <c r="E17" s="17"/>
      <c r="G17" s="17" t="s">
        <v>99</v>
      </c>
      <c r="H17" s="96"/>
      <c r="I17" s="17"/>
      <c r="J17" s="17"/>
      <c r="K17" s="17" t="s">
        <v>100</v>
      </c>
      <c r="L17" s="17" t="s">
        <v>101</v>
      </c>
      <c r="M17" s="17" t="s">
        <v>102</v>
      </c>
    </row>
    <row r="18" spans="1:13" ht="15.75" customHeight="1">
      <c r="A18" s="16"/>
      <c r="C18" s="16"/>
      <c r="E18" s="16"/>
      <c r="G18" s="16" t="s">
        <v>103</v>
      </c>
      <c r="H18" s="96"/>
      <c r="I18" s="16"/>
      <c r="J18" s="16"/>
      <c r="K18" s="16" t="s">
        <v>104</v>
      </c>
      <c r="L18" s="16" t="s">
        <v>105</v>
      </c>
      <c r="M18" s="16" t="s">
        <v>106</v>
      </c>
    </row>
    <row r="19" spans="1:13" ht="15.75" customHeight="1">
      <c r="A19" s="17"/>
      <c r="C19" s="17"/>
      <c r="E19" s="17"/>
      <c r="G19" s="17" t="s">
        <v>107</v>
      </c>
      <c r="H19" s="96"/>
      <c r="I19" s="17"/>
      <c r="J19" s="17"/>
      <c r="K19" s="17" t="s">
        <v>108</v>
      </c>
      <c r="L19" s="17"/>
      <c r="M19" s="17" t="s">
        <v>109</v>
      </c>
    </row>
    <row r="20" spans="1:13" ht="15.75" customHeight="1">
      <c r="A20" s="16"/>
      <c r="C20" s="16"/>
      <c r="E20" s="16"/>
      <c r="G20" s="16" t="s">
        <v>110</v>
      </c>
      <c r="H20" s="96"/>
      <c r="I20" s="16"/>
      <c r="J20" s="16"/>
      <c r="K20" s="16" t="s">
        <v>111</v>
      </c>
      <c r="L20" s="16"/>
      <c r="M20" s="16" t="s">
        <v>112</v>
      </c>
    </row>
    <row r="21" spans="1:13" ht="15.75" customHeight="1">
      <c r="A21" s="17"/>
      <c r="C21" s="17"/>
      <c r="E21" s="17"/>
      <c r="G21" s="17" t="s">
        <v>113</v>
      </c>
      <c r="H21" s="96"/>
      <c r="I21" s="17"/>
      <c r="J21" s="17"/>
      <c r="K21" s="17" t="s">
        <v>114</v>
      </c>
      <c r="L21" s="17"/>
      <c r="M21" s="17" t="s">
        <v>115</v>
      </c>
    </row>
    <row r="22" spans="1:13" ht="15.75" customHeight="1">
      <c r="A22" s="16"/>
      <c r="C22" s="16"/>
      <c r="E22" s="16"/>
      <c r="G22" s="16" t="s">
        <v>116</v>
      </c>
      <c r="H22" s="96"/>
      <c r="I22" s="16"/>
      <c r="J22" s="16"/>
      <c r="K22" s="16" t="s">
        <v>117</v>
      </c>
      <c r="L22" s="16"/>
      <c r="M22" s="16" t="s">
        <v>118</v>
      </c>
    </row>
    <row r="23" spans="1:13" ht="15.75" customHeight="1">
      <c r="A23" s="17"/>
      <c r="C23" s="17"/>
      <c r="E23" s="17"/>
      <c r="G23" s="17" t="s">
        <v>119</v>
      </c>
      <c r="H23" s="96"/>
      <c r="I23" s="17"/>
      <c r="J23" s="17"/>
      <c r="K23" s="17" t="s">
        <v>120</v>
      </c>
      <c r="L23" s="17"/>
      <c r="M23" s="17" t="s">
        <v>121</v>
      </c>
    </row>
    <row r="24" spans="1:13" ht="15.75" customHeight="1">
      <c r="A24" s="16"/>
      <c r="C24" s="16"/>
      <c r="E24" s="16"/>
      <c r="G24" s="16" t="s">
        <v>122</v>
      </c>
      <c r="H24" s="96"/>
      <c r="I24" s="16"/>
      <c r="J24" s="16"/>
      <c r="K24" s="16" t="s">
        <v>123</v>
      </c>
      <c r="L24" s="16"/>
      <c r="M24" s="16" t="s">
        <v>124</v>
      </c>
    </row>
    <row r="25" spans="1:13" ht="15.75" customHeight="1">
      <c r="A25" s="17"/>
      <c r="C25" s="17"/>
      <c r="E25" s="17"/>
      <c r="G25" s="17" t="s">
        <v>125</v>
      </c>
      <c r="H25" s="96"/>
      <c r="I25" s="17"/>
      <c r="J25" s="17"/>
      <c r="K25" s="17" t="s">
        <v>126</v>
      </c>
      <c r="L25" s="17"/>
      <c r="M25" s="17" t="s">
        <v>127</v>
      </c>
    </row>
    <row r="26" spans="1:13" ht="15.75" customHeight="1">
      <c r="A26" s="16"/>
      <c r="C26" s="16"/>
      <c r="E26" s="16"/>
      <c r="G26" s="16" t="s">
        <v>128</v>
      </c>
      <c r="H26" s="96"/>
      <c r="I26" s="16"/>
      <c r="J26" s="16"/>
      <c r="K26" s="16" t="s">
        <v>129</v>
      </c>
      <c r="L26" s="16"/>
      <c r="M26" s="16"/>
    </row>
    <row r="27" spans="1:13" ht="15.75" customHeight="1">
      <c r="A27" s="17"/>
      <c r="C27" s="17"/>
      <c r="E27" s="17"/>
      <c r="G27" s="17" t="s">
        <v>130</v>
      </c>
      <c r="H27" s="96"/>
      <c r="I27" s="17"/>
      <c r="J27" s="17"/>
      <c r="K27" s="17" t="s">
        <v>121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131</v>
      </c>
      <c r="H28" s="96"/>
      <c r="I28" s="16"/>
      <c r="J28" s="16"/>
      <c r="K28" s="16" t="s">
        <v>124</v>
      </c>
      <c r="L28" s="16"/>
      <c r="M28" s="16" t="s">
        <v>132</v>
      </c>
    </row>
    <row r="29" spans="1:13" ht="15.75" customHeight="1">
      <c r="A29" s="17"/>
      <c r="C29" s="17"/>
      <c r="E29" s="17"/>
      <c r="G29" s="17" t="s">
        <v>133</v>
      </c>
      <c r="H29" s="96"/>
      <c r="I29" s="17"/>
      <c r="J29" s="17"/>
      <c r="K29" s="17" t="s">
        <v>134</v>
      </c>
      <c r="L29" s="17"/>
      <c r="M29" s="17" t="s">
        <v>135</v>
      </c>
    </row>
    <row r="30" spans="1:13" ht="15.75" customHeight="1">
      <c r="A30" s="16"/>
      <c r="C30" s="16"/>
      <c r="E30" s="16"/>
      <c r="G30" s="16" t="s">
        <v>136</v>
      </c>
      <c r="H30" s="96"/>
      <c r="I30" s="16"/>
      <c r="J30" s="16"/>
      <c r="K30" s="16" t="s">
        <v>137</v>
      </c>
      <c r="L30" s="16"/>
      <c r="M30" s="16" t="s">
        <v>138</v>
      </c>
    </row>
    <row r="31" spans="1:13" ht="15.75" customHeight="1">
      <c r="A31" s="17"/>
      <c r="C31" s="17"/>
      <c r="E31" s="17"/>
      <c r="G31" s="17" t="s">
        <v>139</v>
      </c>
      <c r="H31" s="96"/>
      <c r="I31" s="17"/>
      <c r="J31" s="17"/>
      <c r="K31" s="18" t="s">
        <v>140</v>
      </c>
      <c r="L31" s="17"/>
      <c r="M31" s="17" t="s">
        <v>141</v>
      </c>
    </row>
    <row r="32" spans="1:13" ht="15.75" customHeight="1">
      <c r="A32" s="16"/>
      <c r="C32" s="16"/>
      <c r="E32" s="16"/>
      <c r="G32" s="16" t="s">
        <v>142</v>
      </c>
      <c r="H32" s="96"/>
      <c r="I32" s="16"/>
      <c r="J32" s="16"/>
      <c r="K32" s="16" t="s">
        <v>143</v>
      </c>
      <c r="L32" s="16"/>
      <c r="M32" t="s">
        <v>144</v>
      </c>
    </row>
    <row r="33" spans="1:13" ht="15.75" customHeight="1">
      <c r="A33" s="17"/>
      <c r="C33" s="17"/>
      <c r="E33" s="17"/>
      <c r="G33" s="17" t="s">
        <v>145</v>
      </c>
      <c r="H33" s="96"/>
      <c r="I33" s="17"/>
      <c r="J33" s="17"/>
      <c r="K33" s="18" t="s">
        <v>146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147</v>
      </c>
      <c r="H34" s="96"/>
      <c r="I34" s="16"/>
      <c r="J34" s="16"/>
      <c r="K34" s="16" t="s">
        <v>79</v>
      </c>
      <c r="L34" s="16"/>
      <c r="M34" s="16" t="s">
        <v>148</v>
      </c>
    </row>
    <row r="35" spans="1:13" ht="15.75" customHeight="1">
      <c r="A35" s="17"/>
      <c r="C35" s="17"/>
      <c r="E35" s="17"/>
      <c r="G35" s="17" t="s">
        <v>149</v>
      </c>
      <c r="H35" s="96"/>
      <c r="I35" s="17"/>
      <c r="J35" s="17"/>
      <c r="K35" s="17" t="s">
        <v>150</v>
      </c>
      <c r="L35" s="17"/>
      <c r="M35" s="17" t="s">
        <v>151</v>
      </c>
    </row>
    <row r="36" spans="1:13" ht="15.75" customHeight="1">
      <c r="A36" s="16"/>
      <c r="C36" s="16"/>
      <c r="E36" s="16"/>
      <c r="G36" s="16" t="s">
        <v>152</v>
      </c>
      <c r="H36" s="96"/>
      <c r="I36" s="16"/>
      <c r="J36" s="16"/>
      <c r="K36" s="16" t="s">
        <v>153</v>
      </c>
      <c r="L36" s="16"/>
      <c r="M36" s="16" t="s">
        <v>154</v>
      </c>
    </row>
    <row r="37" spans="1:13" ht="15.75" customHeight="1">
      <c r="A37" s="17"/>
      <c r="C37" s="17"/>
      <c r="E37" s="17"/>
      <c r="G37" s="17" t="s">
        <v>155</v>
      </c>
      <c r="H37" s="96"/>
      <c r="I37" s="17"/>
      <c r="J37" s="17"/>
      <c r="K37" s="17" t="s">
        <v>156</v>
      </c>
      <c r="L37" s="17"/>
      <c r="M37" s="17" t="s">
        <v>157</v>
      </c>
    </row>
    <row r="38" spans="1:13" ht="15.75" customHeight="1">
      <c r="A38" s="16"/>
      <c r="C38" s="16"/>
      <c r="E38" s="16"/>
      <c r="G38" s="16"/>
      <c r="H38" s="96"/>
      <c r="I38" s="16"/>
      <c r="J38" s="16"/>
      <c r="K38" s="16" t="s">
        <v>158</v>
      </c>
      <c r="L38" s="16"/>
      <c r="M38" s="16" t="s">
        <v>159</v>
      </c>
    </row>
    <row r="39" spans="1:13" ht="15.75" customHeight="1">
      <c r="A39" s="17"/>
      <c r="C39" s="17"/>
      <c r="E39" s="17"/>
      <c r="G39" s="17"/>
      <c r="H39" s="96"/>
      <c r="I39" s="17"/>
      <c r="J39" s="17"/>
      <c r="K39" s="17" t="s">
        <v>160</v>
      </c>
      <c r="L39" s="17"/>
      <c r="M39" s="17" t="s">
        <v>161</v>
      </c>
    </row>
    <row r="40" spans="1:13" ht="15.75" customHeight="1">
      <c r="A40" s="16"/>
      <c r="C40" s="16"/>
      <c r="E40" s="16"/>
      <c r="G40" s="16"/>
      <c r="H40" s="96"/>
      <c r="I40" s="16"/>
      <c r="J40" s="16"/>
      <c r="K40" s="16" t="s">
        <v>162</v>
      </c>
      <c r="L40" s="16"/>
      <c r="M40" s="16" t="s">
        <v>163</v>
      </c>
    </row>
    <row r="41" spans="1:13" ht="15.75" customHeight="1">
      <c r="A41" s="17"/>
      <c r="C41" s="17"/>
      <c r="E41" s="17"/>
      <c r="G41" s="17"/>
      <c r="H41" s="96"/>
      <c r="I41" s="17"/>
      <c r="J41" s="17"/>
      <c r="K41" s="17" t="s">
        <v>164</v>
      </c>
      <c r="L41" s="17"/>
      <c r="M41" s="17" t="s">
        <v>165</v>
      </c>
    </row>
    <row r="42" spans="1:13" ht="15.75" customHeight="1">
      <c r="A42" s="16"/>
      <c r="C42" s="16"/>
      <c r="E42" s="16"/>
      <c r="G42" s="16"/>
      <c r="H42" s="96"/>
      <c r="I42" s="16"/>
      <c r="J42" s="16"/>
      <c r="K42" s="16" t="s">
        <v>166</v>
      </c>
      <c r="L42" s="16"/>
      <c r="M42" s="16" t="s">
        <v>167</v>
      </c>
    </row>
    <row r="43" spans="1:13" ht="15.75" customHeight="1">
      <c r="A43" s="17"/>
      <c r="C43" s="17"/>
      <c r="E43" s="17"/>
      <c r="G43" s="17"/>
      <c r="H43" s="96"/>
      <c r="I43" s="17"/>
      <c r="J43" s="17"/>
      <c r="K43" s="17" t="s">
        <v>168</v>
      </c>
      <c r="L43" s="17"/>
      <c r="M43" s="17" t="s">
        <v>169</v>
      </c>
    </row>
    <row r="44" spans="1:13" ht="15.75" customHeight="1">
      <c r="A44" s="16"/>
      <c r="C44" s="16"/>
      <c r="E44" s="16"/>
      <c r="G44" s="16"/>
      <c r="H44" s="96"/>
      <c r="I44" s="16"/>
      <c r="J44" s="16"/>
      <c r="K44" s="16" t="s">
        <v>170</v>
      </c>
      <c r="L44" s="16"/>
      <c r="M44" s="16" t="s">
        <v>171</v>
      </c>
    </row>
    <row r="45" spans="1:13" ht="15.75" customHeight="1">
      <c r="A45" s="17"/>
      <c r="C45" s="17"/>
      <c r="E45" s="17"/>
      <c r="G45" s="17"/>
      <c r="H45" s="96"/>
      <c r="I45" s="17"/>
      <c r="J45" s="17"/>
      <c r="K45" s="17"/>
      <c r="L45" s="17"/>
      <c r="M45" s="17" t="s">
        <v>172</v>
      </c>
    </row>
    <row r="46" spans="1:13" ht="15.75" customHeight="1">
      <c r="A46" s="16"/>
      <c r="C46" s="16"/>
      <c r="E46" s="16"/>
      <c r="G46" s="16"/>
      <c r="H46" s="96"/>
      <c r="I46" s="16"/>
      <c r="J46" s="16"/>
      <c r="K46" s="16" t="s">
        <v>173</v>
      </c>
      <c r="L46" s="16"/>
      <c r="M46" s="16" t="s">
        <v>174</v>
      </c>
    </row>
    <row r="47" spans="1:13" ht="15.75" customHeight="1">
      <c r="A47" s="17"/>
      <c r="C47" s="17"/>
      <c r="E47" s="17"/>
      <c r="G47" s="17"/>
      <c r="H47" s="96"/>
      <c r="I47" s="17"/>
      <c r="J47" s="17"/>
      <c r="K47" s="17" t="s">
        <v>175</v>
      </c>
      <c r="L47" s="17"/>
      <c r="M47" s="17" t="s">
        <v>176</v>
      </c>
    </row>
    <row r="48" spans="1:13" ht="15.75" customHeight="1">
      <c r="A48" s="16"/>
      <c r="C48" s="16"/>
      <c r="E48" s="16"/>
      <c r="G48" s="16"/>
      <c r="H48" s="96"/>
      <c r="I48" s="16"/>
      <c r="J48" s="16"/>
      <c r="K48" s="16" t="s">
        <v>177</v>
      </c>
      <c r="L48" s="16"/>
      <c r="M48" s="16"/>
    </row>
    <row r="49" spans="1:13" ht="18" customHeight="1">
      <c r="H49" s="96"/>
      <c r="I49" s="17"/>
      <c r="J49" s="17"/>
      <c r="K49" s="17" t="s">
        <v>178</v>
      </c>
      <c r="L49" s="17"/>
      <c r="M49" s="17"/>
    </row>
    <row r="50" spans="1:13" ht="21" customHeight="1">
      <c r="A50" s="19" t="s">
        <v>179</v>
      </c>
      <c r="B50" s="19"/>
      <c r="C50" s="19"/>
      <c r="D50" s="19"/>
      <c r="E50" s="19"/>
      <c r="F50" s="19"/>
      <c r="G50" s="19"/>
      <c r="H50" s="96"/>
      <c r="I50" s="16"/>
      <c r="J50" s="16"/>
      <c r="K50" s="16" t="s">
        <v>180</v>
      </c>
      <c r="L50" s="16"/>
      <c r="M50" s="16"/>
    </row>
    <row r="51" spans="1:13" ht="24" customHeight="1">
      <c r="H51" s="96"/>
      <c r="I51" s="17"/>
      <c r="J51" s="17"/>
      <c r="K51" s="17" t="s">
        <v>181</v>
      </c>
      <c r="L51" s="17"/>
      <c r="M51" s="17"/>
    </row>
    <row r="52" spans="1:13" ht="24" customHeight="1">
      <c r="H52" s="96"/>
      <c r="I52" s="16"/>
      <c r="J52" s="16"/>
      <c r="K52" s="16" t="s">
        <v>182</v>
      </c>
      <c r="L52" s="16"/>
      <c r="M52" s="16"/>
    </row>
    <row r="53" spans="1:13" ht="36" customHeight="1">
      <c r="H53" s="96"/>
      <c r="I53" s="17"/>
      <c r="J53" s="17"/>
      <c r="K53" s="17" t="s">
        <v>183</v>
      </c>
      <c r="L53" s="17"/>
      <c r="M53" s="17"/>
    </row>
    <row r="54" spans="1:13" ht="15" customHeight="1">
      <c r="H54" s="96"/>
      <c r="I54" s="16"/>
      <c r="J54" s="16"/>
      <c r="K54" s="16"/>
      <c r="L54" s="16"/>
      <c r="M54" s="16"/>
    </row>
    <row r="55" spans="1:13" ht="15" customHeight="1">
      <c r="H55" s="96"/>
      <c r="I55" s="17"/>
      <c r="J55" s="17"/>
      <c r="K55" s="17"/>
      <c r="L55" s="17"/>
      <c r="M55" s="17"/>
    </row>
    <row r="56" spans="1:13" ht="15" customHeight="1">
      <c r="H56" s="96"/>
      <c r="I56" s="16"/>
      <c r="J56" s="16"/>
      <c r="K56" s="16"/>
      <c r="L56" s="16"/>
      <c r="M56" s="16"/>
    </row>
    <row r="57" spans="1:13" ht="15" customHeight="1">
      <c r="H57" s="96"/>
      <c r="I57" s="17"/>
      <c r="J57" s="17"/>
      <c r="K57" s="17"/>
      <c r="L57" s="17"/>
      <c r="M57" s="17"/>
    </row>
    <row r="58" spans="1:13" ht="15" customHeight="1">
      <c r="H58" s="96"/>
      <c r="I58" s="16"/>
      <c r="J58" s="16"/>
      <c r="K58" s="16"/>
      <c r="L58" s="16"/>
      <c r="M58" s="16"/>
    </row>
    <row r="59" spans="1:13" ht="15" customHeight="1">
      <c r="H59" s="96"/>
      <c r="I59" s="17"/>
      <c r="J59" s="17"/>
      <c r="K59" s="17"/>
      <c r="L59" s="17"/>
      <c r="M59" s="17"/>
    </row>
    <row r="60" spans="1:13" ht="15" customHeight="1">
      <c r="H60" s="96"/>
      <c r="I60" s="16"/>
      <c r="J60" s="16"/>
      <c r="K60" s="16"/>
      <c r="L60" s="16"/>
      <c r="M60" s="16"/>
    </row>
    <row r="61" spans="1:13" ht="15" customHeight="1">
      <c r="H61" s="96"/>
      <c r="I61" s="17"/>
      <c r="J61" s="17"/>
      <c r="K61" s="17"/>
      <c r="L61" s="17"/>
      <c r="M61" s="17"/>
    </row>
    <row r="62" spans="1:13" ht="15" customHeight="1">
      <c r="H62" s="96"/>
      <c r="I62" s="16"/>
      <c r="J62" s="16"/>
      <c r="K62" s="16"/>
      <c r="L62" s="16"/>
      <c r="M62" s="16"/>
    </row>
    <row r="63" spans="1:13" ht="15" customHeight="1">
      <c r="H63" s="96"/>
      <c r="I63" s="17"/>
      <c r="J63" s="17"/>
      <c r="K63" s="17"/>
      <c r="L63" s="17"/>
      <c r="M63" s="17"/>
    </row>
    <row r="64" spans="1:13" ht="15" customHeight="1">
      <c r="H64" s="96"/>
      <c r="I64" s="16"/>
      <c r="J64" s="16"/>
      <c r="K64" s="16"/>
      <c r="L64" s="16"/>
      <c r="M64" s="16"/>
    </row>
    <row r="65" spans="8:13" ht="15" customHeight="1">
      <c r="H65" s="96"/>
      <c r="I65" s="17"/>
      <c r="J65" s="17"/>
      <c r="K65" s="17"/>
      <c r="L65" s="17"/>
      <c r="M65" s="17"/>
    </row>
    <row r="66" spans="8:13" ht="15" customHeight="1">
      <c r="H66" s="96"/>
      <c r="I66" s="16"/>
      <c r="J66" s="16"/>
      <c r="K66" s="16"/>
      <c r="L66" s="16"/>
      <c r="M66" s="16"/>
    </row>
    <row r="67" spans="8:13" ht="15" customHeight="1">
      <c r="H67" s="96"/>
      <c r="I67" s="17"/>
      <c r="J67" s="17"/>
      <c r="K67" s="17"/>
      <c r="L67" s="17"/>
      <c r="M67" s="17"/>
    </row>
    <row r="68" spans="8:13" ht="15" customHeight="1">
      <c r="H68" s="96"/>
      <c r="I68" s="16"/>
      <c r="J68" s="16"/>
      <c r="K68" s="16"/>
      <c r="L68" s="16"/>
      <c r="M68" s="16"/>
    </row>
    <row r="69" spans="8:13" ht="15" customHeight="1">
      <c r="H69" s="96"/>
      <c r="I69" s="17"/>
      <c r="J69" s="17"/>
      <c r="K69" s="17"/>
      <c r="L69" s="17"/>
      <c r="M69" s="17"/>
    </row>
    <row r="70" spans="8:13" ht="15" customHeight="1">
      <c r="H70" s="96"/>
      <c r="I70" s="16"/>
      <c r="J70" s="16"/>
      <c r="K70" s="16"/>
      <c r="L70" s="16"/>
      <c r="M70" s="16"/>
    </row>
    <row r="71" spans="8:13" ht="15" customHeight="1">
      <c r="H71" s="96"/>
      <c r="I71" s="17"/>
      <c r="J71" s="17"/>
      <c r="K71" s="17"/>
      <c r="L71" s="17"/>
      <c r="M71" s="17"/>
    </row>
    <row r="72" spans="8:13" ht="15" customHeight="1">
      <c r="H72" s="96"/>
      <c r="I72" s="16"/>
      <c r="J72" s="16"/>
      <c r="K72" s="16"/>
      <c r="L72" s="16"/>
      <c r="M72" s="16"/>
    </row>
    <row r="73" spans="8:13" ht="15" customHeight="1">
      <c r="H73" s="96"/>
      <c r="I73" s="17"/>
      <c r="J73" s="17"/>
      <c r="K73" s="17"/>
      <c r="L73" s="17"/>
      <c r="M73" s="17"/>
    </row>
    <row r="74" spans="8:13" ht="15" customHeight="1">
      <c r="H74" s="96"/>
      <c r="I74" s="16"/>
      <c r="J74" s="16"/>
      <c r="K74" s="16"/>
      <c r="L74" s="16"/>
      <c r="M74" s="16"/>
    </row>
    <row r="75" spans="8:13" ht="15" customHeight="1">
      <c r="H75" s="96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73" activePane="bottomLeft" state="frozen"/>
      <selection pane="bottomLeft" activeCell="N97" sqref="N97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184</v>
      </c>
      <c r="C1" s="23" t="s">
        <v>12</v>
      </c>
      <c r="D1" s="22" t="s">
        <v>13</v>
      </c>
      <c r="E1" s="22" t="s">
        <v>185</v>
      </c>
      <c r="F1" s="23" t="s">
        <v>186</v>
      </c>
      <c r="G1" s="23" t="s">
        <v>187</v>
      </c>
      <c r="H1" s="23" t="s">
        <v>14</v>
      </c>
      <c r="I1" s="23" t="s">
        <v>15</v>
      </c>
      <c r="J1" s="23" t="s">
        <v>188</v>
      </c>
      <c r="K1" s="23" t="s">
        <v>189</v>
      </c>
      <c r="L1" s="23" t="s">
        <v>190</v>
      </c>
      <c r="M1" s="24" t="s">
        <v>191</v>
      </c>
      <c r="N1" s="23" t="s">
        <v>192</v>
      </c>
      <c r="O1" s="23" t="s">
        <v>193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194</v>
      </c>
      <c r="E2" s="59" t="s">
        <v>195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101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196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195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135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195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195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195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195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195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195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195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195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195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195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89" t="s">
        <v>197</v>
      </c>
      <c r="B14" s="90"/>
      <c r="C14" s="90"/>
      <c r="D14" s="90"/>
      <c r="E14" s="91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198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195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195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195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195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195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195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195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195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195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195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195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195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89" t="s">
        <v>199</v>
      </c>
      <c r="B27" s="90"/>
      <c r="C27" s="90"/>
      <c r="D27" s="90"/>
      <c r="E27" s="91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198</v>
      </c>
      <c r="O27" s="39">
        <v>1183060</v>
      </c>
    </row>
    <row r="28" spans="1:15" ht="18" customHeight="1">
      <c r="A28" s="86" t="s">
        <v>200</v>
      </c>
      <c r="B28" s="87"/>
      <c r="C28" s="87"/>
      <c r="D28" s="87"/>
      <c r="E28" s="88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201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195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195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175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202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195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195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195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195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195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195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195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195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195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195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9" t="s">
        <v>197</v>
      </c>
      <c r="B41" s="90"/>
      <c r="C41" s="90"/>
      <c r="D41" s="90"/>
      <c r="E41" s="91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198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195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195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195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195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195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195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195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195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195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195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195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195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9" t="s">
        <v>199</v>
      </c>
      <c r="B54" s="90"/>
      <c r="C54" s="90"/>
      <c r="D54" s="90"/>
      <c r="E54" s="91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198</v>
      </c>
      <c r="O54" s="39">
        <v>959290</v>
      </c>
    </row>
    <row r="55" spans="1:15" ht="18" customHeight="1">
      <c r="A55" s="86" t="s">
        <v>200</v>
      </c>
      <c r="B55" s="87"/>
      <c r="C55" s="87"/>
      <c r="D55" s="87"/>
      <c r="E55" s="88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201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195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195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195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195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195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195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195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195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195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195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195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195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9" t="s">
        <v>197</v>
      </c>
      <c r="B68" s="90"/>
      <c r="C68" s="90"/>
      <c r="D68" s="90"/>
      <c r="E68" s="91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198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195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172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195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124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203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195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195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195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195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195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195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195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195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195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195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9" t="s">
        <v>199</v>
      </c>
      <c r="B81" s="90"/>
      <c r="C81" s="90"/>
      <c r="D81" s="90"/>
      <c r="E81" s="91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198</v>
      </c>
      <c r="O81" s="39">
        <v>878050</v>
      </c>
    </row>
    <row r="82" spans="1:15" ht="18" customHeight="1">
      <c r="A82" s="86" t="s">
        <v>200</v>
      </c>
      <c r="B82" s="87"/>
      <c r="C82" s="87"/>
      <c r="D82" s="87"/>
      <c r="E82" s="88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201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195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158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204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195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195</v>
      </c>
      <c r="F85" s="27">
        <v>0</v>
      </c>
      <c r="G85" s="28">
        <f t="shared" si="18"/>
        <v>0</v>
      </c>
      <c r="H85" s="33" t="s">
        <v>20</v>
      </c>
      <c r="I85" s="33" t="s">
        <v>136</v>
      </c>
      <c r="J85" s="33" t="s">
        <v>121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195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181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195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195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195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195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195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195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195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195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9" t="s">
        <v>197</v>
      </c>
      <c r="B95" s="90"/>
      <c r="C95" s="90"/>
      <c r="D95" s="90"/>
      <c r="E95" s="91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198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205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9" t="s">
        <v>199</v>
      </c>
      <c r="B108" s="90"/>
      <c r="C108" s="90"/>
      <c r="D108" s="90"/>
      <c r="E108" s="91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198</v>
      </c>
      <c r="O108" s="39"/>
    </row>
    <row r="109" spans="1:15" ht="18" customHeight="1">
      <c r="A109" s="86" t="s">
        <v>200</v>
      </c>
      <c r="B109" s="87"/>
      <c r="C109" s="87"/>
      <c r="D109" s="87"/>
      <c r="E109" s="88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201</v>
      </c>
      <c r="O109" s="43">
        <f>IFERROR(O95+O108,"")</f>
        <v>1704450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9" t="s">
        <v>197</v>
      </c>
      <c r="B122" s="90"/>
      <c r="C122" s="90"/>
      <c r="D122" s="90"/>
      <c r="E122" s="91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198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9" t="s">
        <v>199</v>
      </c>
      <c r="B135" s="90"/>
      <c r="C135" s="90"/>
      <c r="D135" s="90"/>
      <c r="E135" s="91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198</v>
      </c>
      <c r="O135" s="39"/>
    </row>
    <row r="136" spans="1:15" ht="18" customHeight="1">
      <c r="A136" s="86" t="s">
        <v>200</v>
      </c>
      <c r="B136" s="87"/>
      <c r="C136" s="87"/>
      <c r="D136" s="87"/>
      <c r="E136" s="88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201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9" t="s">
        <v>197</v>
      </c>
      <c r="B149" s="90"/>
      <c r="C149" s="90"/>
      <c r="D149" s="90"/>
      <c r="E149" s="91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198</v>
      </c>
      <c r="O149" s="4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9" t="s">
        <v>199</v>
      </c>
      <c r="B162" s="90"/>
      <c r="C162" s="90"/>
      <c r="D162" s="90"/>
      <c r="E162" s="91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198</v>
      </c>
      <c r="O162" s="44"/>
    </row>
    <row r="163" spans="1:15" ht="18" customHeight="1">
      <c r="A163" s="86" t="s">
        <v>200</v>
      </c>
      <c r="B163" s="87"/>
      <c r="C163" s="87"/>
      <c r="D163" s="87"/>
      <c r="E163" s="88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201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9" t="s">
        <v>197</v>
      </c>
      <c r="B176" s="90"/>
      <c r="C176" s="90"/>
      <c r="D176" s="90"/>
      <c r="E176" s="9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198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9" t="s">
        <v>199</v>
      </c>
      <c r="B189" s="90"/>
      <c r="C189" s="90"/>
      <c r="D189" s="90"/>
      <c r="E189" s="9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198</v>
      </c>
      <c r="O189" s="39"/>
    </row>
    <row r="190" spans="1:15" ht="18" customHeight="1">
      <c r="A190" s="86" t="s">
        <v>200</v>
      </c>
      <c r="B190" s="87"/>
      <c r="C190" s="87"/>
      <c r="D190" s="87"/>
      <c r="E190" s="88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201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9" t="s">
        <v>197</v>
      </c>
      <c r="B203" s="90"/>
      <c r="C203" s="90"/>
      <c r="D203" s="90"/>
      <c r="E203" s="9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198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9" t="s">
        <v>199</v>
      </c>
      <c r="B216" s="90"/>
      <c r="C216" s="90"/>
      <c r="D216" s="90"/>
      <c r="E216" s="91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198</v>
      </c>
      <c r="O216" s="45"/>
    </row>
    <row r="217" spans="1:15" ht="18" customHeight="1">
      <c r="A217" s="86" t="s">
        <v>200</v>
      </c>
      <c r="B217" s="87"/>
      <c r="C217" s="87"/>
      <c r="D217" s="87"/>
      <c r="E217" s="88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201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9" t="s">
        <v>197</v>
      </c>
      <c r="B230" s="90"/>
      <c r="C230" s="90"/>
      <c r="D230" s="90"/>
      <c r="E230" s="91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198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9" t="s">
        <v>199</v>
      </c>
      <c r="B243" s="90"/>
      <c r="C243" s="90"/>
      <c r="D243" s="90"/>
      <c r="E243" s="91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198</v>
      </c>
      <c r="O243" s="39"/>
    </row>
    <row r="244" spans="1:15" ht="18" customHeight="1">
      <c r="A244" s="86" t="s">
        <v>200</v>
      </c>
      <c r="B244" s="87"/>
      <c r="C244" s="87"/>
      <c r="D244" s="87"/>
      <c r="E244" s="88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201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9" t="s">
        <v>197</v>
      </c>
      <c r="B257" s="90"/>
      <c r="C257" s="90"/>
      <c r="D257" s="90"/>
      <c r="E257" s="91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198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9" t="s">
        <v>199</v>
      </c>
      <c r="B270" s="90"/>
      <c r="C270" s="90"/>
      <c r="D270" s="90"/>
      <c r="E270" s="91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198</v>
      </c>
      <c r="O270" s="39"/>
    </row>
    <row r="271" spans="1:15" ht="18" customHeight="1">
      <c r="A271" s="86" t="s">
        <v>200</v>
      </c>
      <c r="B271" s="87"/>
      <c r="C271" s="87"/>
      <c r="D271" s="87"/>
      <c r="E271" s="88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201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9" t="s">
        <v>197</v>
      </c>
      <c r="B284" s="90"/>
      <c r="C284" s="90"/>
      <c r="D284" s="90"/>
      <c r="E284" s="91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198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9" t="s">
        <v>199</v>
      </c>
      <c r="B297" s="90"/>
      <c r="C297" s="90"/>
      <c r="D297" s="90"/>
      <c r="E297" s="91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198</v>
      </c>
      <c r="O297" s="39"/>
    </row>
    <row r="298" spans="1:15" ht="18" customHeight="1">
      <c r="A298" s="86" t="s">
        <v>200</v>
      </c>
      <c r="B298" s="87"/>
      <c r="C298" s="87"/>
      <c r="D298" s="87"/>
      <c r="E298" s="88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201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9" t="s">
        <v>197</v>
      </c>
      <c r="B311" s="90"/>
      <c r="C311" s="90"/>
      <c r="D311" s="90"/>
      <c r="E311" s="91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198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9" t="s">
        <v>199</v>
      </c>
      <c r="B324" s="90"/>
      <c r="C324" s="90"/>
      <c r="D324" s="90"/>
      <c r="E324" s="91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198</v>
      </c>
      <c r="O324" s="39"/>
    </row>
    <row r="325" spans="1:15" ht="18" customHeight="1">
      <c r="A325" s="86" t="s">
        <v>200</v>
      </c>
      <c r="B325" s="87"/>
      <c r="C325" s="87"/>
      <c r="D325" s="87"/>
      <c r="E325" s="88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201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9" t="s">
        <v>197</v>
      </c>
      <c r="B338" s="90"/>
      <c r="C338" s="90"/>
      <c r="D338" s="90"/>
      <c r="E338" s="91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198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9" t="s">
        <v>199</v>
      </c>
      <c r="B351" s="90"/>
      <c r="C351" s="90"/>
      <c r="D351" s="90"/>
      <c r="E351" s="91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198</v>
      </c>
      <c r="O351" s="39"/>
    </row>
    <row r="352" spans="1:15" ht="18" customHeight="1">
      <c r="A352" s="86" t="s">
        <v>200</v>
      </c>
      <c r="B352" s="87"/>
      <c r="C352" s="87"/>
      <c r="D352" s="87"/>
      <c r="E352" s="88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201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9" t="s">
        <v>197</v>
      </c>
      <c r="B365" s="90"/>
      <c r="C365" s="90"/>
      <c r="D365" s="90"/>
      <c r="E365" s="91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198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9" t="s">
        <v>199</v>
      </c>
      <c r="B378" s="90"/>
      <c r="C378" s="90"/>
      <c r="D378" s="90"/>
      <c r="E378" s="91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198</v>
      </c>
      <c r="O378" s="39"/>
    </row>
    <row r="379" spans="1:15" ht="18" customHeight="1">
      <c r="A379" s="86" t="s">
        <v>200</v>
      </c>
      <c r="B379" s="87"/>
      <c r="C379" s="87"/>
      <c r="D379" s="87"/>
      <c r="E379" s="88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201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9" t="s">
        <v>197</v>
      </c>
      <c r="B392" s="90"/>
      <c r="C392" s="90"/>
      <c r="D392" s="90"/>
      <c r="E392" s="91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198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9" t="s">
        <v>199</v>
      </c>
      <c r="B405" s="90"/>
      <c r="C405" s="90"/>
      <c r="D405" s="90"/>
      <c r="E405" s="91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198</v>
      </c>
      <c r="O405" s="39"/>
    </row>
    <row r="406" spans="1:15" ht="18" customHeight="1">
      <c r="A406" s="86" t="s">
        <v>200</v>
      </c>
      <c r="B406" s="87"/>
      <c r="C406" s="87"/>
      <c r="D406" s="87"/>
      <c r="E406" s="88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201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9" t="s">
        <v>197</v>
      </c>
      <c r="B419" s="90"/>
      <c r="C419" s="90"/>
      <c r="D419" s="90"/>
      <c r="E419" s="91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198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9" t="s">
        <v>199</v>
      </c>
      <c r="B432" s="90"/>
      <c r="C432" s="90"/>
      <c r="D432" s="90"/>
      <c r="E432" s="91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198</v>
      </c>
      <c r="O432" s="39"/>
    </row>
    <row r="433" spans="1:15" ht="18" customHeight="1">
      <c r="A433" s="86" t="s">
        <v>200</v>
      </c>
      <c r="B433" s="87"/>
      <c r="C433" s="87"/>
      <c r="D433" s="87"/>
      <c r="E433" s="88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201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9" t="s">
        <v>197</v>
      </c>
      <c r="B446" s="90"/>
      <c r="C446" s="90"/>
      <c r="D446" s="90"/>
      <c r="E446" s="91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198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9" t="s">
        <v>199</v>
      </c>
      <c r="B459" s="90"/>
      <c r="C459" s="90"/>
      <c r="D459" s="90"/>
      <c r="E459" s="91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198</v>
      </c>
      <c r="O459" s="39"/>
    </row>
    <row r="460" spans="1:15" ht="18" customHeight="1">
      <c r="A460" s="86" t="s">
        <v>200</v>
      </c>
      <c r="B460" s="87"/>
      <c r="C460" s="87"/>
      <c r="D460" s="87"/>
      <c r="E460" s="88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201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9" t="s">
        <v>197</v>
      </c>
      <c r="B473" s="90"/>
      <c r="C473" s="90"/>
      <c r="D473" s="90"/>
      <c r="E473" s="91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198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9" t="s">
        <v>199</v>
      </c>
      <c r="B486" s="90"/>
      <c r="C486" s="90"/>
      <c r="D486" s="90"/>
      <c r="E486" s="91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198</v>
      </c>
      <c r="O486" s="39"/>
    </row>
    <row r="487" spans="1:15" ht="18" customHeight="1">
      <c r="A487" s="86" t="s">
        <v>200</v>
      </c>
      <c r="B487" s="87"/>
      <c r="C487" s="87"/>
      <c r="D487" s="87"/>
      <c r="E487" s="88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201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9" t="s">
        <v>197</v>
      </c>
      <c r="B500" s="90"/>
      <c r="C500" s="90"/>
      <c r="D500" s="90"/>
      <c r="E500" s="9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198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9" t="s">
        <v>199</v>
      </c>
      <c r="B513" s="90"/>
      <c r="C513" s="90"/>
      <c r="D513" s="90"/>
      <c r="E513" s="9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198</v>
      </c>
      <c r="O513" s="39"/>
    </row>
    <row r="514" spans="1:15" ht="18" customHeight="1">
      <c r="A514" s="86" t="s">
        <v>200</v>
      </c>
      <c r="B514" s="87"/>
      <c r="C514" s="87"/>
      <c r="D514" s="87"/>
      <c r="E514" s="88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201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9" t="s">
        <v>197</v>
      </c>
      <c r="B527" s="90"/>
      <c r="C527" s="90"/>
      <c r="D527" s="90"/>
      <c r="E527" s="9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198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9" t="s">
        <v>199</v>
      </c>
      <c r="B540" s="90"/>
      <c r="C540" s="90"/>
      <c r="D540" s="90"/>
      <c r="E540" s="9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198</v>
      </c>
      <c r="O540" s="39"/>
    </row>
    <row r="541" spans="1:15" ht="18" customHeight="1">
      <c r="A541" s="86" t="s">
        <v>200</v>
      </c>
      <c r="B541" s="87"/>
      <c r="C541" s="87"/>
      <c r="D541" s="87"/>
      <c r="E541" s="88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201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9" t="s">
        <v>197</v>
      </c>
      <c r="B554" s="90"/>
      <c r="C554" s="90"/>
      <c r="D554" s="90"/>
      <c r="E554" s="9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198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9" t="s">
        <v>199</v>
      </c>
      <c r="B567" s="90"/>
      <c r="C567" s="90"/>
      <c r="D567" s="90"/>
      <c r="E567" s="9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198</v>
      </c>
      <c r="O567" s="39"/>
    </row>
    <row r="568" spans="1:15" ht="18" customHeight="1">
      <c r="A568" s="86" t="s">
        <v>200</v>
      </c>
      <c r="B568" s="87"/>
      <c r="C568" s="87"/>
      <c r="D568" s="87"/>
      <c r="E568" s="88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201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9" t="s">
        <v>197</v>
      </c>
      <c r="B581" s="90"/>
      <c r="C581" s="90"/>
      <c r="D581" s="90"/>
      <c r="E581" s="9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198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9" t="s">
        <v>199</v>
      </c>
      <c r="B594" s="90"/>
      <c r="C594" s="90"/>
      <c r="D594" s="90"/>
      <c r="E594" s="9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198</v>
      </c>
      <c r="O594" s="39"/>
    </row>
    <row r="595" spans="1:15" ht="18" customHeight="1">
      <c r="A595" s="86" t="s">
        <v>200</v>
      </c>
      <c r="B595" s="87"/>
      <c r="C595" s="87"/>
      <c r="D595" s="87"/>
      <c r="E595" s="88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201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9" t="s">
        <v>197</v>
      </c>
      <c r="B608" s="90"/>
      <c r="C608" s="90"/>
      <c r="D608" s="90"/>
      <c r="E608" s="9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198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9" t="s">
        <v>199</v>
      </c>
      <c r="B621" s="90"/>
      <c r="C621" s="90"/>
      <c r="D621" s="90"/>
      <c r="E621" s="9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198</v>
      </c>
      <c r="O621" s="39"/>
    </row>
    <row r="622" spans="1:15" ht="18" customHeight="1">
      <c r="A622" s="86" t="s">
        <v>200</v>
      </c>
      <c r="B622" s="87"/>
      <c r="C622" s="87"/>
      <c r="D622" s="87"/>
      <c r="E622" s="88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201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9" t="s">
        <v>197</v>
      </c>
      <c r="B635" s="90"/>
      <c r="C635" s="90"/>
      <c r="D635" s="90"/>
      <c r="E635" s="9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198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9" t="s">
        <v>199</v>
      </c>
      <c r="B648" s="90"/>
      <c r="C648" s="90"/>
      <c r="D648" s="90"/>
      <c r="E648" s="9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198</v>
      </c>
      <c r="O648" s="39"/>
    </row>
    <row r="649" spans="1:15" ht="18" customHeight="1">
      <c r="A649" s="86" t="s">
        <v>200</v>
      </c>
      <c r="B649" s="87"/>
      <c r="C649" s="87"/>
      <c r="D649" s="87"/>
      <c r="E649" s="88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201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9" t="s">
        <v>197</v>
      </c>
      <c r="B662" s="90"/>
      <c r="C662" s="90"/>
      <c r="D662" s="90"/>
      <c r="E662" s="9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198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9" t="s">
        <v>199</v>
      </c>
      <c r="B675" s="90"/>
      <c r="C675" s="90"/>
      <c r="D675" s="90"/>
      <c r="E675" s="9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198</v>
      </c>
      <c r="O675" s="39"/>
    </row>
    <row r="676" spans="1:15" ht="18" customHeight="1">
      <c r="A676" s="86" t="s">
        <v>200</v>
      </c>
      <c r="B676" s="87"/>
      <c r="C676" s="87"/>
      <c r="D676" s="87"/>
      <c r="E676" s="88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201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9" t="s">
        <v>197</v>
      </c>
      <c r="B689" s="90"/>
      <c r="C689" s="90"/>
      <c r="D689" s="90"/>
      <c r="E689" s="9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198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9" t="s">
        <v>199</v>
      </c>
      <c r="B702" s="90"/>
      <c r="C702" s="90"/>
      <c r="D702" s="90"/>
      <c r="E702" s="9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198</v>
      </c>
      <c r="O702" s="39"/>
    </row>
    <row r="703" spans="1:15" ht="18" customHeight="1">
      <c r="A703" s="86" t="s">
        <v>200</v>
      </c>
      <c r="B703" s="87"/>
      <c r="C703" s="87"/>
      <c r="D703" s="87"/>
      <c r="E703" s="88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201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9" t="s">
        <v>197</v>
      </c>
      <c r="B716" s="90"/>
      <c r="C716" s="90"/>
      <c r="D716" s="90"/>
      <c r="E716" s="9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198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9" t="s">
        <v>199</v>
      </c>
      <c r="B729" s="90"/>
      <c r="C729" s="90"/>
      <c r="D729" s="90"/>
      <c r="E729" s="9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198</v>
      </c>
      <c r="O729" s="39"/>
    </row>
    <row r="730" spans="1:15" ht="18" customHeight="1">
      <c r="A730" s="86" t="s">
        <v>200</v>
      </c>
      <c r="B730" s="87"/>
      <c r="C730" s="87"/>
      <c r="D730" s="87"/>
      <c r="E730" s="88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201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9" t="s">
        <v>197</v>
      </c>
      <c r="B743" s="90"/>
      <c r="C743" s="90"/>
      <c r="D743" s="90"/>
      <c r="E743" s="9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198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9" t="s">
        <v>199</v>
      </c>
      <c r="B756" s="90"/>
      <c r="C756" s="90"/>
      <c r="D756" s="90"/>
      <c r="E756" s="9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198</v>
      </c>
      <c r="O756" s="39"/>
    </row>
    <row r="757" spans="1:15" ht="18" customHeight="1">
      <c r="A757" s="86" t="s">
        <v>200</v>
      </c>
      <c r="B757" s="87"/>
      <c r="C757" s="87"/>
      <c r="D757" s="87"/>
      <c r="E757" s="8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201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9" t="s">
        <v>197</v>
      </c>
      <c r="B770" s="90"/>
      <c r="C770" s="90"/>
      <c r="D770" s="90"/>
      <c r="E770" s="9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198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9" t="s">
        <v>199</v>
      </c>
      <c r="B783" s="90"/>
      <c r="C783" s="90"/>
      <c r="D783" s="90"/>
      <c r="E783" s="9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198</v>
      </c>
      <c r="O783" s="39"/>
    </row>
    <row r="784" spans="1:15" ht="18" customHeight="1">
      <c r="A784" s="86" t="s">
        <v>200</v>
      </c>
      <c r="B784" s="87"/>
      <c r="C784" s="87"/>
      <c r="D784" s="87"/>
      <c r="E784" s="8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201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9" t="s">
        <v>197</v>
      </c>
      <c r="B797" s="90"/>
      <c r="C797" s="90"/>
      <c r="D797" s="90"/>
      <c r="E797" s="9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198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9" t="s">
        <v>199</v>
      </c>
      <c r="B810" s="90"/>
      <c r="C810" s="90"/>
      <c r="D810" s="90"/>
      <c r="E810" s="9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198</v>
      </c>
      <c r="O810" s="39"/>
    </row>
    <row r="811" spans="1:15" ht="18" customHeight="1">
      <c r="A811" s="86" t="s">
        <v>200</v>
      </c>
      <c r="B811" s="87"/>
      <c r="C811" s="87"/>
      <c r="D811" s="87"/>
      <c r="E811" s="8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201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72" activePane="bottomLeft" state="frozen"/>
      <selection pane="bottomLeft" activeCell="F99" sqref="F99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184</v>
      </c>
      <c r="C1" s="23" t="s">
        <v>12</v>
      </c>
      <c r="D1" s="22" t="s">
        <v>13</v>
      </c>
      <c r="E1" s="22" t="s">
        <v>185</v>
      </c>
      <c r="F1" s="23" t="s">
        <v>186</v>
      </c>
      <c r="G1" s="23" t="s">
        <v>187</v>
      </c>
      <c r="H1" s="23" t="s">
        <v>14</v>
      </c>
      <c r="I1" s="23" t="s">
        <v>15</v>
      </c>
      <c r="J1" s="23" t="s">
        <v>188</v>
      </c>
      <c r="K1" s="23" t="s">
        <v>189</v>
      </c>
      <c r="L1" s="23" t="s">
        <v>190</v>
      </c>
      <c r="M1" s="24" t="s">
        <v>191</v>
      </c>
      <c r="N1" s="23" t="s">
        <v>192</v>
      </c>
      <c r="O1" s="23" t="s">
        <v>193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206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206</v>
      </c>
      <c r="F3" s="27">
        <v>10</v>
      </c>
      <c r="G3" s="34">
        <f t="shared" si="0"/>
        <v>42</v>
      </c>
      <c r="H3" s="33" t="s">
        <v>19</v>
      </c>
      <c r="I3" s="33" t="s">
        <v>149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206</v>
      </c>
      <c r="F4" s="27">
        <v>8</v>
      </c>
      <c r="G4" s="28">
        <f t="shared" si="0"/>
        <v>33.6</v>
      </c>
      <c r="H4" s="26" t="s">
        <v>19</v>
      </c>
      <c r="I4" s="26" t="s">
        <v>149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206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206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206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206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206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206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206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206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206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89" t="s">
        <v>197</v>
      </c>
      <c r="B14" s="90"/>
      <c r="C14" s="90"/>
      <c r="D14" s="90"/>
      <c r="E14" s="91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198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206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149</v>
      </c>
      <c r="J15" s="33" t="s">
        <v>156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206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206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206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206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206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206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206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206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206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206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206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89" t="s">
        <v>199</v>
      </c>
      <c r="B27" s="90"/>
      <c r="C27" s="90"/>
      <c r="D27" s="90"/>
      <c r="E27" s="91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198</v>
      </c>
      <c r="O27" s="78">
        <v>393200</v>
      </c>
    </row>
    <row r="28" spans="1:15" ht="18" customHeight="1">
      <c r="A28" s="86" t="s">
        <v>200</v>
      </c>
      <c r="B28" s="87"/>
      <c r="C28" s="87"/>
      <c r="D28" s="87"/>
      <c r="E28" s="88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201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206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207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206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181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206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157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206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206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206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206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206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206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206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206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206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89" t="s">
        <v>197</v>
      </c>
      <c r="B41" s="90"/>
      <c r="C41" s="90"/>
      <c r="D41" s="90"/>
      <c r="E41" s="91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198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206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206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206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96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208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206</v>
      </c>
      <c r="F45" s="27">
        <v>0</v>
      </c>
      <c r="G45" s="28">
        <f t="shared" si="9"/>
        <v>0</v>
      </c>
      <c r="H45" s="33" t="s">
        <v>20</v>
      </c>
      <c r="I45" s="33" t="s">
        <v>149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206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206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206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206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206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206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206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206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89" t="s">
        <v>199</v>
      </c>
      <c r="B54" s="90"/>
      <c r="C54" s="90"/>
      <c r="D54" s="90"/>
      <c r="E54" s="91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198</v>
      </c>
      <c r="O54" s="85">
        <v>276360</v>
      </c>
    </row>
    <row r="55" spans="1:15" ht="18" customHeight="1">
      <c r="A55" s="86" t="s">
        <v>200</v>
      </c>
      <c r="B55" s="87"/>
      <c r="C55" s="87"/>
      <c r="D55" s="87"/>
      <c r="E55" s="88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201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96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209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210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89" t="s">
        <v>197</v>
      </c>
      <c r="B68" s="90"/>
      <c r="C68" s="90"/>
      <c r="D68" s="90"/>
      <c r="E68" s="91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198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206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206</v>
      </c>
      <c r="F70" s="27">
        <v>18</v>
      </c>
      <c r="G70" s="28">
        <f t="shared" si="15"/>
        <v>75.600000000000009</v>
      </c>
      <c r="H70" s="26" t="s">
        <v>19</v>
      </c>
      <c r="I70" s="26" t="s">
        <v>149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206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206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206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206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206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206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206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206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206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206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89" t="s">
        <v>199</v>
      </c>
      <c r="B81" s="90"/>
      <c r="C81" s="90"/>
      <c r="D81" s="90"/>
      <c r="E81" s="91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198</v>
      </c>
      <c r="O81" s="54">
        <v>787860</v>
      </c>
    </row>
    <row r="82" spans="1:15" ht="18" customHeight="1">
      <c r="A82" s="86" t="s">
        <v>200</v>
      </c>
      <c r="B82" s="87"/>
      <c r="C82" s="87"/>
      <c r="D82" s="87"/>
      <c r="E82" s="88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201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206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211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206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176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206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206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206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195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195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195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195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195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195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195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89" t="s">
        <v>197</v>
      </c>
      <c r="B95" s="90"/>
      <c r="C95" s="90"/>
      <c r="D95" s="90"/>
      <c r="E95" s="91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198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206</v>
      </c>
      <c r="F96" s="27">
        <v>8</v>
      </c>
      <c r="G96" s="34">
        <f t="shared" ref="G96:G107" si="21">IF(F96="","",IF(E96="PC 17",F96*4.2,IF(E96="PC 19",F96*5,"")))</f>
        <v>33.6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46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206</v>
      </c>
      <c r="F97" s="27">
        <v>10</v>
      </c>
      <c r="G97" s="28">
        <f t="shared" si="21"/>
        <v>42</v>
      </c>
      <c r="H97" s="33"/>
      <c r="I97" s="33"/>
      <c r="J97" s="33"/>
      <c r="K97" s="29"/>
      <c r="L97" s="29"/>
      <c r="M97" s="35" t="str">
        <f t="shared" ca="1" si="22"/>
        <v/>
      </c>
      <c r="N97" s="46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206</v>
      </c>
      <c r="F98" s="27">
        <v>16</v>
      </c>
      <c r="G98" s="34">
        <f t="shared" si="21"/>
        <v>67.2</v>
      </c>
      <c r="H98" s="26"/>
      <c r="I98" s="26"/>
      <c r="J98" s="26"/>
      <c r="K98" s="29"/>
      <c r="L98" s="29"/>
      <c r="M98" s="30" t="str">
        <f t="shared" ca="1" si="22"/>
        <v/>
      </c>
      <c r="N98" s="46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206</v>
      </c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206</v>
      </c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206</v>
      </c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206</v>
      </c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206</v>
      </c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206</v>
      </c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206</v>
      </c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206</v>
      </c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206</v>
      </c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89" t="s">
        <v>199</v>
      </c>
      <c r="B108" s="90"/>
      <c r="C108" s="90"/>
      <c r="D108" s="90"/>
      <c r="E108" s="91">
        <f>SUM(E96:E107)</f>
        <v>0</v>
      </c>
      <c r="F108" s="36">
        <f>SUM(F96:F107)</f>
        <v>34</v>
      </c>
      <c r="G108" s="36">
        <f>SUM(G96:G107)</f>
        <v>142.80000000000001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198</v>
      </c>
      <c r="O108" s="54"/>
    </row>
    <row r="109" spans="1:15" ht="18" customHeight="1">
      <c r="A109" s="86" t="s">
        <v>200</v>
      </c>
      <c r="B109" s="87"/>
      <c r="C109" s="87"/>
      <c r="D109" s="87"/>
      <c r="E109" s="88">
        <f>E95+E108</f>
        <v>0</v>
      </c>
      <c r="F109" s="40">
        <f>F95+F108</f>
        <v>146</v>
      </c>
      <c r="G109" s="40">
        <f>G95+G108</f>
        <v>662</v>
      </c>
      <c r="H109" s="41"/>
      <c r="I109" s="41"/>
      <c r="J109" s="41"/>
      <c r="K109" s="41"/>
      <c r="L109" s="41"/>
      <c r="M109" s="42">
        <f ca="1">IFERROR(M95+M108,"")</f>
        <v>0.26180555555555557</v>
      </c>
      <c r="N109" s="40" t="s">
        <v>201</v>
      </c>
      <c r="O109" s="83">
        <f>IFERROR(O95+O108,"")</f>
        <v>577610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5" t="str">
        <f t="shared" ref="M110:M121" ca="1" si="25">IFERROR(IF(K110="","",IF(L110="",MOD(NOW()-K110,1),IF(L110&gt;=K110,L110-K110,L110+1-K110))),"")</f>
        <v/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0" t="str">
        <f t="shared" ca="1" si="25"/>
        <v/>
      </c>
      <c r="N111" s="46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89" t="s">
        <v>197</v>
      </c>
      <c r="B122" s="90"/>
      <c r="C122" s="90"/>
      <c r="D122" s="90"/>
      <c r="E122" s="91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198</v>
      </c>
      <c r="O122" s="54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4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89" t="s">
        <v>199</v>
      </c>
      <c r="B135" s="90"/>
      <c r="C135" s="90"/>
      <c r="D135" s="90"/>
      <c r="E135" s="91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198</v>
      </c>
      <c r="O135" s="54"/>
    </row>
    <row r="136" spans="1:15" ht="18" customHeight="1">
      <c r="A136" s="86" t="s">
        <v>200</v>
      </c>
      <c r="B136" s="87"/>
      <c r="C136" s="87"/>
      <c r="D136" s="87"/>
      <c r="E136" s="88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201</v>
      </c>
      <c r="O136" s="8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89" t="s">
        <v>197</v>
      </c>
      <c r="B149" s="90"/>
      <c r="C149" s="90"/>
      <c r="D149" s="90"/>
      <c r="E149" s="91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198</v>
      </c>
      <c r="O149" s="5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89" t="s">
        <v>199</v>
      </c>
      <c r="B162" s="90"/>
      <c r="C162" s="90"/>
      <c r="D162" s="90"/>
      <c r="E162" s="91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198</v>
      </c>
      <c r="O162" s="54"/>
    </row>
    <row r="163" spans="1:15" ht="18" customHeight="1">
      <c r="A163" s="86" t="s">
        <v>200</v>
      </c>
      <c r="B163" s="87"/>
      <c r="C163" s="87"/>
      <c r="D163" s="87"/>
      <c r="E163" s="88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201</v>
      </c>
      <c r="O163" s="8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89" t="s">
        <v>197</v>
      </c>
      <c r="B176" s="90"/>
      <c r="C176" s="90"/>
      <c r="D176" s="90"/>
      <c r="E176" s="9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198</v>
      </c>
      <c r="O176" s="78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89" t="s">
        <v>199</v>
      </c>
      <c r="B189" s="90"/>
      <c r="C189" s="90"/>
      <c r="D189" s="90"/>
      <c r="E189" s="9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198</v>
      </c>
      <c r="O189" s="78"/>
    </row>
    <row r="190" spans="1:15" ht="18" customHeight="1">
      <c r="A190" s="86" t="s">
        <v>200</v>
      </c>
      <c r="B190" s="87"/>
      <c r="C190" s="87"/>
      <c r="D190" s="87"/>
      <c r="E190" s="88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201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89" t="s">
        <v>197</v>
      </c>
      <c r="B203" s="90"/>
      <c r="C203" s="90"/>
      <c r="D203" s="90"/>
      <c r="E203" s="9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198</v>
      </c>
      <c r="O203" s="78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9" t="s">
        <v>199</v>
      </c>
      <c r="B216" s="90"/>
      <c r="C216" s="90"/>
      <c r="D216" s="90"/>
      <c r="E216" s="91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198</v>
      </c>
      <c r="O216" s="78"/>
    </row>
    <row r="217" spans="1:15" ht="18" customHeight="1">
      <c r="A217" s="86" t="s">
        <v>200</v>
      </c>
      <c r="B217" s="87"/>
      <c r="C217" s="87"/>
      <c r="D217" s="87"/>
      <c r="E217" s="88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201</v>
      </c>
      <c r="O217" s="84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9" t="s">
        <v>197</v>
      </c>
      <c r="B230" s="90"/>
      <c r="C230" s="90"/>
      <c r="D230" s="90"/>
      <c r="E230" s="91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198</v>
      </c>
      <c r="O230" s="78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9" t="s">
        <v>199</v>
      </c>
      <c r="B243" s="90"/>
      <c r="C243" s="90"/>
      <c r="D243" s="90"/>
      <c r="E243" s="91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198</v>
      </c>
      <c r="O243" s="78"/>
    </row>
    <row r="244" spans="1:15" ht="18" customHeight="1">
      <c r="A244" s="86" t="s">
        <v>200</v>
      </c>
      <c r="B244" s="87"/>
      <c r="C244" s="87"/>
      <c r="D244" s="87"/>
      <c r="E244" s="88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201</v>
      </c>
      <c r="O244" s="84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9" t="s">
        <v>197</v>
      </c>
      <c r="B257" s="90"/>
      <c r="C257" s="90"/>
      <c r="D257" s="90"/>
      <c r="E257" s="91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198</v>
      </c>
      <c r="O257" s="78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9" t="s">
        <v>199</v>
      </c>
      <c r="B270" s="90"/>
      <c r="C270" s="90"/>
      <c r="D270" s="90"/>
      <c r="E270" s="91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198</v>
      </c>
      <c r="O270" s="78"/>
    </row>
    <row r="271" spans="1:15" ht="18" customHeight="1">
      <c r="A271" s="86" t="s">
        <v>200</v>
      </c>
      <c r="B271" s="87"/>
      <c r="C271" s="87"/>
      <c r="D271" s="87"/>
      <c r="E271" s="88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201</v>
      </c>
      <c r="O271" s="84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9" t="s">
        <v>197</v>
      </c>
      <c r="B284" s="90"/>
      <c r="C284" s="90"/>
      <c r="D284" s="90"/>
      <c r="E284" s="91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198</v>
      </c>
      <c r="O284" s="78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9" t="s">
        <v>199</v>
      </c>
      <c r="B297" s="90"/>
      <c r="C297" s="90"/>
      <c r="D297" s="90"/>
      <c r="E297" s="91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198</v>
      </c>
      <c r="O297" s="78"/>
    </row>
    <row r="298" spans="1:15" ht="18" customHeight="1">
      <c r="A298" s="86" t="s">
        <v>200</v>
      </c>
      <c r="B298" s="87"/>
      <c r="C298" s="87"/>
      <c r="D298" s="87"/>
      <c r="E298" s="88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201</v>
      </c>
      <c r="O298" s="84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9" t="s">
        <v>197</v>
      </c>
      <c r="B311" s="90"/>
      <c r="C311" s="90"/>
      <c r="D311" s="90"/>
      <c r="E311" s="91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198</v>
      </c>
      <c r="O311" s="78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9" t="s">
        <v>199</v>
      </c>
      <c r="B324" s="90"/>
      <c r="C324" s="90"/>
      <c r="D324" s="90"/>
      <c r="E324" s="91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198</v>
      </c>
      <c r="O324" s="78"/>
    </row>
    <row r="325" spans="1:15" ht="18" customHeight="1">
      <c r="A325" s="86" t="s">
        <v>200</v>
      </c>
      <c r="B325" s="87"/>
      <c r="C325" s="87"/>
      <c r="D325" s="87"/>
      <c r="E325" s="88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201</v>
      </c>
      <c r="O325" s="84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9" t="s">
        <v>197</v>
      </c>
      <c r="B338" s="90"/>
      <c r="C338" s="90"/>
      <c r="D338" s="90"/>
      <c r="E338" s="91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198</v>
      </c>
      <c r="O338" s="78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9" t="s">
        <v>199</v>
      </c>
      <c r="B351" s="90"/>
      <c r="C351" s="90"/>
      <c r="D351" s="90"/>
      <c r="E351" s="91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198</v>
      </c>
      <c r="O351" s="78"/>
    </row>
    <row r="352" spans="1:15" ht="18" customHeight="1">
      <c r="A352" s="86" t="s">
        <v>200</v>
      </c>
      <c r="B352" s="87"/>
      <c r="C352" s="87"/>
      <c r="D352" s="87"/>
      <c r="E352" s="88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201</v>
      </c>
      <c r="O352" s="84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9" t="s">
        <v>197</v>
      </c>
      <c r="B365" s="90"/>
      <c r="C365" s="90"/>
      <c r="D365" s="90"/>
      <c r="E365" s="91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198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9" t="s">
        <v>199</v>
      </c>
      <c r="B378" s="90"/>
      <c r="C378" s="90"/>
      <c r="D378" s="90"/>
      <c r="E378" s="91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198</v>
      </c>
      <c r="O378" s="78"/>
    </row>
    <row r="379" spans="1:15" ht="18" customHeight="1">
      <c r="A379" s="86" t="s">
        <v>200</v>
      </c>
      <c r="B379" s="87"/>
      <c r="C379" s="87"/>
      <c r="D379" s="87"/>
      <c r="E379" s="88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201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9" t="s">
        <v>197</v>
      </c>
      <c r="B392" s="90"/>
      <c r="C392" s="90"/>
      <c r="D392" s="90"/>
      <c r="E392" s="91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198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9" t="s">
        <v>199</v>
      </c>
      <c r="B405" s="90"/>
      <c r="C405" s="90"/>
      <c r="D405" s="90"/>
      <c r="E405" s="91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198</v>
      </c>
      <c r="O405" s="78"/>
    </row>
    <row r="406" spans="1:15" ht="18" customHeight="1">
      <c r="A406" s="86" t="s">
        <v>200</v>
      </c>
      <c r="B406" s="87"/>
      <c r="C406" s="87"/>
      <c r="D406" s="87"/>
      <c r="E406" s="88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201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9" t="s">
        <v>197</v>
      </c>
      <c r="B419" s="90"/>
      <c r="C419" s="90"/>
      <c r="D419" s="90"/>
      <c r="E419" s="91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198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9" t="s">
        <v>199</v>
      </c>
      <c r="B432" s="90"/>
      <c r="C432" s="90"/>
      <c r="D432" s="90"/>
      <c r="E432" s="91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198</v>
      </c>
      <c r="O432" s="78"/>
    </row>
    <row r="433" spans="1:15" ht="18" customHeight="1">
      <c r="A433" s="86" t="s">
        <v>200</v>
      </c>
      <c r="B433" s="87"/>
      <c r="C433" s="87"/>
      <c r="D433" s="87"/>
      <c r="E433" s="88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201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9" t="s">
        <v>197</v>
      </c>
      <c r="B446" s="90"/>
      <c r="C446" s="90"/>
      <c r="D446" s="90"/>
      <c r="E446" s="91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198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9" t="s">
        <v>199</v>
      </c>
      <c r="B459" s="90"/>
      <c r="C459" s="90"/>
      <c r="D459" s="90"/>
      <c r="E459" s="91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198</v>
      </c>
      <c r="O459" s="78"/>
    </row>
    <row r="460" spans="1:15" ht="18" customHeight="1">
      <c r="A460" s="86" t="s">
        <v>200</v>
      </c>
      <c r="B460" s="87"/>
      <c r="C460" s="87"/>
      <c r="D460" s="87"/>
      <c r="E460" s="88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201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9" t="s">
        <v>197</v>
      </c>
      <c r="B473" s="90"/>
      <c r="C473" s="90"/>
      <c r="D473" s="90"/>
      <c r="E473" s="91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198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9" t="s">
        <v>199</v>
      </c>
      <c r="B486" s="90"/>
      <c r="C486" s="90"/>
      <c r="D486" s="90"/>
      <c r="E486" s="91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198</v>
      </c>
      <c r="O486" s="78"/>
    </row>
    <row r="487" spans="1:15" ht="18" customHeight="1">
      <c r="A487" s="86" t="s">
        <v>200</v>
      </c>
      <c r="B487" s="87"/>
      <c r="C487" s="87"/>
      <c r="D487" s="87"/>
      <c r="E487" s="88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201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9" t="s">
        <v>197</v>
      </c>
      <c r="B500" s="90"/>
      <c r="C500" s="90"/>
      <c r="D500" s="90"/>
      <c r="E500" s="9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198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9" t="s">
        <v>199</v>
      </c>
      <c r="B513" s="90"/>
      <c r="C513" s="90"/>
      <c r="D513" s="90"/>
      <c r="E513" s="9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198</v>
      </c>
      <c r="O513" s="78"/>
    </row>
    <row r="514" spans="1:15" ht="18" customHeight="1">
      <c r="A514" s="86" t="s">
        <v>200</v>
      </c>
      <c r="B514" s="87"/>
      <c r="C514" s="87"/>
      <c r="D514" s="87"/>
      <c r="E514" s="88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201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9" t="s">
        <v>197</v>
      </c>
      <c r="B527" s="90"/>
      <c r="C527" s="90"/>
      <c r="D527" s="90"/>
      <c r="E527" s="9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198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9" t="s">
        <v>199</v>
      </c>
      <c r="B540" s="90"/>
      <c r="C540" s="90"/>
      <c r="D540" s="90"/>
      <c r="E540" s="9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198</v>
      </c>
      <c r="O540" s="78"/>
    </row>
    <row r="541" spans="1:15" ht="18" customHeight="1">
      <c r="A541" s="86" t="s">
        <v>200</v>
      </c>
      <c r="B541" s="87"/>
      <c r="C541" s="87"/>
      <c r="D541" s="87"/>
      <c r="E541" s="88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201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9" t="s">
        <v>197</v>
      </c>
      <c r="B554" s="90"/>
      <c r="C554" s="90"/>
      <c r="D554" s="90"/>
      <c r="E554" s="9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198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9" t="s">
        <v>199</v>
      </c>
      <c r="B567" s="90"/>
      <c r="C567" s="90"/>
      <c r="D567" s="90"/>
      <c r="E567" s="9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198</v>
      </c>
      <c r="O567" s="78"/>
    </row>
    <row r="568" spans="1:15" ht="18" customHeight="1">
      <c r="A568" s="86" t="s">
        <v>200</v>
      </c>
      <c r="B568" s="87"/>
      <c r="C568" s="87"/>
      <c r="D568" s="87"/>
      <c r="E568" s="88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201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9" t="s">
        <v>197</v>
      </c>
      <c r="B581" s="90"/>
      <c r="C581" s="90"/>
      <c r="D581" s="90"/>
      <c r="E581" s="9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198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9" t="s">
        <v>199</v>
      </c>
      <c r="B594" s="90"/>
      <c r="C594" s="90"/>
      <c r="D594" s="90"/>
      <c r="E594" s="9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198</v>
      </c>
      <c r="O594" s="78"/>
    </row>
    <row r="595" spans="1:15" ht="18" customHeight="1">
      <c r="A595" s="86" t="s">
        <v>200</v>
      </c>
      <c r="B595" s="87"/>
      <c r="C595" s="87"/>
      <c r="D595" s="87"/>
      <c r="E595" s="88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201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9" t="s">
        <v>197</v>
      </c>
      <c r="B608" s="90"/>
      <c r="C608" s="90"/>
      <c r="D608" s="90"/>
      <c r="E608" s="9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198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9" t="s">
        <v>199</v>
      </c>
      <c r="B621" s="90"/>
      <c r="C621" s="90"/>
      <c r="D621" s="90"/>
      <c r="E621" s="9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198</v>
      </c>
      <c r="O621" s="78"/>
    </row>
    <row r="622" spans="1:15" ht="18" customHeight="1">
      <c r="A622" s="86" t="s">
        <v>200</v>
      </c>
      <c r="B622" s="87"/>
      <c r="C622" s="87"/>
      <c r="D622" s="87"/>
      <c r="E622" s="88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201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9" t="s">
        <v>197</v>
      </c>
      <c r="B635" s="90"/>
      <c r="C635" s="90"/>
      <c r="D635" s="90"/>
      <c r="E635" s="9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198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9" t="s">
        <v>199</v>
      </c>
      <c r="B648" s="90"/>
      <c r="C648" s="90"/>
      <c r="D648" s="90"/>
      <c r="E648" s="9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198</v>
      </c>
      <c r="O648" s="78"/>
    </row>
    <row r="649" spans="1:15" ht="18" customHeight="1">
      <c r="A649" s="86" t="s">
        <v>200</v>
      </c>
      <c r="B649" s="87"/>
      <c r="C649" s="87"/>
      <c r="D649" s="87"/>
      <c r="E649" s="88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201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9" t="s">
        <v>197</v>
      </c>
      <c r="B662" s="90"/>
      <c r="C662" s="90"/>
      <c r="D662" s="90"/>
      <c r="E662" s="9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198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9" t="s">
        <v>199</v>
      </c>
      <c r="B675" s="90"/>
      <c r="C675" s="90"/>
      <c r="D675" s="90"/>
      <c r="E675" s="9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198</v>
      </c>
      <c r="O675" s="78"/>
    </row>
    <row r="676" spans="1:15" ht="18" customHeight="1">
      <c r="A676" s="86" t="s">
        <v>200</v>
      </c>
      <c r="B676" s="87"/>
      <c r="C676" s="87"/>
      <c r="D676" s="87"/>
      <c r="E676" s="88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201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9" t="s">
        <v>197</v>
      </c>
      <c r="B689" s="90"/>
      <c r="C689" s="90"/>
      <c r="D689" s="90"/>
      <c r="E689" s="9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198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9" t="s">
        <v>199</v>
      </c>
      <c r="B702" s="90"/>
      <c r="C702" s="90"/>
      <c r="D702" s="90"/>
      <c r="E702" s="9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198</v>
      </c>
      <c r="O702" s="78"/>
    </row>
    <row r="703" spans="1:15" ht="18" customHeight="1">
      <c r="A703" s="86" t="s">
        <v>200</v>
      </c>
      <c r="B703" s="87"/>
      <c r="C703" s="87"/>
      <c r="D703" s="87"/>
      <c r="E703" s="88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201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9" t="s">
        <v>197</v>
      </c>
      <c r="B716" s="90"/>
      <c r="C716" s="90"/>
      <c r="D716" s="90"/>
      <c r="E716" s="9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198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9" t="s">
        <v>199</v>
      </c>
      <c r="B729" s="90"/>
      <c r="C729" s="90"/>
      <c r="D729" s="90"/>
      <c r="E729" s="9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198</v>
      </c>
      <c r="O729" s="78"/>
    </row>
    <row r="730" spans="1:15" ht="18" customHeight="1">
      <c r="A730" s="86" t="s">
        <v>200</v>
      </c>
      <c r="B730" s="87"/>
      <c r="C730" s="87"/>
      <c r="D730" s="87"/>
      <c r="E730" s="88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201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9" t="s">
        <v>197</v>
      </c>
      <c r="B743" s="90"/>
      <c r="C743" s="90"/>
      <c r="D743" s="90"/>
      <c r="E743" s="9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198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9" t="s">
        <v>199</v>
      </c>
      <c r="B756" s="90"/>
      <c r="C756" s="90"/>
      <c r="D756" s="90"/>
      <c r="E756" s="9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198</v>
      </c>
      <c r="O756" s="39"/>
    </row>
    <row r="757" spans="1:15" ht="18" customHeight="1">
      <c r="A757" s="86" t="s">
        <v>200</v>
      </c>
      <c r="B757" s="87"/>
      <c r="C757" s="87"/>
      <c r="D757" s="87"/>
      <c r="E757" s="8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201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9" t="s">
        <v>197</v>
      </c>
      <c r="B770" s="90"/>
      <c r="C770" s="90"/>
      <c r="D770" s="90"/>
      <c r="E770" s="9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198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9" t="s">
        <v>199</v>
      </c>
      <c r="B783" s="90"/>
      <c r="C783" s="90"/>
      <c r="D783" s="90"/>
      <c r="E783" s="9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198</v>
      </c>
      <c r="O783" s="39"/>
    </row>
    <row r="784" spans="1:15" ht="18" customHeight="1">
      <c r="A784" s="86" t="s">
        <v>200</v>
      </c>
      <c r="B784" s="87"/>
      <c r="C784" s="87"/>
      <c r="D784" s="87"/>
      <c r="E784" s="8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201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9" t="s">
        <v>197</v>
      </c>
      <c r="B797" s="90"/>
      <c r="C797" s="90"/>
      <c r="D797" s="90"/>
      <c r="E797" s="9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198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9" t="s">
        <v>199</v>
      </c>
      <c r="B810" s="90"/>
      <c r="C810" s="90"/>
      <c r="D810" s="90"/>
      <c r="E810" s="9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198</v>
      </c>
      <c r="O810" s="39"/>
    </row>
    <row r="811" spans="1:15" ht="18" customHeight="1">
      <c r="A811" s="86" t="s">
        <v>200</v>
      </c>
      <c r="B811" s="87"/>
      <c r="C811" s="87"/>
      <c r="D811" s="87"/>
      <c r="E811" s="8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201</v>
      </c>
      <c r="O811" s="83">
        <f>IFERROR(O797+O810,"")</f>
        <v>0</v>
      </c>
    </row>
  </sheetData>
  <mergeCells count="90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abSelected="1" zoomScale="50" zoomScaleNormal="50" workbookViewId="0">
      <pane ySplit="1" topLeftCell="A80" activePane="bottomLeft" state="frozen"/>
      <selection pane="bottomLeft" activeCell="J96" sqref="J96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0" style="20" customWidth="1"/>
    <col min="15" max="15" width="14" customWidth="1"/>
  </cols>
  <sheetData>
    <row r="1" spans="1:15" ht="37.5" customHeight="1">
      <c r="A1" s="68" t="s">
        <v>7</v>
      </c>
      <c r="B1" s="23" t="s">
        <v>184</v>
      </c>
      <c r="C1" s="23" t="s">
        <v>12</v>
      </c>
      <c r="D1" s="22" t="s">
        <v>13</v>
      </c>
      <c r="E1" s="22" t="s">
        <v>185</v>
      </c>
      <c r="F1" s="23" t="s">
        <v>186</v>
      </c>
      <c r="G1" s="23" t="s">
        <v>187</v>
      </c>
      <c r="H1" s="23" t="s">
        <v>14</v>
      </c>
      <c r="I1" s="23" t="s">
        <v>15</v>
      </c>
      <c r="J1" s="23" t="s">
        <v>188</v>
      </c>
      <c r="K1" s="23" t="s">
        <v>189</v>
      </c>
      <c r="L1" s="23" t="s">
        <v>190</v>
      </c>
      <c r="M1" s="24" t="s">
        <v>191</v>
      </c>
      <c r="N1" s="23" t="s">
        <v>192</v>
      </c>
      <c r="O1" s="23" t="s">
        <v>193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206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206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206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212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206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206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213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206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156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206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206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206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206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206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206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89" t="s">
        <v>197</v>
      </c>
      <c r="B14" s="90"/>
      <c r="C14" s="90"/>
      <c r="D14" s="90"/>
      <c r="E14" s="91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198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206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206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206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206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206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206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206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206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206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206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206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206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89" t="s">
        <v>199</v>
      </c>
      <c r="B27" s="90"/>
      <c r="C27" s="90"/>
      <c r="D27" s="90"/>
      <c r="E27" s="91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198</v>
      </c>
      <c r="O27" s="39">
        <v>308500</v>
      </c>
    </row>
    <row r="28" spans="1:15" ht="18" customHeight="1">
      <c r="A28" s="86" t="s">
        <v>200</v>
      </c>
      <c r="B28" s="87"/>
      <c r="C28" s="87"/>
      <c r="D28" s="87"/>
      <c r="E28" s="88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201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206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157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214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206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206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206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206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206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206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206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206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206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206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206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9" t="s">
        <v>197</v>
      </c>
      <c r="B41" s="90"/>
      <c r="C41" s="90"/>
      <c r="D41" s="90"/>
      <c r="E41" s="91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198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206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206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206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206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206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206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206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206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206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206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206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206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9" t="s">
        <v>199</v>
      </c>
      <c r="B54" s="90"/>
      <c r="C54" s="90"/>
      <c r="D54" s="90"/>
      <c r="E54" s="91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198</v>
      </c>
      <c r="O54" s="39">
        <v>124290</v>
      </c>
    </row>
    <row r="55" spans="1:15" ht="18" customHeight="1">
      <c r="A55" s="86" t="s">
        <v>200</v>
      </c>
      <c r="B55" s="87"/>
      <c r="C55" s="87"/>
      <c r="D55" s="87"/>
      <c r="E55" s="88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201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206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206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206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206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215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206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206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206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206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206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206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206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206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9" t="s">
        <v>197</v>
      </c>
      <c r="B68" s="90"/>
      <c r="C68" s="90"/>
      <c r="D68" s="90"/>
      <c r="E68" s="91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198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206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157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216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206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206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206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206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206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206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206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206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206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206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206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9" t="s">
        <v>199</v>
      </c>
      <c r="B81" s="90"/>
      <c r="C81" s="90"/>
      <c r="D81" s="90"/>
      <c r="E81" s="91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198</v>
      </c>
      <c r="O81" s="39">
        <v>396340</v>
      </c>
    </row>
    <row r="82" spans="1:15" ht="18" customHeight="1">
      <c r="A82" s="86" t="s">
        <v>200</v>
      </c>
      <c r="B82" s="87"/>
      <c r="C82" s="87"/>
      <c r="D82" s="87"/>
      <c r="E82" s="88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201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195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195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195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195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195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195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217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195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195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195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195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195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195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9" t="s">
        <v>197</v>
      </c>
      <c r="B95" s="90"/>
      <c r="C95" s="90"/>
      <c r="D95" s="90"/>
      <c r="E95" s="91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198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206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/>
      <c r="M96" s="30">
        <f t="shared" ref="M96:M107" ca="1" si="22">IFERROR(IF(K96="","",IF(L96="",MOD(NOW()-K96,1),IF(L96&gt;=K96,L96-K96,L96+1-K96))),"")</f>
        <v>5.1263425921206363E-2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206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206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206</v>
      </c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206</v>
      </c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206</v>
      </c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206</v>
      </c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206</v>
      </c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206</v>
      </c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206</v>
      </c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206</v>
      </c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206</v>
      </c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9" t="s">
        <v>199</v>
      </c>
      <c r="B108" s="90"/>
      <c r="C108" s="90"/>
      <c r="D108" s="90"/>
      <c r="E108" s="91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5.1263425921206363E-2</v>
      </c>
      <c r="N108" s="36" t="s">
        <v>198</v>
      </c>
      <c r="O108" s="39"/>
    </row>
    <row r="109" spans="1:15" ht="18" customHeight="1">
      <c r="A109" s="86" t="s">
        <v>200</v>
      </c>
      <c r="B109" s="87"/>
      <c r="C109" s="87"/>
      <c r="D109" s="87"/>
      <c r="E109" s="88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0.25265231481009526</v>
      </c>
      <c r="N109" s="40" t="s">
        <v>201</v>
      </c>
      <c r="O109" s="43">
        <f>IFERROR(O95+O108,"")</f>
        <v>536290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9" t="s">
        <v>197</v>
      </c>
      <c r="B122" s="90"/>
      <c r="C122" s="90"/>
      <c r="D122" s="90"/>
      <c r="E122" s="91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198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9" t="s">
        <v>199</v>
      </c>
      <c r="B135" s="90"/>
      <c r="C135" s="90"/>
      <c r="D135" s="90"/>
      <c r="E135" s="91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198</v>
      </c>
      <c r="O135" s="39"/>
    </row>
    <row r="136" spans="1:15" ht="18" customHeight="1">
      <c r="A136" s="86" t="s">
        <v>200</v>
      </c>
      <c r="B136" s="87"/>
      <c r="C136" s="87"/>
      <c r="D136" s="87"/>
      <c r="E136" s="88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201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9" t="s">
        <v>197</v>
      </c>
      <c r="B149" s="90"/>
      <c r="C149" s="90"/>
      <c r="D149" s="90"/>
      <c r="E149" s="91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198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9" t="s">
        <v>199</v>
      </c>
      <c r="B162" s="90"/>
      <c r="C162" s="90"/>
      <c r="D162" s="90"/>
      <c r="E162" s="91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198</v>
      </c>
      <c r="O162" s="39"/>
    </row>
    <row r="163" spans="1:15" ht="18" customHeight="1">
      <c r="A163" s="86" t="s">
        <v>200</v>
      </c>
      <c r="B163" s="87"/>
      <c r="C163" s="87"/>
      <c r="D163" s="87"/>
      <c r="E163" s="88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201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9" t="s">
        <v>197</v>
      </c>
      <c r="B176" s="90"/>
      <c r="C176" s="90"/>
      <c r="D176" s="90"/>
      <c r="E176" s="9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198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9" t="s">
        <v>199</v>
      </c>
      <c r="B189" s="90"/>
      <c r="C189" s="90"/>
      <c r="D189" s="90"/>
      <c r="E189" s="9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198</v>
      </c>
      <c r="O189" s="39"/>
    </row>
    <row r="190" spans="1:15" ht="18" customHeight="1">
      <c r="A190" s="86" t="s">
        <v>200</v>
      </c>
      <c r="B190" s="87"/>
      <c r="C190" s="87"/>
      <c r="D190" s="87"/>
      <c r="E190" s="88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201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9" t="s">
        <v>197</v>
      </c>
      <c r="B203" s="90"/>
      <c r="C203" s="90"/>
      <c r="D203" s="90"/>
      <c r="E203" s="9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198</v>
      </c>
      <c r="O203" s="39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89" t="s">
        <v>199</v>
      </c>
      <c r="B216" s="90"/>
      <c r="C216" s="90"/>
      <c r="D216" s="90"/>
      <c r="E216" s="91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198</v>
      </c>
      <c r="O216" s="39"/>
    </row>
    <row r="217" spans="1:15" ht="18" customHeight="1">
      <c r="A217" s="86" t="s">
        <v>200</v>
      </c>
      <c r="B217" s="87"/>
      <c r="C217" s="87"/>
      <c r="D217" s="87"/>
      <c r="E217" s="88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201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89" t="s">
        <v>197</v>
      </c>
      <c r="B230" s="90"/>
      <c r="C230" s="90"/>
      <c r="D230" s="90"/>
      <c r="E230" s="91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198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89" t="s">
        <v>199</v>
      </c>
      <c r="B243" s="90"/>
      <c r="C243" s="90"/>
      <c r="D243" s="90"/>
      <c r="E243" s="91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198</v>
      </c>
      <c r="O243" s="39"/>
    </row>
    <row r="244" spans="1:15" ht="18" customHeight="1">
      <c r="A244" s="86" t="s">
        <v>200</v>
      </c>
      <c r="B244" s="87"/>
      <c r="C244" s="87"/>
      <c r="D244" s="87"/>
      <c r="E244" s="88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201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89" t="s">
        <v>197</v>
      </c>
      <c r="B257" s="90"/>
      <c r="C257" s="90"/>
      <c r="D257" s="90"/>
      <c r="E257" s="91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198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89" t="s">
        <v>199</v>
      </c>
      <c r="B270" s="90"/>
      <c r="C270" s="90"/>
      <c r="D270" s="90"/>
      <c r="E270" s="91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198</v>
      </c>
      <c r="O270" s="39"/>
    </row>
    <row r="271" spans="1:15" ht="18" customHeight="1">
      <c r="A271" s="86" t="s">
        <v>200</v>
      </c>
      <c r="B271" s="87"/>
      <c r="C271" s="87"/>
      <c r="D271" s="87"/>
      <c r="E271" s="88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201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89" t="s">
        <v>197</v>
      </c>
      <c r="B284" s="90"/>
      <c r="C284" s="90"/>
      <c r="D284" s="90"/>
      <c r="E284" s="91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198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89" t="s">
        <v>199</v>
      </c>
      <c r="B297" s="90"/>
      <c r="C297" s="90"/>
      <c r="D297" s="90"/>
      <c r="E297" s="91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198</v>
      </c>
      <c r="O297" s="39"/>
    </row>
    <row r="298" spans="1:15" ht="18" customHeight="1">
      <c r="A298" s="86" t="s">
        <v>200</v>
      </c>
      <c r="B298" s="87"/>
      <c r="C298" s="87"/>
      <c r="D298" s="87"/>
      <c r="E298" s="88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201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89" t="s">
        <v>197</v>
      </c>
      <c r="B311" s="90"/>
      <c r="C311" s="90"/>
      <c r="D311" s="90"/>
      <c r="E311" s="91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198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89" t="s">
        <v>199</v>
      </c>
      <c r="B324" s="90"/>
      <c r="C324" s="90"/>
      <c r="D324" s="90"/>
      <c r="E324" s="91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198</v>
      </c>
      <c r="O324" s="39"/>
    </row>
    <row r="325" spans="1:15" ht="18" customHeight="1">
      <c r="A325" s="86" t="s">
        <v>200</v>
      </c>
      <c r="B325" s="87"/>
      <c r="C325" s="87"/>
      <c r="D325" s="87"/>
      <c r="E325" s="88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201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89" t="s">
        <v>197</v>
      </c>
      <c r="B338" s="90"/>
      <c r="C338" s="90"/>
      <c r="D338" s="90"/>
      <c r="E338" s="91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198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89" t="s">
        <v>199</v>
      </c>
      <c r="B351" s="90"/>
      <c r="C351" s="90"/>
      <c r="D351" s="90"/>
      <c r="E351" s="91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198</v>
      </c>
      <c r="O351" s="39"/>
    </row>
    <row r="352" spans="1:15" ht="18" customHeight="1">
      <c r="A352" s="86" t="s">
        <v>200</v>
      </c>
      <c r="B352" s="87"/>
      <c r="C352" s="87"/>
      <c r="D352" s="87"/>
      <c r="E352" s="88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201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89" t="s">
        <v>197</v>
      </c>
      <c r="B365" s="90"/>
      <c r="C365" s="90"/>
      <c r="D365" s="90"/>
      <c r="E365" s="91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198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89" t="s">
        <v>199</v>
      </c>
      <c r="B378" s="90"/>
      <c r="C378" s="90"/>
      <c r="D378" s="90"/>
      <c r="E378" s="91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198</v>
      </c>
      <c r="O378" s="39"/>
    </row>
    <row r="379" spans="1:15" ht="18" customHeight="1">
      <c r="A379" s="86" t="s">
        <v>200</v>
      </c>
      <c r="B379" s="87"/>
      <c r="C379" s="87"/>
      <c r="D379" s="87"/>
      <c r="E379" s="88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201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89" t="s">
        <v>197</v>
      </c>
      <c r="B392" s="90"/>
      <c r="C392" s="90"/>
      <c r="D392" s="90"/>
      <c r="E392" s="91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198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89" t="s">
        <v>199</v>
      </c>
      <c r="B405" s="90"/>
      <c r="C405" s="90"/>
      <c r="D405" s="90"/>
      <c r="E405" s="91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198</v>
      </c>
      <c r="O405" s="39"/>
    </row>
    <row r="406" spans="1:15" ht="18" customHeight="1">
      <c r="A406" s="86" t="s">
        <v>200</v>
      </c>
      <c r="B406" s="87"/>
      <c r="C406" s="87"/>
      <c r="D406" s="87"/>
      <c r="E406" s="88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201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89" t="s">
        <v>197</v>
      </c>
      <c r="B419" s="90"/>
      <c r="C419" s="90"/>
      <c r="D419" s="90"/>
      <c r="E419" s="91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198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89" t="s">
        <v>199</v>
      </c>
      <c r="B432" s="90"/>
      <c r="C432" s="90"/>
      <c r="D432" s="90"/>
      <c r="E432" s="91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198</v>
      </c>
      <c r="O432" s="39"/>
    </row>
    <row r="433" spans="1:15" ht="18" customHeight="1">
      <c r="A433" s="86" t="s">
        <v>200</v>
      </c>
      <c r="B433" s="87"/>
      <c r="C433" s="87"/>
      <c r="D433" s="87"/>
      <c r="E433" s="88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201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89" t="s">
        <v>197</v>
      </c>
      <c r="B446" s="90"/>
      <c r="C446" s="90"/>
      <c r="D446" s="90"/>
      <c r="E446" s="91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198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89" t="s">
        <v>199</v>
      </c>
      <c r="B459" s="90"/>
      <c r="C459" s="90"/>
      <c r="D459" s="90"/>
      <c r="E459" s="91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198</v>
      </c>
      <c r="O459" s="39"/>
    </row>
    <row r="460" spans="1:15" ht="18" customHeight="1">
      <c r="A460" s="86" t="s">
        <v>200</v>
      </c>
      <c r="B460" s="87"/>
      <c r="C460" s="87"/>
      <c r="D460" s="87"/>
      <c r="E460" s="88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201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89" t="s">
        <v>197</v>
      </c>
      <c r="B473" s="90"/>
      <c r="C473" s="90"/>
      <c r="D473" s="90"/>
      <c r="E473" s="91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198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89" t="s">
        <v>199</v>
      </c>
      <c r="B486" s="90"/>
      <c r="C486" s="90"/>
      <c r="D486" s="90"/>
      <c r="E486" s="91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198</v>
      </c>
      <c r="O486" s="39"/>
    </row>
    <row r="487" spans="1:15" ht="18" customHeight="1">
      <c r="A487" s="86" t="s">
        <v>200</v>
      </c>
      <c r="B487" s="87"/>
      <c r="C487" s="87"/>
      <c r="D487" s="87"/>
      <c r="E487" s="88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201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89" t="s">
        <v>197</v>
      </c>
      <c r="B500" s="90"/>
      <c r="C500" s="90"/>
      <c r="D500" s="90"/>
      <c r="E500" s="9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198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89" t="s">
        <v>199</v>
      </c>
      <c r="B513" s="90"/>
      <c r="C513" s="90"/>
      <c r="D513" s="90"/>
      <c r="E513" s="9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198</v>
      </c>
      <c r="O513" s="39"/>
    </row>
    <row r="514" spans="1:15" ht="18" customHeight="1">
      <c r="A514" s="86" t="s">
        <v>200</v>
      </c>
      <c r="B514" s="87"/>
      <c r="C514" s="87"/>
      <c r="D514" s="87"/>
      <c r="E514" s="88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201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89" t="s">
        <v>197</v>
      </c>
      <c r="B527" s="90"/>
      <c r="C527" s="90"/>
      <c r="D527" s="90"/>
      <c r="E527" s="9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198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89" t="s">
        <v>199</v>
      </c>
      <c r="B540" s="90"/>
      <c r="C540" s="90"/>
      <c r="D540" s="90"/>
      <c r="E540" s="9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198</v>
      </c>
      <c r="O540" s="39"/>
    </row>
    <row r="541" spans="1:15" ht="18" customHeight="1">
      <c r="A541" s="86" t="s">
        <v>200</v>
      </c>
      <c r="B541" s="87"/>
      <c r="C541" s="87"/>
      <c r="D541" s="87"/>
      <c r="E541" s="88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201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89" t="s">
        <v>197</v>
      </c>
      <c r="B554" s="90"/>
      <c r="C554" s="90"/>
      <c r="D554" s="90"/>
      <c r="E554" s="9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198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89" t="s">
        <v>199</v>
      </c>
      <c r="B567" s="90"/>
      <c r="C567" s="90"/>
      <c r="D567" s="90"/>
      <c r="E567" s="9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198</v>
      </c>
      <c r="O567" s="39"/>
    </row>
    <row r="568" spans="1:15" ht="18" customHeight="1">
      <c r="A568" s="86" t="s">
        <v>200</v>
      </c>
      <c r="B568" s="87"/>
      <c r="C568" s="87"/>
      <c r="D568" s="87"/>
      <c r="E568" s="88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201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89" t="s">
        <v>197</v>
      </c>
      <c r="B581" s="90"/>
      <c r="C581" s="90"/>
      <c r="D581" s="90"/>
      <c r="E581" s="9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198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89" t="s">
        <v>199</v>
      </c>
      <c r="B594" s="90"/>
      <c r="C594" s="90"/>
      <c r="D594" s="90"/>
      <c r="E594" s="9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198</v>
      </c>
      <c r="O594" s="39"/>
    </row>
    <row r="595" spans="1:15" ht="18" customHeight="1">
      <c r="A595" s="86" t="s">
        <v>200</v>
      </c>
      <c r="B595" s="87"/>
      <c r="C595" s="87"/>
      <c r="D595" s="87"/>
      <c r="E595" s="88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201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89" t="s">
        <v>197</v>
      </c>
      <c r="B608" s="90"/>
      <c r="C608" s="90"/>
      <c r="D608" s="90"/>
      <c r="E608" s="9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198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89" t="s">
        <v>199</v>
      </c>
      <c r="B621" s="90"/>
      <c r="C621" s="90"/>
      <c r="D621" s="90"/>
      <c r="E621" s="9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198</v>
      </c>
      <c r="O621" s="39"/>
    </row>
    <row r="622" spans="1:15" ht="18" customHeight="1">
      <c r="A622" s="86" t="s">
        <v>200</v>
      </c>
      <c r="B622" s="87"/>
      <c r="C622" s="87"/>
      <c r="D622" s="87"/>
      <c r="E622" s="88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201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89" t="s">
        <v>197</v>
      </c>
      <c r="B635" s="90"/>
      <c r="C635" s="90"/>
      <c r="D635" s="90"/>
      <c r="E635" s="9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198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89" t="s">
        <v>199</v>
      </c>
      <c r="B648" s="90"/>
      <c r="C648" s="90"/>
      <c r="D648" s="90"/>
      <c r="E648" s="9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198</v>
      </c>
      <c r="O648" s="39"/>
    </row>
    <row r="649" spans="1:15" ht="18" customHeight="1">
      <c r="A649" s="86" t="s">
        <v>200</v>
      </c>
      <c r="B649" s="87"/>
      <c r="C649" s="87"/>
      <c r="D649" s="87"/>
      <c r="E649" s="88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201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89" t="s">
        <v>197</v>
      </c>
      <c r="B662" s="90"/>
      <c r="C662" s="90"/>
      <c r="D662" s="90"/>
      <c r="E662" s="9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198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89" t="s">
        <v>199</v>
      </c>
      <c r="B675" s="90"/>
      <c r="C675" s="90"/>
      <c r="D675" s="90"/>
      <c r="E675" s="9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198</v>
      </c>
      <c r="O675" s="39"/>
    </row>
    <row r="676" spans="1:15" ht="18" customHeight="1">
      <c r="A676" s="86" t="s">
        <v>200</v>
      </c>
      <c r="B676" s="87"/>
      <c r="C676" s="87"/>
      <c r="D676" s="87"/>
      <c r="E676" s="88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201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89" t="s">
        <v>197</v>
      </c>
      <c r="B689" s="90"/>
      <c r="C689" s="90"/>
      <c r="D689" s="90"/>
      <c r="E689" s="9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198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89" t="s">
        <v>199</v>
      </c>
      <c r="B702" s="90"/>
      <c r="C702" s="90"/>
      <c r="D702" s="90"/>
      <c r="E702" s="9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198</v>
      </c>
      <c r="O702" s="39"/>
    </row>
    <row r="703" spans="1:15" ht="18" customHeight="1">
      <c r="A703" s="86" t="s">
        <v>200</v>
      </c>
      <c r="B703" s="87"/>
      <c r="C703" s="87"/>
      <c r="D703" s="87"/>
      <c r="E703" s="88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201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89" t="s">
        <v>197</v>
      </c>
      <c r="B716" s="90"/>
      <c r="C716" s="90"/>
      <c r="D716" s="90"/>
      <c r="E716" s="9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198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89" t="s">
        <v>199</v>
      </c>
      <c r="B729" s="90"/>
      <c r="C729" s="90"/>
      <c r="D729" s="90"/>
      <c r="E729" s="9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198</v>
      </c>
      <c r="O729" s="39"/>
    </row>
    <row r="730" spans="1:15" ht="18" customHeight="1">
      <c r="A730" s="86" t="s">
        <v>200</v>
      </c>
      <c r="B730" s="87"/>
      <c r="C730" s="87"/>
      <c r="D730" s="87"/>
      <c r="E730" s="88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201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89" t="s">
        <v>197</v>
      </c>
      <c r="B743" s="90"/>
      <c r="C743" s="90"/>
      <c r="D743" s="90"/>
      <c r="E743" s="9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198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89" t="s">
        <v>199</v>
      </c>
      <c r="B756" s="90"/>
      <c r="C756" s="90"/>
      <c r="D756" s="90"/>
      <c r="E756" s="9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198</v>
      </c>
      <c r="O756" s="39"/>
    </row>
    <row r="757" spans="1:15" ht="18" customHeight="1">
      <c r="A757" s="86" t="s">
        <v>200</v>
      </c>
      <c r="B757" s="87"/>
      <c r="C757" s="87"/>
      <c r="D757" s="87"/>
      <c r="E757" s="8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201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89" t="s">
        <v>197</v>
      </c>
      <c r="B770" s="90"/>
      <c r="C770" s="90"/>
      <c r="D770" s="90"/>
      <c r="E770" s="9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198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89" t="s">
        <v>199</v>
      </c>
      <c r="B783" s="90"/>
      <c r="C783" s="90"/>
      <c r="D783" s="90"/>
      <c r="E783" s="9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198</v>
      </c>
      <c r="O783" s="39"/>
    </row>
    <row r="784" spans="1:15" ht="18" customHeight="1">
      <c r="A784" s="86" t="s">
        <v>200</v>
      </c>
      <c r="B784" s="87"/>
      <c r="C784" s="87"/>
      <c r="D784" s="87"/>
      <c r="E784" s="8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201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89" t="s">
        <v>197</v>
      </c>
      <c r="B797" s="90"/>
      <c r="C797" s="90"/>
      <c r="D797" s="90"/>
      <c r="E797" s="9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198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89" t="s">
        <v>199</v>
      </c>
      <c r="B810" s="90"/>
      <c r="C810" s="90"/>
      <c r="D810" s="90"/>
      <c r="E810" s="9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198</v>
      </c>
      <c r="O810" s="39"/>
    </row>
    <row r="811" spans="1:15" ht="18" customHeight="1">
      <c r="A811" s="86" t="s">
        <v>200</v>
      </c>
      <c r="B811" s="87"/>
      <c r="C811" s="87"/>
      <c r="D811" s="87"/>
      <c r="E811" s="8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201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Q811"/>
  <sheetViews>
    <sheetView showGridLines="0" zoomScale="50" zoomScaleNormal="50" workbookViewId="0">
      <pane ySplit="1" topLeftCell="A73" activePane="bottomLeft" state="frozen"/>
      <selection pane="bottomLeft" activeCell="F99" sqref="F99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2.140625" style="57" customWidth="1"/>
    <col min="15" max="15" width="14" customWidth="1"/>
  </cols>
  <sheetData>
    <row r="1" spans="1:15" ht="37.5" customHeight="1">
      <c r="A1" s="68" t="s">
        <v>7</v>
      </c>
      <c r="B1" s="23" t="s">
        <v>184</v>
      </c>
      <c r="C1" s="23" t="s">
        <v>12</v>
      </c>
      <c r="D1" s="22" t="s">
        <v>13</v>
      </c>
      <c r="E1" s="22" t="s">
        <v>185</v>
      </c>
      <c r="F1" s="23" t="s">
        <v>186</v>
      </c>
      <c r="G1" s="23" t="s">
        <v>187</v>
      </c>
      <c r="H1" s="23" t="s">
        <v>14</v>
      </c>
      <c r="I1" s="23" t="s">
        <v>15</v>
      </c>
      <c r="J1" s="23" t="s">
        <v>188</v>
      </c>
      <c r="K1" s="23" t="s">
        <v>189</v>
      </c>
      <c r="L1" s="23" t="s">
        <v>190</v>
      </c>
      <c r="M1" s="24" t="s">
        <v>191</v>
      </c>
      <c r="N1" s="23" t="s">
        <v>192</v>
      </c>
      <c r="O1" s="23" t="s">
        <v>193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206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131</v>
      </c>
      <c r="J2" s="26" t="s">
        <v>96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218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206</v>
      </c>
      <c r="F3" s="27">
        <v>0</v>
      </c>
      <c r="G3" s="34">
        <f t="shared" si="0"/>
        <v>0</v>
      </c>
      <c r="H3" s="33" t="s">
        <v>18</v>
      </c>
      <c r="I3" s="33" t="s">
        <v>152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216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206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206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206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206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206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206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206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206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206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206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89" t="s">
        <v>197</v>
      </c>
      <c r="B14" s="90"/>
      <c r="C14" s="90"/>
      <c r="D14" s="90"/>
      <c r="E14" s="91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198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206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206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219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206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206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206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206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206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206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206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206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206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206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89" t="s">
        <v>199</v>
      </c>
      <c r="B27" s="90"/>
      <c r="C27" s="90"/>
      <c r="D27" s="90"/>
      <c r="E27" s="91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198</v>
      </c>
      <c r="O27" s="39">
        <v>202230</v>
      </c>
    </row>
    <row r="28" spans="1:15" ht="18" customHeight="1">
      <c r="A28" s="86" t="s">
        <v>200</v>
      </c>
      <c r="B28" s="87"/>
      <c r="C28" s="87"/>
      <c r="D28" s="87"/>
      <c r="E28" s="88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201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206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119</v>
      </c>
      <c r="J29" s="33" t="s">
        <v>182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220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206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206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206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206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206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221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206</v>
      </c>
      <c r="F35" s="27">
        <v>0</v>
      </c>
      <c r="G35" s="28">
        <f t="shared" si="6"/>
        <v>0</v>
      </c>
      <c r="H35" s="33" t="s">
        <v>20</v>
      </c>
      <c r="I35" s="33" t="s">
        <v>142</v>
      </c>
      <c r="J35" s="33" t="s">
        <v>171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206</v>
      </c>
      <c r="F36" s="27">
        <v>0</v>
      </c>
      <c r="G36" s="34">
        <f t="shared" si="6"/>
        <v>0</v>
      </c>
      <c r="H36" s="26" t="s">
        <v>20</v>
      </c>
      <c r="I36" s="26" t="s">
        <v>142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206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206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206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206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89" t="s">
        <v>197</v>
      </c>
      <c r="B41" s="90"/>
      <c r="C41" s="90"/>
      <c r="D41" s="90"/>
      <c r="E41" s="91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198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206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206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206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206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206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206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206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206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206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206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206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206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89" t="s">
        <v>199</v>
      </c>
      <c r="B54" s="90"/>
      <c r="C54" s="90"/>
      <c r="D54" s="90"/>
      <c r="E54" s="91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198</v>
      </c>
      <c r="O54" s="39">
        <v>473910</v>
      </c>
    </row>
    <row r="55" spans="1:15" ht="18" customHeight="1">
      <c r="A55" s="86" t="s">
        <v>200</v>
      </c>
      <c r="B55" s="87"/>
      <c r="C55" s="87"/>
      <c r="D55" s="87"/>
      <c r="E55" s="88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201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206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206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206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222</v>
      </c>
      <c r="L58" s="29">
        <v>0.54097222222222219</v>
      </c>
      <c r="M58" s="30" t="str">
        <f t="shared" ca="1" si="13"/>
        <v/>
      </c>
      <c r="N58" s="27" t="s">
        <v>223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206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206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206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206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206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206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206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206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206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89" t="s">
        <v>197</v>
      </c>
      <c r="B68" s="90"/>
      <c r="C68" s="90"/>
      <c r="D68" s="90"/>
      <c r="E68" s="91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198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206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206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212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206</v>
      </c>
      <c r="F71" s="27">
        <v>12</v>
      </c>
      <c r="G71" s="34">
        <f t="shared" si="15"/>
        <v>50.400000000000006</v>
      </c>
      <c r="H71" s="33" t="s">
        <v>18</v>
      </c>
      <c r="I71" s="33" t="s">
        <v>119</v>
      </c>
      <c r="J71" s="33" t="s">
        <v>183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206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157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224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206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157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225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206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226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206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157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227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206</v>
      </c>
      <c r="F76" s="27">
        <v>1</v>
      </c>
      <c r="G76" s="28">
        <f t="shared" si="15"/>
        <v>4.2</v>
      </c>
      <c r="H76" s="26" t="s">
        <v>20</v>
      </c>
      <c r="I76" s="26" t="s">
        <v>142</v>
      </c>
      <c r="J76" s="26" t="s">
        <v>174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206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206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206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206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89" t="s">
        <v>199</v>
      </c>
      <c r="B81" s="90"/>
      <c r="C81" s="90"/>
      <c r="D81" s="90"/>
      <c r="E81" s="91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198</v>
      </c>
      <c r="O81" s="39">
        <v>565120</v>
      </c>
    </row>
    <row r="82" spans="1:15" ht="18" customHeight="1">
      <c r="A82" s="86" t="s">
        <v>200</v>
      </c>
      <c r="B82" s="87"/>
      <c r="C82" s="87"/>
      <c r="D82" s="87"/>
      <c r="E82" s="88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201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206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228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206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206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206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206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195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195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195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195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195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195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195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89" t="s">
        <v>197</v>
      </c>
      <c r="B95" s="90"/>
      <c r="C95" s="90"/>
      <c r="D95" s="90"/>
      <c r="E95" s="91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198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206</v>
      </c>
      <c r="F96" s="27">
        <v>21</v>
      </c>
      <c r="G96" s="34">
        <f t="shared" ref="G96:G107" si="21">IF(F96="","",IF(E96="PC 17",F96*4.2,IF(E96="PC 19",F96*5,"")))</f>
        <v>88.2</v>
      </c>
      <c r="H96" s="26"/>
      <c r="I96" s="26"/>
      <c r="J96" s="26"/>
      <c r="K96" s="29">
        <v>0.85069444444444442</v>
      </c>
      <c r="L96" s="29">
        <v>0.86458333333333337</v>
      </c>
      <c r="M96" s="35">
        <f t="shared" ref="M96:M107" ca="1" si="22">IFERROR(IF(K96="","",IF(L96="",MOD(NOW()-K96,1),IF(L96&gt;=K96,L96-K96,L96+1-K96))),"")</f>
        <v>1.3888888888888951E-2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206</v>
      </c>
      <c r="F97" s="27">
        <v>0</v>
      </c>
      <c r="G97" s="28">
        <f t="shared" si="21"/>
        <v>0</v>
      </c>
      <c r="H97" s="33"/>
      <c r="I97" s="33"/>
      <c r="J97" s="33"/>
      <c r="K97" s="29"/>
      <c r="L97" s="29"/>
      <c r="M97" s="30" t="str">
        <f t="shared" ca="1" si="22"/>
        <v/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206</v>
      </c>
      <c r="F98" s="27">
        <v>20</v>
      </c>
      <c r="G98" s="34">
        <f t="shared" si="21"/>
        <v>84</v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206</v>
      </c>
      <c r="F99" s="27"/>
      <c r="G99" s="28" t="str">
        <f t="shared" si="21"/>
        <v/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206</v>
      </c>
      <c r="F100" s="27"/>
      <c r="G100" s="34" t="str">
        <f t="shared" si="21"/>
        <v/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206</v>
      </c>
      <c r="F101" s="27"/>
      <c r="G101" s="28" t="str">
        <f t="shared" si="21"/>
        <v/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206</v>
      </c>
      <c r="F102" s="27"/>
      <c r="G102" s="34" t="str">
        <f t="shared" si="21"/>
        <v/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206</v>
      </c>
      <c r="F103" s="27"/>
      <c r="G103" s="28" t="str">
        <f t="shared" si="21"/>
        <v/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206</v>
      </c>
      <c r="F104" s="27"/>
      <c r="G104" s="34" t="str">
        <f t="shared" si="21"/>
        <v/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206</v>
      </c>
      <c r="F105" s="27"/>
      <c r="G105" s="28" t="str">
        <f t="shared" si="21"/>
        <v/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206</v>
      </c>
      <c r="F106" s="27"/>
      <c r="G106" s="34" t="str">
        <f t="shared" si="21"/>
        <v/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206</v>
      </c>
      <c r="F107" s="27"/>
      <c r="G107" s="28" t="str">
        <f t="shared" si="21"/>
        <v/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89" t="s">
        <v>199</v>
      </c>
      <c r="B108" s="90"/>
      <c r="C108" s="90"/>
      <c r="D108" s="90"/>
      <c r="E108" s="91">
        <f>SUM(E96:E107)</f>
        <v>0</v>
      </c>
      <c r="F108" s="36">
        <f>SUM(F96:F107)</f>
        <v>41</v>
      </c>
      <c r="G108" s="36">
        <f>SUM(G96:G107)</f>
        <v>172.2</v>
      </c>
      <c r="H108" s="37"/>
      <c r="I108" s="37"/>
      <c r="J108" s="37"/>
      <c r="K108" s="61"/>
      <c r="L108" s="61"/>
      <c r="M108" s="38">
        <f ca="1">IFERROR(SUM(M96:M107),"")</f>
        <v>1.3888888888888951E-2</v>
      </c>
      <c r="N108" s="36" t="s">
        <v>198</v>
      </c>
      <c r="O108" s="39"/>
    </row>
    <row r="109" spans="1:15" ht="18" customHeight="1">
      <c r="A109" s="86" t="s">
        <v>200</v>
      </c>
      <c r="B109" s="87"/>
      <c r="C109" s="87"/>
      <c r="D109" s="87"/>
      <c r="E109" s="88">
        <f>E95+E108</f>
        <v>0</v>
      </c>
      <c r="F109" s="40">
        <f>F95+F108</f>
        <v>184</v>
      </c>
      <c r="G109" s="40">
        <f>G95+G108</f>
        <v>875.2</v>
      </c>
      <c r="H109" s="41"/>
      <c r="I109" s="41"/>
      <c r="J109" s="41"/>
      <c r="K109" s="63"/>
      <c r="L109" s="63"/>
      <c r="M109" s="42">
        <f ca="1">IFERROR(M95+M108,"")</f>
        <v>0.20208333333333345</v>
      </c>
      <c r="N109" s="40" t="s">
        <v>201</v>
      </c>
      <c r="O109" s="48">
        <f>IFERROR(O95+O108,"")</f>
        <v>776910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89" t="s">
        <v>197</v>
      </c>
      <c r="B122" s="90"/>
      <c r="C122" s="90"/>
      <c r="D122" s="90"/>
      <c r="E122" s="91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61"/>
      <c r="L122" s="61"/>
      <c r="M122" s="38">
        <f ca="1">IFERROR(SUM(M110:M121),"")</f>
        <v>0</v>
      </c>
      <c r="N122" s="36" t="s">
        <v>198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5" ht="15.75" customHeight="1">
      <c r="A135" s="89" t="s">
        <v>199</v>
      </c>
      <c r="B135" s="90"/>
      <c r="C135" s="90"/>
      <c r="D135" s="90"/>
      <c r="E135" s="91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198</v>
      </c>
      <c r="O135" s="39"/>
    </row>
    <row r="136" spans="1:15" ht="18" customHeight="1">
      <c r="A136" s="86" t="s">
        <v>200</v>
      </c>
      <c r="B136" s="87"/>
      <c r="C136" s="87"/>
      <c r="D136" s="87"/>
      <c r="E136" s="88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63"/>
      <c r="L136" s="63"/>
      <c r="M136" s="42">
        <f ca="1">IFERROR(M122+M135,"")</f>
        <v>0</v>
      </c>
      <c r="N136" s="40" t="s">
        <v>201</v>
      </c>
      <c r="O136" s="48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9" t="s">
        <v>197</v>
      </c>
      <c r="B149" s="90"/>
      <c r="C149" s="90"/>
      <c r="D149" s="90"/>
      <c r="E149" s="91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198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9" t="s">
        <v>199</v>
      </c>
      <c r="B162" s="90"/>
      <c r="C162" s="90"/>
      <c r="D162" s="90"/>
      <c r="E162" s="91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198</v>
      </c>
      <c r="O162" s="39"/>
    </row>
    <row r="163" spans="1:15" ht="18" customHeight="1">
      <c r="A163" s="86" t="s">
        <v>200</v>
      </c>
      <c r="B163" s="87"/>
      <c r="C163" s="87"/>
      <c r="D163" s="87"/>
      <c r="E163" s="88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201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9" t="s">
        <v>197</v>
      </c>
      <c r="B176" s="90"/>
      <c r="C176" s="90"/>
      <c r="D176" s="90"/>
      <c r="E176" s="9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198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9" t="s">
        <v>199</v>
      </c>
      <c r="B189" s="90"/>
      <c r="C189" s="90"/>
      <c r="D189" s="90"/>
      <c r="E189" s="9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198</v>
      </c>
      <c r="O189" s="39"/>
    </row>
    <row r="190" spans="1:15" ht="18" customHeight="1">
      <c r="A190" s="86" t="s">
        <v>200</v>
      </c>
      <c r="B190" s="87"/>
      <c r="C190" s="87"/>
      <c r="D190" s="87"/>
      <c r="E190" s="88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201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9" t="s">
        <v>197</v>
      </c>
      <c r="B203" s="90"/>
      <c r="C203" s="90"/>
      <c r="D203" s="90"/>
      <c r="E203" s="9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198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89" t="s">
        <v>199</v>
      </c>
      <c r="B216" s="90"/>
      <c r="C216" s="90"/>
      <c r="D216" s="90"/>
      <c r="E216" s="91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198</v>
      </c>
      <c r="O216" s="45"/>
    </row>
    <row r="217" spans="1:15" ht="18" customHeight="1">
      <c r="A217" s="86" t="s">
        <v>200</v>
      </c>
      <c r="B217" s="87"/>
      <c r="C217" s="87"/>
      <c r="D217" s="87"/>
      <c r="E217" s="88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201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89" t="s">
        <v>197</v>
      </c>
      <c r="B230" s="90"/>
      <c r="C230" s="90"/>
      <c r="D230" s="90"/>
      <c r="E230" s="91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198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89" t="s">
        <v>199</v>
      </c>
      <c r="B243" s="90"/>
      <c r="C243" s="90"/>
      <c r="D243" s="90"/>
      <c r="E243" s="91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198</v>
      </c>
      <c r="O243" s="39"/>
    </row>
    <row r="244" spans="1:15" ht="18" customHeight="1">
      <c r="A244" s="86" t="s">
        <v>200</v>
      </c>
      <c r="B244" s="87"/>
      <c r="C244" s="87"/>
      <c r="D244" s="87"/>
      <c r="E244" s="88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201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89" t="s">
        <v>197</v>
      </c>
      <c r="B257" s="90"/>
      <c r="C257" s="90"/>
      <c r="D257" s="90"/>
      <c r="E257" s="91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198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89" t="s">
        <v>199</v>
      </c>
      <c r="B270" s="90"/>
      <c r="C270" s="90"/>
      <c r="D270" s="90"/>
      <c r="E270" s="91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198</v>
      </c>
      <c r="O270" s="39"/>
    </row>
    <row r="271" spans="1:15" ht="18" customHeight="1">
      <c r="A271" s="86" t="s">
        <v>200</v>
      </c>
      <c r="B271" s="87"/>
      <c r="C271" s="87"/>
      <c r="D271" s="87"/>
      <c r="E271" s="88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201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89" t="s">
        <v>197</v>
      </c>
      <c r="B284" s="90"/>
      <c r="C284" s="90"/>
      <c r="D284" s="90"/>
      <c r="E284" s="91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198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89" t="s">
        <v>199</v>
      </c>
      <c r="B297" s="90"/>
      <c r="C297" s="90"/>
      <c r="D297" s="90"/>
      <c r="E297" s="91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198</v>
      </c>
      <c r="O297" s="39"/>
    </row>
    <row r="298" spans="1:15" ht="18" customHeight="1">
      <c r="A298" s="86" t="s">
        <v>200</v>
      </c>
      <c r="B298" s="87"/>
      <c r="C298" s="87"/>
      <c r="D298" s="87"/>
      <c r="E298" s="88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201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89" t="s">
        <v>197</v>
      </c>
      <c r="B311" s="90"/>
      <c r="C311" s="90"/>
      <c r="D311" s="90"/>
      <c r="E311" s="91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198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89" t="s">
        <v>199</v>
      </c>
      <c r="B324" s="90"/>
      <c r="C324" s="90"/>
      <c r="D324" s="90"/>
      <c r="E324" s="91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198</v>
      </c>
      <c r="O324" s="39"/>
    </row>
    <row r="325" spans="1:15" ht="18" customHeight="1">
      <c r="A325" s="86" t="s">
        <v>200</v>
      </c>
      <c r="B325" s="87"/>
      <c r="C325" s="87"/>
      <c r="D325" s="87"/>
      <c r="E325" s="88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201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89" t="s">
        <v>197</v>
      </c>
      <c r="B338" s="90"/>
      <c r="C338" s="90"/>
      <c r="D338" s="90"/>
      <c r="E338" s="91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198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89" t="s">
        <v>199</v>
      </c>
      <c r="B351" s="90"/>
      <c r="C351" s="90"/>
      <c r="D351" s="90"/>
      <c r="E351" s="91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198</v>
      </c>
      <c r="O351" s="39"/>
    </row>
    <row r="352" spans="1:15" ht="18" customHeight="1">
      <c r="A352" s="86" t="s">
        <v>200</v>
      </c>
      <c r="B352" s="87"/>
      <c r="C352" s="87"/>
      <c r="D352" s="87"/>
      <c r="E352" s="88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201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9" t="s">
        <v>197</v>
      </c>
      <c r="B365" s="90"/>
      <c r="C365" s="90"/>
      <c r="D365" s="90"/>
      <c r="E365" s="91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198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89" t="s">
        <v>199</v>
      </c>
      <c r="B378" s="90"/>
      <c r="C378" s="90"/>
      <c r="D378" s="90"/>
      <c r="E378" s="91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198</v>
      </c>
      <c r="O378" s="39"/>
    </row>
    <row r="379" spans="1:15" ht="18" customHeight="1">
      <c r="A379" s="86" t="s">
        <v>200</v>
      </c>
      <c r="B379" s="87"/>
      <c r="C379" s="87"/>
      <c r="D379" s="87"/>
      <c r="E379" s="88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201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89" t="s">
        <v>197</v>
      </c>
      <c r="B392" s="90"/>
      <c r="C392" s="90"/>
      <c r="D392" s="90"/>
      <c r="E392" s="91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198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89" t="s">
        <v>199</v>
      </c>
      <c r="B405" s="90"/>
      <c r="C405" s="90"/>
      <c r="D405" s="90"/>
      <c r="E405" s="91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198</v>
      </c>
      <c r="O405" s="39"/>
    </row>
    <row r="406" spans="1:15" ht="18" customHeight="1">
      <c r="A406" s="86" t="s">
        <v>200</v>
      </c>
      <c r="B406" s="87"/>
      <c r="C406" s="87"/>
      <c r="D406" s="87"/>
      <c r="E406" s="88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201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89" t="s">
        <v>197</v>
      </c>
      <c r="B419" s="90"/>
      <c r="C419" s="90"/>
      <c r="D419" s="90"/>
      <c r="E419" s="91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198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89" t="s">
        <v>199</v>
      </c>
      <c r="B432" s="90"/>
      <c r="C432" s="90"/>
      <c r="D432" s="90"/>
      <c r="E432" s="91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198</v>
      </c>
      <c r="O432" s="39"/>
    </row>
    <row r="433" spans="1:17" ht="18" customHeight="1">
      <c r="A433" s="86" t="s">
        <v>200</v>
      </c>
      <c r="B433" s="87"/>
      <c r="C433" s="87"/>
      <c r="D433" s="87"/>
      <c r="E433" s="88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201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89" t="s">
        <v>197</v>
      </c>
      <c r="B446" s="90"/>
      <c r="C446" s="90"/>
      <c r="D446" s="90"/>
      <c r="E446" s="91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198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89" t="s">
        <v>199</v>
      </c>
      <c r="B459" s="90"/>
      <c r="C459" s="90"/>
      <c r="D459" s="90"/>
      <c r="E459" s="91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198</v>
      </c>
      <c r="O459" s="39"/>
    </row>
    <row r="460" spans="1:15" ht="18" customHeight="1">
      <c r="A460" s="86" t="s">
        <v>200</v>
      </c>
      <c r="B460" s="87"/>
      <c r="C460" s="87"/>
      <c r="D460" s="87"/>
      <c r="E460" s="88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201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89" t="s">
        <v>197</v>
      </c>
      <c r="B473" s="90"/>
      <c r="C473" s="90"/>
      <c r="D473" s="90"/>
      <c r="E473" s="91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198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89" t="s">
        <v>199</v>
      </c>
      <c r="B486" s="90"/>
      <c r="C486" s="90"/>
      <c r="D486" s="90"/>
      <c r="E486" s="91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198</v>
      </c>
      <c r="O486" s="39"/>
    </row>
    <row r="487" spans="1:15" ht="18" customHeight="1">
      <c r="A487" s="86" t="s">
        <v>200</v>
      </c>
      <c r="B487" s="87"/>
      <c r="C487" s="87"/>
      <c r="D487" s="87"/>
      <c r="E487" s="88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201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89" t="s">
        <v>197</v>
      </c>
      <c r="B500" s="90"/>
      <c r="C500" s="90"/>
      <c r="D500" s="90"/>
      <c r="E500" s="9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198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89" t="s">
        <v>199</v>
      </c>
      <c r="B513" s="90"/>
      <c r="C513" s="90"/>
      <c r="D513" s="90"/>
      <c r="E513" s="9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198</v>
      </c>
      <c r="O513" s="39"/>
    </row>
    <row r="514" spans="1:15" ht="18" customHeight="1">
      <c r="A514" s="86" t="s">
        <v>200</v>
      </c>
      <c r="B514" s="87"/>
      <c r="C514" s="87"/>
      <c r="D514" s="87"/>
      <c r="E514" s="88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201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89" t="s">
        <v>197</v>
      </c>
      <c r="B527" s="90"/>
      <c r="C527" s="90"/>
      <c r="D527" s="90"/>
      <c r="E527" s="9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198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89" t="s">
        <v>199</v>
      </c>
      <c r="B540" s="90"/>
      <c r="C540" s="90"/>
      <c r="D540" s="90"/>
      <c r="E540" s="9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198</v>
      </c>
      <c r="O540" s="39"/>
    </row>
    <row r="541" spans="1:15" ht="18" customHeight="1">
      <c r="A541" s="86" t="s">
        <v>200</v>
      </c>
      <c r="B541" s="87"/>
      <c r="C541" s="87"/>
      <c r="D541" s="87"/>
      <c r="E541" s="88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201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89" t="s">
        <v>197</v>
      </c>
      <c r="B554" s="90"/>
      <c r="C554" s="90"/>
      <c r="D554" s="90"/>
      <c r="E554" s="9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198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89" t="s">
        <v>199</v>
      </c>
      <c r="B567" s="90"/>
      <c r="C567" s="90"/>
      <c r="D567" s="90"/>
      <c r="E567" s="9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198</v>
      </c>
      <c r="O567" s="39"/>
    </row>
    <row r="568" spans="1:15" ht="18" customHeight="1">
      <c r="A568" s="86" t="s">
        <v>200</v>
      </c>
      <c r="B568" s="87"/>
      <c r="C568" s="87"/>
      <c r="D568" s="87"/>
      <c r="E568" s="88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201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89" t="s">
        <v>197</v>
      </c>
      <c r="B581" s="90"/>
      <c r="C581" s="90"/>
      <c r="D581" s="90"/>
      <c r="E581" s="9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198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89" t="s">
        <v>199</v>
      </c>
      <c r="B594" s="90"/>
      <c r="C594" s="90"/>
      <c r="D594" s="90"/>
      <c r="E594" s="9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198</v>
      </c>
      <c r="O594" s="39"/>
    </row>
    <row r="595" spans="1:15" ht="18" customHeight="1">
      <c r="A595" s="86" t="s">
        <v>200</v>
      </c>
      <c r="B595" s="87"/>
      <c r="C595" s="87"/>
      <c r="D595" s="87"/>
      <c r="E595" s="88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201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89" t="s">
        <v>197</v>
      </c>
      <c r="B608" s="90"/>
      <c r="C608" s="90"/>
      <c r="D608" s="90"/>
      <c r="E608" s="9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198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89" t="s">
        <v>199</v>
      </c>
      <c r="B621" s="90"/>
      <c r="C621" s="90"/>
      <c r="D621" s="90"/>
      <c r="E621" s="9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198</v>
      </c>
      <c r="O621" s="39"/>
    </row>
    <row r="622" spans="1:15" ht="18" customHeight="1">
      <c r="A622" s="86" t="s">
        <v>200</v>
      </c>
      <c r="B622" s="87"/>
      <c r="C622" s="87"/>
      <c r="D622" s="87"/>
      <c r="E622" s="88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201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89" t="s">
        <v>197</v>
      </c>
      <c r="B635" s="90"/>
      <c r="C635" s="90"/>
      <c r="D635" s="90"/>
      <c r="E635" s="9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198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89" t="s">
        <v>199</v>
      </c>
      <c r="B648" s="90"/>
      <c r="C648" s="90"/>
      <c r="D648" s="90"/>
      <c r="E648" s="9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198</v>
      </c>
      <c r="O648" s="39"/>
    </row>
    <row r="649" spans="1:15" ht="18" customHeight="1">
      <c r="A649" s="86" t="s">
        <v>200</v>
      </c>
      <c r="B649" s="87"/>
      <c r="C649" s="87"/>
      <c r="D649" s="87"/>
      <c r="E649" s="88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201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89" t="s">
        <v>197</v>
      </c>
      <c r="B662" s="90"/>
      <c r="C662" s="90"/>
      <c r="D662" s="90"/>
      <c r="E662" s="9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198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89" t="s">
        <v>199</v>
      </c>
      <c r="B675" s="90"/>
      <c r="C675" s="90"/>
      <c r="D675" s="90"/>
      <c r="E675" s="9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198</v>
      </c>
      <c r="O675" s="39"/>
    </row>
    <row r="676" spans="1:15" ht="18" customHeight="1">
      <c r="A676" s="86" t="s">
        <v>200</v>
      </c>
      <c r="B676" s="87"/>
      <c r="C676" s="87"/>
      <c r="D676" s="87"/>
      <c r="E676" s="88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201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89" t="s">
        <v>197</v>
      </c>
      <c r="B689" s="90"/>
      <c r="C689" s="90"/>
      <c r="D689" s="90"/>
      <c r="E689" s="9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198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89" t="s">
        <v>199</v>
      </c>
      <c r="B702" s="90"/>
      <c r="C702" s="90"/>
      <c r="D702" s="90"/>
      <c r="E702" s="9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198</v>
      </c>
      <c r="O702" s="39"/>
    </row>
    <row r="703" spans="1:15" ht="18" customHeight="1">
      <c r="A703" s="86" t="s">
        <v>200</v>
      </c>
      <c r="B703" s="87"/>
      <c r="C703" s="87"/>
      <c r="D703" s="87"/>
      <c r="E703" s="88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201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89" t="s">
        <v>197</v>
      </c>
      <c r="B716" s="90"/>
      <c r="C716" s="90"/>
      <c r="D716" s="90"/>
      <c r="E716" s="9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198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89" t="s">
        <v>199</v>
      </c>
      <c r="B729" s="90"/>
      <c r="C729" s="90"/>
      <c r="D729" s="90"/>
      <c r="E729" s="9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198</v>
      </c>
      <c r="O729" s="39"/>
    </row>
    <row r="730" spans="1:15" ht="18" customHeight="1">
      <c r="A730" s="86" t="s">
        <v>200</v>
      </c>
      <c r="B730" s="87"/>
      <c r="C730" s="87"/>
      <c r="D730" s="87"/>
      <c r="E730" s="88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201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89" t="s">
        <v>197</v>
      </c>
      <c r="B743" s="90"/>
      <c r="C743" s="90"/>
      <c r="D743" s="90"/>
      <c r="E743" s="9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198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89" t="s">
        <v>199</v>
      </c>
      <c r="B756" s="90"/>
      <c r="C756" s="90"/>
      <c r="D756" s="90"/>
      <c r="E756" s="9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198</v>
      </c>
      <c r="O756" s="39"/>
    </row>
    <row r="757" spans="1:15" ht="18" customHeight="1">
      <c r="A757" s="86" t="s">
        <v>200</v>
      </c>
      <c r="B757" s="87"/>
      <c r="C757" s="87"/>
      <c r="D757" s="87"/>
      <c r="E757" s="8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201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89" t="s">
        <v>197</v>
      </c>
      <c r="B770" s="90"/>
      <c r="C770" s="90"/>
      <c r="D770" s="90"/>
      <c r="E770" s="9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198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89" t="s">
        <v>199</v>
      </c>
      <c r="B783" s="90"/>
      <c r="C783" s="90"/>
      <c r="D783" s="90"/>
      <c r="E783" s="9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198</v>
      </c>
      <c r="O783" s="39"/>
    </row>
    <row r="784" spans="1:15" ht="18" customHeight="1">
      <c r="A784" s="86" t="s">
        <v>200</v>
      </c>
      <c r="B784" s="87"/>
      <c r="C784" s="87"/>
      <c r="D784" s="87"/>
      <c r="E784" s="8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201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89" t="s">
        <v>197</v>
      </c>
      <c r="B797" s="90"/>
      <c r="C797" s="90"/>
      <c r="D797" s="90"/>
      <c r="E797" s="9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198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89" t="s">
        <v>199</v>
      </c>
      <c r="B810" s="90"/>
      <c r="C810" s="90"/>
      <c r="D810" s="90"/>
      <c r="E810" s="9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198</v>
      </c>
      <c r="O810" s="39"/>
    </row>
    <row r="811" spans="1:15" ht="18" customHeight="1">
      <c r="A811" s="86" t="s">
        <v>200</v>
      </c>
      <c r="B811" s="87"/>
      <c r="C811" s="87"/>
      <c r="D811" s="87"/>
      <c r="E811" s="8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201</v>
      </c>
      <c r="O811" s="43">
        <f>IFERROR(O797+O810,"")</f>
        <v>0</v>
      </c>
    </row>
  </sheetData>
  <mergeCells count="90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2026-07-05T02:15:16Z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