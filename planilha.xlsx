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36" documentId="8_{C51EB6CB-002B-4D6B-B68F-DDEBDB4460C0}" xr6:coauthVersionLast="47" xr6:coauthVersionMax="47" xr10:uidLastSave="{4FBF5445-1B35-436E-8BDB-8846A5773A9B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<sst xmlns="http://schemas.openxmlformats.org/spreadsheetml/2006/main" count="2823" uniqueCount="270">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</sst>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12985645</v>
      </c>
      <c r="D35" s="13">
        <f>IFERROR(SUM(D4:D34),"")</f>
        <v>3800510</v>
      </c>
      <c r="E35" s="13">
        <f>IFERROR(SUM(E4:E34),"")</f>
        <v>2247410</v>
      </c>
      <c r="F35" s="13">
        <f>IFERROR(SUM(F4:F34),"")</f>
        <v>5004440</v>
      </c>
      <c r="G35" s="13">
        <f>IFERROR(SUM(G4:G34),"")</f>
        <v>11052360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75" activePane="bottomLeft" state="frozen"/>
      <selection pane="bottomLeft" activeCell="F113" sqref="F11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228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239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228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228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228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228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228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3156240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228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228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228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228</v>
      </c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228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228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228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228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228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228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95</v>
      </c>
      <c r="G122" s="36">
        <f>SUM(G110:G121)</f>
        <v>475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95</v>
      </c>
      <c r="G136" s="40">
        <f>G122+G135</f>
        <v>475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F113" sqref="F11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240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240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240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240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240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0.2960577546255081</v>
      </c>
      <c r="N53" s="46" t="s">
        <v>249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0.43494664351439699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0.5196688657366193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240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240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240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240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240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240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240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240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251</v>
      </c>
      <c r="E83" s="59" t="s">
        <v>240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252</v>
      </c>
      <c r="M96" s="30" t="str">
        <f t="shared" ref="M96:M107" ca="1" si="22">IFERROR(IF(K96="","",IF(L96="",MOD(NOW()-K96,1),IF(L96&gt;=K96,L96-K96,L96+1-K96))),"")</f>
        <v/>
      </c>
      <c r="N96" s="46" t="s">
        <v>253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231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230</v>
      </c>
      <c r="O108" s="54">
        <v>456830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234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240</v>
      </c>
      <c r="F111" s="27">
        <v>17</v>
      </c>
      <c r="G111" s="34">
        <f t="shared" si="24"/>
        <v>71.400000000000006</v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240</v>
      </c>
      <c r="F112" s="27">
        <v>23</v>
      </c>
      <c r="G112" s="28">
        <f t="shared" si="24"/>
        <v>96.600000000000009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240</v>
      </c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240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240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240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240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240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240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240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240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65</v>
      </c>
      <c r="G122" s="36">
        <f>SUM(G110:G121)</f>
        <v>273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65</v>
      </c>
      <c r="G136" s="40">
        <f>G122+G135</f>
        <v>273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1" zoomScale="50" zoomScaleNormal="50" workbookViewId="0">
      <selection activeCell="F113" sqref="F11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240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240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240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240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240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240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240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0.13911331018607598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0.18633553240829817</v>
      </c>
      <c r="N108" s="36" t="s">
        <v>230</v>
      </c>
      <c r="O108" s="39">
        <v>434370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0.34258553240829814</v>
      </c>
      <c r="N109" s="40" t="s">
        <v>234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240</v>
      </c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240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240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240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240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240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240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240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240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15</v>
      </c>
      <c r="G122" s="36">
        <f>SUM(G110:G121)</f>
        <v>63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15</v>
      </c>
      <c r="G136" s="40">
        <f>G122+G135</f>
        <v>63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4" activePane="bottomLeft" state="frozen"/>
      <selection pane="bottomLeft" activeCell="F113" sqref="F11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230</v>
      </c>
      <c r="O108" s="39">
        <v>956070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234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/>
      <c r="K111" s="29">
        <v>0.40277777777777779</v>
      </c>
      <c r="L111" s="29"/>
      <c r="M111" s="35">
        <f t="shared" ca="1" si="25"/>
        <v>1.4807754625508096E-2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240</v>
      </c>
      <c r="F112" s="27">
        <v>16</v>
      </c>
      <c r="G112" s="28">
        <f t="shared" si="24"/>
        <v>67.2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240</v>
      </c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240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240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240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240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240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240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240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240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51</v>
      </c>
      <c r="G122" s="36">
        <f>SUM(G110:G121)</f>
        <v>214.2</v>
      </c>
      <c r="H122" s="37"/>
      <c r="I122" s="37"/>
      <c r="J122" s="37"/>
      <c r="K122" s="61"/>
      <c r="L122" s="61"/>
      <c r="M122" s="38">
        <f ca="1">IFERROR(SUM(M110:M121),"")</f>
        <v>3.4252199069952582E-2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51</v>
      </c>
      <c r="G136" s="40">
        <f>G122+G135</f>
        <v>214.2</v>
      </c>
      <c r="H136" s="41"/>
      <c r="I136" s="41"/>
      <c r="J136" s="41"/>
      <c r="K136" s="63"/>
      <c r="L136" s="63"/>
      <c r="M136" s="42">
        <f ca="1">IFERROR(M122+M135,"")</f>
        <v>3.4252199069952582E-2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2026-08-05T14:02:50Z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