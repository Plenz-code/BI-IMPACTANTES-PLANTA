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11" documentId="8_{AF585B22-221D-4780-BB9C-493D365A6A02}" xr6:coauthVersionLast="47" xr6:coauthVersionMax="47" xr10:uidLastSave="{BD6C7616-41E4-460B-A394-C4347182E2E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<sst xmlns="http://schemas.openxmlformats.org/spreadsheetml/2006/main" count="4913" uniqueCount="293">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</sst>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79</v>
      </c>
      <c r="G297" s="36">
        <f>SUM(G285:G296)</f>
        <v>395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1975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18</v>
      </c>
      <c r="I285" s="33" t="s">
        <v>39</v>
      </c>
      <c r="J285" s="33" t="s">
        <v>126</v>
      </c>
      <c r="K285" s="29">
        <v>0.92569444444444449</v>
      </c>
      <c r="L285" s="29"/>
      <c r="M285" s="35">
        <f t="shared" ref="M285:M296" ca="1" si="64">IFERROR(IF(K285="","",IF(L285="",MOD(NOW()-K285,1),IF(L285&gt;=K285,L285-K285,L285+1-K285))),"")</f>
        <v>1.5782754628162365E-2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75</v>
      </c>
      <c r="G297" s="36">
        <f>SUM(G285:G296)</f>
        <v>315</v>
      </c>
      <c r="H297" s="37"/>
      <c r="I297" s="37"/>
      <c r="J297" s="37"/>
      <c r="K297" s="37"/>
      <c r="L297" s="37"/>
      <c r="M297" s="38">
        <f ca="1">IFERROR(SUM(M285:M296),"")</f>
        <v>1.5782754628162365E-2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258</v>
      </c>
      <c r="G298" s="40">
        <f>G284+G297</f>
        <v>1083.5999999999999</v>
      </c>
      <c r="H298" s="41"/>
      <c r="I298" s="41"/>
      <c r="J298" s="41"/>
      <c r="K298" s="41"/>
      <c r="L298" s="41"/>
      <c r="M298" s="42">
        <f ca="1">IFERROR(M284+M297,"")</f>
        <v>0.17342164351705119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61" zoomScale="50" zoomScaleNormal="50" workbookViewId="0">
      <selection activeCell="F288" sqref="F2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19</v>
      </c>
      <c r="G297" s="36">
        <f>SUM(G285:G296)</f>
        <v>79.800000000000011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19</v>
      </c>
      <c r="G298" s="40">
        <f>G284+G297</f>
        <v>386.4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F288" sqref="F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0.69217164351721294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0.89147719907276857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1.2588383101838796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57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41</v>
      </c>
      <c r="G297" s="36">
        <f>SUM(G285:G296)</f>
        <v>172.2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2026-07-12T02:36:00Z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