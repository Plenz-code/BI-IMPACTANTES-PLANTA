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452" documentId="8_{1D11E9C4-FEA4-4128-910F-91CB6BBF9255}" xr6:coauthVersionLast="47" xr6:coauthVersionMax="47" xr10:uidLastSave="{80D2D9BF-248C-459D-A2CE-996518F506DE}"/>
  <bookViews>
    <workbookView xWindow="-110" yWindow="-110" windowWidth="25820" windowHeight="15500" tabRatio="500" firstSheet="2" activeTab="2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785" i="2" l="1"/>
  <c r="L786" i="2"/>
  <c r="L787" i="2"/>
  <c r="L788" i="2"/>
  <c r="L789" i="2"/>
  <c r="L790" i="2"/>
  <c r="L791" i="2"/>
  <c r="L792" i="2"/>
  <c r="L793" i="2"/>
  <c r="L794" i="2"/>
  <c r="L795" i="2"/>
  <c r="L796" i="2"/>
  <c r="L797" i="2"/>
  <c r="L780" i="2"/>
  <c r="L781" i="2"/>
  <c r="L782" i="2"/>
  <c r="L783" i="2"/>
  <c r="L784" i="2"/>
  <c r="L792" i="4"/>
  <c r="L793" i="4"/>
  <c r="L794" i="4"/>
  <c r="F775" i="5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F796" i="2"/>
  <c r="F795" i="2"/>
  <c r="F794" i="2"/>
  <c r="F793" i="2"/>
  <c r="F792" i="2"/>
  <c r="F791" i="2"/>
  <c r="F790" i="2"/>
  <c r="F789" i="2"/>
  <c r="F788" i="2"/>
  <c r="F787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F785" i="2"/>
  <c r="N784" i="2"/>
  <c r="C32" i="6" s="1"/>
  <c r="E783" i="2"/>
  <c r="F782" i="2"/>
  <c r="F781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811" i="2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G34" i="6" l="1"/>
  <c r="F109" i="2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<sst xmlns="http://schemas.openxmlformats.org/spreadsheetml/2006/main" count="8681" uniqueCount="387">
  <si>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</si>
  <si>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</si>
  <si>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</si>
  <si>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</si>
  <si>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</si>
  <si>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</si>
  <si>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</si>
  <si>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</si>
  <si>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</si>
  <si>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</si>
  <si>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</si>
  <si>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</si>
  <si>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</si>
  <si>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</si>
  <si>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</si>
  <si>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</si>
  <si>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</si>
  <si>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</si>
  <si>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</si>
  <si>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</si>
  <si>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</si>
  <si>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</si>
  <si>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</si>
  <si>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</si>
  <si>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</si>
  <si>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</si>
  <si>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</si>
  <si>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</si>
  <si>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</si>
  <si>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</si>
  <si>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</si>
  <si>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</si>
  <si>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</si>
  <si>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</si>
  <si>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</si>
  <si>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</si>
  <si>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</si>
  <si>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</si>
  <si>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</si>
  <si>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</si>
  <si>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</si>
  <si>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</si>
  <si>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</si>
  <si>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</si>
  <si>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</si>
  <si>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</si>
  <si>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</si>
  <si>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</si>
  <si>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</si>
  <si>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</si>
  <si>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</si>
  <si>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</si>
  <si>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</si>
  <si>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</si>
  <si>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</si>
  <si>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</si>
  <si>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</si>
  <si>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</si>
  <si>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</si>
  <si>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</si>
  <si>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</si>
  <si>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</si>
  <si>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</si>
  <si>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</si>
  <si>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</si>
  <si>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</si>
  <si>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</si>
  <si>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</si>
  <si>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</si>
  <si>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</si>
  <si>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</si>
  <si>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</si>
  <si>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</si>
  <si>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</si>
  <si>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</si>
  <si>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</si>
  <si>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</si>
  <si>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</si>
  <si>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</si>
  <si>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</si>
  <si>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</si>
  <si>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</si>
  <si>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</si>
  <si>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</si>
  <si>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</si>
  <si>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</si>
  <si>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</si>
  <si>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</si>
  <si>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</si>
  <si>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</si>
  <si>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</si>
  <si>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</si>
  <si>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</si>
  <si>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</si>
  <si>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</si>
  <si>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</si>
  <si>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</si>
  <si>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</si>
  <si>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</si>
  <si>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</si>
  <si>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</si>
  <si>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</si>
  <si>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</si>
  <si>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</si>
  <si>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</si>
  <si>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</si>
  <si>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</si>
  <si>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</si>
  <si>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</si>
  <si>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</si>
  <si>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</si>
  <si>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</si>
  <si>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</si>
  <si>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</si>
  <si>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</si>
  <si>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</si>
  <si>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</si>
  <si>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</si>
  <si>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</si>
  <si>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</si>
  <si>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</si>
  <si>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</si>
  <si>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</si>
  <si>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</si>
  <si>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</si>
  <si>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</si>
  <si>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</si>
  <si>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</si>
  <si>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</si>
  <si>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</si>
  <si>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</si>
  <si>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</si>
  <si>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</si>
  <si>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</si>
  <si>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</si>
  <si>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</si>
  <si>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</si>
  <si>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</si>
  <si>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</si>
  <si>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</si>
  <si>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</si>
  <si>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</si>
  <si>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</si>
  <si>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</si>
  <si>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</si>
  <si>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</si>
  <si>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</si>
  <si>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</si>
  <si>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</si>
  <si>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</si>
  <si>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</si>
  <si>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</si>
  <si>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</si>
  <si>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</si>
  <si>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</si>
  <si>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</si>
  <si>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</si>
  <si>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</si>
  <si>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</si>
  <si>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</si>
  <si>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</si>
  <si>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</si>
  <si>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</si>
  <si>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</si>
  <si>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</si>
  <si>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</si>
  <si>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</si>
  <si>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</si>
  <si>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</si>
  <si>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</si>
  <si>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</si>
  <si>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</si>
  <si>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</si>
  <si>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</si>
  <si>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</si>
  <si>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</si>
  <si>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limpeza t1 e t2</t>
  </si>
  <si>
    <t>emenda da tc 03</t>
  </si>
  <si>
    <t>Limpeza da caixa de polpa</t>
  </si>
  <si>
    <t>reforço de solda nas orelhas dos martelos</t>
  </si>
  <si>
    <t>limpeza 5s</t>
  </si>
  <si>
    <t>TC3 travada</t>
  </si>
  <si>
    <t>ℹ  Cada coluna corresponde a um Tipo de Parada. Adicione descrições nas linhas vazias de cada coluna.</t>
  </si>
  <si>
    <t>Colocamento da trava da tampa</t>
  </si>
  <si>
    <t>aperto rolamento do mancal</t>
  </si>
  <si>
    <t>troca de bomba</t>
  </si>
  <si>
    <t>ajuste na tampa do mancal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</si>
  <si>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</si>
  <si>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</si>
  <si>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</si>
  <si>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</si>
  <si>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</si>
  <si>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</si>
  <si>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</si>
  <si>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</si>
  <si>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</si>
  <si>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</si>
  <si>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</si>
  <si>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</si>
  <si>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</si>
  <si>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</si>
  <si>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</si>
  <si>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</si>
  <si>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</si>
  <si>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</si>
  <si>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</si>
  <si>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</si>
  <si>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</si>
  <si>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</si>
  <si>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</si>
  <si>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</si>
  <si>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</si>
  <si>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</si>
  <si>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</si>
  <si>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</si>
  <si>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</si>
  <si>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</si>
  <si>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</si>
  <si>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</si>
  <si>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</si>
  <si>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</si>
  <si>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</si>
  <si>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</si>
  <si>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</si>
  <si>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</si>
  <si>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</si>
  <si>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</si>
  <si>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</si>
  <si>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</si>
  <si>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</si>
  <si>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</si>
  <si>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</si>
  <si>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</si>
  <si>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</si>
  <si>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</si>
  <si>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</si>
  <si>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</si>
  <si>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</si>
  <si>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cano da tc 17 quebrou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</si>
  <si>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</si>
  <si>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</si>
  <si>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</si>
  <si>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</si>
  <si>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</si>
  <si>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</si>
  <si>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</si>
  <si>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</si>
  <si>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</si>
  <si>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</si>
  <si>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</si>
  <si>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</si>
  <si>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</si>
  <si>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</si>
  <si>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</si>
  <si>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</si>
  <si>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</si>
  <si>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</si>
  <si>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</si>
  <si>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</si>
  <si>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</si>
  <si>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</si>
  <si>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</si>
  <si>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</si>
  <si>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</si>
  <si>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</si>
  <si>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</si>
  <si>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</si>
  <si>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</si>
  <si>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</si>
  <si>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</si>
  <si>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</si>
  <si>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</si>
  <si>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</si>
  <si>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</si>
  <si>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</si>
  <si>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</si>
  <si>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</si>
  <si>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</si>
  <si>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</si>
  <si>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</si>
  <si>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</si>
  <si>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</si>
  <si>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</si>
  <si>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</si>
  <si>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</si>
  <si>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</si>
  <si>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</si>
  <si>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</si>
  <si>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</si>
  <si>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</si>
  <si>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</si>
  <si>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</si>
  <si>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</si>
  <si>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</si>
  <si>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</si>
  <si>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</si>
  <si>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</si>
  <si>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</si>
  <si>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</si>
  <si>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</si>
  <si>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</si>
  <si>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</si>
  <si>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</si>
  <si>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</si>
  <si>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</si>
  <si>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</si>
  <si>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</si>
  <si>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</si>
  <si>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</si>
  <si>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</si>
  <si>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</si>
  <si>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</si>
  <si>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</si>
  <si>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troca de martelo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</si>
  <si>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</si>
  <si>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</si>
  <si>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</si>
  <si>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</si>
  <si>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</si>
  <si>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</si>
  <si>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</si>
  <si>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</si>
  <si>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</si>
  <si>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</si>
  <si>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</si>
  <si>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</si>
  <si>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</si>
  <si>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</si>
  <si>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</si>
  <si>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</si>
  <si>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</si>
  <si>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</si>
  <si>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grelha</t>
  </si>
  <si>
    <t>18;15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</si>
  <si>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</si>
  <si>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</si>
  <si>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</si>
  <si>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</si>
  <si>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</si>
  <si>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</si>
  <si>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</si>
  <si>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</si>
  <si>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</si>
  <si>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</si>
  <si>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</si>
  <si>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</si>
  <si>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</si>
  <si>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</si>
  <si>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</si>
  <si>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</si>
  <si>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</si>
  <si>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</si>
  <si>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</si>
  <si>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</si>
  <si>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</si>
  <si>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</si>
  <si>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</si>
  <si>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</si>
  <si>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</si>
  <si>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</si>
  <si>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</si>
  <si>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</si>
  <si>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</si>
  <si>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</si>
  <si>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</si>
  <si>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</si>
  <si>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</si>
  <si>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</si>
  <si>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</si>
  <si>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</si>
  <si>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</si>
  <si>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</si>
  <si>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</si>
  <si>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</si>
  <si>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</si>
  <si>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</si>
  <si>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</si>
  <si>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</si>
  <si>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</si>
  <si>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</si>
  <si>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</si>
  <si>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</si>
  <si>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</si>
  <si>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</si>
  <si>
    <t>12;19</t>
  </si>
  <si>
    <t xml:space="preserve"> troca de martelo </t>
  </si>
  <si>
    <t>15;15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</si>
</sst>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25" activePane="bottomLeft" state="frozen"/>
      <selection pane="bottomLeft" activeCell="C33" sqref="C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2664350</v>
      </c>
      <c r="D32" s="49">
        <f>IFERROR('Linha 1'!N784,"")</f>
        <v>911560</v>
      </c>
      <c r="E32" s="49">
        <f>IFERROR('Linha 2'!N784,"")</f>
        <v>574310</v>
      </c>
      <c r="F32" s="49">
        <f>IFERROR('Linha 3'!N784,"")</f>
        <v>2087820</v>
      </c>
      <c r="G32" s="50">
        <f t="shared" si="0"/>
        <v>3573690</v>
      </c>
    </row>
    <row r="33" spans="1:7" ht="15.75" customHeight="1">
      <c r="A33" s="51">
        <v>30</v>
      </c>
      <c r="B33" s="52">
        <v>46203</v>
      </c>
      <c r="C33" s="53">
        <f>IFERROR(Britador!N811,"")</f>
        <v>930640</v>
      </c>
      <c r="D33" s="53">
        <f>IFERROR('Linha 1'!N811,"")</f>
        <v>698510</v>
      </c>
      <c r="E33" s="53">
        <f>IFERROR('Linha 2'!N811,"")</f>
        <v>279560</v>
      </c>
      <c r="F33" s="53">
        <f>IFERROR('Linha 3'!N811,"")</f>
        <v>638180</v>
      </c>
      <c r="G33" s="54">
        <f t="shared" si="0"/>
        <v>1616250</v>
      </c>
    </row>
    <row r="34" spans="1:7" ht="21.75" customHeight="1">
      <c r="A34" s="101" t="s">
        <v>9</v>
      </c>
      <c r="B34" s="101"/>
      <c r="C34" s="55">
        <f t="shared" ref="C34:G34" si="1">IFERROR(SUM(C4:C33),"")</f>
        <v>52396900</v>
      </c>
      <c r="D34" s="55">
        <f t="shared" si="1"/>
        <v>25807690</v>
      </c>
      <c r="E34" s="55">
        <f t="shared" si="1"/>
        <v>10511320</v>
      </c>
      <c r="F34" s="55">
        <f t="shared" si="1"/>
        <v>30540745</v>
      </c>
      <c r="G34" s="55">
        <f>IFERROR(SUM(G4:G33),"")</f>
        <v>66859755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7" zoomScale="85" zoomScaleNormal="85" workbookViewId="0">
      <selection activeCell="M49" sqref="M4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3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3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3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3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3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3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3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3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3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3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3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3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3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3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3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3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3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3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175</v>
      </c>
      <c r="L46" s="3"/>
      <c r="M46" s="3" t="s">
        <v>176</v>
      </c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177</v>
      </c>
      <c r="L47" s="4"/>
      <c r="M47" s="4" t="s">
        <v>178</v>
      </c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179</v>
      </c>
      <c r="L48" s="3"/>
      <c r="M48" s="3" t="s">
        <v>180</v>
      </c>
    </row>
    <row r="49" spans="1:13" ht="18" customHeight="1">
      <c r="H49" s="103"/>
      <c r="I49" s="4"/>
      <c r="J49" s="4"/>
      <c r="K49" s="4" t="s">
        <v>181</v>
      </c>
      <c r="L49" s="4"/>
      <c r="M49" s="4"/>
    </row>
    <row r="50" spans="1:13" ht="21" customHeight="1">
      <c r="A50" s="6" t="s">
        <v>182</v>
      </c>
      <c r="B50" s="6"/>
      <c r="C50" s="6"/>
      <c r="D50" s="6"/>
      <c r="E50" s="6"/>
      <c r="F50" s="6"/>
      <c r="G50" s="6"/>
      <c r="H50" s="103"/>
      <c r="I50" s="3"/>
      <c r="J50" s="3"/>
      <c r="K50" s="3" t="s">
        <v>183</v>
      </c>
      <c r="L50" s="3"/>
      <c r="M50" s="3"/>
    </row>
    <row r="51" spans="1:13" ht="24" customHeight="1">
      <c r="H51" s="103"/>
      <c r="I51" s="4"/>
      <c r="J51" s="4"/>
      <c r="K51" s="4" t="s">
        <v>184</v>
      </c>
      <c r="L51" s="4"/>
      <c r="M51" s="4"/>
    </row>
    <row r="52" spans="1:13" ht="24" customHeight="1">
      <c r="H52" s="103"/>
      <c r="I52" s="3"/>
      <c r="J52" s="3"/>
      <c r="K52" s="3" t="s">
        <v>185</v>
      </c>
      <c r="L52" s="3"/>
      <c r="M52" s="3"/>
    </row>
    <row r="53" spans="1:13" ht="36" customHeight="1">
      <c r="H53" s="103"/>
      <c r="I53" s="4"/>
      <c r="J53" s="4"/>
      <c r="K53" s="4" t="s">
        <v>186</v>
      </c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tabSelected="1" zoomScale="80" zoomScaleNormal="80" workbookViewId="0">
      <pane ySplit="1" topLeftCell="A791" activePane="bottomLeft" state="frozen"/>
      <selection pane="bottomLeft" activeCell="E805" sqref="E805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189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196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8" t="s">
        <v>197</v>
      </c>
      <c r="B14" s="98"/>
      <c r="C14" s="98"/>
      <c r="D14" s="9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198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8" t="s">
        <v>199</v>
      </c>
      <c r="B27" s="98"/>
      <c r="C27" s="98"/>
      <c r="D27" s="9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198</v>
      </c>
      <c r="N27" s="20">
        <v>0</v>
      </c>
    </row>
    <row r="28" spans="1:14" ht="18" customHeight="1">
      <c r="A28" s="97" t="s">
        <v>200</v>
      </c>
      <c r="B28" s="97"/>
      <c r="C28" s="97"/>
      <c r="D28" s="97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201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202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8" t="s">
        <v>197</v>
      </c>
      <c r="B41" s="98"/>
      <c r="C41" s="98"/>
      <c r="D41" s="9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198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8" t="s">
        <v>199</v>
      </c>
      <c r="B54" s="98"/>
      <c r="C54" s="98"/>
      <c r="D54" s="9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198</v>
      </c>
      <c r="N54" s="20">
        <v>125660</v>
      </c>
    </row>
    <row r="55" spans="1:14" ht="18" customHeight="1">
      <c r="A55" s="97" t="s">
        <v>200</v>
      </c>
      <c r="B55" s="97"/>
      <c r="C55" s="97"/>
      <c r="D55" s="97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201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8" t="s">
        <v>197</v>
      </c>
      <c r="B68" s="98"/>
      <c r="C68" s="98"/>
      <c r="D68" s="9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198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8" t="s">
        <v>199</v>
      </c>
      <c r="B81" s="98"/>
      <c r="C81" s="98"/>
      <c r="D81" s="9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198</v>
      </c>
      <c r="N81" s="20">
        <v>580300</v>
      </c>
    </row>
    <row r="82" spans="1:14" ht="18" customHeight="1">
      <c r="A82" s="97" t="s">
        <v>200</v>
      </c>
      <c r="B82" s="97"/>
      <c r="C82" s="97"/>
      <c r="D82" s="97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201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196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8" t="s">
        <v>197</v>
      </c>
      <c r="B95" s="98"/>
      <c r="C95" s="98"/>
      <c r="D95" s="9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198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203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202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8" t="s">
        <v>199</v>
      </c>
      <c r="B108" s="98"/>
      <c r="C108" s="98"/>
      <c r="D108" s="9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198</v>
      </c>
      <c r="N108" s="20">
        <v>652520</v>
      </c>
    </row>
    <row r="109" spans="1:14" ht="18" customHeight="1">
      <c r="A109" s="97" t="s">
        <v>200</v>
      </c>
      <c r="B109" s="97"/>
      <c r="C109" s="97"/>
      <c r="D109" s="97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201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204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8" t="s">
        <v>197</v>
      </c>
      <c r="B122" s="98"/>
      <c r="C122" s="98"/>
      <c r="D122" s="9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198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8" t="s">
        <v>199</v>
      </c>
      <c r="B135" s="98"/>
      <c r="C135" s="98"/>
      <c r="D135" s="9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198</v>
      </c>
      <c r="N135" s="20">
        <v>909050</v>
      </c>
    </row>
    <row r="136" spans="1:14" ht="18" customHeight="1">
      <c r="A136" s="97" t="s">
        <v>200</v>
      </c>
      <c r="B136" s="97"/>
      <c r="C136" s="97"/>
      <c r="D136" s="97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201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196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8" t="s">
        <v>197</v>
      </c>
      <c r="B149" s="98"/>
      <c r="C149" s="98"/>
      <c r="D149" s="9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198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8" t="s">
        <v>199</v>
      </c>
      <c r="B162" s="98"/>
      <c r="C162" s="98"/>
      <c r="D162" s="9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198</v>
      </c>
      <c r="N162" s="27">
        <v>1048880</v>
      </c>
    </row>
    <row r="163" spans="1:14" ht="18" customHeight="1">
      <c r="A163" s="97" t="s">
        <v>200</v>
      </c>
      <c r="B163" s="97"/>
      <c r="C163" s="97"/>
      <c r="D163" s="97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201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204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205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8" t="s">
        <v>197</v>
      </c>
      <c r="B176" s="98"/>
      <c r="C176" s="98"/>
      <c r="D176" s="9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198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8" t="s">
        <v>199</v>
      </c>
      <c r="B189" s="98"/>
      <c r="C189" s="98"/>
      <c r="D189" s="9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198</v>
      </c>
      <c r="N189" s="20">
        <v>797540</v>
      </c>
    </row>
    <row r="190" spans="1:14" ht="18" customHeight="1">
      <c r="A190" s="97" t="s">
        <v>200</v>
      </c>
      <c r="B190" s="97"/>
      <c r="C190" s="97"/>
      <c r="D190" s="97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201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204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206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8" t="s">
        <v>197</v>
      </c>
      <c r="B203" s="98"/>
      <c r="C203" s="98"/>
      <c r="D203" s="9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198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8" t="s">
        <v>199</v>
      </c>
      <c r="B216" s="98"/>
      <c r="C216" s="98"/>
      <c r="D216" s="9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198</v>
      </c>
      <c r="N216" s="28">
        <v>203080</v>
      </c>
    </row>
    <row r="217" spans="1:14" ht="18" customHeight="1">
      <c r="A217" s="97" t="s">
        <v>200</v>
      </c>
      <c r="B217" s="97"/>
      <c r="C217" s="97"/>
      <c r="D217" s="97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201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8" t="s">
        <v>197</v>
      </c>
      <c r="B230" s="98"/>
      <c r="C230" s="98"/>
      <c r="D230" s="9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198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8" t="s">
        <v>199</v>
      </c>
      <c r="B243" s="98"/>
      <c r="C243" s="98"/>
      <c r="D243" s="9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198</v>
      </c>
      <c r="N243" s="20">
        <v>0</v>
      </c>
    </row>
    <row r="244" spans="1:14" ht="18" customHeight="1">
      <c r="A244" s="97" t="s">
        <v>200</v>
      </c>
      <c r="B244" s="97"/>
      <c r="C244" s="97"/>
      <c r="D244" s="97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201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8" t="s">
        <v>197</v>
      </c>
      <c r="B257" s="98"/>
      <c r="C257" s="98"/>
      <c r="D257" s="9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198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8" t="s">
        <v>199</v>
      </c>
      <c r="B270" s="98"/>
      <c r="C270" s="98"/>
      <c r="D270" s="9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198</v>
      </c>
      <c r="N270" s="20">
        <f>346400+269080</f>
        <v>615480</v>
      </c>
    </row>
    <row r="271" spans="1:14" ht="18" customHeight="1">
      <c r="A271" s="97" t="s">
        <v>200</v>
      </c>
      <c r="B271" s="97"/>
      <c r="C271" s="97"/>
      <c r="D271" s="97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201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207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8" t="s">
        <v>197</v>
      </c>
      <c r="B284" s="98"/>
      <c r="C284" s="98"/>
      <c r="D284" s="9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198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8" t="s">
        <v>199</v>
      </c>
      <c r="B297" s="98"/>
      <c r="C297" s="98"/>
      <c r="D297" s="9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198</v>
      </c>
      <c r="N297" s="20">
        <f>35160+383610</f>
        <v>418770</v>
      </c>
    </row>
    <row r="298" spans="1:14" ht="18" customHeight="1">
      <c r="A298" s="97" t="s">
        <v>200</v>
      </c>
      <c r="B298" s="97"/>
      <c r="C298" s="97"/>
      <c r="D298" s="97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201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208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8" t="s">
        <v>197</v>
      </c>
      <c r="B311" s="98"/>
      <c r="C311" s="98"/>
      <c r="D311" s="9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198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209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8" t="s">
        <v>199</v>
      </c>
      <c r="B324" s="98"/>
      <c r="C324" s="98"/>
      <c r="D324" s="9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198</v>
      </c>
      <c r="N324" s="20">
        <f>411220+466620</f>
        <v>877840</v>
      </c>
    </row>
    <row r="325" spans="1:14" ht="18" customHeight="1">
      <c r="A325" s="97" t="s">
        <v>200</v>
      </c>
      <c r="B325" s="97"/>
      <c r="C325" s="97"/>
      <c r="D325" s="97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201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210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8" t="s">
        <v>197</v>
      </c>
      <c r="B338" s="98"/>
      <c r="C338" s="98"/>
      <c r="D338" s="9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198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8" t="s">
        <v>199</v>
      </c>
      <c r="B351" s="98"/>
      <c r="C351" s="98"/>
      <c r="D351" s="9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198</v>
      </c>
      <c r="N351" s="20"/>
    </row>
    <row r="352" spans="1:14" ht="18" customHeight="1">
      <c r="A352" s="97" t="s">
        <v>200</v>
      </c>
      <c r="B352" s="97"/>
      <c r="C352" s="97"/>
      <c r="D352" s="97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201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211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8" t="s">
        <v>197</v>
      </c>
      <c r="B365" s="98"/>
      <c r="C365" s="98"/>
      <c r="D365" s="9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198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212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213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8" t="s">
        <v>199</v>
      </c>
      <c r="B378" s="98"/>
      <c r="C378" s="98"/>
      <c r="D378" s="9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198</v>
      </c>
      <c r="N378" s="20">
        <v>1299920</v>
      </c>
    </row>
    <row r="379" spans="1:14" ht="18" customHeight="1">
      <c r="A379" s="97" t="s">
        <v>200</v>
      </c>
      <c r="B379" s="97"/>
      <c r="C379" s="97"/>
      <c r="D379" s="97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201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8" t="s">
        <v>197</v>
      </c>
      <c r="B392" s="98"/>
      <c r="C392" s="98"/>
      <c r="D392" s="9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198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8" t="s">
        <v>199</v>
      </c>
      <c r="B405" s="98"/>
      <c r="C405" s="98"/>
      <c r="D405" s="9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198</v>
      </c>
      <c r="N405" s="20">
        <v>1342790</v>
      </c>
    </row>
    <row r="406" spans="1:14" ht="18" customHeight="1">
      <c r="A406" s="97" t="s">
        <v>200</v>
      </c>
      <c r="B406" s="97"/>
      <c r="C406" s="97"/>
      <c r="D406" s="97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201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214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8" t="s">
        <v>197</v>
      </c>
      <c r="B419" s="98"/>
      <c r="C419" s="98"/>
      <c r="D419" s="9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198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215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8" t="s">
        <v>199</v>
      </c>
      <c r="B432" s="98"/>
      <c r="C432" s="98"/>
      <c r="D432" s="9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198</v>
      </c>
      <c r="N432" s="20">
        <v>963120</v>
      </c>
    </row>
    <row r="433" spans="1:14" ht="18" customHeight="1">
      <c r="A433" s="97" t="s">
        <v>200</v>
      </c>
      <c r="B433" s="97"/>
      <c r="C433" s="97"/>
      <c r="D433" s="97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201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197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198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8" t="s">
        <v>199</v>
      </c>
      <c r="B459" s="98"/>
      <c r="C459" s="98"/>
      <c r="D459" s="9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198</v>
      </c>
      <c r="N459" s="20">
        <v>534910</v>
      </c>
    </row>
    <row r="460" spans="1:14" ht="18" customHeight="1">
      <c r="A460" s="97" t="s">
        <v>200</v>
      </c>
      <c r="B460" s="97"/>
      <c r="C460" s="97"/>
      <c r="D460" s="97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201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216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217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8" t="s">
        <v>197</v>
      </c>
      <c r="B473" s="98"/>
      <c r="C473" s="98"/>
      <c r="D473" s="9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198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8" t="s">
        <v>199</v>
      </c>
      <c r="B486" s="98"/>
      <c r="C486" s="98"/>
      <c r="D486" s="9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198</v>
      </c>
      <c r="N486" s="20">
        <v>557170</v>
      </c>
    </row>
    <row r="487" spans="1:14" ht="18" customHeight="1">
      <c r="A487" s="97" t="s">
        <v>200</v>
      </c>
      <c r="B487" s="97"/>
      <c r="C487" s="97"/>
      <c r="D487" s="97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201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8" t="s">
        <v>197</v>
      </c>
      <c r="B500" s="98"/>
      <c r="C500" s="98"/>
      <c r="D500" s="9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198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218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8" t="s">
        <v>199</v>
      </c>
      <c r="B513" s="98"/>
      <c r="C513" s="98"/>
      <c r="D513" s="9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198</v>
      </c>
      <c r="N513" s="20">
        <v>701090</v>
      </c>
    </row>
    <row r="514" spans="1:14" ht="18" customHeight="1">
      <c r="A514" s="97" t="s">
        <v>200</v>
      </c>
      <c r="B514" s="97"/>
      <c r="C514" s="97"/>
      <c r="D514" s="97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201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219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219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220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8" t="s">
        <v>197</v>
      </c>
      <c r="B527" s="98"/>
      <c r="C527" s="98"/>
      <c r="D527" s="9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198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8" t="s">
        <v>199</v>
      </c>
      <c r="B540" s="98"/>
      <c r="C540" s="98"/>
      <c r="D540" s="9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198</v>
      </c>
      <c r="N540" s="20">
        <v>915770</v>
      </c>
    </row>
    <row r="541" spans="1:14" ht="18" customHeight="1">
      <c r="A541" s="97" t="s">
        <v>200</v>
      </c>
      <c r="B541" s="97"/>
      <c r="C541" s="97"/>
      <c r="D541" s="97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201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221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222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223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8" t="s">
        <v>197</v>
      </c>
      <c r="B554" s="98"/>
      <c r="C554" s="98"/>
      <c r="D554" s="9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198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8" t="s">
        <v>199</v>
      </c>
      <c r="B567" s="98"/>
      <c r="C567" s="98"/>
      <c r="D567" s="9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198</v>
      </c>
      <c r="N567" s="20">
        <v>636740</v>
      </c>
    </row>
    <row r="568" spans="1:14" ht="18" customHeight="1">
      <c r="A568" s="97" t="s">
        <v>200</v>
      </c>
      <c r="B568" s="97"/>
      <c r="C568" s="97"/>
      <c r="D568" s="97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201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224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225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8" t="s">
        <v>197</v>
      </c>
      <c r="B581" s="98"/>
      <c r="C581" s="98"/>
      <c r="D581" s="9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198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226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8" t="s">
        <v>199</v>
      </c>
      <c r="B594" s="98"/>
      <c r="C594" s="98"/>
      <c r="D594" s="9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198</v>
      </c>
      <c r="N594" s="20">
        <v>394820</v>
      </c>
    </row>
    <row r="595" spans="1:14" ht="18" customHeight="1">
      <c r="A595" s="97" t="s">
        <v>200</v>
      </c>
      <c r="B595" s="97"/>
      <c r="C595" s="97"/>
      <c r="D595" s="97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201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227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228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228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229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8" t="s">
        <v>197</v>
      </c>
      <c r="B608" s="98"/>
      <c r="C608" s="98"/>
      <c r="D608" s="9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198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230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8" t="s">
        <v>199</v>
      </c>
      <c r="B621" s="98"/>
      <c r="C621" s="98"/>
      <c r="D621" s="9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198</v>
      </c>
      <c r="N621" s="20">
        <v>587370</v>
      </c>
    </row>
    <row r="622" spans="1:14" ht="18" customHeight="1">
      <c r="A622" s="97" t="s">
        <v>200</v>
      </c>
      <c r="B622" s="97"/>
      <c r="C622" s="97"/>
      <c r="D622" s="97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201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177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8" t="s">
        <v>197</v>
      </c>
      <c r="B635" s="98"/>
      <c r="C635" s="98"/>
      <c r="D635" s="9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198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231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8" t="s">
        <v>199</v>
      </c>
      <c r="B648" s="98"/>
      <c r="C648" s="98"/>
      <c r="D648" s="9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198</v>
      </c>
      <c r="N648" s="20">
        <v>635110</v>
      </c>
    </row>
    <row r="649" spans="1:14" ht="18" customHeight="1">
      <c r="A649" s="97" t="s">
        <v>200</v>
      </c>
      <c r="B649" s="97"/>
      <c r="C649" s="97"/>
      <c r="D649" s="97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201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8" t="s">
        <v>197</v>
      </c>
      <c r="B662" s="98"/>
      <c r="C662" s="98"/>
      <c r="D662" s="9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198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8" t="s">
        <v>199</v>
      </c>
      <c r="B675" s="98"/>
      <c r="C675" s="98"/>
      <c r="D675" s="9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198</v>
      </c>
      <c r="N675" s="20">
        <v>1608610</v>
      </c>
    </row>
    <row r="676" spans="1:14" ht="18" customHeight="1">
      <c r="A676" s="97" t="s">
        <v>200</v>
      </c>
      <c r="B676" s="97"/>
      <c r="C676" s="97"/>
      <c r="D676" s="97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201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177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181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232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233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8" t="s">
        <v>197</v>
      </c>
      <c r="B689" s="98"/>
      <c r="C689" s="98"/>
      <c r="D689" s="9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198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8" t="s">
        <v>199</v>
      </c>
      <c r="B702" s="98"/>
      <c r="C702" s="98"/>
      <c r="D702" s="9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198</v>
      </c>
      <c r="N702" s="20">
        <f>316300+609860</f>
        <v>926160</v>
      </c>
    </row>
    <row r="703" spans="1:14" ht="18" customHeight="1">
      <c r="A703" s="97" t="s">
        <v>200</v>
      </c>
      <c r="B703" s="97"/>
      <c r="C703" s="97"/>
      <c r="D703" s="97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201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234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235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8" t="s">
        <v>197</v>
      </c>
      <c r="B716" s="98"/>
      <c r="C716" s="98"/>
      <c r="D716" s="9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198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8" t="s">
        <v>199</v>
      </c>
      <c r="B729" s="98"/>
      <c r="C729" s="98"/>
      <c r="D729" s="98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198</v>
      </c>
      <c r="N729" s="20">
        <v>706600</v>
      </c>
    </row>
    <row r="730" spans="1:14" ht="18" customHeight="1">
      <c r="A730" s="97" t="s">
        <v>200</v>
      </c>
      <c r="B730" s="97"/>
      <c r="C730" s="97"/>
      <c r="D730" s="97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201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8" t="s">
        <v>197</v>
      </c>
      <c r="B743" s="98"/>
      <c r="C743" s="98"/>
      <c r="D743" s="98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198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199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1646670</v>
      </c>
    </row>
    <row r="757" spans="1:14" ht="18" customHeight="1">
      <c r="A757" s="22" t="s">
        <v>200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201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183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236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237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197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198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96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>
        <v>34</v>
      </c>
      <c r="F776" s="12">
        <f t="shared" si="174"/>
        <v>170</v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>
        <v>70</v>
      </c>
      <c r="F777" s="17">
        <f t="shared" si="174"/>
        <v>350</v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>
        <v>35</v>
      </c>
      <c r="F778" s="12">
        <f t="shared" si="174"/>
        <v>175</v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>
        <v>45</v>
      </c>
      <c r="F779" s="17">
        <f t="shared" si="174"/>
        <v>225</v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>
        <v>50</v>
      </c>
      <c r="F780" s="12">
        <f t="shared" si="174"/>
        <v>250</v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>
        <v>40</v>
      </c>
      <c r="F781" s="17">
        <f t="shared" si="174"/>
        <v>200</v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>
        <v>30</v>
      </c>
      <c r="F782" s="12">
        <f t="shared" si="174"/>
        <v>150</v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8" t="s">
        <v>199</v>
      </c>
      <c r="B783" s="98"/>
      <c r="C783" s="98"/>
      <c r="D783" s="98"/>
      <c r="E783" s="19">
        <f>SUM(E771:E782)</f>
        <v>453</v>
      </c>
      <c r="F783" s="19">
        <f>SUM(F771:F782)</f>
        <v>2265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198</v>
      </c>
      <c r="N783" s="20">
        <v>1736080</v>
      </c>
    </row>
    <row r="784" spans="1:14" ht="18" customHeight="1">
      <c r="A784" s="97" t="s">
        <v>200</v>
      </c>
      <c r="B784" s="97"/>
      <c r="C784" s="97"/>
      <c r="D784" s="97"/>
      <c r="E784" s="22">
        <f>E770+E783</f>
        <v>599</v>
      </c>
      <c r="F784" s="22">
        <f>F770+F783</f>
        <v>2995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201</v>
      </c>
      <c r="N784" s="31">
        <f>IFERROR(N770+N783,"")</f>
        <v>2664350</v>
      </c>
    </row>
    <row r="785" spans="1:14" ht="15" customHeight="1">
      <c r="A785" s="59">
        <v>46203</v>
      </c>
      <c r="B785" s="15">
        <v>0.33333333333333331</v>
      </c>
      <c r="C785" s="16" t="s">
        <v>21</v>
      </c>
      <c r="D785" s="16" t="s">
        <v>30</v>
      </c>
      <c r="E785" s="11">
        <v>0</v>
      </c>
      <c r="F785" s="17">
        <f t="shared" ref="F785:F796" si="177">IF(E785="","",E785*5)</f>
        <v>0</v>
      </c>
      <c r="G785" s="16" t="s">
        <v>20</v>
      </c>
      <c r="H785" s="16" t="s">
        <v>23</v>
      </c>
      <c r="I785" s="16" t="s">
        <v>176</v>
      </c>
      <c r="J785" s="13">
        <v>0.29166666666666669</v>
      </c>
      <c r="K785" s="13">
        <v>0.51875000000000004</v>
      </c>
      <c r="L785" s="71">
        <f t="shared" ref="L785:L796" si="178">IFERROR(IF(K785="","",IF(K785&gt;=J785,K785-J785,K785+1-J785)),"")</f>
        <v>0.22708333333333336</v>
      </c>
      <c r="M785" s="29" t="s">
        <v>235</v>
      </c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6" t="s">
        <v>21</v>
      </c>
      <c r="D786" s="16" t="s">
        <v>30</v>
      </c>
      <c r="E786" s="11">
        <v>0</v>
      </c>
      <c r="F786" s="12">
        <f t="shared" si="177"/>
        <v>0</v>
      </c>
      <c r="G786" s="10" t="s">
        <v>20</v>
      </c>
      <c r="H786" s="10" t="s">
        <v>23</v>
      </c>
      <c r="I786" s="10" t="s">
        <v>180</v>
      </c>
      <c r="J786" s="13">
        <v>0.71250000000000002</v>
      </c>
      <c r="K786" s="13">
        <v>0.7270833333333333</v>
      </c>
      <c r="L786" s="70">
        <f t="shared" si="178"/>
        <v>1.4583333333333282E-2</v>
      </c>
      <c r="M786" s="29" t="s">
        <v>238</v>
      </c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 t="s">
        <v>21</v>
      </c>
      <c r="D787" s="16" t="s">
        <v>30</v>
      </c>
      <c r="E787" s="11">
        <v>0</v>
      </c>
      <c r="F787" s="17">
        <f t="shared" si="177"/>
        <v>0</v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6" t="s">
        <v>21</v>
      </c>
      <c r="D788" s="16" t="s">
        <v>30</v>
      </c>
      <c r="E788" s="11">
        <v>0</v>
      </c>
      <c r="F788" s="12">
        <f t="shared" si="177"/>
        <v>0</v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 t="s">
        <v>21</v>
      </c>
      <c r="D789" s="16" t="s">
        <v>30</v>
      </c>
      <c r="E789" s="11">
        <v>0</v>
      </c>
      <c r="F789" s="17">
        <f t="shared" si="177"/>
        <v>0</v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6" t="s">
        <v>21</v>
      </c>
      <c r="D790" s="16" t="s">
        <v>30</v>
      </c>
      <c r="E790" s="11">
        <v>19</v>
      </c>
      <c r="F790" s="12">
        <f t="shared" si="177"/>
        <v>95</v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 t="s">
        <v>21</v>
      </c>
      <c r="D791" s="16" t="s">
        <v>30</v>
      </c>
      <c r="E791" s="11">
        <v>37</v>
      </c>
      <c r="F791" s="17">
        <f t="shared" si="177"/>
        <v>185</v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6" t="s">
        <v>21</v>
      </c>
      <c r="D792" s="16" t="s">
        <v>30</v>
      </c>
      <c r="E792" s="11">
        <v>40</v>
      </c>
      <c r="F792" s="12">
        <f t="shared" si="177"/>
        <v>200</v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 t="s">
        <v>21</v>
      </c>
      <c r="D793" s="16" t="s">
        <v>30</v>
      </c>
      <c r="E793" s="11">
        <v>40</v>
      </c>
      <c r="F793" s="17">
        <f t="shared" si="177"/>
        <v>200</v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6" t="s">
        <v>21</v>
      </c>
      <c r="D794" s="16" t="s">
        <v>30</v>
      </c>
      <c r="E794" s="11">
        <v>25</v>
      </c>
      <c r="F794" s="12">
        <f t="shared" si="177"/>
        <v>125</v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 t="s">
        <v>21</v>
      </c>
      <c r="D795" s="16" t="s">
        <v>30</v>
      </c>
      <c r="E795" s="11">
        <v>35</v>
      </c>
      <c r="F795" s="17">
        <f t="shared" si="177"/>
        <v>175</v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6" t="s">
        <v>21</v>
      </c>
      <c r="D796" s="16" t="s">
        <v>30</v>
      </c>
      <c r="E796" s="11">
        <v>10</v>
      </c>
      <c r="F796" s="12">
        <f t="shared" si="177"/>
        <v>50</v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8" t="s">
        <v>197</v>
      </c>
      <c r="B797" s="98"/>
      <c r="C797" s="98"/>
      <c r="D797" s="98"/>
      <c r="E797" s="19">
        <f>SUM(E785:E796)</f>
        <v>206</v>
      </c>
      <c r="F797" s="19">
        <f>SUM(F785:F796)</f>
        <v>1030</v>
      </c>
      <c r="G797" s="18"/>
      <c r="H797" s="18"/>
      <c r="I797" s="18"/>
      <c r="J797" s="18"/>
      <c r="K797" s="18"/>
      <c r="L797" s="72">
        <f>IFERROR(SUM(L785:L796),"")</f>
        <v>0.24166666666666664</v>
      </c>
      <c r="M797" s="19" t="s">
        <v>198</v>
      </c>
      <c r="N797" s="20">
        <v>930640</v>
      </c>
    </row>
    <row r="798" spans="1:14" ht="15" customHeight="1">
      <c r="A798" s="58">
        <v>46203</v>
      </c>
      <c r="B798" s="9">
        <v>0.83333333333333304</v>
      </c>
      <c r="C798" s="10" t="s">
        <v>45</v>
      </c>
      <c r="D798" s="10" t="s">
        <v>30</v>
      </c>
      <c r="E798" s="11">
        <v>14</v>
      </c>
      <c r="F798" s="12">
        <f t="shared" ref="F798:F809" si="180">IF(E798="","",E798*5)</f>
        <v>70</v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0" t="s">
        <v>45</v>
      </c>
      <c r="D799" s="10" t="s">
        <v>30</v>
      </c>
      <c r="E799" s="11">
        <v>20</v>
      </c>
      <c r="F799" s="17">
        <f t="shared" si="180"/>
        <v>100</v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 t="s">
        <v>45</v>
      </c>
      <c r="D800" s="10" t="s">
        <v>30</v>
      </c>
      <c r="E800" s="11">
        <v>21</v>
      </c>
      <c r="F800" s="12">
        <f t="shared" si="180"/>
        <v>105</v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0" t="s">
        <v>45</v>
      </c>
      <c r="D801" s="10" t="s">
        <v>30</v>
      </c>
      <c r="E801" s="11">
        <v>48</v>
      </c>
      <c r="F801" s="17">
        <f t="shared" si="180"/>
        <v>240</v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 t="s">
        <v>45</v>
      </c>
      <c r="D802" s="10" t="s">
        <v>30</v>
      </c>
      <c r="E802" s="11">
        <v>52</v>
      </c>
      <c r="F802" s="12">
        <f t="shared" si="180"/>
        <v>260</v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0" t="s">
        <v>45</v>
      </c>
      <c r="D803" s="10" t="s">
        <v>30</v>
      </c>
      <c r="E803" s="11">
        <v>49</v>
      </c>
      <c r="F803" s="17">
        <f t="shared" si="180"/>
        <v>245</v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 t="s">
        <v>45</v>
      </c>
      <c r="D804" s="10" t="s">
        <v>30</v>
      </c>
      <c r="E804" s="11">
        <v>30</v>
      </c>
      <c r="F804" s="12">
        <f t="shared" si="180"/>
        <v>150</v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0" t="s">
        <v>45</v>
      </c>
      <c r="D805" s="10" t="s">
        <v>30</v>
      </c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 t="s">
        <v>45</v>
      </c>
      <c r="D806" s="10" t="s">
        <v>30</v>
      </c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0" t="s">
        <v>45</v>
      </c>
      <c r="D807" s="10" t="s">
        <v>30</v>
      </c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 t="s">
        <v>45</v>
      </c>
      <c r="D808" s="10" t="s">
        <v>30</v>
      </c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0" t="s">
        <v>45</v>
      </c>
      <c r="D809" s="10" t="s">
        <v>30</v>
      </c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8" t="s">
        <v>199</v>
      </c>
      <c r="B810" s="98"/>
      <c r="C810" s="98"/>
      <c r="D810" s="98"/>
      <c r="E810" s="19">
        <f>SUM(E798:E809)</f>
        <v>234</v>
      </c>
      <c r="F810" s="19">
        <f>SUM(F798:F809)</f>
        <v>1170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7" t="s">
        <v>200</v>
      </c>
      <c r="B811" s="97"/>
      <c r="C811" s="97"/>
      <c r="D811" s="97"/>
      <c r="E811" s="22">
        <f>E797+E810</f>
        <v>440</v>
      </c>
      <c r="F811" s="22">
        <f>F797+F810</f>
        <v>2200</v>
      </c>
      <c r="G811" s="21"/>
      <c r="H811" s="21"/>
      <c r="I811" s="21"/>
      <c r="J811" s="21"/>
      <c r="K811" s="21"/>
      <c r="L811" s="73">
        <f>IFERROR(L797+L810,"")</f>
        <v>0.24166666666666664</v>
      </c>
      <c r="M811" s="22" t="s">
        <v>201</v>
      </c>
      <c r="N811" s="23">
        <f>IFERROR(N797+N810,"")</f>
        <v>930640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78" zoomScale="85" zoomScaleNormal="85" workbookViewId="0">
      <selection activeCell="E805" sqref="E805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239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198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198</v>
      </c>
      <c r="N27" s="20">
        <v>1035240</v>
      </c>
    </row>
    <row r="28" spans="1:14" ht="18" customHeight="1">
      <c r="A28" s="97" t="s">
        <v>200</v>
      </c>
      <c r="B28" s="97"/>
      <c r="C28" s="97"/>
      <c r="D28" s="97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201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240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198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198</v>
      </c>
      <c r="N54" s="20">
        <v>871960</v>
      </c>
    </row>
    <row r="55" spans="1:14" ht="18" customHeight="1">
      <c r="A55" s="97" t="s">
        <v>200</v>
      </c>
      <c r="B55" s="97"/>
      <c r="C55" s="97"/>
      <c r="D55" s="97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201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241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198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242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198</v>
      </c>
      <c r="N81" s="20">
        <v>482250</v>
      </c>
    </row>
    <row r="82" spans="1:14" ht="18" customHeight="1">
      <c r="A82" s="97" t="s">
        <v>200</v>
      </c>
      <c r="B82" s="97"/>
      <c r="C82" s="97"/>
      <c r="D82" s="97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201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243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198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244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198</v>
      </c>
      <c r="N108" s="20">
        <v>529500</v>
      </c>
    </row>
    <row r="109" spans="1:14" ht="18" customHeight="1">
      <c r="A109" s="97" t="s">
        <v>200</v>
      </c>
      <c r="B109" s="97"/>
      <c r="C109" s="97"/>
      <c r="D109" s="97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201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244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244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198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244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245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198</v>
      </c>
      <c r="N135" s="20">
        <v>666150</v>
      </c>
    </row>
    <row r="136" spans="1:14" ht="18" customHeight="1">
      <c r="A136" s="97" t="s">
        <v>200</v>
      </c>
      <c r="B136" s="97"/>
      <c r="C136" s="97"/>
      <c r="D136" s="97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201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243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246</v>
      </c>
      <c r="I139" s="16" t="s">
        <v>247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244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198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198</v>
      </c>
      <c r="N162" s="35">
        <v>183240</v>
      </c>
    </row>
    <row r="163" spans="1:14" ht="18" customHeight="1">
      <c r="A163" s="97" t="s">
        <v>200</v>
      </c>
      <c r="B163" s="97"/>
      <c r="C163" s="97"/>
      <c r="D163" s="97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201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248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248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248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248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248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248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248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248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198</v>
      </c>
      <c r="N189" s="20">
        <v>0</v>
      </c>
    </row>
    <row r="190" spans="1:14" ht="18" customHeight="1">
      <c r="A190" s="97" t="s">
        <v>200</v>
      </c>
      <c r="B190" s="97"/>
      <c r="C190" s="97"/>
      <c r="D190" s="97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201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248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249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198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198</v>
      </c>
      <c r="N216" s="28">
        <v>525070</v>
      </c>
    </row>
    <row r="217" spans="1:14" ht="18" customHeight="1">
      <c r="A217" s="97" t="s">
        <v>200</v>
      </c>
      <c r="B217" s="97"/>
      <c r="C217" s="97"/>
      <c r="D217" s="97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201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250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198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198</v>
      </c>
      <c r="N243" s="20">
        <v>244000</v>
      </c>
    </row>
    <row r="244" spans="1:14" ht="18" customHeight="1">
      <c r="A244" s="97" t="s">
        <v>200</v>
      </c>
      <c r="B244" s="97"/>
      <c r="C244" s="97"/>
      <c r="D244" s="97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201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251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252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198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253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198</v>
      </c>
      <c r="N270" s="20">
        <v>8130</v>
      </c>
    </row>
    <row r="271" spans="1:14" ht="18" customHeight="1">
      <c r="A271" s="97" t="s">
        <v>200</v>
      </c>
      <c r="B271" s="97"/>
      <c r="C271" s="97"/>
      <c r="D271" s="97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201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254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198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198</v>
      </c>
      <c r="N297" s="20">
        <f>229280+228660</f>
        <v>457940</v>
      </c>
    </row>
    <row r="298" spans="1:14" ht="18" customHeight="1">
      <c r="A298" s="97" t="s">
        <v>200</v>
      </c>
      <c r="B298" s="97"/>
      <c r="C298" s="97"/>
      <c r="D298" s="97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201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255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256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256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257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198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258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259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260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261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198</v>
      </c>
      <c r="N324" s="20">
        <f>217310+197670</f>
        <v>414980</v>
      </c>
    </row>
    <row r="325" spans="1:14" ht="18" customHeight="1">
      <c r="A325" s="97" t="s">
        <v>200</v>
      </c>
      <c r="B325" s="97"/>
      <c r="C325" s="97"/>
      <c r="D325" s="97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201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262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263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198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264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265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198</v>
      </c>
      <c r="N351" s="20">
        <f>135270+304860</f>
        <v>440130</v>
      </c>
    </row>
    <row r="352" spans="1:14" ht="18" customHeight="1">
      <c r="A352" s="97" t="s">
        <v>200</v>
      </c>
      <c r="B352" s="97"/>
      <c r="C352" s="97"/>
      <c r="D352" s="97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201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266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267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268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198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198</v>
      </c>
      <c r="N378" s="20">
        <f>291750+291000</f>
        <v>582750</v>
      </c>
    </row>
    <row r="379" spans="1:14" ht="18" customHeight="1">
      <c r="A379" s="97" t="s">
        <v>200</v>
      </c>
      <c r="B379" s="97"/>
      <c r="C379" s="97"/>
      <c r="D379" s="97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201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197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198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269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270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198</v>
      </c>
      <c r="N405" s="20">
        <v>305810</v>
      </c>
    </row>
    <row r="406" spans="1:14" ht="18" customHeight="1">
      <c r="A406" s="97" t="s">
        <v>200</v>
      </c>
      <c r="B406" s="97"/>
      <c r="C406" s="97"/>
      <c r="D406" s="97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201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271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272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273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198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274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275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198</v>
      </c>
      <c r="N432" s="20">
        <v>522180</v>
      </c>
    </row>
    <row r="433" spans="1:14" ht="18" customHeight="1">
      <c r="A433" s="97" t="s">
        <v>200</v>
      </c>
      <c r="B433" s="97"/>
      <c r="C433" s="97"/>
      <c r="D433" s="97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201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276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277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278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197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198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279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198</v>
      </c>
      <c r="N459" s="20">
        <v>560220</v>
      </c>
    </row>
    <row r="460" spans="1:14" ht="18" customHeight="1">
      <c r="A460" s="97" t="s">
        <v>200</v>
      </c>
      <c r="B460" s="97"/>
      <c r="C460" s="97"/>
      <c r="D460" s="97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201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280</v>
      </c>
      <c r="J465" s="13">
        <v>0.70833333333333337</v>
      </c>
      <c r="K465" s="13" t="s">
        <v>281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282</v>
      </c>
      <c r="N472" s="30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198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283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284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198</v>
      </c>
      <c r="N486" s="20">
        <v>400000</v>
      </c>
    </row>
    <row r="487" spans="1:14" ht="18" customHeight="1">
      <c r="A487" s="97" t="s">
        <v>200</v>
      </c>
      <c r="B487" s="97"/>
      <c r="C487" s="97"/>
      <c r="D487" s="97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201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198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285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198</v>
      </c>
      <c r="N513" s="20">
        <f>1031250+71560</f>
        <v>1102810</v>
      </c>
    </row>
    <row r="514" spans="1:14" ht="18" customHeight="1">
      <c r="A514" s="97" t="s">
        <v>200</v>
      </c>
      <c r="B514" s="97"/>
      <c r="C514" s="97"/>
      <c r="D514" s="97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201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219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219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219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198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286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287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288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289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290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290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198</v>
      </c>
      <c r="N540" s="20">
        <v>504470</v>
      </c>
    </row>
    <row r="541" spans="1:14" ht="18" customHeight="1">
      <c r="A541" s="97" t="s">
        <v>200</v>
      </c>
      <c r="B541" s="97"/>
      <c r="C541" s="97"/>
      <c r="D541" s="97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201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291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198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198</v>
      </c>
      <c r="N567" s="20">
        <v>0</v>
      </c>
    </row>
    <row r="568" spans="1:14" ht="18" customHeight="1">
      <c r="A568" s="97" t="s">
        <v>200</v>
      </c>
      <c r="B568" s="97"/>
      <c r="C568" s="97"/>
      <c r="D568" s="97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201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197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198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292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198</v>
      </c>
      <c r="N594" s="20">
        <v>258960</v>
      </c>
    </row>
    <row r="595" spans="1:14" ht="18" customHeight="1">
      <c r="A595" s="97" t="s">
        <v>200</v>
      </c>
      <c r="B595" s="97"/>
      <c r="C595" s="97"/>
      <c r="D595" s="97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201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293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294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295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198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296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297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198</v>
      </c>
      <c r="N621" s="20">
        <v>687740</v>
      </c>
    </row>
    <row r="622" spans="1:14" ht="18" customHeight="1">
      <c r="A622" s="97" t="s">
        <v>200</v>
      </c>
      <c r="B622" s="97"/>
      <c r="C622" s="97"/>
      <c r="D622" s="97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201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298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198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299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300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301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198</v>
      </c>
      <c r="N648" s="20">
        <f>47050+58630</f>
        <v>105680</v>
      </c>
    </row>
    <row r="649" spans="1:14" ht="18" customHeight="1">
      <c r="A649" s="97" t="s">
        <v>200</v>
      </c>
      <c r="B649" s="97"/>
      <c r="C649" s="97"/>
      <c r="D649" s="97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201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197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198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302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303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304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198</v>
      </c>
      <c r="N675" s="20">
        <v>546550</v>
      </c>
    </row>
    <row r="676" spans="1:14" ht="18" customHeight="1">
      <c r="A676" s="97" t="s">
        <v>200</v>
      </c>
      <c r="B676" s="97"/>
      <c r="C676" s="97"/>
      <c r="D676" s="97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201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305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198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306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307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198</v>
      </c>
      <c r="N702" s="20">
        <f>430070+116100</f>
        <v>546170</v>
      </c>
    </row>
    <row r="703" spans="1:14" ht="18" customHeight="1">
      <c r="A703" s="97" t="s">
        <v>200</v>
      </c>
      <c r="B703" s="97"/>
      <c r="C703" s="97"/>
      <c r="D703" s="97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201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308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197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198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198</v>
      </c>
      <c r="N729" s="20">
        <v>477920</v>
      </c>
    </row>
    <row r="730" spans="1:14" ht="18" customHeight="1">
      <c r="A730" s="97" t="s">
        <v>200</v>
      </c>
      <c r="B730" s="97"/>
      <c r="C730" s="97"/>
      <c r="D730" s="97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201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309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198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310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379890</v>
      </c>
    </row>
    <row r="757" spans="1:14" ht="18" customHeight="1">
      <c r="A757" s="97" t="s">
        <v>200</v>
      </c>
      <c r="B757" s="97"/>
      <c r="C757" s="97"/>
      <c r="D757" s="97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201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311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312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197</v>
      </c>
      <c r="B770" s="105"/>
      <c r="C770" s="105"/>
      <c r="D770" s="105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198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 t="s">
        <v>19</v>
      </c>
      <c r="H771" s="16" t="s">
        <v>151</v>
      </c>
      <c r="I771" s="16" t="s">
        <v>27</v>
      </c>
      <c r="J771" s="13">
        <v>0.23958333333333334</v>
      </c>
      <c r="K771" s="13">
        <v>0.25347222222222221</v>
      </c>
      <c r="L771" s="71">
        <f t="shared" ref="L771:L782" si="173">IFERROR(IF(K771="","",IF(K771&gt;=J771,K771-J771,K771+1-J771)),"")</f>
        <v>1.3888888888888867E-2</v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>
        <v>5</v>
      </c>
      <c r="F776" s="12">
        <f t="shared" si="172"/>
        <v>20</v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>
        <v>10</v>
      </c>
      <c r="F777" s="17">
        <f t="shared" si="172"/>
        <v>40</v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>
        <v>7</v>
      </c>
      <c r="F778" s="12">
        <f t="shared" si="172"/>
        <v>28</v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>
        <v>7</v>
      </c>
      <c r="F779" s="17">
        <f t="shared" si="172"/>
        <v>28</v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>
        <v>15</v>
      </c>
      <c r="F780" s="12">
        <f t="shared" si="172"/>
        <v>60</v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>
        <v>9</v>
      </c>
      <c r="F781" s="17">
        <f t="shared" si="172"/>
        <v>36</v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98</v>
      </c>
      <c r="F783" s="19">
        <f>SUM(F771:F782)</f>
        <v>392</v>
      </c>
      <c r="G783" s="18"/>
      <c r="H783" s="18"/>
      <c r="I783" s="18"/>
      <c r="J783" s="18"/>
      <c r="K783" s="18"/>
      <c r="L783" s="72">
        <f>IFERROR(SUM(L771:L782),"")</f>
        <v>1.3888888888888867E-2</v>
      </c>
      <c r="M783" s="19" t="s">
        <v>198</v>
      </c>
      <c r="N783" s="20">
        <v>602090</v>
      </c>
    </row>
    <row r="784" spans="1:14" ht="18" customHeight="1">
      <c r="A784" s="97" t="s">
        <v>200</v>
      </c>
      <c r="B784" s="97"/>
      <c r="C784" s="97"/>
      <c r="D784" s="97"/>
      <c r="E784" s="22">
        <f>E770+E783</f>
        <v>178</v>
      </c>
      <c r="F784" s="22">
        <f>F770+F783</f>
        <v>712</v>
      </c>
      <c r="G784" s="21"/>
      <c r="H784" s="21"/>
      <c r="I784" s="21"/>
      <c r="J784" s="21"/>
      <c r="K784" s="21"/>
      <c r="L784" s="73">
        <f>IFERROR(L770+L783,"")</f>
        <v>0.13263888888888883</v>
      </c>
      <c r="M784" s="22" t="s">
        <v>201</v>
      </c>
      <c r="N784" s="31">
        <f>IFERROR(N770+N783,"")</f>
        <v>911560</v>
      </c>
    </row>
    <row r="785" spans="1:14" ht="15" customHeight="1">
      <c r="A785" s="59">
        <v>46203</v>
      </c>
      <c r="B785" s="15">
        <v>0.33333333333333298</v>
      </c>
      <c r="C785" s="7" t="s">
        <v>21</v>
      </c>
      <c r="D785" s="67" t="s">
        <v>30</v>
      </c>
      <c r="E785" s="11">
        <v>18</v>
      </c>
      <c r="F785" s="93">
        <f>IF(E785="","",E785*4)</f>
        <v>72</v>
      </c>
      <c r="G785" s="67" t="s">
        <v>18</v>
      </c>
      <c r="H785" s="67" t="s">
        <v>39</v>
      </c>
      <c r="I785" s="67" t="s">
        <v>186</v>
      </c>
      <c r="J785" s="13">
        <v>0.45208333333333334</v>
      </c>
      <c r="K785" s="13">
        <v>0.49791666666666667</v>
      </c>
      <c r="L785" s="86">
        <f t="shared" ref="L785:L796" si="175">IFERROR(IF(K785="","",IF(K785&gt;=J785,K785-J785,K785+1-J785)),"")</f>
        <v>4.5833333333333337E-2</v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" t="s">
        <v>21</v>
      </c>
      <c r="D786" s="67" t="s">
        <v>30</v>
      </c>
      <c r="E786" s="11">
        <v>6</v>
      </c>
      <c r="F786" s="80">
        <f>IF(E786="","",E786*4)</f>
        <v>24</v>
      </c>
      <c r="G786" s="76" t="s">
        <v>18</v>
      </c>
      <c r="H786" s="76" t="s">
        <v>39</v>
      </c>
      <c r="I786" s="67" t="s">
        <v>186</v>
      </c>
      <c r="J786" s="13">
        <v>0.55347222222222225</v>
      </c>
      <c r="K786" s="13">
        <v>0.65277777777777779</v>
      </c>
      <c r="L786" s="77">
        <f t="shared" si="175"/>
        <v>9.9305555555555536E-2</v>
      </c>
      <c r="M786" s="29" t="s">
        <v>313</v>
      </c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7" t="s">
        <v>21</v>
      </c>
      <c r="D787" s="67" t="s">
        <v>30</v>
      </c>
      <c r="E787" s="11">
        <v>11</v>
      </c>
      <c r="F787" s="93">
        <f>IF(E787="","",E787*4)</f>
        <v>44</v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" t="s">
        <v>21</v>
      </c>
      <c r="D788" s="67" t="s">
        <v>30</v>
      </c>
      <c r="E788" s="11">
        <v>4</v>
      </c>
      <c r="F788" s="80">
        <f>IF(E788="","",E788*4)</f>
        <v>16</v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7" t="s">
        <v>21</v>
      </c>
      <c r="D789" s="67" t="s">
        <v>30</v>
      </c>
      <c r="E789" s="11">
        <v>2</v>
      </c>
      <c r="F789" s="93">
        <f>IF(E789="","",E789*4)</f>
        <v>8</v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" t="s">
        <v>21</v>
      </c>
      <c r="D790" s="67" t="s">
        <v>30</v>
      </c>
      <c r="E790" s="11">
        <v>7</v>
      </c>
      <c r="F790" s="80">
        <f>IF(E790="","",E790*4)</f>
        <v>28</v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7" t="s">
        <v>21</v>
      </c>
      <c r="D791" s="67" t="s">
        <v>30</v>
      </c>
      <c r="E791" s="11">
        <v>5</v>
      </c>
      <c r="F791" s="93">
        <f>IF(E791="","",E791*4)</f>
        <v>20</v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" t="s">
        <v>21</v>
      </c>
      <c r="D792" s="67" t="s">
        <v>30</v>
      </c>
      <c r="E792" s="11">
        <v>7</v>
      </c>
      <c r="F792" s="80">
        <f>IF(E792="","",E792*4)</f>
        <v>28</v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7" t="s">
        <v>21</v>
      </c>
      <c r="D793" s="67" t="s">
        <v>30</v>
      </c>
      <c r="E793" s="11">
        <v>11</v>
      </c>
      <c r="F793" s="93">
        <f>IF(E793="","",E793*4)</f>
        <v>44</v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" t="s">
        <v>21</v>
      </c>
      <c r="D794" s="67" t="s">
        <v>30</v>
      </c>
      <c r="E794" s="11">
        <v>0</v>
      </c>
      <c r="F794" s="80">
        <f>IF(E794="","",E794*4)</f>
        <v>0</v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7" t="s">
        <v>21</v>
      </c>
      <c r="D795" s="67" t="s">
        <v>30</v>
      </c>
      <c r="E795" s="11">
        <v>21</v>
      </c>
      <c r="F795" s="93">
        <f>IF(E795="","",E795*4)</f>
        <v>84</v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" t="s">
        <v>21</v>
      </c>
      <c r="D796" s="67" t="s">
        <v>30</v>
      </c>
      <c r="E796" s="11">
        <v>8</v>
      </c>
      <c r="F796" s="80">
        <f>IF(E796="","",E796*4)</f>
        <v>32</v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197</v>
      </c>
      <c r="B797" s="105"/>
      <c r="C797" s="105"/>
      <c r="D797" s="105"/>
      <c r="E797" s="19">
        <f>SUM(E785:E796)</f>
        <v>100</v>
      </c>
      <c r="F797" s="19">
        <f>SUM(F785:F796)</f>
        <v>400</v>
      </c>
      <c r="G797" s="18"/>
      <c r="H797" s="18"/>
      <c r="I797" s="18"/>
      <c r="J797" s="18"/>
      <c r="K797" s="18"/>
      <c r="L797" s="72">
        <f>IFERROR(SUM(L785:L796),"")</f>
        <v>0.14513888888888887</v>
      </c>
      <c r="M797" s="19" t="s">
        <v>198</v>
      </c>
      <c r="N797" s="20">
        <v>698510</v>
      </c>
    </row>
    <row r="798" spans="1:14" ht="15" customHeight="1">
      <c r="A798" s="58">
        <v>46203</v>
      </c>
      <c r="B798" s="9">
        <v>0.83333333333333304</v>
      </c>
      <c r="C798" s="76" t="s">
        <v>45</v>
      </c>
      <c r="D798" s="76" t="s">
        <v>30</v>
      </c>
      <c r="E798" s="11">
        <v>11</v>
      </c>
      <c r="F798" s="80">
        <f>IF(E798="","",E798*4)</f>
        <v>44</v>
      </c>
      <c r="G798" s="76" t="s">
        <v>19</v>
      </c>
      <c r="H798" s="76" t="s">
        <v>151</v>
      </c>
      <c r="I798" s="76" t="s">
        <v>27</v>
      </c>
      <c r="J798" s="13">
        <v>0.83333333333333337</v>
      </c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76" t="s">
        <v>45</v>
      </c>
      <c r="D799" s="76" t="s">
        <v>30</v>
      </c>
      <c r="E799" s="11">
        <v>0</v>
      </c>
      <c r="F799" s="93">
        <f>IF(E799="","",E799*4)</f>
        <v>0</v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 t="s">
        <v>45</v>
      </c>
      <c r="D800" s="76" t="s">
        <v>30</v>
      </c>
      <c r="E800" s="11">
        <v>10</v>
      </c>
      <c r="F800" s="80">
        <f>IF(E800="","",E800*4)</f>
        <v>40</v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76" t="s">
        <v>45</v>
      </c>
      <c r="D801" s="76" t="s">
        <v>30</v>
      </c>
      <c r="E801" s="11">
        <v>11</v>
      </c>
      <c r="F801" s="93">
        <f>IF(E801="","",E801*4)</f>
        <v>44</v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 t="s">
        <v>45</v>
      </c>
      <c r="D802" s="76" t="s">
        <v>30</v>
      </c>
      <c r="E802" s="11">
        <v>11</v>
      </c>
      <c r="F802" s="80">
        <f t="shared" ref="F798:F809" si="179">IF(E802="","",E802*4)</f>
        <v>44</v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76" t="s">
        <v>45</v>
      </c>
      <c r="D803" s="76" t="s">
        <v>30</v>
      </c>
      <c r="E803" s="11">
        <v>12</v>
      </c>
      <c r="F803" s="93">
        <f t="shared" si="179"/>
        <v>48</v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 t="s">
        <v>45</v>
      </c>
      <c r="D804" s="76" t="s">
        <v>30</v>
      </c>
      <c r="E804" s="11">
        <v>5</v>
      </c>
      <c r="F804" s="80">
        <f t="shared" si="179"/>
        <v>20</v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76" t="s">
        <v>45</v>
      </c>
      <c r="D805" s="76" t="s">
        <v>30</v>
      </c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 t="s">
        <v>45</v>
      </c>
      <c r="D806" s="76" t="s">
        <v>30</v>
      </c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76" t="s">
        <v>45</v>
      </c>
      <c r="D807" s="76" t="s">
        <v>30</v>
      </c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 t="s">
        <v>45</v>
      </c>
      <c r="D808" s="76" t="s">
        <v>30</v>
      </c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76" t="s">
        <v>45</v>
      </c>
      <c r="D809" s="76" t="s">
        <v>30</v>
      </c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199</v>
      </c>
      <c r="B810" s="105"/>
      <c r="C810" s="105"/>
      <c r="D810" s="105"/>
      <c r="E810" s="19">
        <f>SUM(E798:E809)</f>
        <v>60</v>
      </c>
      <c r="F810" s="19">
        <f>SUM(F798:F809)</f>
        <v>240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7" t="s">
        <v>200</v>
      </c>
      <c r="B811" s="97"/>
      <c r="C811" s="97"/>
      <c r="D811" s="97"/>
      <c r="E811" s="22">
        <f>E797+E810</f>
        <v>160</v>
      </c>
      <c r="F811" s="22">
        <f>F797+F810</f>
        <v>640</v>
      </c>
      <c r="G811" s="21"/>
      <c r="H811" s="21"/>
      <c r="I811" s="21"/>
      <c r="J811" s="21"/>
      <c r="K811" s="21"/>
      <c r="L811" s="73">
        <f>IFERROR(L797+L810,"")</f>
        <v>0.14513888888888887</v>
      </c>
      <c r="M811" s="22" t="s">
        <v>201</v>
      </c>
      <c r="N811" s="23">
        <f>IFERROR(N797+N810,"")</f>
        <v>698510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C2:C784 C786:C900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95" activePane="bottomLeft" state="frozen"/>
      <selection pane="bottomLeft" activeCell="E805" sqref="E805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314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198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198</v>
      </c>
      <c r="N27" s="20"/>
    </row>
    <row r="28" spans="1:14" ht="18" customHeight="1">
      <c r="A28" s="97" t="s">
        <v>200</v>
      </c>
      <c r="B28" s="97"/>
      <c r="C28" s="97"/>
      <c r="D28" s="97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201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198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198</v>
      </c>
      <c r="N54" s="20"/>
    </row>
    <row r="55" spans="1:14" ht="18" customHeight="1">
      <c r="A55" s="97" t="s">
        <v>200</v>
      </c>
      <c r="B55" s="97"/>
      <c r="C55" s="97"/>
      <c r="D55" s="97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201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198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315</v>
      </c>
      <c r="I80" s="10" t="s">
        <v>242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198</v>
      </c>
      <c r="N81" s="20">
        <v>206440</v>
      </c>
    </row>
    <row r="82" spans="1:14" ht="18" customHeight="1">
      <c r="A82" s="97" t="s">
        <v>200</v>
      </c>
      <c r="B82" s="97"/>
      <c r="C82" s="97"/>
      <c r="D82" s="97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201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198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198</v>
      </c>
      <c r="N108" s="20"/>
    </row>
    <row r="109" spans="1:14" ht="18" customHeight="1">
      <c r="A109" s="97" t="s">
        <v>200</v>
      </c>
      <c r="B109" s="97"/>
      <c r="C109" s="97"/>
      <c r="D109" s="97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201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198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198</v>
      </c>
      <c r="N135" s="20"/>
    </row>
    <row r="136" spans="1:14" ht="18" customHeight="1">
      <c r="A136" s="97" t="s">
        <v>200</v>
      </c>
      <c r="B136" s="97"/>
      <c r="C136" s="97"/>
      <c r="D136" s="97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201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198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198</v>
      </c>
      <c r="N162" s="20">
        <v>0</v>
      </c>
    </row>
    <row r="163" spans="1:14" ht="18" customHeight="1">
      <c r="A163" s="97" t="s">
        <v>200</v>
      </c>
      <c r="B163" s="97"/>
      <c r="C163" s="97"/>
      <c r="D163" s="97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201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198</v>
      </c>
      <c r="N189" s="20">
        <v>0</v>
      </c>
    </row>
    <row r="190" spans="1:14" ht="18" customHeight="1">
      <c r="A190" s="97" t="s">
        <v>200</v>
      </c>
      <c r="B190" s="97"/>
      <c r="C190" s="97"/>
      <c r="D190" s="97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201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198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198</v>
      </c>
      <c r="N216" s="20"/>
    </row>
    <row r="217" spans="1:14" ht="18" customHeight="1">
      <c r="A217" s="97" t="s">
        <v>200</v>
      </c>
      <c r="B217" s="97"/>
      <c r="C217" s="97"/>
      <c r="D217" s="97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201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198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198</v>
      </c>
      <c r="N243" s="20">
        <v>180000</v>
      </c>
    </row>
    <row r="244" spans="1:14" ht="18" customHeight="1">
      <c r="A244" s="97" t="s">
        <v>200</v>
      </c>
      <c r="B244" s="97"/>
      <c r="C244" s="97"/>
      <c r="D244" s="97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201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316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316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198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253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198</v>
      </c>
      <c r="N270" s="20">
        <f>103170+137770</f>
        <v>240940</v>
      </c>
    </row>
    <row r="271" spans="1:14" ht="18" customHeight="1">
      <c r="A271" s="97" t="s">
        <v>200</v>
      </c>
      <c r="B271" s="97"/>
      <c r="C271" s="97"/>
      <c r="D271" s="97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201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198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317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198</v>
      </c>
      <c r="N297" s="20">
        <f>110740+118380</f>
        <v>229120</v>
      </c>
    </row>
    <row r="298" spans="1:14" ht="18" customHeight="1">
      <c r="A298" s="97" t="s">
        <v>200</v>
      </c>
      <c r="B298" s="97"/>
      <c r="C298" s="97"/>
      <c r="D298" s="97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201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318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198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319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260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198</v>
      </c>
      <c r="N324" s="20">
        <f>119730+227060</f>
        <v>346790</v>
      </c>
    </row>
    <row r="325" spans="1:14" ht="18" customHeight="1">
      <c r="A325" s="97" t="s">
        <v>200</v>
      </c>
      <c r="B325" s="97"/>
      <c r="C325" s="97"/>
      <c r="D325" s="97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201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198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265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198</v>
      </c>
      <c r="N351" s="20">
        <f>50730+24450</f>
        <v>75180</v>
      </c>
    </row>
    <row r="352" spans="1:14" ht="18" customHeight="1">
      <c r="A352" s="97" t="s">
        <v>200</v>
      </c>
      <c r="B352" s="97"/>
      <c r="C352" s="97"/>
      <c r="D352" s="97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201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268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320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198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198</v>
      </c>
      <c r="N378" s="20">
        <f>151130+160740</f>
        <v>311870</v>
      </c>
    </row>
    <row r="379" spans="1:14" ht="18" customHeight="1">
      <c r="A379" s="97" t="s">
        <v>200</v>
      </c>
      <c r="B379" s="97"/>
      <c r="C379" s="97"/>
      <c r="D379" s="97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201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197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198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198</v>
      </c>
      <c r="N405" s="20">
        <v>340530</v>
      </c>
    </row>
    <row r="406" spans="1:14" ht="18" customHeight="1">
      <c r="A406" s="97" t="s">
        <v>200</v>
      </c>
      <c r="B406" s="97"/>
      <c r="C406" s="97"/>
      <c r="D406" s="97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201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198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198</v>
      </c>
      <c r="N432" s="20">
        <v>169230</v>
      </c>
    </row>
    <row r="433" spans="1:14" ht="18" customHeight="1">
      <c r="A433" s="97" t="s">
        <v>200</v>
      </c>
      <c r="B433" s="97"/>
      <c r="C433" s="97"/>
      <c r="D433" s="97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201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321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278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197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198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322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198</v>
      </c>
      <c r="N459" s="20">
        <v>221750</v>
      </c>
    </row>
    <row r="460" spans="1:14" ht="18" customHeight="1">
      <c r="A460" s="97" t="s">
        <v>200</v>
      </c>
      <c r="B460" s="97"/>
      <c r="C460" s="97"/>
      <c r="D460" s="97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201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280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282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282</v>
      </c>
      <c r="N472" s="30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198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198</v>
      </c>
      <c r="N486" s="20">
        <v>240000</v>
      </c>
    </row>
    <row r="487" spans="1:14" ht="18" customHeight="1">
      <c r="A487" s="97" t="s">
        <v>200</v>
      </c>
      <c r="B487" s="97"/>
      <c r="C487" s="97"/>
      <c r="D487" s="97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201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198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198</v>
      </c>
      <c r="N513" s="20">
        <v>3930</v>
      </c>
    </row>
    <row r="514" spans="1:14" ht="18" customHeight="1">
      <c r="A514" s="97" t="s">
        <v>200</v>
      </c>
      <c r="B514" s="97"/>
      <c r="C514" s="97"/>
      <c r="D514" s="97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201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198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323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288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198</v>
      </c>
      <c r="N540" s="20">
        <v>304230</v>
      </c>
    </row>
    <row r="541" spans="1:14" ht="18" customHeight="1">
      <c r="A541" s="97" t="s">
        <v>200</v>
      </c>
      <c r="B541" s="97"/>
      <c r="C541" s="97"/>
      <c r="D541" s="97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201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276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198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198</v>
      </c>
      <c r="N567" s="20">
        <v>437260</v>
      </c>
    </row>
    <row r="568" spans="1:14" ht="18" customHeight="1">
      <c r="A568" s="97" t="s">
        <v>200</v>
      </c>
      <c r="B568" s="97"/>
      <c r="C568" s="97"/>
      <c r="D568" s="97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201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324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197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198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325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260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198</v>
      </c>
      <c r="N594" s="20">
        <v>269570</v>
      </c>
    </row>
    <row r="595" spans="1:14" ht="18" customHeight="1">
      <c r="A595" s="97" t="s">
        <v>200</v>
      </c>
      <c r="B595" s="97"/>
      <c r="C595" s="97"/>
      <c r="D595" s="97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201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198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326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198</v>
      </c>
      <c r="N621" s="20">
        <v>176650</v>
      </c>
    </row>
    <row r="622" spans="1:14" ht="18" customHeight="1">
      <c r="A622" s="97" t="s">
        <v>200</v>
      </c>
      <c r="B622" s="97"/>
      <c r="C622" s="97"/>
      <c r="D622" s="97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201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327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198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328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198</v>
      </c>
      <c r="N648" s="20">
        <f>154590+56700</f>
        <v>211290</v>
      </c>
    </row>
    <row r="649" spans="1:14" ht="18" customHeight="1">
      <c r="A649" s="97" t="s">
        <v>200</v>
      </c>
      <c r="B649" s="97"/>
      <c r="C649" s="97"/>
      <c r="D649" s="97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201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197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198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198</v>
      </c>
      <c r="N675" s="20">
        <v>234010</v>
      </c>
    </row>
    <row r="676" spans="1:14" ht="18" customHeight="1">
      <c r="A676" s="97" t="s">
        <v>200</v>
      </c>
      <c r="B676" s="97"/>
      <c r="C676" s="97"/>
      <c r="D676" s="97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201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329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198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198</v>
      </c>
      <c r="N702" s="20">
        <f>151740+85690</f>
        <v>237430</v>
      </c>
    </row>
    <row r="703" spans="1:14" ht="18" customHeight="1">
      <c r="A703" s="97" t="s">
        <v>200</v>
      </c>
      <c r="B703" s="97"/>
      <c r="C703" s="97"/>
      <c r="D703" s="97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201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229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197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198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198</v>
      </c>
      <c r="N729" s="20">
        <v>377030</v>
      </c>
    </row>
    <row r="730" spans="1:14" ht="18" customHeight="1">
      <c r="A730" s="97" t="s">
        <v>200</v>
      </c>
      <c r="B730" s="97"/>
      <c r="C730" s="97"/>
      <c r="D730" s="97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201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309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330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198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310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265090</v>
      </c>
    </row>
    <row r="757" spans="1:14" ht="18" customHeight="1">
      <c r="A757" s="97" t="s">
        <v>200</v>
      </c>
      <c r="B757" s="97"/>
      <c r="C757" s="97"/>
      <c r="D757" s="97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201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331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313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197</v>
      </c>
      <c r="B770" s="105"/>
      <c r="C770" s="105"/>
      <c r="D770" s="105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198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>
        <v>2</v>
      </c>
      <c r="F776" s="12">
        <f t="shared" si="171"/>
        <v>8</v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>
        <v>8</v>
      </c>
      <c r="F777" s="17">
        <f t="shared" si="171"/>
        <v>32</v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>
        <v>3</v>
      </c>
      <c r="F778" s="12">
        <f t="shared" si="171"/>
        <v>12</v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>
        <v>4</v>
      </c>
      <c r="F779" s="17">
        <f t="shared" si="171"/>
        <v>16</v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>
        <v>5</v>
      </c>
      <c r="F780" s="12">
        <f t="shared" si="171"/>
        <v>20</v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>
        <v>15</v>
      </c>
      <c r="F781" s="17">
        <f t="shared" si="171"/>
        <v>60</v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>
        <v>3</v>
      </c>
      <c r="F782" s="12">
        <f t="shared" si="171"/>
        <v>12</v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60</v>
      </c>
      <c r="F783" s="19">
        <f>SUM(F771:F782)</f>
        <v>240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198</v>
      </c>
      <c r="N783" s="20">
        <v>357910</v>
      </c>
    </row>
    <row r="784" spans="1:14" ht="18" customHeight="1">
      <c r="A784" s="97" t="s">
        <v>200</v>
      </c>
      <c r="B784" s="97"/>
      <c r="C784" s="97"/>
      <c r="D784" s="97"/>
      <c r="E784" s="22">
        <f>E770+E783</f>
        <v>120</v>
      </c>
      <c r="F784" s="22">
        <f>F770+F783</f>
        <v>480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201</v>
      </c>
      <c r="N784" s="31">
        <f>IFERROR(N770+N783,"")</f>
        <v>574310</v>
      </c>
    </row>
    <row r="785" spans="1:14" ht="15" customHeight="1">
      <c r="A785" s="59">
        <v>46203</v>
      </c>
      <c r="B785" s="15">
        <v>0.33333333333333298</v>
      </c>
      <c r="C785" s="67" t="s">
        <v>21</v>
      </c>
      <c r="D785" s="67" t="s">
        <v>38</v>
      </c>
      <c r="E785" s="11">
        <v>7</v>
      </c>
      <c r="F785" s="93">
        <f>IF(E785="","",E785*4)</f>
        <v>28</v>
      </c>
      <c r="G785" s="67" t="s">
        <v>20</v>
      </c>
      <c r="H785" s="67" t="s">
        <v>47</v>
      </c>
      <c r="I785" s="67" t="s">
        <v>28</v>
      </c>
      <c r="J785" s="13">
        <v>0.35069444444444442</v>
      </c>
      <c r="K785" s="13">
        <v>0.37222222222222223</v>
      </c>
      <c r="L785" s="86">
        <f t="shared" ref="L785:L796" si="174">IFERROR(IF(K785="","",IF(K785&gt;=J785,K785-J785,K785+1-J785)),"")</f>
        <v>2.1527777777777812E-2</v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 t="s">
        <v>21</v>
      </c>
      <c r="D786" s="67" t="s">
        <v>38</v>
      </c>
      <c r="E786" s="11">
        <v>0</v>
      </c>
      <c r="F786" s="80">
        <f>IF(E786="","",E786*4)</f>
        <v>0</v>
      </c>
      <c r="G786" s="76" t="s">
        <v>20</v>
      </c>
      <c r="H786" s="76" t="s">
        <v>47</v>
      </c>
      <c r="I786" s="76" t="s">
        <v>28</v>
      </c>
      <c r="J786" s="13">
        <v>0.55347222222222225</v>
      </c>
      <c r="K786" s="13">
        <v>0.5756944444444444</v>
      </c>
      <c r="L786" s="77">
        <f t="shared" si="174"/>
        <v>2.2222222222222143E-2</v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 t="s">
        <v>21</v>
      </c>
      <c r="D787" s="67" t="s">
        <v>38</v>
      </c>
      <c r="E787" s="11">
        <v>4</v>
      </c>
      <c r="F787" s="93">
        <f>IF(E787="","",E787*4)</f>
        <v>16</v>
      </c>
      <c r="G787" s="67" t="s">
        <v>20</v>
      </c>
      <c r="H787" s="67" t="s">
        <v>47</v>
      </c>
      <c r="I787" s="67" t="s">
        <v>51</v>
      </c>
      <c r="J787" s="13">
        <v>0.58819444444444446</v>
      </c>
      <c r="K787" s="13">
        <v>0.60624999999999996</v>
      </c>
      <c r="L787" s="86">
        <f t="shared" si="174"/>
        <v>1.8055555555555491E-2</v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 t="s">
        <v>21</v>
      </c>
      <c r="D788" s="67" t="s">
        <v>38</v>
      </c>
      <c r="E788" s="11">
        <v>10</v>
      </c>
      <c r="F788" s="80">
        <f>IF(E788="","",E788*4)</f>
        <v>40</v>
      </c>
      <c r="G788" s="76" t="s">
        <v>20</v>
      </c>
      <c r="H788" s="76" t="s">
        <v>47</v>
      </c>
      <c r="I788" s="67" t="s">
        <v>51</v>
      </c>
      <c r="J788" s="13">
        <v>0.61041666666666672</v>
      </c>
      <c r="K788" s="13">
        <v>0.61388888888888893</v>
      </c>
      <c r="L788" s="77">
        <f t="shared" si="174"/>
        <v>3.4722222222222099E-3</v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 t="s">
        <v>21</v>
      </c>
      <c r="D789" s="67" t="s">
        <v>38</v>
      </c>
      <c r="E789" s="11">
        <v>3</v>
      </c>
      <c r="F789" s="93">
        <f>IF(E789="","",E789*4)</f>
        <v>12</v>
      </c>
      <c r="G789" s="67" t="s">
        <v>20</v>
      </c>
      <c r="H789" s="67" t="s">
        <v>47</v>
      </c>
      <c r="I789" s="67" t="s">
        <v>51</v>
      </c>
      <c r="J789" s="13">
        <v>0.61597222222222225</v>
      </c>
      <c r="K789" s="13">
        <v>0.62083333333333335</v>
      </c>
      <c r="L789" s="86">
        <f t="shared" si="174"/>
        <v>4.8611111111110938E-3</v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 t="s">
        <v>21</v>
      </c>
      <c r="D790" s="67" t="s">
        <v>38</v>
      </c>
      <c r="E790" s="11">
        <v>9</v>
      </c>
      <c r="F790" s="80">
        <f>IF(E790="","",E790*4)</f>
        <v>36</v>
      </c>
      <c r="G790" s="76" t="s">
        <v>20</v>
      </c>
      <c r="H790" s="76" t="s">
        <v>47</v>
      </c>
      <c r="I790" s="76" t="s">
        <v>56</v>
      </c>
      <c r="J790" s="13">
        <v>0.62291666666666667</v>
      </c>
      <c r="K790" s="13">
        <v>0.67222222222222228</v>
      </c>
      <c r="L790" s="77">
        <f t="shared" si="174"/>
        <v>4.9305555555555602E-2</v>
      </c>
      <c r="M790" s="11" t="s">
        <v>332</v>
      </c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 t="s">
        <v>21</v>
      </c>
      <c r="D791" s="67" t="s">
        <v>38</v>
      </c>
      <c r="E791" s="11">
        <v>1</v>
      </c>
      <c r="F791" s="93">
        <f>IF(E791="","",E791*4)</f>
        <v>4</v>
      </c>
      <c r="G791" s="67" t="s">
        <v>18</v>
      </c>
      <c r="H791" s="67" t="s">
        <v>47</v>
      </c>
      <c r="I791" s="67" t="s">
        <v>148</v>
      </c>
      <c r="J791" s="13">
        <v>0.72361111111111109</v>
      </c>
      <c r="K791" s="13">
        <v>0.74375000000000002</v>
      </c>
      <c r="L791" s="86">
        <f t="shared" si="174"/>
        <v>2.0138888888888928E-2</v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 t="s">
        <v>21</v>
      </c>
      <c r="D792" s="67" t="s">
        <v>38</v>
      </c>
      <c r="E792" s="11">
        <v>4</v>
      </c>
      <c r="F792" s="80">
        <f>IF(E792="","",E792*4)</f>
        <v>16</v>
      </c>
      <c r="G792" s="76" t="s">
        <v>20</v>
      </c>
      <c r="H792" s="76" t="s">
        <v>47</v>
      </c>
      <c r="I792" s="76" t="s">
        <v>51</v>
      </c>
      <c r="J792" s="13" t="s">
        <v>333</v>
      </c>
      <c r="K792" s="13">
        <v>0.76666666666666672</v>
      </c>
      <c r="L792" s="86" t="str">
        <f t="shared" si="174"/>
        <v/>
      </c>
      <c r="M792" s="11" t="s">
        <v>313</v>
      </c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 t="s">
        <v>21</v>
      </c>
      <c r="D793" s="67" t="s">
        <v>38</v>
      </c>
      <c r="E793" s="11">
        <v>0</v>
      </c>
      <c r="F793" s="93">
        <f>IF(E793="","",E793*4)</f>
        <v>0</v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 t="s">
        <v>21</v>
      </c>
      <c r="D794" s="67" t="s">
        <v>38</v>
      </c>
      <c r="E794" s="11">
        <v>3</v>
      </c>
      <c r="F794" s="80">
        <f>IF(E794="","",E794*4)</f>
        <v>12</v>
      </c>
      <c r="G794" s="76"/>
      <c r="H794" s="76"/>
      <c r="I794" s="76"/>
      <c r="J794" s="13"/>
      <c r="K794" s="13"/>
      <c r="L794" s="86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 t="s">
        <v>21</v>
      </c>
      <c r="D795" s="67" t="s">
        <v>38</v>
      </c>
      <c r="E795" s="11">
        <v>0</v>
      </c>
      <c r="F795" s="93">
        <f>IF(E795="","",E795*4)</f>
        <v>0</v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 t="s">
        <v>21</v>
      </c>
      <c r="D796" s="67" t="s">
        <v>38</v>
      </c>
      <c r="E796" s="11">
        <v>0</v>
      </c>
      <c r="F796" s="80">
        <f>IF(E796="","",E796*4)</f>
        <v>0</v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197</v>
      </c>
      <c r="B797" s="105"/>
      <c r="C797" s="105"/>
      <c r="D797" s="105"/>
      <c r="E797" s="19">
        <f>SUM(E785:E796)</f>
        <v>41</v>
      </c>
      <c r="F797" s="19">
        <f>SUM(F785:F796)</f>
        <v>164</v>
      </c>
      <c r="G797" s="18"/>
      <c r="H797" s="18"/>
      <c r="I797" s="18"/>
      <c r="J797" s="18"/>
      <c r="K797" s="18"/>
      <c r="L797" s="72">
        <f>IFERROR(SUM(L785:L796),"")</f>
        <v>0.13958333333333328</v>
      </c>
      <c r="M797" s="19" t="s">
        <v>198</v>
      </c>
      <c r="N797" s="20">
        <v>279560</v>
      </c>
    </row>
    <row r="798" spans="1:14" ht="15" customHeight="1">
      <c r="A798" s="58">
        <v>46203</v>
      </c>
      <c r="B798" s="9">
        <v>0.83333333333333304</v>
      </c>
      <c r="C798" s="76" t="s">
        <v>45</v>
      </c>
      <c r="D798" s="76" t="s">
        <v>30</v>
      </c>
      <c r="E798" s="11">
        <v>8</v>
      </c>
      <c r="F798" s="80">
        <f>IF(E798="","",E798*4)</f>
        <v>32</v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76" t="s">
        <v>45</v>
      </c>
      <c r="D799" s="76" t="s">
        <v>30</v>
      </c>
      <c r="E799" s="11">
        <v>5</v>
      </c>
      <c r="F799" s="93">
        <f>IF(E799="","",E799*4)</f>
        <v>20</v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 t="s">
        <v>45</v>
      </c>
      <c r="D800" s="76" t="s">
        <v>30</v>
      </c>
      <c r="E800" s="11">
        <v>7</v>
      </c>
      <c r="F800" s="80">
        <f>IF(E800="","",E800*4)</f>
        <v>28</v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76" t="s">
        <v>45</v>
      </c>
      <c r="D801" s="76" t="s">
        <v>30</v>
      </c>
      <c r="E801" s="11">
        <v>4</v>
      </c>
      <c r="F801" s="93">
        <f t="shared" ref="F798:F809" si="178">IF(E801="","",E801*4)</f>
        <v>16</v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 t="s">
        <v>45</v>
      </c>
      <c r="D802" s="76" t="s">
        <v>30</v>
      </c>
      <c r="E802" s="11">
        <v>4</v>
      </c>
      <c r="F802" s="80">
        <f t="shared" si="178"/>
        <v>16</v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76" t="s">
        <v>45</v>
      </c>
      <c r="D803" s="76" t="s">
        <v>30</v>
      </c>
      <c r="E803" s="11">
        <v>5</v>
      </c>
      <c r="F803" s="93">
        <f t="shared" si="178"/>
        <v>20</v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 t="s">
        <v>45</v>
      </c>
      <c r="D804" s="76" t="s">
        <v>30</v>
      </c>
      <c r="E804" s="11">
        <v>4</v>
      </c>
      <c r="F804" s="80">
        <f t="shared" si="178"/>
        <v>16</v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76" t="s">
        <v>45</v>
      </c>
      <c r="D805" s="76" t="s">
        <v>30</v>
      </c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 t="s">
        <v>45</v>
      </c>
      <c r="D806" s="76" t="s">
        <v>30</v>
      </c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76" t="s">
        <v>45</v>
      </c>
      <c r="D807" s="76" t="s">
        <v>30</v>
      </c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 t="s">
        <v>45</v>
      </c>
      <c r="D808" s="76" t="s">
        <v>30</v>
      </c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76" t="s">
        <v>45</v>
      </c>
      <c r="D809" s="76" t="s">
        <v>30</v>
      </c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199</v>
      </c>
      <c r="B810" s="105"/>
      <c r="C810" s="105"/>
      <c r="D810" s="105"/>
      <c r="E810" s="19">
        <f>SUM(E798:E809)</f>
        <v>37</v>
      </c>
      <c r="F810" s="19">
        <f>SUM(F798:F809)</f>
        <v>148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7" t="s">
        <v>200</v>
      </c>
      <c r="B811" s="97"/>
      <c r="C811" s="97"/>
      <c r="D811" s="97"/>
      <c r="E811" s="22">
        <f>E797+E810</f>
        <v>78</v>
      </c>
      <c r="F811" s="22">
        <f>F797+F810</f>
        <v>312</v>
      </c>
      <c r="G811" s="21"/>
      <c r="H811" s="21"/>
      <c r="I811" s="21"/>
      <c r="J811" s="21"/>
      <c r="K811" s="21"/>
      <c r="L811" s="73">
        <f>IFERROR(L797+L810,"")</f>
        <v>0.13958333333333328</v>
      </c>
      <c r="M811" s="22" t="s">
        <v>201</v>
      </c>
      <c r="N811" s="23">
        <f>IFERROR(N797+N810,"")</f>
        <v>279560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2">
    <dataValidation type="list" showErrorMessage="1" errorTitle="Atenção" error="Selecione primeiro o Tipo de Parada (col G) e depois escolha a Descrição da lista." sqref="I2:I786 I789:I900" xr:uid="{6D5A56D7-4DF0-44B6-9406-37938DC734B9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87:I788" xr:uid="{5AD33A1C-5B65-4FD9-85B0-526EC9B53700}">
      <formula1>INDIRECT("Desc_"&amp;SUBSTITUTE(SUBSTITUTE(SUBSTITUTE(SUBSTITUTE(SUBSTITUTE(SUBSTITUTE(SUBSTITUTE(SUBSTITUTE(SUBSTITUTE(SUBSTITUTE(G786,"é","e"),"ê","e"),"ã","a"),"ç","c"),"â","a"),"í","i"),"á","a"),"ó","o"),"ú","u"),"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38F2FB5-A2E2-4600-986B-594DE931CAA9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83ECB945-1D6A-436D-8AE6-C2D6A81960DF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EA6E0A4-FA78-4AE9-8C93-D436F36F4B78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95041A01-9858-4396-BA02-87B461DF13D3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89" activePane="bottomLeft" state="frozen"/>
      <selection pane="bottomLeft" activeCell="E805" sqref="E805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57" t="s">
        <v>13</v>
      </c>
      <c r="E1" s="8" t="s">
        <v>188</v>
      </c>
      <c r="F1" s="8" t="s">
        <v>334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335</v>
      </c>
      <c r="I2" s="10" t="s">
        <v>336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335</v>
      </c>
      <c r="I3" s="16" t="s">
        <v>336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335</v>
      </c>
      <c r="I4" s="10" t="s">
        <v>336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335</v>
      </c>
      <c r="I5" s="16" t="s">
        <v>336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335</v>
      </c>
      <c r="I6" s="10" t="s">
        <v>336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335</v>
      </c>
      <c r="I7" s="16" t="s">
        <v>336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335</v>
      </c>
      <c r="I8" s="10" t="s">
        <v>336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335</v>
      </c>
      <c r="I9" s="16" t="s">
        <v>336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335</v>
      </c>
      <c r="I10" s="10" t="s">
        <v>336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335</v>
      </c>
      <c r="I11" s="16" t="s">
        <v>336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335</v>
      </c>
      <c r="I12" s="10" t="s">
        <v>336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335</v>
      </c>
      <c r="I13" s="16" t="s">
        <v>336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198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337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198</v>
      </c>
      <c r="N27" s="20">
        <v>537710</v>
      </c>
    </row>
    <row r="28" spans="1:14" ht="18" customHeight="1">
      <c r="A28" s="97" t="s">
        <v>200</v>
      </c>
      <c r="B28" s="97"/>
      <c r="C28" s="97"/>
      <c r="D28" s="97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201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338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339</v>
      </c>
      <c r="I33" s="16" t="s">
        <v>340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196</v>
      </c>
      <c r="H36" s="10" t="s">
        <v>341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198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242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198</v>
      </c>
      <c r="N54" s="20">
        <v>800250</v>
      </c>
    </row>
    <row r="55" spans="1:14" ht="18" customHeight="1">
      <c r="A55" s="97" t="s">
        <v>200</v>
      </c>
      <c r="B55" s="97"/>
      <c r="C55" s="97"/>
      <c r="D55" s="97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201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198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341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198</v>
      </c>
      <c r="N81" s="20">
        <v>423590</v>
      </c>
    </row>
    <row r="82" spans="1:14" ht="18" customHeight="1">
      <c r="A82" s="97" t="s">
        <v>200</v>
      </c>
      <c r="B82" s="97"/>
      <c r="C82" s="97"/>
      <c r="D82" s="97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201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198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342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198</v>
      </c>
      <c r="N108" s="20">
        <v>784300</v>
      </c>
    </row>
    <row r="109" spans="1:14" ht="18" customHeight="1">
      <c r="A109" s="97" t="s">
        <v>200</v>
      </c>
      <c r="B109" s="97"/>
      <c r="C109" s="97"/>
      <c r="D109" s="97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201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198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196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198</v>
      </c>
      <c r="N135" s="20">
        <v>527600</v>
      </c>
    </row>
    <row r="136" spans="1:14" ht="18" customHeight="1">
      <c r="A136" s="97" t="s">
        <v>200</v>
      </c>
      <c r="B136" s="97"/>
      <c r="C136" s="97"/>
      <c r="D136" s="97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201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196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198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198</v>
      </c>
      <c r="N162" s="20">
        <v>215370</v>
      </c>
    </row>
    <row r="163" spans="1:14" ht="18" customHeight="1">
      <c r="A163" s="97" t="s">
        <v>200</v>
      </c>
      <c r="B163" s="97"/>
      <c r="C163" s="97"/>
      <c r="D163" s="97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201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198</v>
      </c>
      <c r="N189" s="20">
        <v>400530</v>
      </c>
    </row>
    <row r="190" spans="1:14" ht="18" customHeight="1">
      <c r="A190" s="97" t="s">
        <v>200</v>
      </c>
      <c r="B190" s="97"/>
      <c r="C190" s="97"/>
      <c r="D190" s="97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201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343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198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245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198</v>
      </c>
      <c r="N216" s="28">
        <v>704110</v>
      </c>
    </row>
    <row r="217" spans="1:14" ht="18" customHeight="1">
      <c r="A217" s="97" t="s">
        <v>200</v>
      </c>
      <c r="B217" s="97"/>
      <c r="C217" s="97"/>
      <c r="D217" s="97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201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344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260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198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198</v>
      </c>
      <c r="N243" s="20">
        <v>0</v>
      </c>
    </row>
    <row r="244" spans="1:14" ht="18" customHeight="1">
      <c r="A244" s="97" t="s">
        <v>200</v>
      </c>
      <c r="B244" s="97"/>
      <c r="C244" s="97"/>
      <c r="D244" s="97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201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345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198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198</v>
      </c>
      <c r="N270" s="20">
        <f>214250+252630</f>
        <v>466880</v>
      </c>
    </row>
    <row r="271" spans="1:14" ht="18" customHeight="1">
      <c r="A271" s="97" t="s">
        <v>200</v>
      </c>
      <c r="B271" s="97"/>
      <c r="C271" s="97"/>
      <c r="D271" s="97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201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346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198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347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348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349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198</v>
      </c>
      <c r="N297" s="20">
        <f>124260+105220</f>
        <v>229480</v>
      </c>
    </row>
    <row r="298" spans="1:14" ht="18" customHeight="1">
      <c r="A298" s="97" t="s">
        <v>200</v>
      </c>
      <c r="B298" s="97"/>
      <c r="C298" s="97"/>
      <c r="D298" s="97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201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348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350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318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198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351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351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351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352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198</v>
      </c>
      <c r="N324" s="20">
        <f>311920+165290</f>
        <v>477210</v>
      </c>
    </row>
    <row r="325" spans="1:14" ht="18" customHeight="1">
      <c r="A325" s="97" t="s">
        <v>200</v>
      </c>
      <c r="B325" s="97"/>
      <c r="C325" s="97"/>
      <c r="D325" s="97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201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198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353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265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198</v>
      </c>
      <c r="N351" s="20">
        <f>117790+390790</f>
        <v>508580</v>
      </c>
    </row>
    <row r="352" spans="1:14" ht="18" customHeight="1">
      <c r="A352" s="97" t="s">
        <v>200</v>
      </c>
      <c r="B352" s="97"/>
      <c r="C352" s="97"/>
      <c r="D352" s="97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201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354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355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320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198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198</v>
      </c>
      <c r="N378" s="20">
        <f>490380+390690</f>
        <v>881070</v>
      </c>
    </row>
    <row r="379" spans="1:14" ht="18" customHeight="1">
      <c r="A379" s="97" t="s">
        <v>200</v>
      </c>
      <c r="B379" s="97"/>
      <c r="C379" s="97"/>
      <c r="D379" s="97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201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197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198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198</v>
      </c>
      <c r="N405" s="20">
        <v>745910</v>
      </c>
    </row>
    <row r="406" spans="1:14" ht="18" customHeight="1">
      <c r="A406" s="97" t="s">
        <v>200</v>
      </c>
      <c r="B406" s="97"/>
      <c r="C406" s="97"/>
      <c r="D406" s="97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201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332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356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357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198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198</v>
      </c>
      <c r="N432" s="20">
        <v>669300</v>
      </c>
    </row>
    <row r="433" spans="1:16" ht="18" customHeight="1">
      <c r="A433" s="97" t="s">
        <v>200</v>
      </c>
      <c r="B433" s="97"/>
      <c r="C433" s="97"/>
      <c r="D433" s="97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201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197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198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348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348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198</v>
      </c>
      <c r="N459" s="20">
        <v>561580</v>
      </c>
    </row>
    <row r="460" spans="1:14" ht="18" customHeight="1">
      <c r="A460" s="97" t="s">
        <v>200</v>
      </c>
      <c r="B460" s="97"/>
      <c r="C460" s="97"/>
      <c r="D460" s="97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201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282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282</v>
      </c>
      <c r="N472" s="41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198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358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313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359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198</v>
      </c>
      <c r="N486" s="20">
        <v>508000</v>
      </c>
    </row>
    <row r="487" spans="1:14" ht="18" customHeight="1">
      <c r="A487" s="97" t="s">
        <v>200</v>
      </c>
      <c r="B487" s="97"/>
      <c r="C487" s="97"/>
      <c r="D487" s="97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201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198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360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361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198</v>
      </c>
      <c r="N513" s="20">
        <v>745760</v>
      </c>
    </row>
    <row r="514" spans="1:14" ht="18" customHeight="1">
      <c r="A514" s="97" t="s">
        <v>200</v>
      </c>
      <c r="B514" s="97"/>
      <c r="C514" s="97"/>
      <c r="D514" s="97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201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198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362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363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260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198</v>
      </c>
      <c r="N540" s="20">
        <v>426450</v>
      </c>
    </row>
    <row r="541" spans="1:14" ht="18" customHeight="1">
      <c r="A541" s="97" t="s">
        <v>200</v>
      </c>
      <c r="B541" s="97"/>
      <c r="C541" s="97"/>
      <c r="D541" s="97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201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364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365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198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366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198</v>
      </c>
      <c r="N567" s="20">
        <v>652080</v>
      </c>
    </row>
    <row r="568" spans="1:14" ht="18" customHeight="1">
      <c r="A568" s="97" t="s">
        <v>200</v>
      </c>
      <c r="B568" s="97"/>
      <c r="C568" s="97"/>
      <c r="D568" s="97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201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367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368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197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198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369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286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260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198</v>
      </c>
      <c r="N594" s="20">
        <v>800310</v>
      </c>
    </row>
    <row r="595" spans="1:14" ht="18" customHeight="1">
      <c r="A595" s="97" t="s">
        <v>200</v>
      </c>
      <c r="B595" s="97"/>
      <c r="C595" s="97"/>
      <c r="D595" s="97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201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370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198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371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198</v>
      </c>
      <c r="N621" s="20">
        <v>141320</v>
      </c>
    </row>
    <row r="622" spans="1:14" ht="18" customHeight="1">
      <c r="A622" s="97" t="s">
        <v>200</v>
      </c>
      <c r="B622" s="97"/>
      <c r="C622" s="97"/>
      <c r="D622" s="97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201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313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198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372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179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373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198</v>
      </c>
      <c r="N648" s="20">
        <f>89640+153770</f>
        <v>243410</v>
      </c>
    </row>
    <row r="649" spans="1:14" ht="18" customHeight="1">
      <c r="A649" s="97" t="s">
        <v>200</v>
      </c>
      <c r="B649" s="97"/>
      <c r="C649" s="97"/>
      <c r="D649" s="97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201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197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198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374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198</v>
      </c>
      <c r="N675" s="20">
        <v>425320</v>
      </c>
    </row>
    <row r="676" spans="1:14" ht="18" customHeight="1">
      <c r="A676" s="97" t="s">
        <v>200</v>
      </c>
      <c r="B676" s="97"/>
      <c r="C676" s="97"/>
      <c r="D676" s="97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201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198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375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376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198</v>
      </c>
      <c r="N702" s="20">
        <f>626540+94190</f>
        <v>720730</v>
      </c>
    </row>
    <row r="703" spans="1:14" ht="18" customHeight="1">
      <c r="A703" s="97" t="s">
        <v>200</v>
      </c>
      <c r="B703" s="97"/>
      <c r="C703" s="97"/>
      <c r="D703" s="97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201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377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378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379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197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198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380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381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198</v>
      </c>
      <c r="N729" s="20">
        <v>874110</v>
      </c>
    </row>
    <row r="730" spans="1:14" ht="18" customHeight="1">
      <c r="A730" s="97" t="s">
        <v>200</v>
      </c>
      <c r="B730" s="97"/>
      <c r="C730" s="97"/>
      <c r="D730" s="97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201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382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309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330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198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310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198</v>
      </c>
      <c r="N756" s="20">
        <v>1001690</v>
      </c>
    </row>
    <row r="757" spans="1:14" ht="18" customHeight="1">
      <c r="A757" s="97" t="s">
        <v>200</v>
      </c>
      <c r="B757" s="97"/>
      <c r="C757" s="97"/>
      <c r="D757" s="97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201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383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331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6" t="s">
        <v>197</v>
      </c>
      <c r="B770" s="107"/>
      <c r="C770" s="107"/>
      <c r="D770" s="108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198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 t="s">
        <v>19</v>
      </c>
      <c r="H771" s="16" t="s">
        <v>154</v>
      </c>
      <c r="I771" s="16" t="s">
        <v>27</v>
      </c>
      <c r="J771" s="13">
        <v>0.14583333333333334</v>
      </c>
      <c r="K771" s="13">
        <v>0.16666666666666666</v>
      </c>
      <c r="L771" s="71">
        <f t="shared" ref="L771:L782" si="173">IFERROR(IF(K771="","",IF(K771&gt;=J771,K771-J771,K771+1-J771)),"")</f>
        <v>2.0833333333333315E-2</v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>
        <v>12</v>
      </c>
      <c r="F776" s="12">
        <f t="shared" si="172"/>
        <v>48</v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>
        <v>33</v>
      </c>
      <c r="F777" s="17">
        <f t="shared" si="172"/>
        <v>132</v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>
        <v>22</v>
      </c>
      <c r="F778" s="12">
        <f t="shared" si="172"/>
        <v>88</v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>
        <v>9</v>
      </c>
      <c r="F779" s="17">
        <f t="shared" si="172"/>
        <v>36</v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>
        <v>18</v>
      </c>
      <c r="F780" s="12">
        <f t="shared" si="172"/>
        <v>72</v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>
        <v>15</v>
      </c>
      <c r="F781" s="17">
        <f t="shared" si="172"/>
        <v>60</v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214</v>
      </c>
      <c r="F783" s="19">
        <f>SUM(F771:F782)</f>
        <v>856</v>
      </c>
      <c r="G783" s="38"/>
      <c r="H783" s="38"/>
      <c r="I783" s="38"/>
      <c r="J783" s="38"/>
      <c r="K783" s="38"/>
      <c r="L783" s="72">
        <f>IFERROR(SUM(L771:L782),"")</f>
        <v>2.0833333333333315E-2</v>
      </c>
      <c r="M783" s="19" t="s">
        <v>198</v>
      </c>
      <c r="N783" s="20">
        <v>1318280</v>
      </c>
    </row>
    <row r="784" spans="1:14" ht="18" customHeight="1">
      <c r="A784" s="97" t="s">
        <v>200</v>
      </c>
      <c r="B784" s="97"/>
      <c r="C784" s="97"/>
      <c r="D784" s="97"/>
      <c r="E784" s="22">
        <f>E770+E783</f>
        <v>389</v>
      </c>
      <c r="F784" s="22">
        <f>F770+F783</f>
        <v>1556</v>
      </c>
      <c r="G784" s="39"/>
      <c r="H784" s="39"/>
      <c r="I784" s="39"/>
      <c r="J784" s="39"/>
      <c r="K784" s="39"/>
      <c r="L784" s="73">
        <f>IFERROR(L770+L783,"")</f>
        <v>9.4444444444444442E-2</v>
      </c>
      <c r="M784" s="22" t="s">
        <v>201</v>
      </c>
      <c r="N784" s="31">
        <f>IFERROR(N770+N783,"")</f>
        <v>2087820</v>
      </c>
    </row>
    <row r="785" spans="1:14" ht="15" customHeight="1">
      <c r="A785" s="90">
        <v>46203</v>
      </c>
      <c r="B785" s="91">
        <v>0.33333333333333298</v>
      </c>
      <c r="C785" s="67" t="s">
        <v>21</v>
      </c>
      <c r="D785" s="65" t="s">
        <v>30</v>
      </c>
      <c r="E785" s="11">
        <v>11</v>
      </c>
      <c r="F785" s="93">
        <f>IF(E785="","",E785*4)</f>
        <v>44</v>
      </c>
      <c r="G785" s="67" t="s">
        <v>18</v>
      </c>
      <c r="H785" s="67" t="s">
        <v>133</v>
      </c>
      <c r="I785" s="67" t="s">
        <v>97</v>
      </c>
      <c r="J785" s="13">
        <v>0.3</v>
      </c>
      <c r="K785" s="13">
        <v>0.31944444444444442</v>
      </c>
      <c r="L785" s="86">
        <f t="shared" ref="L785:L796" si="175">IFERROR(IF(K785="","",IF(K785&gt;=J785,K785-J785,K785+1-J785)),"")</f>
        <v>1.9444444444444431E-2</v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67" t="s">
        <v>21</v>
      </c>
      <c r="D786" s="92" t="s">
        <v>30</v>
      </c>
      <c r="E786" s="11">
        <v>15</v>
      </c>
      <c r="F786" s="80">
        <f>IF(E786="","",E786*4)</f>
        <v>60</v>
      </c>
      <c r="G786" s="76" t="s">
        <v>20</v>
      </c>
      <c r="H786" s="76" t="s">
        <v>52</v>
      </c>
      <c r="I786" s="76" t="s">
        <v>51</v>
      </c>
      <c r="J786" s="13" t="s">
        <v>384</v>
      </c>
      <c r="K786" s="13">
        <v>0.5395833333333333</v>
      </c>
      <c r="L786" s="77" t="str">
        <f t="shared" si="175"/>
        <v/>
      </c>
      <c r="M786" s="11" t="s">
        <v>385</v>
      </c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 t="s">
        <v>21</v>
      </c>
      <c r="D787" s="92" t="s">
        <v>30</v>
      </c>
      <c r="E787" s="11">
        <v>15</v>
      </c>
      <c r="F787" s="93">
        <f>IF(E787="","",E787*4)</f>
        <v>60</v>
      </c>
      <c r="G787" s="67" t="s">
        <v>20</v>
      </c>
      <c r="H787" s="67" t="s">
        <v>132</v>
      </c>
      <c r="I787" s="67" t="s">
        <v>178</v>
      </c>
      <c r="J787" s="13">
        <v>0.5854166666666667</v>
      </c>
      <c r="K787" s="13">
        <v>0.62777777777777777</v>
      </c>
      <c r="L787" s="86">
        <f t="shared" si="175"/>
        <v>4.2361111111111072E-2</v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67" t="s">
        <v>21</v>
      </c>
      <c r="D788" s="92" t="s">
        <v>30</v>
      </c>
      <c r="E788" s="11">
        <v>5</v>
      </c>
      <c r="F788" s="80">
        <f>IF(E788="","",E788*4)</f>
        <v>20</v>
      </c>
      <c r="G788" s="76" t="s">
        <v>19</v>
      </c>
      <c r="H788" s="76" t="s">
        <v>57</v>
      </c>
      <c r="I788" s="76" t="s">
        <v>27</v>
      </c>
      <c r="J788" s="13" t="s">
        <v>386</v>
      </c>
      <c r="K788" s="13">
        <v>0.65625</v>
      </c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 t="s">
        <v>21</v>
      </c>
      <c r="D789" s="92" t="s">
        <v>30</v>
      </c>
      <c r="E789" s="11">
        <v>18</v>
      </c>
      <c r="F789" s="93">
        <f>IF(E789="","",E789*4)</f>
        <v>72</v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67" t="s">
        <v>21</v>
      </c>
      <c r="D790" s="92" t="s">
        <v>30</v>
      </c>
      <c r="E790" s="11">
        <v>4</v>
      </c>
      <c r="F790" s="80">
        <f>IF(E790="","",E790*4)</f>
        <v>16</v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 t="s">
        <v>21</v>
      </c>
      <c r="D791" s="92" t="s">
        <v>30</v>
      </c>
      <c r="E791" s="11">
        <v>12</v>
      </c>
      <c r="F791" s="93">
        <f>IF(E791="","",E791*4)</f>
        <v>48</v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67" t="s">
        <v>21</v>
      </c>
      <c r="D792" s="92" t="s">
        <v>30</v>
      </c>
      <c r="E792" s="11">
        <v>5</v>
      </c>
      <c r="F792" s="80">
        <f>IF(E792="","",E792*4)</f>
        <v>20</v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 t="s">
        <v>21</v>
      </c>
      <c r="D793" s="92" t="s">
        <v>30</v>
      </c>
      <c r="E793" s="11">
        <v>0</v>
      </c>
      <c r="F793" s="93">
        <f>IF(E793="","",E793*4)</f>
        <v>0</v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67" t="s">
        <v>21</v>
      </c>
      <c r="D794" s="92" t="s">
        <v>30</v>
      </c>
      <c r="E794" s="11">
        <v>11</v>
      </c>
      <c r="F794" s="80">
        <f>IF(E794="","",E794*4)</f>
        <v>44</v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 t="s">
        <v>21</v>
      </c>
      <c r="D795" s="92" t="s">
        <v>30</v>
      </c>
      <c r="E795" s="11">
        <v>8</v>
      </c>
      <c r="F795" s="93">
        <f>IF(E795="","",E795*4)</f>
        <v>32</v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67" t="s">
        <v>21</v>
      </c>
      <c r="D796" s="92" t="s">
        <v>30</v>
      </c>
      <c r="E796" s="11">
        <v>0</v>
      </c>
      <c r="F796" s="80">
        <f>IF(E796="","",E796*4)</f>
        <v>0</v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197</v>
      </c>
      <c r="B797" s="109"/>
      <c r="C797" s="109"/>
      <c r="D797" s="109"/>
      <c r="E797" s="19">
        <f>SUM(E785:E796)</f>
        <v>104</v>
      </c>
      <c r="F797" s="19">
        <f>SUM(F785:F796)</f>
        <v>416</v>
      </c>
      <c r="G797" s="38"/>
      <c r="H797" s="38"/>
      <c r="I797" s="38"/>
      <c r="J797" s="38"/>
      <c r="K797" s="38"/>
      <c r="L797" s="72">
        <f>IFERROR(SUM(L785:L796),"")</f>
        <v>6.1805555555555503E-2</v>
      </c>
      <c r="M797" s="19" t="s">
        <v>198</v>
      </c>
      <c r="N797" s="20">
        <v>638180</v>
      </c>
    </row>
    <row r="798" spans="1:14" ht="15" customHeight="1">
      <c r="A798" s="94">
        <v>46203</v>
      </c>
      <c r="B798" s="95">
        <v>0.83333333333333304</v>
      </c>
      <c r="C798" s="76" t="s">
        <v>45</v>
      </c>
      <c r="D798" s="87" t="s">
        <v>30</v>
      </c>
      <c r="E798" s="11">
        <v>10</v>
      </c>
      <c r="F798" s="80">
        <f>IF(E798="","",E798*4)</f>
        <v>40</v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76" t="s">
        <v>45</v>
      </c>
      <c r="D799" s="87" t="s">
        <v>30</v>
      </c>
      <c r="E799" s="11">
        <v>8</v>
      </c>
      <c r="F799" s="93">
        <f>IF(E799="","",E799*4)</f>
        <v>32</v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 t="s">
        <v>45</v>
      </c>
      <c r="D800" s="87" t="s">
        <v>30</v>
      </c>
      <c r="E800" s="11">
        <v>21</v>
      </c>
      <c r="F800" s="80">
        <f>IF(E800="","",E800*4)</f>
        <v>84</v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76" t="s">
        <v>45</v>
      </c>
      <c r="D801" s="87" t="s">
        <v>30</v>
      </c>
      <c r="E801" s="11">
        <v>16</v>
      </c>
      <c r="F801" s="93">
        <f t="shared" ref="F798:F809" si="179">IF(E801="","",E801*4)</f>
        <v>64</v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 t="s">
        <v>45</v>
      </c>
      <c r="D802" s="87" t="s">
        <v>30</v>
      </c>
      <c r="E802" s="11">
        <v>8</v>
      </c>
      <c r="F802" s="80">
        <f t="shared" si="179"/>
        <v>32</v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76" t="s">
        <v>45</v>
      </c>
      <c r="D803" s="87" t="s">
        <v>30</v>
      </c>
      <c r="E803" s="11">
        <v>10</v>
      </c>
      <c r="F803" s="93">
        <f t="shared" si="179"/>
        <v>40</v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 t="s">
        <v>45</v>
      </c>
      <c r="D804" s="87" t="s">
        <v>30</v>
      </c>
      <c r="E804" s="11">
        <v>8</v>
      </c>
      <c r="F804" s="80">
        <f t="shared" si="179"/>
        <v>32</v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76" t="s">
        <v>45</v>
      </c>
      <c r="D805" s="87" t="s">
        <v>30</v>
      </c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 t="s">
        <v>45</v>
      </c>
      <c r="D806" s="87" t="s">
        <v>30</v>
      </c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76" t="s">
        <v>45</v>
      </c>
      <c r="D807" s="87" t="s">
        <v>30</v>
      </c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 t="s">
        <v>45</v>
      </c>
      <c r="D808" s="87" t="s">
        <v>30</v>
      </c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76" t="s">
        <v>45</v>
      </c>
      <c r="D809" s="87" t="s">
        <v>30</v>
      </c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199</v>
      </c>
      <c r="B810" s="109"/>
      <c r="C810" s="109"/>
      <c r="D810" s="109"/>
      <c r="E810" s="19">
        <f>SUM(E798:E809)</f>
        <v>81</v>
      </c>
      <c r="F810" s="19">
        <f>SUM(F798:F809)</f>
        <v>324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198</v>
      </c>
      <c r="N810" s="20"/>
    </row>
    <row r="811" spans="1:14" ht="18" customHeight="1">
      <c r="A811" s="110" t="s">
        <v>200</v>
      </c>
      <c r="B811" s="110"/>
      <c r="C811" s="110"/>
      <c r="D811" s="110"/>
      <c r="E811" s="22">
        <f>E797+E810</f>
        <v>185</v>
      </c>
      <c r="F811" s="22">
        <f>F797+F810</f>
        <v>740</v>
      </c>
      <c r="G811" s="39"/>
      <c r="H811" s="39"/>
      <c r="I811" s="39"/>
      <c r="J811" s="39"/>
      <c r="K811" s="39"/>
      <c r="L811" s="73">
        <f>IFERROR(L797+L810,"")</f>
        <v>6.1805555555555503E-2</v>
      </c>
      <c r="M811" s="22" t="s">
        <v>201</v>
      </c>
      <c r="N811" s="96">
        <f>IFERROR(N797+N810,"")</f>
        <v>638180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D663:D784 D786:D900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914D07B3-4831-4991-A053-ED05E81548EC}"/>
</file>

<file path=customXml/itemProps3.xml><?xml version="1.0" encoding="utf-8"?>
<ds:datastoreItem xmlns:ds="http://schemas.openxmlformats.org/officeDocument/2006/customXml" ds:itemID="{0CAD78A7-70F4-47FD-AA51-B85539CA80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2026-07-01T06:05:24Z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