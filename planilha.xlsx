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29" documentId="13_ncr:1_{0A10D8D4-8450-4366-8075-B53B08E6B7EA}" xr6:coauthVersionLast="47" xr6:coauthVersionMax="47" xr10:uidLastSave="{E59B2DD0-EAF1-439B-9D21-FF67CA1240F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6" i="6" s="1"/>
  <c r="J426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6" i="5" s="1"/>
  <c r="J426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6" i="4" s="1"/>
  <c r="J426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4" i="6" l="1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<sst xmlns="http://schemas.openxmlformats.org/spreadsheetml/2006/main" count="7340" uniqueCount="359">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</sst>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6" sqref="F426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>
        <v>8.819444444444445E-2</v>
      </c>
      <c r="L421" s="29"/>
      <c r="M421" s="35">
        <f t="shared" ca="1" si="89"/>
        <v>3.0947916675359011E-3</v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185</v>
      </c>
      <c r="G432" s="36">
        <f>SUM(G420:G431)</f>
        <v>925</v>
      </c>
      <c r="H432" s="37"/>
      <c r="I432" s="37"/>
      <c r="J432" s="37"/>
      <c r="K432" s="37"/>
      <c r="L432" s="37"/>
      <c r="M432" s="38">
        <f ca="1">IFERROR(SUM(M420:M431),"")</f>
        <v>3.0872569445313691E-2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395</v>
      </c>
      <c r="G433" s="40">
        <f>G419+G432</f>
        <v>1975</v>
      </c>
      <c r="H433" s="41"/>
      <c r="I433" s="41"/>
      <c r="J433" s="41"/>
      <c r="K433" s="41"/>
      <c r="L433" s="41"/>
      <c r="M433" s="42">
        <f ca="1">IFERROR(M419+M432,"")</f>
        <v>0.26351145833420259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7" activePane="bottomLeft" state="frozen"/>
      <selection pane="bottomLeft" activeCell="G427" sqref="G427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0.96976145832741167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1.1086503472163005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1.1933725694385229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71.400000000000006</v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110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462</v>
      </c>
      <c r="L432" s="37"/>
      <c r="M432" s="37"/>
      <c r="N432" s="37"/>
      <c r="O432" s="37"/>
      <c r="P432" s="37"/>
      <c r="Q432" s="38">
        <f ca="1">IFERROR(SUM(Q420:Q431),"")</f>
        <v>6.0416666666666806E-2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257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1079.4000000000001</v>
      </c>
      <c r="L433" s="41"/>
      <c r="M433" s="41"/>
      <c r="N433" s="41"/>
      <c r="O433" s="41"/>
      <c r="P433" s="41"/>
      <c r="Q433" s="42">
        <f ca="1">IFERROR(Q419+Q432,"")</f>
        <v>0.15138888888888904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N423" sqref="N42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/>
      <c r="Q423" s="35">
        <f t="shared" ca="1" si="102"/>
        <v>1.011458327411674E-3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0"/>
        <v>0</v>
      </c>
      <c r="K425" s="34">
        <f t="shared" si="101"/>
        <v>16.8</v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0"/>
        <v>0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109.2</v>
      </c>
      <c r="L432" s="37"/>
      <c r="M432" s="37"/>
      <c r="N432" s="37"/>
      <c r="O432" s="37"/>
      <c r="P432" s="37"/>
      <c r="Q432" s="38">
        <f ca="1">IFERROR(SUM(Q420:Q431),"")</f>
        <v>7.7400347216300625E-2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0.15031701388296737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27" sqref="G427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508.20000000000005</v>
      </c>
      <c r="L432" s="37"/>
      <c r="M432" s="37"/>
      <c r="N432" s="37"/>
      <c r="O432" s="61"/>
      <c r="P432" s="61"/>
      <c r="Q432" s="38">
        <f ca="1">IFERROR(SUM(Q420:Q431),"")</f>
        <v>6.9444444444444475E-2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1104.6000000000001</v>
      </c>
      <c r="L433" s="41"/>
      <c r="M433" s="41"/>
      <c r="N433" s="41"/>
      <c r="O433" s="63"/>
      <c r="P433" s="63"/>
      <c r="Q433" s="42">
        <f ca="1">IFERROR(Q419+Q432,"")</f>
        <v>0.18472222222222229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2026-08-17T06:11:45Z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