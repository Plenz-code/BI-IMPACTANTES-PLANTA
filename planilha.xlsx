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265" documentId="8_{AF585B22-221D-4780-BB9C-493D365A6A02}" xr6:coauthVersionLast="47" xr6:coauthVersionMax="47" xr10:uidLastSave="{0F24CF18-169B-41D3-BF16-F663F5C378FB}"/>
  <bookViews>
    <workbookView xWindow="-110" yWindow="-110" windowWidth="25820" windowHeight="15500" tabRatio="500" firstSheet="4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2" i="1" l="1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<sst xmlns="http://schemas.openxmlformats.org/spreadsheetml/2006/main" count="11273" uniqueCount="415">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</sst>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2" sqref="G32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1888710</v>
      </c>
      <c r="D31" s="11">
        <f>IFERROR('Linha 1'!O757,"")</f>
        <v>658990</v>
      </c>
      <c r="E31" s="11">
        <f>IFERROR('Linha 2'!O757,"")</f>
        <v>176540</v>
      </c>
      <c r="F31" s="11">
        <f>IFERROR('Linha 3'!O757,"")</f>
        <v>635080</v>
      </c>
      <c r="G31" s="12">
        <f t="shared" si="0"/>
        <v>1470610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>IFERROR(D32+E32+F32,"")</f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84131518</v>
      </c>
      <c r="D35" s="13">
        <f>IFERROR(SUM(D4:D34),"")</f>
        <v>33994380</v>
      </c>
      <c r="E35" s="13">
        <f>IFERROR(SUM(E4:E34),"")</f>
        <v>19455040</v>
      </c>
      <c r="F35" s="13">
        <f>IFERROR(SUM(F4:F34),"")</f>
        <v>35457290</v>
      </c>
      <c r="G35" s="13">
        <f>IFERROR(SUM(G4:G34),"")</f>
        <v>88906710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205</v>
      </c>
      <c r="L58" s="16"/>
      <c r="M58" s="16"/>
    </row>
    <row r="59" spans="1:13" ht="15" customHeight="1">
      <c r="H59" s="113"/>
      <c r="I59" s="17"/>
      <c r="J59" s="17"/>
      <c r="K59" s="17" t="s">
        <v>206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207</v>
      </c>
      <c r="L61" s="17"/>
      <c r="M61" s="17"/>
    </row>
    <row r="62" spans="1:13" ht="15" customHeight="1">
      <c r="H62" s="113"/>
      <c r="I62" s="16"/>
      <c r="J62" s="16"/>
      <c r="K62" s="16" t="s">
        <v>208</v>
      </c>
      <c r="L62" s="16"/>
      <c r="M62" s="16"/>
    </row>
    <row r="63" spans="1:13" ht="15" customHeight="1">
      <c r="H63" s="113"/>
      <c r="I63" s="17"/>
      <c r="J63" s="17"/>
      <c r="K63" s="17" t="s">
        <v>209</v>
      </c>
      <c r="L63" s="17"/>
      <c r="M63" s="17"/>
    </row>
    <row r="64" spans="1:13" ht="15" customHeight="1">
      <c r="H64" s="113"/>
      <c r="I64" s="16"/>
      <c r="J64" s="16"/>
      <c r="K64" s="16" t="s">
        <v>210</v>
      </c>
      <c r="L64" s="16"/>
      <c r="M64" s="16"/>
    </row>
    <row r="65" spans="8:13" ht="15" customHeight="1">
      <c r="H65" s="113"/>
      <c r="I65" s="17"/>
      <c r="J65" s="17"/>
      <c r="K65" s="17" t="s">
        <v>211</v>
      </c>
      <c r="L65" s="17"/>
      <c r="M65" s="17"/>
    </row>
    <row r="66" spans="8:13" ht="15" customHeight="1">
      <c r="H66" s="113"/>
      <c r="I66" s="16"/>
      <c r="J66" s="16"/>
      <c r="K66" s="16" t="s">
        <v>212</v>
      </c>
      <c r="L66" s="16"/>
      <c r="M66" s="16"/>
    </row>
    <row r="67" spans="8:13" ht="15" customHeight="1">
      <c r="H67" s="113"/>
      <c r="I67" s="17"/>
      <c r="J67" s="17"/>
      <c r="K67" s="17" t="s">
        <v>213</v>
      </c>
      <c r="L67" s="17"/>
      <c r="M67" s="17"/>
    </row>
    <row r="68" spans="8:13" ht="15" customHeight="1">
      <c r="H68" s="113"/>
      <c r="I68" s="16"/>
      <c r="J68" s="16"/>
      <c r="K68" s="16" t="s">
        <v>214</v>
      </c>
      <c r="L68" s="16"/>
      <c r="M68" s="16"/>
    </row>
    <row r="69" spans="8:13" ht="15" customHeight="1">
      <c r="H69" s="113"/>
      <c r="I69" s="17"/>
      <c r="J69" s="17"/>
      <c r="K69" s="17" t="s">
        <v>215</v>
      </c>
      <c r="L69" s="17"/>
      <c r="M69" s="17"/>
    </row>
    <row r="70" spans="8:13" ht="15" customHeight="1">
      <c r="H70" s="113"/>
      <c r="I70" s="16"/>
      <c r="J70" s="16"/>
      <c r="K70" s="16" t="s">
        <v>216</v>
      </c>
      <c r="L70" s="16"/>
      <c r="M70" s="16"/>
    </row>
    <row r="71" spans="8:13" ht="15" customHeight="1">
      <c r="H71" s="113"/>
      <c r="I71" s="17"/>
      <c r="J71" s="17"/>
      <c r="K71" s="17" t="s">
        <v>217</v>
      </c>
      <c r="L71" s="17"/>
      <c r="M71" s="17"/>
    </row>
    <row r="72" spans="8:13" ht="15" customHeight="1">
      <c r="H72" s="113"/>
      <c r="I72" s="16"/>
      <c r="J72" s="16"/>
      <c r="K72" s="16" t="s">
        <v>218</v>
      </c>
      <c r="L72" s="16"/>
      <c r="M72" s="16"/>
    </row>
    <row r="73" spans="8:13" ht="15" customHeight="1">
      <c r="H73" s="113"/>
      <c r="I73" s="17"/>
      <c r="J73" s="17"/>
      <c r="K73" s="17" t="s">
        <v>219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47" activePane="bottomLeft" state="frozen"/>
      <selection pane="bottomLeft" activeCell="E755" sqref="E75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232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234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234</v>
      </c>
      <c r="O27" s="39">
        <v>1183060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237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238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234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234</v>
      </c>
      <c r="O54" s="39">
        <v>959290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237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234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239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234</v>
      </c>
      <c r="O81" s="39">
        <v>878050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237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234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1700000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237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234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234</v>
      </c>
      <c r="O135" s="39">
        <v>862330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237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234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231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234</v>
      </c>
      <c r="O162" s="44">
        <v>1546080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237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231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231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231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231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231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231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231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231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231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231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234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231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231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231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231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231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231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231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231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231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231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231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231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>
        <v>2355810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237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231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231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231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231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231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231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231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231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231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231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231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231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234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234</v>
      </c>
      <c r="O216" s="45">
        <v>2013260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237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231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231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231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231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231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234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234</v>
      </c>
      <c r="O243" s="39">
        <v>1545480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237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231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231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231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231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231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231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234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>
        <v>1182690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237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234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244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245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245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245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245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245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231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245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245</v>
      </c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234</v>
      </c>
      <c r="O297" s="39">
        <v>1843460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237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246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247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234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231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248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248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248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231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248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>
        <v>1940000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237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231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231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231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231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231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231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231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231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231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231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234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231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231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231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231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231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231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231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231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231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231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231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231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234</v>
      </c>
      <c r="O351" s="39">
        <v>701874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237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250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231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231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231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231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231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231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231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231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231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231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231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234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231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231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231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231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231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231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231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231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231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231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231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234</v>
      </c>
      <c r="O378" s="39">
        <v>1088710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237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231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211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231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251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231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252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231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231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231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231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231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231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231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231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234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231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231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253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231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231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231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231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231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231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231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231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231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234</v>
      </c>
      <c r="O405" s="39">
        <v>1202270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237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231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254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231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231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255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231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231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231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231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231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256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256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231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234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231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231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231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231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231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231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231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231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231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231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231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>
        <v>1801910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237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231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215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231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231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231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231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231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231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231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231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234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258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216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258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258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258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258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258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258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258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258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258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258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258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234</v>
      </c>
      <c r="O459" s="39">
        <v>2675000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237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>
        <v>2310070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231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231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231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231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231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234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231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231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231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231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231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231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231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231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231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231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>
        <v>1298429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237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259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231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231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231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231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231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231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231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231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231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231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231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234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231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231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260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231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231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231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231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231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231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231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231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231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234</v>
      </c>
      <c r="O540" s="39">
        <v>1240140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237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231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208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231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231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231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231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231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231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231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231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234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231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231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231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231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231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231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231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231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231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231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231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231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234</v>
      </c>
      <c r="O567" s="39">
        <v>1482110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237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231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231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231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231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231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231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234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231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231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231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231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231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231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231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231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234</v>
      </c>
      <c r="O594" s="39">
        <v>1036800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237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231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231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231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231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231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231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231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231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231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231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231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231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234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262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231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231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231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231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231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231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231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231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231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234</v>
      </c>
      <c r="O621" s="39">
        <v>1295785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237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231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231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231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231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231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231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231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231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231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231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231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231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263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231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231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231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231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231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231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231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231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231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231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231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234</v>
      </c>
      <c r="O648" s="39">
        <v>1954490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237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231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231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231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231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231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231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231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231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231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231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231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234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231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264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231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231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231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231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231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231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231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231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231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231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234</v>
      </c>
      <c r="O675" s="39">
        <v>471180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237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231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265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231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231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231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231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231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231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231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231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231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231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231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234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231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267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231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231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231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231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231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231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231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231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231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234</v>
      </c>
      <c r="O702" s="39">
        <v>1620480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237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231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231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231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231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231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231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231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231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231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231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231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234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231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231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231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231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231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231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231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258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258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258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234</v>
      </c>
      <c r="O729" s="39">
        <v>1145450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237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269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231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231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231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231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231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231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231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231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231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231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231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36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231</v>
      </c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231</v>
      </c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231</v>
      </c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231</v>
      </c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231</v>
      </c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231</v>
      </c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231</v>
      </c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231</v>
      </c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231</v>
      </c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231</v>
      </c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231</v>
      </c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231</v>
      </c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413</v>
      </c>
      <c r="G757" s="40">
        <f>G743+G756</f>
        <v>2040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1888710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59" t="s">
        <v>231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44" activePane="bottomLeft" state="frozen"/>
      <selection pane="bottomLeft" activeCell="H746" sqref="H74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234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234</v>
      </c>
      <c r="O27" s="77">
        <v>393200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237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270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234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271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258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84">
        <v>276360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237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272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273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234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234</v>
      </c>
      <c r="O81" s="54">
        <v>787860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237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274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234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275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276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277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234</v>
      </c>
      <c r="O108" s="54">
        <v>1087080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237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278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234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279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249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280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281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234</v>
      </c>
      <c r="O135" s="54">
        <v>794480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237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282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283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234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284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206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234</v>
      </c>
      <c r="O162" s="54">
        <v>882280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237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234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234</v>
      </c>
      <c r="O189" s="77"/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237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234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286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287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234</v>
      </c>
      <c r="O216" s="77">
        <v>648410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237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288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289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233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234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206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290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284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234</v>
      </c>
      <c r="O243" s="77">
        <v>849060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237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291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234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234</v>
      </c>
      <c r="O270" s="77">
        <v>625070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237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292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293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234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294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234</v>
      </c>
      <c r="O297" s="77">
        <v>761660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237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295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234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296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234</v>
      </c>
      <c r="O324" s="77">
        <v>524410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237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298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234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299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300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234</v>
      </c>
      <c r="O351" s="77">
        <v>598420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237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234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0.57362685185216833</v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0.73126574074105721</v>
      </c>
      <c r="N378" s="36" t="s">
        <v>234</v>
      </c>
      <c r="O378" s="77">
        <v>511980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0.84098796296327938</v>
      </c>
      <c r="N379" s="40" t="s">
        <v>237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212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284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301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234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302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249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234</v>
      </c>
      <c r="O405" s="77">
        <v>552440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237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234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303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0.55209907407697756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0.72293240741031095</v>
      </c>
      <c r="N432" s="36" t="s">
        <v>234</v>
      </c>
      <c r="O432" s="77">
        <v>484540</v>
      </c>
    </row>
    <row r="433" spans="1:15" ht="18" customHeight="1">
      <c r="A433" s="93" t="s">
        <v>236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0.86807129629919988</v>
      </c>
      <c r="N433" s="40" t="s">
        <v>237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305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234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306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234</v>
      </c>
      <c r="O459" s="77">
        <v>631190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237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307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308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309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234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310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234</v>
      </c>
      <c r="O486" s="77">
        <v>969510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237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311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234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234</v>
      </c>
      <c r="O513" s="77">
        <v>556040</v>
      </c>
    </row>
    <row r="514" spans="1:15" ht="18" customHeight="1">
      <c r="A514" s="93" t="s">
        <v>236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237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312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234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234</v>
      </c>
      <c r="O540" s="77">
        <v>548610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237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313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234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314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234</v>
      </c>
      <c r="O567" s="77">
        <v>722660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237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315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234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234</v>
      </c>
      <c r="O594" s="77">
        <v>644900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237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316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234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317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234</v>
      </c>
      <c r="O621" s="77">
        <v>348050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237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258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258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258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258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258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258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258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234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234</v>
      </c>
      <c r="O648" s="77">
        <v>757160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237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318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319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320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321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234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234</v>
      </c>
      <c r="O675" s="77">
        <v>681950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237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207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322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258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323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233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234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324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325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234</v>
      </c>
      <c r="O702" s="77">
        <v>813880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237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326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327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328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234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258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329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231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258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258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258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330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258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258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258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231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231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231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258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234</v>
      </c>
      <c r="O729" s="77">
        <v>766420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237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258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258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331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258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258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258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258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258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332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258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258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258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258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258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234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258</v>
      </c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258</v>
      </c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258</v>
      </c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258</v>
      </c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258</v>
      </c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258</v>
      </c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258</v>
      </c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258</v>
      </c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258</v>
      </c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258</v>
      </c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258</v>
      </c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258</v>
      </c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135</v>
      </c>
      <c r="G757" s="40">
        <f>G743+G756</f>
        <v>567</v>
      </c>
      <c r="H757" s="41"/>
      <c r="I757" s="41"/>
      <c r="J757" s="41"/>
      <c r="K757" s="41"/>
      <c r="L757" s="41"/>
      <c r="M757" s="42">
        <f ca="1">IFERROR(M743+M756,"")</f>
        <v>7.0138888888888862E-2</v>
      </c>
      <c r="N757" s="40" t="s">
        <v>237</v>
      </c>
      <c r="O757" s="83">
        <f>IFERROR(O743+O756,"")</f>
        <v>658990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728" zoomScale="50" zoomScaleNormal="50" workbookViewId="0">
      <selection activeCell="C744" sqref="C744:C75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320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333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234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234</v>
      </c>
      <c r="O27" s="39">
        <v>308500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237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334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234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39">
        <v>124290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237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335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234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306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234</v>
      </c>
      <c r="O81" s="39">
        <v>396340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237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336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234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234</v>
      </c>
      <c r="O108" s="39">
        <v>41230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237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234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281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234</v>
      </c>
      <c r="O135" s="39">
        <v>381250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237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337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283</v>
      </c>
      <c r="K141" s="29">
        <v>0.71597222222222223</v>
      </c>
      <c r="L141" s="29" t="s">
        <v>338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231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231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234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339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234</v>
      </c>
      <c r="O162" s="39">
        <v>337120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237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340</v>
      </c>
      <c r="N166" s="27" t="s">
        <v>341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234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234</v>
      </c>
      <c r="O189" s="39">
        <v>747210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237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342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234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234</v>
      </c>
      <c r="O216" s="39">
        <v>468430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237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234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234</v>
      </c>
      <c r="O243" s="39">
        <v>575930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237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208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234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343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344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234</v>
      </c>
      <c r="O270" s="39">
        <v>483510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237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234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345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346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234</v>
      </c>
      <c r="O297" s="39">
        <v>487980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237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347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234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348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349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234</v>
      </c>
      <c r="O324" s="39">
        <v>609460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237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350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306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231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337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234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234</v>
      </c>
      <c r="O351" s="39">
        <v>437940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237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234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234</v>
      </c>
      <c r="O378" s="39">
        <v>473310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237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234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234</v>
      </c>
      <c r="O405" s="39">
        <v>507450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237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258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231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231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234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303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234</v>
      </c>
      <c r="O432" s="39">
        <v>229150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237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351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234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234</v>
      </c>
      <c r="O459" s="39">
        <v>409980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237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231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231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231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231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234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234</v>
      </c>
      <c r="O486" s="39">
        <v>341550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237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352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231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234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234</v>
      </c>
      <c r="O513" s="39">
        <v>276610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237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234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353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354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355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234</v>
      </c>
      <c r="O540" s="39">
        <v>194990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237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356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234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357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234</v>
      </c>
      <c r="O567" s="39">
        <v>315860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237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358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234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234</v>
      </c>
      <c r="O594" s="39">
        <v>424930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237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359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322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234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234</v>
      </c>
      <c r="O621" s="39">
        <v>377360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237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234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234</v>
      </c>
      <c r="O648" s="39">
        <v>319500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237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360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322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234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361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234</v>
      </c>
      <c r="O675" s="39">
        <v>323580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237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234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234</v>
      </c>
      <c r="O702" s="39">
        <v>349730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237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306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234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234</v>
      </c>
      <c r="O729" s="39">
        <v>175420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237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258</v>
      </c>
      <c r="F731" s="27">
        <v>1</v>
      </c>
      <c r="G731" s="34">
        <f t="shared" ref="G731:G740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258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320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258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258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258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320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258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258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258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258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258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258</v>
      </c>
      <c r="F741" s="27">
        <v>6</v>
      </c>
      <c r="G741" s="34">
        <f>IF(F741="","",IF(E742="PC 17",F741*4.2,IF(E742="PC 19",F741*5,"")))</f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258</v>
      </c>
      <c r="F742" s="27">
        <v>6</v>
      </c>
      <c r="G742" s="28" t="e">
        <f>IF(F742="","",IF(#REF!="PC 17",F742*4.2,IF(#REF!="PC 19",F742*5,"")))</f>
        <v>#REF!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 t="e">
        <f>SUM(G731:G742)</f>
        <v>#REF!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234</v>
      </c>
      <c r="O743" s="39">
        <v>176540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65</v>
      </c>
      <c r="G757" s="40" t="e">
        <f>G743+G756</f>
        <v>#REF!</v>
      </c>
      <c r="H757" s="41"/>
      <c r="I757" s="41"/>
      <c r="J757" s="41"/>
      <c r="K757" s="41"/>
      <c r="L757" s="41"/>
      <c r="M757" s="42">
        <f ca="1">IFERROR(M743+M756,"")</f>
        <v>6.458333333333327E-2</v>
      </c>
      <c r="N757" s="40" t="s">
        <v>237</v>
      </c>
      <c r="O757" s="48">
        <f>IFERROR(O743+O756,"")</f>
        <v>176540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22" activePane="bottomLeft" state="frozen"/>
      <selection pane="bottomLeft" activeCell="L739" sqref="L73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362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306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234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363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234</v>
      </c>
      <c r="O27" s="39">
        <v>202230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237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364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365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234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234</v>
      </c>
      <c r="O54" s="39">
        <v>473910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237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366</v>
      </c>
      <c r="L58" s="29">
        <v>0.54097222222222219</v>
      </c>
      <c r="M58" s="30" t="str">
        <f t="shared" ca="1" si="13"/>
        <v/>
      </c>
      <c r="N58" s="27" t="s">
        <v>367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234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320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368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369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370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371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234</v>
      </c>
      <c r="O81" s="39">
        <v>565120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237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372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234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234</v>
      </c>
      <c r="O108" s="39">
        <v>558590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237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373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234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374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375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0.56390462963463506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281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0.76321018519019068</v>
      </c>
      <c r="N135" s="36" t="s">
        <v>234</v>
      </c>
      <c r="O135" s="39">
        <v>729290</v>
      </c>
    </row>
    <row r="136" spans="1:18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1.1305712963013017</v>
      </c>
      <c r="N136" s="40" t="s">
        <v>237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376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283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234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337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234</v>
      </c>
      <c r="O162" s="39">
        <v>697320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237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258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378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234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234</v>
      </c>
      <c r="O189" s="39">
        <v>973580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237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379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380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234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381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234</v>
      </c>
      <c r="O216" s="45">
        <v>1060630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237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382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383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384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234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385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234</v>
      </c>
      <c r="O243" s="39">
        <v>982340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237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386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207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234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234</v>
      </c>
      <c r="O270" s="39">
        <v>1208450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237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234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234</v>
      </c>
      <c r="O297" s="39">
        <v>1049090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237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387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209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210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234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278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234</v>
      </c>
      <c r="O324" s="39">
        <v>1063720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237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306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233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234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388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389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234</v>
      </c>
      <c r="O351" s="39">
        <v>696140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237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337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234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390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234</v>
      </c>
      <c r="O378" s="39">
        <v>704750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237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391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378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234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392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393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234</v>
      </c>
      <c r="O405" s="39">
        <v>958130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237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234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394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234</v>
      </c>
      <c r="O432" s="39">
        <v>605220</v>
      </c>
    </row>
    <row r="433" spans="1:17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237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214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234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317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217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234</v>
      </c>
      <c r="O459" s="39">
        <v>615330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237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395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396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371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234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234</v>
      </c>
      <c r="O486" s="39">
        <v>1120830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237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371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231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231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231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258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258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258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258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258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234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397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234</v>
      </c>
      <c r="O513" s="39">
        <v>416720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237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218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398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399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234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234</v>
      </c>
      <c r="O540" s="39">
        <v>404370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237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400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401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402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234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258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403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258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258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258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258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258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234</v>
      </c>
      <c r="O567" s="39">
        <v>499820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237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404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234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258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258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258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258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258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258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258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258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234</v>
      </c>
      <c r="O594" s="39">
        <v>572580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237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219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405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234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258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258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234</v>
      </c>
      <c r="O621" s="39">
        <v>414860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237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209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219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406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219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234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407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234</v>
      </c>
      <c r="O648" s="39">
        <v>284850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237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219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408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234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219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409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234</v>
      </c>
      <c r="O675" s="39">
        <v>486620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237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258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234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410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411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234</v>
      </c>
      <c r="O702" s="39">
        <v>988790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237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278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320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234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412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234</v>
      </c>
      <c r="O729" s="39">
        <v>852470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237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258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258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413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258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258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414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258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258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258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258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258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258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258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258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234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157</v>
      </c>
      <c r="G757" s="40">
        <f>G743+G756</f>
        <v>659.4</v>
      </c>
      <c r="H757" s="41"/>
      <c r="I757" s="41"/>
      <c r="J757" s="41"/>
      <c r="K757" s="63"/>
      <c r="L757" s="63"/>
      <c r="M757" s="42">
        <f ca="1">IFERROR(M743+M756,"")</f>
        <v>1.1083333333333334</v>
      </c>
      <c r="N757" s="40" t="s">
        <v>237</v>
      </c>
      <c r="O757" s="48">
        <f>IFERROR(O743+O756,"")</f>
        <v>635080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2026-07-28T23:31:31Z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