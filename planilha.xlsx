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892" documentId="8_{AF585B22-221D-4780-BB9C-493D365A6A02}" xr6:coauthVersionLast="47" xr6:coauthVersionMax="47" xr10:uidLastSave="{F37E2FB2-0916-4F6C-B6AB-C989A5EA0579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<sst xmlns="http://schemas.openxmlformats.org/spreadsheetml/2006/main" count="6913" uniqueCount="335">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</sst>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9" sqref="G1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1600690</v>
      </c>
      <c r="D19" s="11">
        <f>IFERROR('Linha 1'!O433,"")</f>
        <v>700000</v>
      </c>
      <c r="E19" s="11">
        <f>IFERROR('Linha 2'!O433,"")</f>
        <v>209000</v>
      </c>
      <c r="F19" s="11">
        <f>IFERROR('Linha 3'!O433,"")</f>
        <v>491520</v>
      </c>
      <c r="G19" s="12">
        <f t="shared" si="0"/>
        <v>1400520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46522052</v>
      </c>
      <c r="D35" s="13">
        <f>IFERROR(SUM(D4:D34),"")</f>
        <v>17280590</v>
      </c>
      <c r="E35" s="13">
        <f>IFERROR(SUM(E4:E34),"")</f>
        <v>11416280</v>
      </c>
      <c r="F35" s="13">
        <f>IFERROR(SUM(F4:F34),"")</f>
        <v>21432540</v>
      </c>
      <c r="G35" s="13">
        <f>IFERROR(SUM(G4:G34),"")</f>
        <v>50129410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29" zoomScale="85" zoomScaleNormal="85" workbookViewId="0">
      <selection activeCell="K68" sqref="K6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4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4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4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4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4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4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4"/>
      <c r="I55" s="17"/>
      <c r="J55" s="17"/>
      <c r="K55" s="17" t="s">
        <v>200</v>
      </c>
      <c r="L55" s="17"/>
      <c r="M55" s="17"/>
    </row>
    <row r="56" spans="1:13" ht="15" customHeight="1">
      <c r="H56" s="104"/>
      <c r="I56" s="16"/>
      <c r="J56" s="16"/>
      <c r="K56" s="16" t="s">
        <v>201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202</v>
      </c>
      <c r="L58" s="16"/>
      <c r="M58" s="16"/>
    </row>
    <row r="59" spans="1:13" ht="15" customHeight="1">
      <c r="H59" s="104"/>
      <c r="I59" s="17"/>
      <c r="J59" s="17"/>
      <c r="K59" s="17" t="s">
        <v>203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204</v>
      </c>
      <c r="L61" s="17"/>
      <c r="M61" s="17"/>
    </row>
    <row r="62" spans="1:13" ht="15" customHeight="1">
      <c r="H62" s="104"/>
      <c r="I62" s="16"/>
      <c r="J62" s="16"/>
      <c r="K62" s="16" t="s">
        <v>205</v>
      </c>
      <c r="L62" s="16"/>
      <c r="M62" s="16"/>
    </row>
    <row r="63" spans="1:13" ht="15" customHeight="1">
      <c r="H63" s="104"/>
      <c r="I63" s="17"/>
      <c r="J63" s="17"/>
      <c r="K63" s="17" t="s">
        <v>206</v>
      </c>
      <c r="L63" s="17"/>
      <c r="M63" s="17"/>
    </row>
    <row r="64" spans="1:13" ht="15" customHeight="1">
      <c r="H64" s="104"/>
      <c r="I64" s="16"/>
      <c r="J64" s="16"/>
      <c r="K64" s="16" t="s">
        <v>207</v>
      </c>
      <c r="L64" s="16"/>
      <c r="M64" s="16"/>
    </row>
    <row r="65" spans="8:13" ht="15" customHeight="1">
      <c r="H65" s="104"/>
      <c r="I65" s="17"/>
      <c r="J65" s="17"/>
      <c r="K65" s="17" t="s">
        <v>208</v>
      </c>
      <c r="L65" s="17"/>
      <c r="M65" s="17"/>
    </row>
    <row r="66" spans="8:13" ht="15" customHeight="1">
      <c r="H66" s="104"/>
      <c r="I66" s="16"/>
      <c r="J66" s="16"/>
      <c r="K66" s="16" t="s">
        <v>209</v>
      </c>
      <c r="L66" s="16"/>
      <c r="M66" s="16"/>
    </row>
    <row r="67" spans="8:13" ht="15" customHeight="1">
      <c r="H67" s="104"/>
      <c r="I67" s="17"/>
      <c r="J67" s="17"/>
      <c r="K67" s="17" t="s">
        <v>210</v>
      </c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15" activePane="bottomLeft" state="frozen"/>
      <selection pane="bottomLeft" activeCell="F426" sqref="F42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221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225</v>
      </c>
      <c r="O27" s="39">
        <v>1183060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225</v>
      </c>
      <c r="O54" s="39">
        <v>959290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225</v>
      </c>
      <c r="O81" s="39">
        <v>878050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225</v>
      </c>
      <c r="O108" s="39">
        <v>1700000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225</v>
      </c>
      <c r="O135" s="39">
        <v>862330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225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225</v>
      </c>
      <c r="O162" s="44">
        <v>1546080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228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225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225</v>
      </c>
      <c r="O189" s="39">
        <v>2355810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228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225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225</v>
      </c>
      <c r="O216" s="45">
        <v>2013260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228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225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225</v>
      </c>
      <c r="O243" s="39">
        <v>1545480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228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225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225</v>
      </c>
      <c r="O270" s="39">
        <v>1182690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228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225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235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236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236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236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236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236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236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236</v>
      </c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225</v>
      </c>
      <c r="O297" s="39">
        <v>1843460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228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237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238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225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239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239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239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239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225</v>
      </c>
      <c r="O324" s="39">
        <v>1940000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228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240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225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225</v>
      </c>
      <c r="O351" s="39">
        <v>701874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228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241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225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225</v>
      </c>
      <c r="O378" s="39">
        <v>1088710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228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242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243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225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244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225</v>
      </c>
      <c r="O405" s="39">
        <v>1202270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228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245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246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247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247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225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222</v>
      </c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222</v>
      </c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222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222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222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176</v>
      </c>
      <c r="G432" s="36">
        <f>SUM(G420:G431)</f>
        <v>880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225</v>
      </c>
      <c r="O432" s="39"/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397</v>
      </c>
      <c r="G433" s="40">
        <f>G419+G432</f>
        <v>1985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228</v>
      </c>
      <c r="O433" s="48">
        <f>IFERROR(O419+O432,"")</f>
        <v>1600690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59" t="s">
        <v>222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05" activePane="bottomLeft" state="frozen"/>
      <selection pane="bottomLeft" activeCell="N421" sqref="N42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225</v>
      </c>
      <c r="O27" s="78">
        <v>393200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248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225</v>
      </c>
      <c r="O54" s="85">
        <v>276360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225</v>
      </c>
      <c r="O81" s="54">
        <v>787860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225</v>
      </c>
      <c r="O108" s="54">
        <v>1087080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240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225</v>
      </c>
      <c r="O135" s="54">
        <v>794480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225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225</v>
      </c>
      <c r="O162" s="54">
        <v>882280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228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225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225</v>
      </c>
      <c r="O189" s="78"/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225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265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266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225</v>
      </c>
      <c r="O216" s="78">
        <v>648410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228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268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224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225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263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225</v>
      </c>
      <c r="O243" s="78">
        <v>849060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228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225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225</v>
      </c>
      <c r="O270" s="78">
        <v>625070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228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271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272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225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225</v>
      </c>
      <c r="O297" s="78">
        <v>761660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228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274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225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275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276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225</v>
      </c>
      <c r="O324" s="78">
        <v>524410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228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248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225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278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279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225</v>
      </c>
      <c r="O351" s="78">
        <v>598420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228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225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0.84006018518266501</v>
      </c>
      <c r="N377" s="46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0.99769907407155389</v>
      </c>
      <c r="N378" s="36" t="s">
        <v>225</v>
      </c>
      <c r="O378" s="78">
        <v>511980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1.1074212962937762</v>
      </c>
      <c r="N379" s="40" t="s">
        <v>228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248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263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248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280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225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281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240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225</v>
      </c>
      <c r="O405" s="78">
        <v>552440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228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225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282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248</v>
      </c>
      <c r="F423" s="27">
        <v>0</v>
      </c>
      <c r="G423" s="34">
        <f t="shared" si="93"/>
        <v>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248</v>
      </c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248</v>
      </c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248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248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248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248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40</v>
      </c>
      <c r="G432" s="36">
        <f>SUM(G420:G431)</f>
        <v>168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225</v>
      </c>
      <c r="O432" s="78"/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179</v>
      </c>
      <c r="G433" s="40">
        <f>G419+G432</f>
        <v>764.60000000000014</v>
      </c>
      <c r="H433" s="41"/>
      <c r="I433" s="41"/>
      <c r="J433" s="41"/>
      <c r="K433" s="41"/>
      <c r="L433" s="41"/>
      <c r="M433" s="42">
        <f ca="1">IFERROR(M419+M432,"")</f>
        <v>0.29583333333333334</v>
      </c>
      <c r="N433" s="40" t="s">
        <v>228</v>
      </c>
      <c r="O433" s="84">
        <f>IFERROR(O419+O432,"")</f>
        <v>700000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78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78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78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78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78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78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78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78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78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78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78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04" zoomScale="50" zoomScaleNormal="50" workbookViewId="0">
      <selection activeCell="S422" sqref="S42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225</v>
      </c>
      <c r="O27" s="39">
        <v>308500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225</v>
      </c>
      <c r="O54" s="39">
        <v>124290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225</v>
      </c>
      <c r="O81" s="39">
        <v>396340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225</v>
      </c>
      <c r="O108" s="39">
        <v>41230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225</v>
      </c>
      <c r="O135" s="39">
        <v>381250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262</v>
      </c>
      <c r="K141" s="29">
        <v>0.71597222222222223</v>
      </c>
      <c r="L141" s="29" t="s">
        <v>290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225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225</v>
      </c>
      <c r="O162" s="39">
        <v>337120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228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292</v>
      </c>
      <c r="N166" s="27" t="s">
        <v>293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225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225</v>
      </c>
      <c r="O189" s="39">
        <v>747210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228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225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225</v>
      </c>
      <c r="O216" s="39">
        <v>468430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228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225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225</v>
      </c>
      <c r="O243" s="39">
        <v>575930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228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225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225</v>
      </c>
      <c r="O270" s="39">
        <v>483510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228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225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225</v>
      </c>
      <c r="O297" s="39">
        <v>487980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228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225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225</v>
      </c>
      <c r="O324" s="39">
        <v>609460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228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225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225</v>
      </c>
      <c r="O351" s="39">
        <v>437940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228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225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225</v>
      </c>
      <c r="O378" s="39">
        <v>473310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228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225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225</v>
      </c>
      <c r="O405" s="39">
        <v>507450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228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248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225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/>
      <c r="E420" s="59" t="s">
        <v>222</v>
      </c>
      <c r="F420" s="27">
        <v>3</v>
      </c>
      <c r="G420" s="28">
        <f t="shared" ref="G420:G431" si="93">IF(F420="","",IF(E420="PC 17",F420*4.2,IF(E420="PC 19",F420*5,"")))</f>
        <v>15</v>
      </c>
      <c r="H420" s="26"/>
      <c r="I420" s="26"/>
      <c r="J420" s="26"/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39">
        <v>209000</v>
      </c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/>
      <c r="E421" s="59" t="s">
        <v>248</v>
      </c>
      <c r="F421" s="27">
        <v>0</v>
      </c>
      <c r="G421" s="34">
        <f t="shared" si="93"/>
        <v>0</v>
      </c>
      <c r="H421" s="33"/>
      <c r="I421" s="33"/>
      <c r="J421" s="33"/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282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/>
      <c r="E422" s="59" t="s">
        <v>248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/>
      <c r="E423" s="59" t="s">
        <v>248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/>
      <c r="E424" s="59" t="s">
        <v>248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/>
      <c r="E425" s="59" t="s">
        <v>248</v>
      </c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/>
      <c r="E426" s="59" t="s">
        <v>248</v>
      </c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/>
      <c r="E427" s="59" t="s">
        <v>248</v>
      </c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/>
      <c r="E428" s="59" t="s">
        <v>248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/>
      <c r="E429" s="59" t="s">
        <v>248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/>
      <c r="E430" s="59" t="s">
        <v>248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/>
      <c r="E431" s="59" t="s">
        <v>248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20</v>
      </c>
      <c r="G432" s="36">
        <f>SUM(G420:G431)</f>
        <v>86.4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225</v>
      </c>
      <c r="O432" s="39"/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81</v>
      </c>
      <c r="G433" s="40">
        <f>G419+G432</f>
        <v>346.6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228</v>
      </c>
      <c r="O433" s="48">
        <f>IFERROR(O420+O432,"")</f>
        <v>209000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00" activePane="bottomLeft" state="frozen"/>
      <selection pane="bottomLeft" activeCell="H425" sqref="H425:H42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225</v>
      </c>
      <c r="O27" s="39">
        <v>202230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225</v>
      </c>
      <c r="O54" s="39">
        <v>473910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307</v>
      </c>
      <c r="L58" s="29">
        <v>0.54097222222222219</v>
      </c>
      <c r="M58" s="30" t="str">
        <f t="shared" ca="1" si="13"/>
        <v/>
      </c>
      <c r="N58" s="27" t="s">
        <v>308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225</v>
      </c>
      <c r="O81" s="39">
        <v>565120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225</v>
      </c>
      <c r="O108" s="39">
        <v>558590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0.83033796296513174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1.0296435185206874</v>
      </c>
      <c r="N135" s="36" t="s">
        <v>225</v>
      </c>
      <c r="O135" s="39">
        <v>729290</v>
      </c>
    </row>
    <row r="136" spans="1:18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1.3970046296317984</v>
      </c>
      <c r="N136" s="40" t="s">
        <v>228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225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225</v>
      </c>
      <c r="O162" s="39">
        <v>697320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228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248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248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225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248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248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225</v>
      </c>
      <c r="O189" s="39">
        <v>973580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228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248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248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248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225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225</v>
      </c>
      <c r="O216" s="45">
        <v>1060630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228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248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225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225</v>
      </c>
      <c r="O243" s="39">
        <v>982340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228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225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225</v>
      </c>
      <c r="O270" s="39">
        <v>1208450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228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225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225</v>
      </c>
      <c r="O297" s="39">
        <v>1049090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228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225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257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225</v>
      </c>
      <c r="O324" s="39">
        <v>1063720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228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248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287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224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225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330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225</v>
      </c>
      <c r="O351" s="39">
        <v>696140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228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224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225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225</v>
      </c>
      <c r="O378" s="39">
        <v>704750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228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332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319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248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225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333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334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225</v>
      </c>
      <c r="O405" s="39">
        <v>958130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228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225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/>
      <c r="F421" s="27">
        <v>0</v>
      </c>
      <c r="G421" s="34" t="str">
        <f t="shared" si="93"/>
        <v/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/>
      <c r="F422" s="27">
        <v>0</v>
      </c>
      <c r="G422" s="28" t="str">
        <f t="shared" si="93"/>
        <v/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/>
      <c r="F423" s="27">
        <v>0</v>
      </c>
      <c r="G423" s="34" t="str">
        <f t="shared" si="93"/>
        <v/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/>
      <c r="F424" s="27">
        <v>14</v>
      </c>
      <c r="G424" s="28" t="str">
        <f t="shared" si="93"/>
        <v/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/>
      <c r="M424" s="30">
        <f t="shared" ca="1" si="94"/>
        <v>5.3379629607661627E-3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/>
      <c r="F425" s="27">
        <v>21</v>
      </c>
      <c r="G425" s="34" t="str">
        <f t="shared" si="93"/>
        <v/>
      </c>
      <c r="H425" s="33" t="s">
        <v>18</v>
      </c>
      <c r="I425" s="33" t="s">
        <v>57</v>
      </c>
      <c r="J425" s="33"/>
      <c r="K425" s="29">
        <v>7.9166666666666663E-2</v>
      </c>
      <c r="L425" s="29"/>
      <c r="M425" s="35">
        <f t="shared" ca="1" si="94"/>
        <v>4.7685184836154804E-4</v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35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0.18012037036468331</v>
      </c>
      <c r="N432" s="36" t="s">
        <v>225</v>
      </c>
      <c r="O432" s="39"/>
    </row>
    <row r="433" spans="1:17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149</v>
      </c>
      <c r="G433" s="40">
        <f>G419+G432</f>
        <v>482</v>
      </c>
      <c r="H433" s="41"/>
      <c r="I433" s="41"/>
      <c r="J433" s="41"/>
      <c r="K433" s="63"/>
      <c r="L433" s="63"/>
      <c r="M433" s="42">
        <f ca="1">IFERROR(M419+M432,"")</f>
        <v>0.41414814814246109</v>
      </c>
      <c r="N433" s="40" t="s">
        <v>228</v>
      </c>
      <c r="O433" s="48">
        <f>IFERROR(O419+O432,"")</f>
        <v>491520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228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2026-07-17T05:54:53Z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