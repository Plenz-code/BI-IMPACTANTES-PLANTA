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561" documentId="8_{AF585B22-221D-4780-BB9C-493D365A6A02}" xr6:coauthVersionLast="47" xr6:coauthVersionMax="47" xr10:uidLastSave="{B517ACD2-9CE1-47E2-83A3-017A9A231213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<sst xmlns="http://schemas.openxmlformats.org/spreadsheetml/2006/main" count="9190" uniqueCount="377">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</sst>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75" activePane="bottomLeft" state="frozen"/>
      <selection pane="bottomLeft" activeCell="E596" sqref="E59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228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230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232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232</v>
      </c>
      <c r="O27" s="39">
        <v>1183060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235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236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232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232</v>
      </c>
      <c r="O54" s="39">
        <v>959290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235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232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237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232</v>
      </c>
      <c r="O81" s="39">
        <v>878050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235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232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232</v>
      </c>
      <c r="O108" s="39">
        <v>1700000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235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232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232</v>
      </c>
      <c r="O135" s="39">
        <v>862330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235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232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232</v>
      </c>
      <c r="O162" s="44">
        <v>1546080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235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232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39">
        <v>2355810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235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232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232</v>
      </c>
      <c r="O216" s="45">
        <v>2013260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235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232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232</v>
      </c>
      <c r="O243" s="39">
        <v>1545480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235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232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39">
        <v>1182690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235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232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242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243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243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243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243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243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243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243</v>
      </c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232</v>
      </c>
      <c r="O297" s="39">
        <v>1843460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235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244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245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232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229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246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246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246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229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246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39">
        <v>1940000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235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229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229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229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229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229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229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229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229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229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229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232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229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229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229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229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229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229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229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229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229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229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229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229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232</v>
      </c>
      <c r="O351" s="39">
        <v>701874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235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248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229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229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229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229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229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229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229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229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229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229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229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232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229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229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229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229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229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229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229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229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229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229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229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232</v>
      </c>
      <c r="O378" s="39">
        <v>1088710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235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229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229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249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229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250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229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229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229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229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229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229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229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229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232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229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229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251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229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229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229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229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229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229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229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229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229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232</v>
      </c>
      <c r="O405" s="39">
        <v>1202270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235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229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252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229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229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253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229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229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229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229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229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254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254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229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232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229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229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229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229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229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229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229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229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229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229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229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39">
        <v>1801910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235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229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229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229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229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229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229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229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229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229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232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256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256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256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256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256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256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256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256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256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256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256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256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232</v>
      </c>
      <c r="O459" s="39">
        <v>2675000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235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39">
        <v>2310070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229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229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229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229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229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232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229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229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229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229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229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229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229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229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229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229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39">
        <v>1298429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235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257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229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229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229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229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229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229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229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229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229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229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229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232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229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229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258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229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229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229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229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229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229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229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229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229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232</v>
      </c>
      <c r="O540" s="39">
        <v>1240140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235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229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229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229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229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229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229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229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229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229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232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229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229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229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229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229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229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229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229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229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229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229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229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232</v>
      </c>
      <c r="O567" s="39">
        <v>1482110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235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229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229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229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229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229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229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232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229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229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229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229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229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229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229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229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229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229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232</v>
      </c>
      <c r="O594" s="39">
        <v>1036800</v>
      </c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235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59" t="s">
        <v>229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68" activePane="bottomLeft" state="frozen"/>
      <selection pane="bottomLeft" activeCell="E596" sqref="E5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232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232</v>
      </c>
      <c r="O27" s="77">
        <v>393200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235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232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84">
        <v>276360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235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232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232</v>
      </c>
      <c r="O81" s="54">
        <v>787860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235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232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232</v>
      </c>
      <c r="O108" s="54">
        <v>1087080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235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232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247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232</v>
      </c>
      <c r="O135" s="54">
        <v>794480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235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232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232</v>
      </c>
      <c r="O162" s="54">
        <v>882280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235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232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232</v>
      </c>
      <c r="O189" s="77"/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235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232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232</v>
      </c>
      <c r="O216" s="77">
        <v>648410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235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231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232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232</v>
      </c>
      <c r="O243" s="77">
        <v>849060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235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232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232</v>
      </c>
      <c r="O270" s="77">
        <v>625070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235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232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232</v>
      </c>
      <c r="O297" s="77">
        <v>761660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235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232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232</v>
      </c>
      <c r="O324" s="77">
        <v>524410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235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232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232</v>
      </c>
      <c r="O351" s="77">
        <v>598420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235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232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7.5952314815367572E-2</v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0.23359120370425646</v>
      </c>
      <c r="N378" s="36" t="s">
        <v>232</v>
      </c>
      <c r="O378" s="77">
        <v>511980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0.34331342592647862</v>
      </c>
      <c r="N379" s="40" t="s">
        <v>235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232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247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232</v>
      </c>
      <c r="O405" s="77">
        <v>552440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235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232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5.4424537040176801E-2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0.22525787037351017</v>
      </c>
      <c r="N432" s="36" t="s">
        <v>232</v>
      </c>
      <c r="O432" s="77">
        <v>484540</v>
      </c>
    </row>
    <row r="433" spans="1:15" ht="18" customHeight="1">
      <c r="A433" s="93" t="s">
        <v>234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0.37039675926239901</v>
      </c>
      <c r="N433" s="40" t="s">
        <v>235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232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232</v>
      </c>
      <c r="O459" s="77">
        <v>631190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235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232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232</v>
      </c>
      <c r="O486" s="77">
        <v>969510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235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232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232</v>
      </c>
      <c r="O513" s="77">
        <v>556040</v>
      </c>
    </row>
    <row r="514" spans="1:15" ht="18" customHeight="1">
      <c r="A514" s="93" t="s">
        <v>234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235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232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232</v>
      </c>
      <c r="O540" s="77">
        <v>548610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235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232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232</v>
      </c>
      <c r="O567" s="77">
        <v>722660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235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232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232</v>
      </c>
      <c r="O594" s="77">
        <v>644900</v>
      </c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235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77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77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77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77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77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68" zoomScale="50" zoomScaleNormal="50" workbookViewId="0">
      <selection activeCell="C596" sqref="C596:C60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232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232</v>
      </c>
      <c r="O27" s="39">
        <v>308500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235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232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39">
        <v>124290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235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232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232</v>
      </c>
      <c r="O81" s="39">
        <v>396340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235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232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232</v>
      </c>
      <c r="O108" s="39">
        <v>41230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235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232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232</v>
      </c>
      <c r="O135" s="39">
        <v>381250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235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273</v>
      </c>
      <c r="K141" s="29">
        <v>0.71597222222222223</v>
      </c>
      <c r="L141" s="29" t="s">
        <v>312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232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232</v>
      </c>
      <c r="O162" s="39">
        <v>337120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235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314</v>
      </c>
      <c r="N166" s="27" t="s">
        <v>315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232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232</v>
      </c>
      <c r="O189" s="39">
        <v>747210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235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232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232</v>
      </c>
      <c r="O216" s="39">
        <v>468430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235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232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232</v>
      </c>
      <c r="O243" s="39">
        <v>575930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235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232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232</v>
      </c>
      <c r="O270" s="39">
        <v>483510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235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232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232</v>
      </c>
      <c r="O297" s="39">
        <v>487980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235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232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232</v>
      </c>
      <c r="O324" s="39">
        <v>609460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235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229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232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232</v>
      </c>
      <c r="O351" s="39">
        <v>437940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235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232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232</v>
      </c>
      <c r="O378" s="39">
        <v>473310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235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232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232</v>
      </c>
      <c r="O405" s="39">
        <v>507450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235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229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229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232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232</v>
      </c>
      <c r="O432" s="39">
        <v>229150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235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232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232</v>
      </c>
      <c r="O459" s="39">
        <v>409980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235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229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229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229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229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232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232</v>
      </c>
      <c r="O486" s="39">
        <v>341550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235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229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232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232</v>
      </c>
      <c r="O513" s="39">
        <v>276610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235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232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232</v>
      </c>
      <c r="O540" s="39">
        <v>194990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235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232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232</v>
      </c>
      <c r="O567" s="39">
        <v>315860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235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232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232</v>
      </c>
      <c r="O594" s="39">
        <v>424930</v>
      </c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235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62" activePane="bottomLeft" state="frozen"/>
      <selection pane="bottomLeft" activeCell="O588" sqref="O58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232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232</v>
      </c>
      <c r="O27" s="39">
        <v>202230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235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232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232</v>
      </c>
      <c r="O54" s="39">
        <v>473910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235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337</v>
      </c>
      <c r="L58" s="29">
        <v>0.54097222222222219</v>
      </c>
      <c r="M58" s="30" t="str">
        <f t="shared" ca="1" si="13"/>
        <v/>
      </c>
      <c r="N58" s="27" t="s">
        <v>338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232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232</v>
      </c>
      <c r="O81" s="39">
        <v>565120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235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232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232</v>
      </c>
      <c r="O108" s="39">
        <v>558590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235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232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6.62300925978343E-2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0.26553564815338992</v>
      </c>
      <c r="N135" s="36" t="s">
        <v>232</v>
      </c>
      <c r="O135" s="39">
        <v>729290</v>
      </c>
    </row>
    <row r="136" spans="1:18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0.63289675926450095</v>
      </c>
      <c r="N136" s="40" t="s">
        <v>235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232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232</v>
      </c>
      <c r="O162" s="39">
        <v>697320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235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232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232</v>
      </c>
      <c r="O189" s="39">
        <v>973580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235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232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232</v>
      </c>
      <c r="O216" s="45">
        <v>1060630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235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232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232</v>
      </c>
      <c r="O243" s="39">
        <v>982340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235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232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232</v>
      </c>
      <c r="O270" s="39">
        <v>1208450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235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232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232</v>
      </c>
      <c r="O297" s="39">
        <v>1049090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235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232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232</v>
      </c>
      <c r="O324" s="39">
        <v>1063720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235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231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232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232</v>
      </c>
      <c r="O351" s="39">
        <v>696140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235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231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232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232</v>
      </c>
      <c r="O378" s="39">
        <v>704750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235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232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232</v>
      </c>
      <c r="O405" s="39">
        <v>958130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235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232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232</v>
      </c>
      <c r="O432" s="39">
        <v>605220</v>
      </c>
    </row>
    <row r="433" spans="1:17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235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232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232</v>
      </c>
      <c r="O459" s="39">
        <v>615330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235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232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232</v>
      </c>
      <c r="O486" s="39">
        <v>1120830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235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229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229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229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256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256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256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256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256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232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232</v>
      </c>
      <c r="O513" s="39">
        <v>416720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235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232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232</v>
      </c>
      <c r="O540" s="39">
        <v>404370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235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232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256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256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256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256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256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256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232</v>
      </c>
      <c r="O567" s="39">
        <v>499820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235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232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256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256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256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256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256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256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256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256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256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256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232</v>
      </c>
      <c r="O594" s="39">
        <v>572580</v>
      </c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235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i:0#.f|membership|controle.planta@harpiagold.com.br</cp:lastModifiedBy>
  <cp:revision>0</cp:revision>
  <dcterms:created xsi:type="dcterms:W3CDTF">2026-06-05T19:56:02Z</dcterms:created>
  <dcterms:modified xsi:type="dcterms:W3CDTF">2026-07-23T11:34:29Z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