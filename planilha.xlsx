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77" documentId="8_{C51EB6CB-002B-4D6B-B68F-DDEBDB4460C0}" xr6:coauthVersionLast="47" xr6:coauthVersionMax="47" xr10:uidLastSave="{20677764-EB04-4592-A1A0-57100CFE1500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<sst xmlns="http://schemas.openxmlformats.org/spreadsheetml/2006/main" count="5499" uniqueCount="335">
  <si>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</si>
  <si>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</si>
  <si>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</si>
  <si>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</si>
  <si>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</si>
  <si>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</si>
  <si>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</si>
  <si>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</si>
  <si>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</si>
  <si>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</si>
  <si>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</si>
  <si>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</si>
  <si>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</si>
  <si>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</si>
  <si>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</si>
  <si>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</si>
  <si>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</si>
  <si>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</si>
  <si>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</si>
  <si>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</si>
  <si>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</si>
  <si>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</si>
  <si>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</si>
  <si>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</si>
  <si>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</si>
  <si>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</si>
  <si>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</si>
  <si>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</si>
  <si>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</si>
  <si>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</si>
  <si>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</si>
  <si>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</si>
  <si>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</si>
  <si>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</si>
  <si>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</si>
  <si>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</si>
  <si>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</si>
  <si>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</si>
  <si>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</si>
  <si>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</si>
  <si>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</si>
  <si>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</si>
  <si>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</si>
  <si>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</si>
  <si>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</si>
  <si>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</si>
  <si>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</si>
  <si>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</si>
  <si>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</si>
  <si>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</si>
  <si>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</si>
  <si>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</si>
  <si>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</si>
  <si>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</si>
  <si>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</si>
  <si>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</si>
  <si>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</si>
  <si>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</si>
  <si>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</si>
  <si>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</si>
  <si>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</si>
  <si>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</si>
  <si>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</si>
  <si>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</si>
  <si>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</si>
  <si>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</si>
  <si>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</si>
  <si>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</si>
  <si>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</si>
  <si>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</si>
  <si>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</si>
  <si>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</si>
  <si>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</si>
  <si>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</si>
  <si>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</si>
  <si>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</si>
  <si>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</si>
  <si>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</si>
  <si>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</si>
  <si>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</si>
  <si>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</si>
  <si>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</si>
  <si>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</si>
  <si>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</si>
  <si>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</si>
  <si>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</si>
  <si>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</si>
  <si>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</si>
  <si>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</si>
  <si>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</si>
  <si>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</si>
  <si>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</si>
  <si>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</si>
  <si>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</si>
  <si>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</si>
  <si>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</si>
  <si>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</si>
  <si>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</si>
  <si>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</si>
  <si>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</si>
  <si>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</si>
  <si>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</si>
  <si>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</si>
  <si>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</si>
  <si>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</si>
  <si>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</si>
  <si>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</si>
  <si>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</si>
  <si>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</si>
  <si>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</si>
  <si>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</si>
  <si>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</si>
  <si>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</si>
  <si>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</si>
  <si>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</si>
  <si>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</si>
  <si>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</si>
  <si>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</si>
  <si>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</si>
  <si>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</si>
  <si>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</si>
  <si>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</si>
  <si>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</si>
  <si>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</si>
  <si>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</si>
  <si>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</si>
  <si>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</si>
  <si>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</si>
  <si>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</si>
  <si>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</si>
  <si>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</si>
  <si>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</si>
  <si>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</si>
  <si>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</si>
  <si>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</si>
  <si>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</si>
  <si>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</si>
  <si>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</si>
  <si>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</si>
  <si>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</si>
  <si>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</si>
  <si>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</si>
  <si>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</si>
  <si>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</si>
  <si>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</si>
  <si>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</si>
  <si>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</si>
  <si>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</si>
  <si>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</si>
  <si>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</si>
  <si>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</si>
  <si>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</si>
  <si>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</si>
  <si>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</si>
  <si>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</si>
  <si>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</si>
  <si>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</si>
  <si>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</si>
  <si>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</si>
  <si>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</si>
  <si>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</si>
  <si>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</si>
  <si>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</si>
  <si>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</si>
  <si>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</si>
  <si>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</si>
  <si>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</si>
  <si>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</si>
  <si>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</si>
  <si>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</si>
  <si>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</si>
  <si>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</si>
  <si>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</si>
  <si>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</si>
  <si>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</si>
  <si>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</si>
  <si>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</si>
  <si>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</si>
  <si>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</si>
  <si>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</si>
  <si>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</si>
  <si>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</si>
  <si>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</si>
  <si>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</si>
  <si>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</si>
  <si>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</si>
  <si>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</si>
  <si>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</si>
  <si>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</si>
  <si>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</si>
  <si>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</si>
  <si>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</si>
  <si>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</si>
  <si>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</si>
  <si>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</si>
  <si>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</si>
  <si>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</si>
  <si>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</si>
  <si>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</si>
  <si>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</si>
  <si>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</si>
  <si>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</si>
  <si>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</si>
  <si>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</si>
  <si>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</si>
  <si>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</si>
  <si>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</si>
  <si>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</si>
  <si>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</si>
  <si>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</si>
  <si>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</si>
  <si>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</si>
  <si>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</si>
  <si>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</si>
  <si>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</si>
  <si>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</si>
  <si>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</si>
  <si>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</si>
  <si>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</si>
  <si>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</si>
  <si>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</si>
  <si>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</si>
  <si>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</si>
  <si>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</si>
  <si>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</si>
  <si>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</si>
  <si>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</si>
  <si>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</si>
  <si>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</si>
  <si>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</si>
  <si>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</si>
  <si>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</si>
  <si>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</si>
  <si>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</si>
  <si>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</si>
  <si>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</si>
  <si>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</si>
  <si>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</si>
  <si>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</si>
  <si>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</si>
  <si>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</si>
  <si>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</si>
  <si>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</si>
  <si>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</si>
  <si>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</si>
  <si>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</si>
  <si>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</si>
  <si>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</si>
  <si>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</si>
  <si>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</si>
  <si>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</si>
  <si>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</si>
  <si>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</si>
  <si>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</si>
  <si>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</si>
  <si>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</si>
  <si>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</si>
  <si>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</si>
  <si>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</si>
  <si>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</si>
  <si>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</si>
  <si>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</si>
  <si>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</si>
  <si>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</si>
  <si>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</si>
  <si>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</si>
  <si>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</si>
  <si>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</si>
  <si>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</si>
  <si>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</si>
  <si>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</si>
  <si>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</si>
  <si>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</si>
  <si>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</si>
  <si>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</si>
  <si>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</si>
  <si>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</si>
  <si>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</si>
  <si>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</si>
  <si>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</si>
  <si>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</si>
  <si>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</si>
  <si>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</si>
  <si>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</si>
  <si>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</si>
  <si>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</si>
  <si>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</si>
  <si>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</si>
  <si>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 xml:space="preserve">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</si>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</sst>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F291" sqref="F291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160</v>
      </c>
      <c r="G297" s="36">
        <f>SUM(G285:G296)</f>
        <v>672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423</v>
      </c>
      <c r="G298" s="40">
        <f>G284+G297</f>
        <v>1987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0" activePane="bottomLeft" state="frozen"/>
      <selection pane="bottomLeft" activeCell="F291" sqref="F29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0.95592916666646488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1.0948180555553537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1.1795402777775761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 t="s">
        <v>288</v>
      </c>
      <c r="G291" s="34"/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80</v>
      </c>
      <c r="G297" s="36">
        <f>SUM(G285:G296)</f>
        <v>366.4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202</v>
      </c>
      <c r="G298" s="40">
        <f>G284+G297</f>
        <v>855</v>
      </c>
      <c r="H298" s="41"/>
      <c r="I298" s="41"/>
      <c r="J298" s="41"/>
      <c r="K298" s="41"/>
      <c r="L298" s="41"/>
      <c r="M298" s="42">
        <f ca="1">IFERROR(M284+M297,"")</f>
        <v>0.1208333333333334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9" zoomScale="68" zoomScaleNormal="68" workbookViewId="0">
      <selection activeCell="F291" sqref="F29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0.88301250000222353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0.94481805555777909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1.0059291666688903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40</v>
      </c>
      <c r="G297" s="36">
        <f>SUM(G285:G296)</f>
        <v>195.2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135</v>
      </c>
      <c r="G298" s="40">
        <f>G284+G297</f>
        <v>602.20000000000005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59" activePane="bottomLeft" state="frozen"/>
      <selection pane="bottomLeft" activeCell="J285" sqref="J285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/>
      <c r="M285" s="35">
        <f t="shared" ref="M285:M296" ca="1" si="64">IFERROR(IF(K285="","",IF(L285="",MOD(NOW()-K285,1),IF(L285&gt;=K285,L285-K285,L285+1-K285))),"")</f>
        <v>3.7361111753853038E-4</v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93</v>
      </c>
      <c r="G297" s="36">
        <f>SUM(G285:G296)</f>
        <v>443.4</v>
      </c>
      <c r="H297" s="37"/>
      <c r="I297" s="37"/>
      <c r="J297" s="37"/>
      <c r="K297" s="61"/>
      <c r="L297" s="61"/>
      <c r="M297" s="38">
        <f ca="1">IFERROR(SUM(M285:M296),"")</f>
        <v>3.7361111753853038E-4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265</v>
      </c>
      <c r="G298" s="40">
        <f>G284+G297</f>
        <v>1165.8</v>
      </c>
      <c r="H298" s="41"/>
      <c r="I298" s="41"/>
      <c r="J298" s="41"/>
      <c r="K298" s="63"/>
      <c r="L298" s="63"/>
      <c r="M298" s="42">
        <f ca="1">IFERROR(M284+M297,"")</f>
        <v>7.2595833339760718E-2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2026-08-12T05:51:50Z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