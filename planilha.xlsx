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36" documentId="13_ncr:1_{0A10D8D4-8450-4366-8075-B53B08E6B7EA}" xr6:coauthVersionLast="47" xr6:coauthVersionMax="47" xr10:uidLastSave="{209EC0B1-D343-43D3-8987-8F985E6B26C3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3" i="5" l="1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<sst xmlns="http://schemas.openxmlformats.org/spreadsheetml/2006/main" count="6516" uniqueCount="347">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</sst>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D357" sqref="D35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400</v>
      </c>
      <c r="G379" s="40">
        <f>G365+G378</f>
        <v>1966.4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N366" sqref="N36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0.70625173610460479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0.84514062499349363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0.92986284721571599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 t="s">
        <v>25</v>
      </c>
      <c r="M366" s="26" t="s">
        <v>143</v>
      </c>
      <c r="N366" s="26" t="s">
        <v>126</v>
      </c>
      <c r="O366" s="29">
        <v>0.29166666666666669</v>
      </c>
      <c r="P366" s="29"/>
      <c r="Q366" s="30">
        <f t="shared" ref="Q366:Q377" ca="1" si="88">IFERROR(IF(O366="","",IF(P366="",MOD(NOW()-O366,1),IF(P366&gt;=O366,P366-O366,P366+1-O366))),"")</f>
        <v>0.53611284722137498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0.53611284722137498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108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453.6</v>
      </c>
      <c r="L379" s="41"/>
      <c r="M379" s="41"/>
      <c r="N379" s="41"/>
      <c r="O379" s="41"/>
      <c r="P379" s="41"/>
      <c r="Q379" s="42">
        <f ca="1">IFERROR(Q365+Q378,"")</f>
        <v>0.61944618055470824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N371" sqref="N37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 t="s">
        <v>25</v>
      </c>
      <c r="M366" s="26" t="s">
        <v>143</v>
      </c>
      <c r="N366" s="26" t="s">
        <v>126</v>
      </c>
      <c r="O366" s="29">
        <v>0.30902777777777779</v>
      </c>
      <c r="P366" s="29"/>
      <c r="Q366" s="30">
        <f t="shared" ref="Q366:Q377" ca="1" si="86">IFERROR(IF(O366="","",IF(P366="",MOD(NOW()-O366,1),IF(P366&gt;=O366,P366-O366,P366+1-O366))),"")</f>
        <v>0.51875173610460479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0.51875173610460479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90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378.00000000000011</v>
      </c>
      <c r="L379" s="41"/>
      <c r="M379" s="41"/>
      <c r="N379" s="41"/>
      <c r="O379" s="41"/>
      <c r="P379" s="41"/>
      <c r="Q379" s="42">
        <f ca="1">IFERROR(Q365+Q378,"")</f>
        <v>0.71389062499349354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E377" sqref="E37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 t="s">
        <v>27</v>
      </c>
      <c r="M366" s="26" t="s">
        <v>65</v>
      </c>
      <c r="N366" s="26" t="s">
        <v>35</v>
      </c>
      <c r="O366" s="29">
        <v>0.32083333333333336</v>
      </c>
      <c r="P366" s="29"/>
      <c r="Q366" s="30">
        <f t="shared" ref="Q366:Q377" ca="1" si="88">IFERROR(IF(O366="","",IF(P366="",MOD(NOW()-O366,1),IF(P366&gt;=O366,P366-O366,P366+1-O366))),"")</f>
        <v>0.50694618055422325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0.50694618055422325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196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823.2</v>
      </c>
      <c r="L379" s="41"/>
      <c r="M379" s="41"/>
      <c r="N379" s="41"/>
      <c r="O379" s="63"/>
      <c r="P379" s="63"/>
      <c r="Q379" s="42">
        <f ca="1">IFERROR(Q365+Q378,"")</f>
        <v>0.62500173610977894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2026-08-14T23:52:30Z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