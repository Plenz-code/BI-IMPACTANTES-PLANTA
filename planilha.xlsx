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401" documentId="8_{AF585B22-221D-4780-BB9C-493D365A6A02}" xr6:coauthVersionLast="47" xr6:coauthVersionMax="47" xr10:uidLastSave="{4961BB66-4FB7-467C-A079-BCBF2727C66D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<sst xmlns="http://schemas.openxmlformats.org/spreadsheetml/2006/main" count="5728" uniqueCount="311">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</sst>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1525000</v>
      </c>
      <c r="D16" s="8">
        <f>IFERROR('Linha 1'!O352,"")</f>
        <v>837000</v>
      </c>
      <c r="E16" s="8">
        <f>IFERROR('Linha 2'!O352,"")</f>
        <v>168000</v>
      </c>
      <c r="F16" s="8">
        <f>IFERROR('Linha 3'!O352,"")</f>
        <v>780000</v>
      </c>
      <c r="G16" s="9">
        <f t="shared" si="0"/>
        <v>1785000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38288228</v>
      </c>
      <c r="D35" s="13">
        <f>IFERROR(SUM(D4:D34),"")</f>
        <v>13827250</v>
      </c>
      <c r="E35" s="13">
        <f>IFERROR(SUM(E4:E34),"")</f>
        <v>9359510</v>
      </c>
      <c r="F35" s="13">
        <f>IFERROR(SUM(F4:F34),"")</f>
        <v>17418500</v>
      </c>
      <c r="G35" s="13">
        <f>IFERROR(SUM(G4:G34),"")</f>
        <v>40605260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28" activePane="bottomLeft" state="frozen"/>
      <selection pane="bottomLeft" activeCell="F347" sqref="F34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/>
      <c r="F339" s="27">
        <v>0</v>
      </c>
      <c r="G339" s="34" t="str">
        <f t="shared" ref="G339:G350" si="75">IF(F339="","",IF(E339="PC 17",F339*4.2,IF(E339="PC 19",F339*5,"")))</f>
        <v/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/>
      <c r="F340" s="27">
        <v>11</v>
      </c>
      <c r="G340" s="28" t="str">
        <f t="shared" si="75"/>
        <v/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/>
      <c r="F341" s="27">
        <v>0</v>
      </c>
      <c r="G341" s="34" t="str">
        <f t="shared" si="75"/>
        <v/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/>
      <c r="F342" s="27">
        <v>0</v>
      </c>
      <c r="G342" s="28" t="str">
        <f t="shared" si="75"/>
        <v/>
      </c>
      <c r="H342" s="26" t="s">
        <v>18</v>
      </c>
      <c r="I342" s="26" t="s">
        <v>23</v>
      </c>
      <c r="J342" s="26"/>
      <c r="K342" s="29">
        <v>0.11805555555555555</v>
      </c>
      <c r="L342" s="29"/>
      <c r="M342" s="30">
        <f t="shared" ca="1" si="76"/>
        <v>2.1697569442039821E-2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/>
      <c r="F343" s="27">
        <v>0</v>
      </c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/>
      <c r="F344" s="27">
        <v>10</v>
      </c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/>
      <c r="F345" s="27">
        <v>22</v>
      </c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/>
      <c r="F346" s="27">
        <v>7</v>
      </c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50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0.23211423610870663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355</v>
      </c>
      <c r="G352" s="40">
        <f>G338+G351</f>
        <v>1525</v>
      </c>
      <c r="H352" s="41"/>
      <c r="I352" s="41"/>
      <c r="J352" s="41"/>
      <c r="K352" s="41"/>
      <c r="L352" s="41"/>
      <c r="M352" s="42">
        <f ca="1">IFERROR(M338+M351,"")</f>
        <v>0.33003090277537328</v>
      </c>
      <c r="N352" s="40" t="s">
        <v>222</v>
      </c>
      <c r="O352" s="48">
        <f>IFERROR(O338+O351,"")</f>
        <v>1525000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20" activePane="bottomLeft" state="frozen"/>
      <selection pane="bottomLeft" activeCell="F347" sqref="F3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10</v>
      </c>
      <c r="G342" s="28">
        <f t="shared" si="75"/>
        <v>42</v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90</v>
      </c>
      <c r="G351" s="36">
        <f>SUM(G339:G350)</f>
        <v>378</v>
      </c>
      <c r="H351" s="37"/>
      <c r="I351" s="37"/>
      <c r="J351" s="37"/>
      <c r="K351" s="37"/>
      <c r="L351" s="37"/>
      <c r="M351" s="38">
        <f ca="1">IFERROR(SUM(M339:M350),"")</f>
        <v>2.2222222222222199E-2</v>
      </c>
      <c r="N351" s="36" t="s">
        <v>219</v>
      </c>
      <c r="O351" s="78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287</v>
      </c>
      <c r="G352" s="40">
        <f>G338+G351</f>
        <v>1215</v>
      </c>
      <c r="H352" s="41"/>
      <c r="I352" s="41"/>
      <c r="J352" s="41"/>
      <c r="K352" s="41"/>
      <c r="L352" s="41"/>
      <c r="M352" s="42">
        <f ca="1">IFERROR(M338+M351,"")</f>
        <v>9.1666666666666674E-2</v>
      </c>
      <c r="N352" s="40" t="s">
        <v>222</v>
      </c>
      <c r="O352" s="84">
        <f>IFERROR(O338+O351,"")</f>
        <v>837000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23" zoomScale="50" zoomScaleNormal="50" workbookViewId="0">
      <selection activeCell="F347" sqref="F34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265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266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268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269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271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273</v>
      </c>
      <c r="N166" s="27" t="s">
        <v>274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275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276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277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279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281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282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283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269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9</v>
      </c>
      <c r="G341" s="34">
        <f t="shared" si="75"/>
        <v>37.800000000000004</v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73</v>
      </c>
      <c r="G351" s="36">
        <f>SUM(G339:G350)</f>
        <v>306.60000000000002</v>
      </c>
      <c r="H351" s="37"/>
      <c r="I351" s="37"/>
      <c r="J351" s="37"/>
      <c r="K351" s="37"/>
      <c r="L351" s="37"/>
      <c r="M351" s="38">
        <f ca="1">IFERROR(SUM(M339:M350),"")</f>
        <v>1.4583333333333282E-2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113</v>
      </c>
      <c r="G352" s="40">
        <f>G338+G351</f>
        <v>474.6</v>
      </c>
      <c r="H352" s="41"/>
      <c r="I352" s="41"/>
      <c r="J352" s="41"/>
      <c r="K352" s="41"/>
      <c r="L352" s="41"/>
      <c r="M352" s="42">
        <f ca="1">IFERROR(M338+M351,"")</f>
        <v>0.24861111111111117</v>
      </c>
      <c r="N352" s="40" t="s">
        <v>222</v>
      </c>
      <c r="O352" s="48">
        <f>IFERROR(O338+O351,"")</f>
        <v>168000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15" activePane="bottomLeft" state="frozen"/>
      <selection pane="bottomLeft" activeCell="F347" sqref="F34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288</v>
      </c>
      <c r="L58" s="29">
        <v>0.54097222222222219</v>
      </c>
      <c r="M58" s="30" t="str">
        <f t="shared" ca="1" si="13"/>
        <v/>
      </c>
      <c r="N58" s="27" t="s">
        <v>289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265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0.89044756944349501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1.0897531249990506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1.4571142361101617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235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235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235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235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309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235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235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235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244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235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235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235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269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235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235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235</v>
      </c>
      <c r="F346" s="27">
        <v>25</v>
      </c>
      <c r="G346" s="28">
        <f t="shared" si="75"/>
        <v>105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235</v>
      </c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235</v>
      </c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235</v>
      </c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235</v>
      </c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120</v>
      </c>
      <c r="G351" s="36">
        <f>SUM(G339:G350)</f>
        <v>504</v>
      </c>
      <c r="H351" s="37"/>
      <c r="I351" s="37"/>
      <c r="J351" s="37"/>
      <c r="K351" s="61"/>
      <c r="L351" s="61"/>
      <c r="M351" s="38">
        <f ca="1">IFERROR(SUM(M339:M350),"")</f>
        <v>4.513888888888884E-2</v>
      </c>
      <c r="N351" s="36" t="s">
        <v>219</v>
      </c>
      <c r="O351" s="39"/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303</v>
      </c>
      <c r="G352" s="40">
        <f>G338+G351</f>
        <v>1284.5999999999999</v>
      </c>
      <c r="H352" s="41"/>
      <c r="I352" s="41"/>
      <c r="J352" s="41"/>
      <c r="K352" s="63"/>
      <c r="L352" s="63"/>
      <c r="M352" s="42">
        <f ca="1">IFERROR(M338+M351,"")</f>
        <v>0.15416666666666656</v>
      </c>
      <c r="N352" s="40" t="s">
        <v>222</v>
      </c>
      <c r="O352" s="48">
        <f>IFERROR(O338+O351,"")</f>
        <v>780000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2026-07-14T07:21:46Z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