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5" documentId="13_ncr:1_{A6DBCFB4-28D9-4249-9038-216934055CA6}" xr6:coauthVersionLast="47" xr6:coauthVersionMax="47" xr10:uidLastSave="{5E65C1F4-82BF-4A4E-924E-319433651007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<sst xmlns="http://schemas.openxmlformats.org/spreadsheetml/2006/main" count="8515" uniqueCount="395">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</sst>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3" fillId="12" borderId="3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91" activePane="bottomLeft" state="frozen"/>
      <selection pane="bottomLeft" activeCell="E501" sqref="E50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64" t="s">
        <v>28</v>
      </c>
      <c r="I489" s="164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64"/>
      <c r="I491" s="164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40</v>
      </c>
      <c r="G513" s="2">
        <f>SUM(G501:G512)</f>
        <v>200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322</v>
      </c>
      <c r="G514" s="1">
        <f>G500+G513</f>
        <v>1610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D504" sqref="D50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0.7151238425867632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0.85401273147565093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0.93873495369787374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/>
      <c r="F501" s="101">
        <f>IFERROR(IF($D501="","",VLOOKUP($D501,Cadastro!$C$4:$E$7,3,FALSE())),"")</f>
        <v>0.35</v>
      </c>
      <c r="G501" s="89"/>
      <c r="H501" s="101" t="str">
        <f>IFERROR(IF($G501="","",$G501*$S$513/$G$513/Cadastro!$E$33),"")</f>
        <v/>
      </c>
      <c r="I501" s="102">
        <f>IFERROR(IF($D501="","",VLOOKUP($D501,Cadastro!$C$4:$G$7,5,FALSE())),"")</f>
        <v>0.6</v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/>
      <c r="F502" s="88">
        <f>IFERROR(IF($D502="","",VLOOKUP($D502,Cadastro!$C$4:$E$7,3,FALSE())),"")</f>
        <v>0.35</v>
      </c>
      <c r="G502" s="89"/>
      <c r="H502" s="88" t="str">
        <f>IFERROR(IF($G502="","",$G502*$S$513/$G$513/Cadastro!$E$33),"")</f>
        <v/>
      </c>
      <c r="I502" s="90">
        <f>IFERROR(IF($D502="","",VLOOKUP($D502,Cadastro!$C$4:$G$7,5,FALSE())),"")</f>
        <v>0.6</v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/>
      <c r="F503" s="88">
        <f>IFERROR(IF($D503="","",VLOOKUP($D503,Cadastro!$C$4:$E$7,3,FALSE())),"")</f>
        <v>0.35</v>
      </c>
      <c r="G503" s="89"/>
      <c r="H503" s="88" t="str">
        <f>IFERROR(IF($G503="","",$G503*$S$513/$G$513/Cadastro!$E$33),"")</f>
        <v/>
      </c>
      <c r="I503" s="90">
        <f>IFERROR(IF($D503="","",VLOOKUP($D503,Cadastro!$C$4:$G$7,5,FALSE())),"")</f>
        <v>0.6</v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/>
      <c r="F504" s="88">
        <f>IFERROR(IF($D504="","",VLOOKUP($D504,Cadastro!$C$4:$E$7,3,FALSE())),"")</f>
        <v>0.35</v>
      </c>
      <c r="G504" s="89"/>
      <c r="H504" s="88" t="str">
        <f>IFERROR(IF($G504="","",$G504*$S$513/$G$513/Cadastro!$E$33),"")</f>
        <v/>
      </c>
      <c r="I504" s="90">
        <f>IFERROR(IF($D504="","",VLOOKUP($D504,Cadastro!$C$4:$G$7,5,FALSE())),"")</f>
        <v>0.6</v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142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605.20000000000005</v>
      </c>
      <c r="L514" s="76"/>
      <c r="M514" s="76"/>
      <c r="N514" s="76"/>
      <c r="O514" s="76"/>
      <c r="P514" s="76"/>
      <c r="Q514" s="77">
        <f ca="1">IFERROR(Q500+Q513,"")</f>
        <v>9.1666666666666619E-2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D507" sqref="D507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72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306.39999999999998</v>
      </c>
      <c r="L514" s="76"/>
      <c r="M514" s="76"/>
      <c r="N514" s="76"/>
      <c r="O514" s="76"/>
      <c r="P514" s="76"/>
      <c r="Q514" s="77">
        <f ca="1">IFERROR(Q500+Q513,"")</f>
        <v>9.5833333333333437E-2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91" activePane="bottomLeft" state="frozen"/>
      <selection pane="bottomLeft" activeCell="O502" sqref="O50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/>
      <c r="F501" s="101">
        <f>IFERROR(IF($D501="","",VLOOKUP($D501,Cadastro!$C$4:$E$7,3,FALSE())),"")</f>
        <v>0.35</v>
      </c>
      <c r="G501" s="89"/>
      <c r="H501" s="101" t="str">
        <f>IFERROR(IF($G501="","",$G501*$S$513/$G$513/Cadastro!$E$33),"")</f>
        <v/>
      </c>
      <c r="I501" s="102">
        <f>IFERROR(IF($D501="","",VLOOKUP($D501,Cadastro!$C$4:$G$7,5,FALSE())),"")</f>
        <v>0.6</v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/>
      <c r="F502" s="88">
        <f>IFERROR(IF($D502="","",VLOOKUP($D502,Cadastro!$C$4:$E$7,3,FALSE())),"")</f>
        <v>0.35</v>
      </c>
      <c r="G502" s="89"/>
      <c r="H502" s="88" t="str">
        <f>IFERROR(IF($G502="","",$G502*$S$513/$G$513/Cadastro!$E$33),"")</f>
        <v/>
      </c>
      <c r="I502" s="90">
        <f>IFERROR(IF($D502="","",VLOOKUP($D502,Cadastro!$C$4:$G$7,5,FALSE())),"")</f>
        <v>0.6</v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/>
      <c r="F503" s="88">
        <f>IFERROR(IF($D503="","",VLOOKUP($D503,Cadastro!$C$4:$E$7,3,FALSE())),"")</f>
        <v>0.35</v>
      </c>
      <c r="G503" s="89"/>
      <c r="H503" s="88" t="str">
        <f>IFERROR(IF($G503="","",$G503*$S$513/$G$513/Cadastro!$E$33),"")</f>
        <v/>
      </c>
      <c r="I503" s="90">
        <f>IFERROR(IF($D503="","",VLOOKUP($D503,Cadastro!$C$4:$G$7,5,FALSE())),"")</f>
        <v>0.6</v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/>
      <c r="F504" s="88">
        <f>IFERROR(IF($D504="","",VLOOKUP($D504,Cadastro!$C$4:$E$7,3,FALSE())),"")</f>
        <v>0.35</v>
      </c>
      <c r="G504" s="89"/>
      <c r="H504" s="88" t="str">
        <f>IFERROR(IF($G504="","",$G504*$S$513/$G$513/Cadastro!$E$33),"")</f>
        <v/>
      </c>
      <c r="I504" s="90">
        <f>IFERROR(IF($D504="","",VLOOKUP($D504,Cadastro!$C$4:$G$7,5,FALSE())),"")</f>
        <v>0.6</v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/>
      <c r="F505" s="88">
        <f>IFERROR(IF($D505="","",VLOOKUP($D505,Cadastro!$C$4:$E$7,3,FALSE())),"")</f>
        <v>0.35</v>
      </c>
      <c r="G505" s="89"/>
      <c r="H505" s="88" t="str">
        <f>IFERROR(IF($G505="","",$G505*$S$513/$G$513/Cadastro!$E$33),"")</f>
        <v/>
      </c>
      <c r="I505" s="90">
        <f>IFERROR(IF($D505="","",VLOOKUP($D505,Cadastro!$C$4:$G$7,5,FALSE())),"")</f>
        <v>0.6</v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/>
      <c r="F506" s="88">
        <f>IFERROR(IF($D506="","",VLOOKUP($D506,Cadastro!$C$4:$E$7,3,FALSE())),"")</f>
        <v>0.35</v>
      </c>
      <c r="G506" s="89"/>
      <c r="H506" s="88" t="str">
        <f>IFERROR(IF($G506="","",$G506*$S$513/$G$513/Cadastro!$E$33),"")</f>
        <v/>
      </c>
      <c r="I506" s="90">
        <f>IFERROR(IF($D506="","",VLOOKUP($D506,Cadastro!$C$4:$G$7,5,FALSE())),"")</f>
        <v>0.6</v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5.5555555555556468E-3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202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854</v>
      </c>
      <c r="L514" s="76"/>
      <c r="M514" s="76"/>
      <c r="N514" s="76"/>
      <c r="O514" s="135"/>
      <c r="P514" s="135"/>
      <c r="Q514" s="77">
        <f ca="1">IFERROR(Q500+Q513,"")</f>
        <v>9.0277777777777179E-2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2026-08-20T00:05:09Z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