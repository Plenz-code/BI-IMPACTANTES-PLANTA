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61" documentId="8_{AF585B22-221D-4780-BB9C-493D365A6A02}" xr6:coauthVersionLast="47" xr6:coauthVersionMax="47" xr10:uidLastSave="{F64E36DB-E7A6-47CF-B609-971C448D0E9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<sst xmlns="http://schemas.openxmlformats.org/spreadsheetml/2006/main" count="7107" uniqueCount="339">
  <si>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</si>
  <si>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</si>
  <si>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</si>
  <si>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</si>
  <si>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</si>
  <si>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</si>
  <si>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</si>
  <si>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</si>
  <si>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</si>
  <si>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</si>
  <si>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</si>
  <si>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</si>
  <si>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</si>
  <si>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</si>
  <si>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</si>
  <si>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</si>
  <si>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</si>
  <si>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</si>
  <si>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</si>
  <si>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</si>
  <si>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</si>
  <si>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</si>
  <si>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</si>
  <si>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</si>
  <si>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</si>
  <si>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</si>
  <si>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</si>
  <si>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</si>
  <si>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</si>
  <si>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</si>
  <si>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</si>
  <si>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</si>
  <si>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</si>
  <si>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</si>
  <si>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</si>
  <si>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</si>
  <si>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</si>
  <si>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</si>
  <si>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</si>
  <si>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</si>
  <si>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</si>
  <si>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</si>
  <si>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</si>
  <si>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</si>
  <si>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</si>
  <si>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</si>
  <si>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</si>
  <si>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</si>
  <si>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</si>
  <si>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</si>
  <si>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</si>
  <si>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</si>
  <si>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</si>
  <si>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</si>
  <si>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</si>
  <si>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</si>
  <si>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</si>
  <si>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</si>
  <si>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</si>
  <si>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</si>
  <si>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</si>
  <si>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</si>
  <si>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</si>
  <si>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</si>
  <si>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</si>
  <si>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</si>
  <si>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</si>
  <si>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</si>
  <si>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</si>
  <si>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</si>
  <si>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</si>
  <si>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</si>
  <si>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</si>
  <si>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</si>
  <si>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</si>
  <si>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</si>
  <si>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</si>
  <si>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</si>
  <si>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</si>
  <si>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</si>
  <si>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</si>
  <si>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</si>
  <si>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</si>
  <si>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</si>
  <si>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</si>
  <si>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</si>
  <si>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</si>
  <si>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</si>
  <si>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</si>
  <si>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</si>
  <si>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</si>
  <si>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</si>
  <si>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</si>
  <si>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</si>
  <si>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</si>
  <si>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</si>
  <si>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</si>
  <si>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</si>
  <si>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</si>
  <si>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</si>
  <si>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</si>
  <si>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</si>
  <si>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</si>
  <si>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</si>
  <si>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</si>
  <si>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</si>
  <si>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</si>
  <si>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</si>
  <si>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</si>
  <si>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</si>
  <si>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Inspeção no rolamento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</si>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</sst>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19" sqref="I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05"/>
      <c r="I19" s="17"/>
      <c r="J19" s="17"/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05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05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05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05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05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05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05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05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05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05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05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05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05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05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05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05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05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05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05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05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05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05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05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05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05"/>
      <c r="I55" s="17"/>
      <c r="J55" s="17"/>
      <c r="K55" s="17" t="s">
        <v>201</v>
      </c>
      <c r="L55" s="17"/>
      <c r="M55" s="17"/>
    </row>
    <row r="56" spans="1:13" ht="15" customHeight="1">
      <c r="H56" s="105"/>
      <c r="I56" s="16"/>
      <c r="J56" s="16"/>
      <c r="K56" s="16" t="s">
        <v>202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203</v>
      </c>
      <c r="L58" s="16"/>
      <c r="M58" s="16"/>
    </row>
    <row r="59" spans="1:13" ht="15" customHeight="1">
      <c r="H59" s="105"/>
      <c r="I59" s="17"/>
      <c r="J59" s="17"/>
      <c r="K59" s="17" t="s">
        <v>204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205</v>
      </c>
      <c r="L61" s="17"/>
      <c r="M61" s="17"/>
    </row>
    <row r="62" spans="1:13" ht="15" customHeight="1">
      <c r="H62" s="105"/>
      <c r="I62" s="16"/>
      <c r="J62" s="16"/>
      <c r="K62" s="16" t="s">
        <v>206</v>
      </c>
      <c r="L62" s="16"/>
      <c r="M62" s="16"/>
    </row>
    <row r="63" spans="1:13" ht="15" customHeight="1">
      <c r="H63" s="105"/>
      <c r="I63" s="17"/>
      <c r="J63" s="17"/>
      <c r="K63" s="17" t="s">
        <v>207</v>
      </c>
      <c r="L63" s="17"/>
      <c r="M63" s="17"/>
    </row>
    <row r="64" spans="1:13" ht="15" customHeight="1">
      <c r="H64" s="105"/>
      <c r="I64" s="16"/>
      <c r="J64" s="16"/>
      <c r="K64" s="16" t="s">
        <v>208</v>
      </c>
      <c r="L64" s="16"/>
      <c r="M64" s="16"/>
    </row>
    <row r="65" spans="8:13" ht="15" customHeight="1">
      <c r="H65" s="105"/>
      <c r="I65" s="17"/>
      <c r="J65" s="17"/>
      <c r="K65" s="17" t="s">
        <v>209</v>
      </c>
      <c r="L65" s="17"/>
      <c r="M65" s="17"/>
    </row>
    <row r="66" spans="8:13" ht="15" customHeight="1">
      <c r="H66" s="105"/>
      <c r="I66" s="16"/>
      <c r="J66" s="16"/>
      <c r="K66" s="16" t="s">
        <v>210</v>
      </c>
      <c r="L66" s="16"/>
      <c r="M66" s="16"/>
    </row>
    <row r="67" spans="8:13" ht="15" customHeight="1">
      <c r="H67" s="105"/>
      <c r="I67" s="17"/>
      <c r="J67" s="17"/>
      <c r="K67" s="17" t="s">
        <v>211</v>
      </c>
      <c r="L67" s="17"/>
      <c r="M67" s="17"/>
    </row>
    <row r="68" spans="8:13" ht="15" customHeight="1">
      <c r="H68" s="105"/>
      <c r="I68" s="16"/>
      <c r="J68" s="16"/>
      <c r="K68" s="16"/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I434" sqref="I4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222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226</v>
      </c>
      <c r="O27" s="39">
        <v>1183060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226</v>
      </c>
      <c r="O54" s="39">
        <v>959290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226</v>
      </c>
      <c r="O81" s="39">
        <v>878050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226</v>
      </c>
      <c r="O108" s="39">
        <v>1700000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226</v>
      </c>
      <c r="O135" s="39">
        <v>862330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226</v>
      </c>
      <c r="O162" s="44">
        <v>1546080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226</v>
      </c>
      <c r="O189" s="39">
        <v>2355810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226</v>
      </c>
      <c r="O216" s="45">
        <v>2013260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226</v>
      </c>
      <c r="O243" s="39">
        <v>1545480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226</v>
      </c>
      <c r="O270" s="39">
        <v>1182690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237</v>
      </c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226</v>
      </c>
      <c r="O297" s="39">
        <v>1843460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113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239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226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240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240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240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240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226</v>
      </c>
      <c r="O324" s="39">
        <v>1940000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229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226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226</v>
      </c>
      <c r="O351" s="39">
        <v>701874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229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242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226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226</v>
      </c>
      <c r="O378" s="39">
        <v>1088710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229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243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244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111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226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245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226</v>
      </c>
      <c r="O405" s="39">
        <v>1202270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229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246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247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248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248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226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226</v>
      </c>
      <c r="O432" s="39">
        <v>1801910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229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223</v>
      </c>
      <c r="F434" s="27"/>
      <c r="G434" s="28" t="str">
        <f t="shared" ref="G434:G445" si="96">IF(F434="","",IF(E434="PC 17",F434*4.2,IF(E434="PC 19",F434*5,"")))</f>
        <v/>
      </c>
      <c r="H434" s="26"/>
      <c r="I434" s="26" t="s">
        <v>23</v>
      </c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1.5494791659875773E-2</v>
      </c>
      <c r="N434" s="46" t="s">
        <v>249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223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223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223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223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223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223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223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223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223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223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223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1.5494791659875773E-2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1.5494791659875773E-2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59" t="s">
        <v>223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N434" sqref="N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226</v>
      </c>
      <c r="O27" s="78">
        <v>393200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85">
        <v>276360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226</v>
      </c>
      <c r="O81" s="54">
        <v>787860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226</v>
      </c>
      <c r="O108" s="54">
        <v>1087080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226</v>
      </c>
      <c r="O135" s="54">
        <v>794480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226</v>
      </c>
      <c r="O162" s="54">
        <v>882280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226</v>
      </c>
      <c r="O189" s="78"/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226</v>
      </c>
      <c r="O216" s="78">
        <v>648410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226</v>
      </c>
      <c r="O243" s="78">
        <v>849060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226</v>
      </c>
      <c r="O270" s="78">
        <v>625070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226</v>
      </c>
      <c r="O297" s="78">
        <v>761660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114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226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112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226</v>
      </c>
      <c r="O324" s="78">
        <v>524410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229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114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20</v>
      </c>
      <c r="G329" s="34">
        <f t="shared" si="72"/>
        <v>84</v>
      </c>
      <c r="H329" s="33" t="s">
        <v>17</v>
      </c>
      <c r="I329" s="33" t="s">
        <v>115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226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114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226</v>
      </c>
      <c r="O351" s="78">
        <v>598420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229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226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9.3967013883229811E-2</v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0.25160590277211869</v>
      </c>
      <c r="N378" s="36" t="s">
        <v>226</v>
      </c>
      <c r="O378" s="78">
        <v>511980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0.36132812499434086</v>
      </c>
      <c r="N379" s="40" t="s">
        <v>229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226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283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241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226</v>
      </c>
      <c r="O405" s="78">
        <v>552440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229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226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7.243923610803904E-2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227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0.2432725694413724</v>
      </c>
      <c r="N432" s="36" t="s">
        <v>226</v>
      </c>
      <c r="O432" s="78">
        <v>484540</v>
      </c>
    </row>
    <row r="433" spans="1:15" ht="18" customHeight="1">
      <c r="A433" s="94" t="s">
        <v>228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0.38841145833026125</v>
      </c>
      <c r="N433" s="40" t="s">
        <v>229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/>
      <c r="G434" s="28" t="str">
        <f t="shared" ref="G434:G445" si="96">IF(F434="","",IF(E434="PC 17",F434*4.2,IF(E434="PC 19",F434*5,"")))</f>
        <v/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78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78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78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78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78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78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78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78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78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78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78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B382" sqref="B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226</v>
      </c>
      <c r="O27" s="39">
        <v>308500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39">
        <v>124290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226</v>
      </c>
      <c r="O81" s="39">
        <v>396340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226</v>
      </c>
      <c r="O108" s="39">
        <v>41230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226</v>
      </c>
      <c r="O135" s="39">
        <v>381250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264</v>
      </c>
      <c r="K141" s="29">
        <v>0.71597222222222223</v>
      </c>
      <c r="L141" s="29" t="s">
        <v>293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226</v>
      </c>
      <c r="O162" s="39">
        <v>337120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295</v>
      </c>
      <c r="N166" s="27" t="s">
        <v>296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226</v>
      </c>
      <c r="O189" s="39">
        <v>747210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226</v>
      </c>
      <c r="O216" s="39">
        <v>468430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226</v>
      </c>
      <c r="O243" s="39">
        <v>575930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226</v>
      </c>
      <c r="O270" s="39">
        <v>483510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114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226</v>
      </c>
      <c r="O297" s="39">
        <v>487980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114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226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226</v>
      </c>
      <c r="O324" s="39">
        <v>609460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229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226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114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226</v>
      </c>
      <c r="O351" s="39">
        <v>437940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229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226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226</v>
      </c>
      <c r="O378" s="39">
        <v>473310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229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226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226</v>
      </c>
      <c r="O405" s="39">
        <v>507450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229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226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226</v>
      </c>
      <c r="O432" s="39">
        <v>229150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229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H434" sqref="H4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226</v>
      </c>
      <c r="O27" s="39">
        <v>202230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226</v>
      </c>
      <c r="O54" s="39">
        <v>473910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310</v>
      </c>
      <c r="L58" s="29">
        <v>0.54097222222222219</v>
      </c>
      <c r="M58" s="30" t="str">
        <f t="shared" ca="1" si="13"/>
        <v/>
      </c>
      <c r="N58" s="27" t="s">
        <v>311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226</v>
      </c>
      <c r="O81" s="39">
        <v>565120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226</v>
      </c>
      <c r="O108" s="39">
        <v>558590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8.4244791665696539E-2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0.28355034722125216</v>
      </c>
      <c r="N135" s="36" t="s">
        <v>226</v>
      </c>
      <c r="O135" s="39">
        <v>729290</v>
      </c>
    </row>
    <row r="136" spans="1:18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0.65091145833236319</v>
      </c>
      <c r="N136" s="40" t="s">
        <v>229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226</v>
      </c>
      <c r="O162" s="39">
        <v>697320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226</v>
      </c>
      <c r="O189" s="39">
        <v>973580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226</v>
      </c>
      <c r="O216" s="45">
        <v>1060630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226</v>
      </c>
      <c r="O243" s="39">
        <v>982340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226</v>
      </c>
      <c r="O270" s="39">
        <v>1208450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114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226</v>
      </c>
      <c r="O297" s="39">
        <v>1049090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226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114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114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114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114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226</v>
      </c>
      <c r="O324" s="39">
        <v>1063720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229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114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225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226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332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226</v>
      </c>
      <c r="O351" s="39">
        <v>696140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229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225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226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226</v>
      </c>
      <c r="O378" s="39">
        <v>704750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229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226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226</v>
      </c>
      <c r="O405" s="39">
        <v>958130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229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226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226</v>
      </c>
      <c r="O432" s="39">
        <v>605220</v>
      </c>
    </row>
    <row r="433" spans="1:17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229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/>
      <c r="G434" s="28" t="str">
        <f t="shared" ref="G434:G445" si="96">IF(F434="","",IF(E434="PC 17",F434*4.2,IF(E434="PC 19",F434*5,"")))</f>
        <v/>
      </c>
      <c r="H434" s="26" t="s">
        <v>18</v>
      </c>
      <c r="I434" s="26" t="s">
        <v>57</v>
      </c>
      <c r="J434" s="26" t="s">
        <v>110</v>
      </c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2026-07-17T12:02:22Z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