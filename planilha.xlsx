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236" documentId="8_{AF585B22-221D-4780-BB9C-493D365A6A02}" xr6:coauthVersionLast="47" xr6:coauthVersionMax="47" xr10:uidLastSave="{4CBAD608-4AD0-464F-A979-B57B3F928385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<sst xmlns="http://schemas.openxmlformats.org/spreadsheetml/2006/main" count="5548" uniqueCount="309">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</sst>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837000</v>
      </c>
      <c r="E16" s="8">
        <f>IFERROR('Linha 2'!O352,"")</f>
        <v>0</v>
      </c>
      <c r="F16" s="8">
        <f>IFERROR('Linha 3'!O352,"")</f>
        <v>0</v>
      </c>
      <c r="G16" s="9">
        <f t="shared" si="0"/>
        <v>837000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36763228</v>
      </c>
      <c r="D35" s="13">
        <f>IFERROR(SUM(D4:D34),"")</f>
        <v>13827250</v>
      </c>
      <c r="E35" s="13">
        <f>IFERROR(SUM(E4:E34),"")</f>
        <v>9191510</v>
      </c>
      <c r="F35" s="13">
        <f>IFERROR(SUM(F4:F34),"")</f>
        <v>16638500</v>
      </c>
      <c r="G35" s="13">
        <f>IFERROR(SUM(G4:G34),"")</f>
        <v>39657260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1"/>
      <c r="I54" s="16"/>
      <c r="J54" s="16"/>
      <c r="K54" s="16" t="s">
        <v>196</v>
      </c>
      <c r="L54" s="16"/>
      <c r="M54" s="16"/>
    </row>
    <row r="55" spans="1:13" ht="15" customHeight="1">
      <c r="H55" s="101"/>
      <c r="I55" s="17"/>
      <c r="J55" s="17"/>
      <c r="K55" s="17" t="s">
        <v>197</v>
      </c>
      <c r="L55" s="17"/>
      <c r="M55" s="17"/>
    </row>
    <row r="56" spans="1:13" ht="15" customHeight="1">
      <c r="H56" s="101"/>
      <c r="I56" s="16"/>
      <c r="J56" s="16"/>
      <c r="K56" s="16" t="s">
        <v>198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199</v>
      </c>
      <c r="L58" s="16"/>
      <c r="M58" s="16"/>
    </row>
    <row r="59" spans="1:13" ht="15" customHeight="1">
      <c r="H59" s="101"/>
      <c r="I59" s="17"/>
      <c r="J59" s="17"/>
      <c r="K59" s="17" t="s">
        <v>200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201</v>
      </c>
      <c r="L61" s="17"/>
      <c r="M61" s="17"/>
    </row>
    <row r="62" spans="1:13" ht="15" customHeight="1">
      <c r="H62" s="101"/>
      <c r="I62" s="16"/>
      <c r="J62" s="16"/>
      <c r="K62" s="16" t="s">
        <v>202</v>
      </c>
      <c r="L62" s="16"/>
      <c r="M62" s="16"/>
    </row>
    <row r="63" spans="1:13" ht="15" customHeight="1">
      <c r="H63" s="101"/>
      <c r="I63" s="17"/>
      <c r="J63" s="17"/>
      <c r="K63" s="17" t="s">
        <v>203</v>
      </c>
      <c r="L63" s="17"/>
      <c r="M63" s="17"/>
    </row>
    <row r="64" spans="1:13" ht="15" customHeight="1">
      <c r="H64" s="101"/>
      <c r="I64" s="16"/>
      <c r="J64" s="16"/>
      <c r="K64" s="16" t="s">
        <v>204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10" activePane="bottomLeft" state="frozen"/>
      <selection pane="bottomLeft" activeCell="L328" sqref="L32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305</v>
      </c>
      <c r="G352" s="40">
        <f>G338+G351</f>
        <v>1525</v>
      </c>
      <c r="H352" s="41"/>
      <c r="I352" s="41"/>
      <c r="J352" s="41"/>
      <c r="K352" s="41"/>
      <c r="L352" s="41"/>
      <c r="M352" s="42">
        <f ca="1">IFERROR(M338+M351,"")</f>
        <v>9.7916666666666652E-2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B301" activePane="bottomLeft" state="frozen"/>
      <selection pane="bottomLeft" activeCell="O339" sqref="O33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78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197</v>
      </c>
      <c r="G352" s="40">
        <f>G338+G351</f>
        <v>837.00000000000011</v>
      </c>
      <c r="H352" s="41"/>
      <c r="I352" s="41"/>
      <c r="J352" s="41"/>
      <c r="K352" s="41"/>
      <c r="L352" s="41"/>
      <c r="M352" s="42">
        <f ca="1">IFERROR(M338+M351,"")</f>
        <v>6.9444444444444475E-2</v>
      </c>
      <c r="N352" s="40" t="s">
        <v>222</v>
      </c>
      <c r="O352" s="84">
        <f>IFERROR(O338+O351,"")</f>
        <v>837000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05" zoomScale="50" zoomScaleNormal="50" workbookViewId="0">
      <selection activeCell="F338" sqref="F33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272</v>
      </c>
      <c r="N166" s="27" t="s">
        <v>273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268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40</v>
      </c>
      <c r="G352" s="40">
        <f>G338+G351</f>
        <v>168.00000000000003</v>
      </c>
      <c r="H352" s="41"/>
      <c r="I352" s="41"/>
      <c r="J352" s="41"/>
      <c r="K352" s="41"/>
      <c r="L352" s="41"/>
      <c r="M352" s="42">
        <f ca="1">IFERROR(M338+M351,"")</f>
        <v>0.23402777777777789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02" activePane="bottomLeft" state="frozen"/>
      <selection pane="bottomLeft" activeCell="F338" sqref="F33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287</v>
      </c>
      <c r="L58" s="29">
        <v>0.54097222222222219</v>
      </c>
      <c r="M58" s="30" t="str">
        <f t="shared" ca="1" si="13"/>
        <v/>
      </c>
      <c r="N58" s="27" t="s">
        <v>288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0.54065381944383262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0.73995937499938824</v>
      </c>
      <c r="N135" s="36" t="s">
        <v>219</v>
      </c>
      <c r="O135" s="39">
        <v>729290</v>
      </c>
    </row>
    <row r="136" spans="1:18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1.1073204861104993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268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218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183</v>
      </c>
      <c r="G352" s="40">
        <f>G338+G351</f>
        <v>780.6</v>
      </c>
      <c r="H352" s="41"/>
      <c r="I352" s="41"/>
      <c r="J352" s="41"/>
      <c r="K352" s="63"/>
      <c r="L352" s="63"/>
      <c r="M352" s="42">
        <f ca="1">IFERROR(M338+M351,"")</f>
        <v>0.10902777777777772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2026-07-13T22:57:38Z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