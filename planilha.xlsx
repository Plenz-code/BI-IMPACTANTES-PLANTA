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80" documentId="13_ncr:1_{A6DBCFB4-28D9-4249-9038-216934055CA6}" xr6:coauthVersionLast="47" xr6:coauthVersionMax="47" xr10:uidLastSave="{92B0F26D-E004-4564-8A98-8E55F894B16D}"/>
  <bookViews>
    <workbookView xWindow="-110" yWindow="-110" windowWidth="25820" windowHeight="1550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<sst xmlns="http://schemas.openxmlformats.org/spreadsheetml/2006/main" count="9517" uniqueCount="419">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</sst>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F565" sqref="F56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138</v>
      </c>
      <c r="G567" s="2">
        <f>SUM(G555:G566)</f>
        <v>690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138</v>
      </c>
      <c r="G568" s="1">
        <f>G554+G567</f>
        <v>690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41" activePane="bottomLeft" state="frozen"/>
      <selection pane="bottomLeft" activeCell="L576" sqref="L57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0.13466597221849952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0.27355486110738725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0.35827708332961006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0.46452708333526971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0.46452708333526971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0.78605486111304734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2" activePane="bottomLeft" state="frozen"/>
      <selection pane="bottomLeft" activeCell="G565" sqref="G56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39"/>
        <v>0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39"/>
        <v>0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0</v>
      </c>
      <c r="I564" s="90">
        <f>IFERROR(IF($D564="","",VLOOKUP($D564,Cadastro!$C$4:$G$7,5,FALSE())),"")</f>
        <v>0.6</v>
      </c>
      <c r="J564" s="91">
        <f t="shared" si="139"/>
        <v>0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0</v>
      </c>
      <c r="H565" s="88">
        <f>IFERROR(IF($G565="","",$G565*$S$567/$G$567/Cadastro!$E$33),"")</f>
        <v>0</v>
      </c>
      <c r="I565" s="90">
        <f>IFERROR(IF($D565="","",VLOOKUP($D565,Cadastro!$C$4:$G$7,5,FALSE())),"")</f>
        <v>0.6</v>
      </c>
      <c r="J565" s="91">
        <f t="shared" si="139"/>
        <v>0</v>
      </c>
      <c r="K565" s="69">
        <f t="shared" si="140"/>
        <v>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39"/>
        <v/>
      </c>
      <c r="K566" s="64" t="str">
        <f t="shared" si="140"/>
        <v/>
      </c>
      <c r="L566" s="61" t="s">
        <v>29</v>
      </c>
      <c r="M566" s="61" t="s">
        <v>56</v>
      </c>
      <c r="N566" s="61"/>
      <c r="O566" s="65">
        <v>0.23749999999999999</v>
      </c>
      <c r="P566" s="65"/>
      <c r="Q566" s="66">
        <f t="shared" ca="1" si="141"/>
        <v>1.8693749996600673E-2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460.4</v>
      </c>
      <c r="L567" s="72"/>
      <c r="M567" s="72"/>
      <c r="N567" s="72"/>
      <c r="O567" s="72"/>
      <c r="P567" s="72"/>
      <c r="Q567" s="73">
        <f ca="1">IFERROR(SUM(Q555:Q566),"")</f>
        <v>9.7860416663267502E-2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115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498.2</v>
      </c>
      <c r="L568" s="76"/>
      <c r="M568" s="76"/>
      <c r="N568" s="76"/>
      <c r="O568" s="76"/>
      <c r="P568" s="76"/>
      <c r="Q568" s="77">
        <f ca="1">IFERROR(Q554+Q567,"")</f>
        <v>0.50827708332993415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3" activePane="bottomLeft" state="frozen"/>
      <selection pane="bottomLeft" activeCell="G565" sqref="G56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42"/>
        <v>0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42"/>
        <v>0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0</v>
      </c>
      <c r="I564" s="90">
        <f>IFERROR(IF($D564="","",VLOOKUP($D564,Cadastro!$C$4:$G$7,5,FALSE())),"")</f>
        <v>0.6</v>
      </c>
      <c r="J564" s="91">
        <f t="shared" si="142"/>
        <v>0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>
        <f>IFERROR(IF($G565="","",$G565*$S$567/$G$567/Cadastro!$E$33),"")</f>
        <v>0</v>
      </c>
      <c r="I565" s="90">
        <f>IFERROR(IF($D565="","",VLOOKUP($D565,Cadastro!$C$4:$G$7,5,FALSE())),"")</f>
        <v>0.6</v>
      </c>
      <c r="J565" s="91">
        <f t="shared" si="142"/>
        <v>0</v>
      </c>
      <c r="K565" s="69">
        <f t="shared" si="143"/>
        <v>0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 t="str">
        <f t="shared" si="143"/>
        <v/>
      </c>
      <c r="L566" s="61" t="s">
        <v>29</v>
      </c>
      <c r="M566" s="61" t="s">
        <v>61</v>
      </c>
      <c r="N566" s="61"/>
      <c r="O566" s="65">
        <v>0.2388888888888889</v>
      </c>
      <c r="P566" s="65"/>
      <c r="Q566" s="66">
        <f t="shared" ca="1" si="145"/>
        <v>1.7304861110460479E-2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99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418.20000000000005</v>
      </c>
      <c r="L567" s="72"/>
      <c r="M567" s="72"/>
      <c r="N567" s="72"/>
      <c r="O567" s="134"/>
      <c r="P567" s="134"/>
      <c r="Q567" s="73">
        <f ca="1">IFERROR(SUM(Q555:Q566),"")</f>
        <v>0.19369374999934924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230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968.40000000000009</v>
      </c>
      <c r="L568" s="76"/>
      <c r="M568" s="76"/>
      <c r="N568" s="76"/>
      <c r="O568" s="135"/>
      <c r="P568" s="135"/>
      <c r="Q568" s="77">
        <f ca="1">IFERROR(Q554+Q567,"")</f>
        <v>0.3499437499993493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2026-08-22T10:09:26Z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