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41" documentId="13_ncr:1_{0A10D8D4-8450-4366-8075-B53B08E6B7EA}" xr6:coauthVersionLast="47" xr6:coauthVersionMax="47" xr10:uidLastSave="{DAE888B1-0D09-4D2D-82E4-F12DB3D79DE2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3" i="6" l="1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<sst xmlns="http://schemas.openxmlformats.org/spreadsheetml/2006/main" count="6909" uniqueCount="351">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</sst>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L394" sqref="L39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65</v>
      </c>
      <c r="G405" s="36">
        <f>SUM(G393:G404)</f>
        <v>325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345</v>
      </c>
      <c r="G406" s="40">
        <f>G392+G405</f>
        <v>1740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O394" sqref="O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0.7923152777730138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0.93120416666190264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1.015926388884125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42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176.4</v>
      </c>
      <c r="L405" s="37"/>
      <c r="M405" s="37"/>
      <c r="N405" s="37"/>
      <c r="O405" s="37"/>
      <c r="P405" s="37"/>
      <c r="Q405" s="38">
        <f ca="1">IFERROR(SUM(Q393:Q404),"")</f>
        <v>2.430555555555558E-2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208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873.60000000000014</v>
      </c>
      <c r="L406" s="41"/>
      <c r="M406" s="41"/>
      <c r="N406" s="41"/>
      <c r="O406" s="41"/>
      <c r="P406" s="41"/>
      <c r="Q406" s="42">
        <f ca="1">IFERROR(Q392+Q405,"")</f>
        <v>9.6527777777777768E-2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P394" sqref="P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109.20000000000002</v>
      </c>
      <c r="L405" s="37"/>
      <c r="M405" s="37"/>
      <c r="N405" s="37"/>
      <c r="O405" s="37"/>
      <c r="P405" s="37"/>
      <c r="Q405" s="38">
        <f ca="1">IFERROR(SUM(Q393:Q404),"")</f>
        <v>1.3194444444444398E-2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118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466.20000000000005</v>
      </c>
      <c r="L406" s="41"/>
      <c r="M406" s="41"/>
      <c r="N406" s="41"/>
      <c r="O406" s="41"/>
      <c r="P406" s="41"/>
      <c r="Q406" s="42">
        <f ca="1">IFERROR(Q392+Q405,"")</f>
        <v>8.680555555555558E-2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66" activePane="bottomLeft" state="frozen"/>
      <selection pane="bottomLeft" activeCell="L393" sqref="L39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0.286065277774469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0.35064861110780227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/>
      <c r="O393" s="29">
        <v>0.91319444444444442</v>
      </c>
      <c r="P393" s="29"/>
      <c r="Q393" s="35">
        <f t="shared" ref="Q393:Q404" ca="1" si="96">IFERROR(IF(O393="","",IF(P393="",MOD(NOW()-O393,1),IF(P393&gt;=O393,P393-O393,P393+1-O393))),"")</f>
        <v>6.4861110877245665E-4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142.80000000000001</v>
      </c>
      <c r="L405" s="37"/>
      <c r="M405" s="37"/>
      <c r="N405" s="37"/>
      <c r="O405" s="61"/>
      <c r="P405" s="61"/>
      <c r="Q405" s="38">
        <f ca="1">IFERROR(SUM(Q393:Q404),"")</f>
        <v>6.4861110877245665E-4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174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730.8</v>
      </c>
      <c r="L406" s="41"/>
      <c r="M406" s="41"/>
      <c r="N406" s="41"/>
      <c r="O406" s="63"/>
      <c r="P406" s="63"/>
      <c r="Q406" s="42">
        <f ca="1">IFERROR(Q392+Q405,"")</f>
        <v>0.35129722221657472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2026-08-16T01:56:00Z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