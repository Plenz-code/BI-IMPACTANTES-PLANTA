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82" documentId="8_{AF585B22-221D-4780-BB9C-493D365A6A02}" xr6:coauthVersionLast="47" xr6:coauthVersionMax="47" xr10:uidLastSave="{149F52C7-9B19-40F2-A2F4-93AD25A13B4C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<sst xmlns="http://schemas.openxmlformats.org/spreadsheetml/2006/main" count="5122" uniqueCount="296">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</sst>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F303" sqref="F30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228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213</v>
      </c>
      <c r="F300" s="27">
        <v>11</v>
      </c>
      <c r="G300" s="28">
        <f t="shared" si="66"/>
        <v>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213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213</v>
      </c>
      <c r="F302" s="27">
        <v>25.7</v>
      </c>
      <c r="G302" s="28">
        <f t="shared" si="66"/>
        <v>128.5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213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213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213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213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213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213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213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57.2</v>
      </c>
      <c r="G311" s="36">
        <f>SUM(G299:G310)</f>
        <v>286</v>
      </c>
      <c r="H311" s="37"/>
      <c r="I311" s="37"/>
      <c r="J311" s="37"/>
      <c r="K311" s="37"/>
      <c r="L311" s="37"/>
      <c r="M311" s="38">
        <f ca="1">IFERROR(SUM(M299:M310),"")</f>
        <v>3.7500000000000033E-2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57.2</v>
      </c>
      <c r="G325" s="40">
        <f>G311+G324</f>
        <v>286</v>
      </c>
      <c r="H325" s="41"/>
      <c r="I325" s="41"/>
      <c r="J325" s="41"/>
      <c r="K325" s="41"/>
      <c r="L325" s="41"/>
      <c r="M325" s="42">
        <f ca="1">IFERROR(M311+M324,"")</f>
        <v>3.7500000000000033E-2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3" sqref="F3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246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247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249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244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252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253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18</v>
      </c>
      <c r="G302" s="28">
        <f t="shared" si="66"/>
        <v>75.600000000000009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29</v>
      </c>
      <c r="G311" s="36">
        <f>SUM(G299:G310)</f>
        <v>121.80000000000001</v>
      </c>
      <c r="H311" s="37"/>
      <c r="I311" s="37"/>
      <c r="J311" s="37"/>
      <c r="K311" s="37"/>
      <c r="L311" s="37"/>
      <c r="M311" s="38">
        <f ca="1">IFERROR(SUM(M299:M310),"")</f>
        <v>5.5555555555555525E-2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29</v>
      </c>
      <c r="G325" s="40">
        <f>G311+G324</f>
        <v>121.80000000000001</v>
      </c>
      <c r="H325" s="41"/>
      <c r="I325" s="41"/>
      <c r="J325" s="41"/>
      <c r="K325" s="41"/>
      <c r="L325" s="41"/>
      <c r="M325" s="42">
        <f ca="1">IFERROR(M311+M324,"")</f>
        <v>5.5555555555555525E-2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3" sqref="F3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263</v>
      </c>
      <c r="N166" s="27" t="s">
        <v>264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11</v>
      </c>
      <c r="G302" s="28">
        <f t="shared" si="66"/>
        <v>46.2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23</v>
      </c>
      <c r="G311" s="36">
        <f>SUM(G299:G310)</f>
        <v>96.600000000000009</v>
      </c>
      <c r="H311" s="37"/>
      <c r="I311" s="37"/>
      <c r="J311" s="37"/>
      <c r="K311" s="37"/>
      <c r="L311" s="37"/>
      <c r="M311" s="38">
        <f ca="1">IFERROR(SUM(M299:M310),"")</f>
        <v>3.4027777777777768E-2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23</v>
      </c>
      <c r="G325" s="40">
        <f>G311+G324</f>
        <v>96.600000000000009</v>
      </c>
      <c r="H325" s="41"/>
      <c r="I325" s="41"/>
      <c r="J325" s="41"/>
      <c r="K325" s="41"/>
      <c r="L325" s="41"/>
      <c r="M325" s="42">
        <f ca="1">IFERROR(M311+M324,"")</f>
        <v>3.4027777777777768E-2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0" activePane="bottomLeft" state="frozen"/>
      <selection pane="bottomLeft" activeCell="F303" sqref="F30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274</v>
      </c>
      <c r="L58" s="29">
        <v>0.54097222222222219</v>
      </c>
      <c r="M58" s="30" t="str">
        <f t="shared" ca="1" si="13"/>
        <v/>
      </c>
      <c r="N58" s="27" t="s">
        <v>275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0.22592106481897645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0.42522662037453207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0.7925877314856431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229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0</v>
      </c>
      <c r="G300" s="28">
        <f t="shared" si="66"/>
        <v>0</v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0</v>
      </c>
      <c r="G301" s="34">
        <f t="shared" si="66"/>
        <v>0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0.13958333333333334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0.13958333333333334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2026-07-12T15:24:37Z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