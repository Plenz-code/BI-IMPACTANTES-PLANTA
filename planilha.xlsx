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198" documentId="8_{AF585B22-221D-4780-BB9C-493D365A6A02}" xr6:coauthVersionLast="47" xr6:coauthVersionMax="47" xr10:uidLastSave="{A5D1E657-2744-4BA9-843A-DBA45712088B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<sst xmlns="http://schemas.openxmlformats.org/spreadsheetml/2006/main" count="11181" uniqueCount="413">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</sst>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F741" sqref="F7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375</v>
      </c>
      <c r="G743" s="36">
        <f>SUM(G731:G742)</f>
        <v>1875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375</v>
      </c>
      <c r="G757" s="40">
        <f>G743+G756</f>
        <v>1875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41" sqref="F7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0.48209282407333376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0.63973171296222264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0.74945393518444481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0.46056504629814299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0.63139837963147638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0.77653726852036531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>
        <v>15</v>
      </c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121</v>
      </c>
      <c r="G743" s="36">
        <f>SUM(G731:G742)</f>
        <v>445.20000000000005</v>
      </c>
      <c r="H743" s="37"/>
      <c r="I743" s="37"/>
      <c r="J743" s="37"/>
      <c r="K743" s="37"/>
      <c r="L743" s="37"/>
      <c r="M743" s="38">
        <f ca="1">IFERROR(SUM(M731:M742),"")</f>
        <v>6.0416666666666563E-2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121</v>
      </c>
      <c r="G757" s="40">
        <f>G743+G756</f>
        <v>445.20000000000005</v>
      </c>
      <c r="H757" s="41"/>
      <c r="I757" s="41"/>
      <c r="J757" s="41"/>
      <c r="K757" s="41"/>
      <c r="L757" s="41"/>
      <c r="M757" s="42">
        <f ca="1">IFERROR(M743+M756,"")</f>
        <v>6.0416666666666563E-2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F740" sqref="F7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319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/>
      <c r="G741" s="34" t="str">
        <f>IF(F741="","",IF(E742="PC 17",F741*4.2,IF(E742="PC 19",F741*5,"")))</f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/>
      <c r="G742" s="28" t="str">
        <f>IF(F742="","",IF(#REF!="PC 17",F742*4.2,IF(#REF!="PC 19",F742*5,"")))</f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51</v>
      </c>
      <c r="G743" s="36">
        <f>SUM(G731:G742)</f>
        <v>214.2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51</v>
      </c>
      <c r="G757" s="40">
        <f>G743+G756</f>
        <v>214.2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8" activePane="bottomLeft" state="frozen"/>
      <selection pane="bottomLeft" activeCell="I739" sqref="I73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0.47237060185580049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0.67167615741135611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1.0390372685224671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0.71805555555555556</v>
      </c>
      <c r="M738" s="30">
        <f t="shared" ca="1" si="163"/>
        <v>4.1666666666666519E-3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180</v>
      </c>
      <c r="K739" s="29">
        <v>0.71388888888888891</v>
      </c>
      <c r="L739" s="29"/>
      <c r="M739" s="35">
        <f t="shared" ca="1" si="163"/>
        <v>7.7872685214970261E-3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>
        <v>0.71805555555555556</v>
      </c>
      <c r="L740" s="29"/>
      <c r="M740" s="30">
        <f t="shared" ca="1" si="163"/>
        <v>3.6206018558004871E-3</v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144</v>
      </c>
      <c r="G743" s="36">
        <f>SUM(G731:G742)</f>
        <v>604.79999999999995</v>
      </c>
      <c r="H743" s="37"/>
      <c r="I743" s="37"/>
      <c r="J743" s="37"/>
      <c r="K743" s="61"/>
      <c r="L743" s="61"/>
      <c r="M743" s="38">
        <f ca="1">IFERROR(SUM(M731:M742),"")</f>
        <v>1.091963425932853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144</v>
      </c>
      <c r="G757" s="40">
        <f>G743+G756</f>
        <v>604.79999999999995</v>
      </c>
      <c r="H757" s="41"/>
      <c r="I757" s="41"/>
      <c r="J757" s="41"/>
      <c r="K757" s="63"/>
      <c r="L757" s="63"/>
      <c r="M757" s="42">
        <f ca="1">IFERROR(M743+M756,"")</f>
        <v>1.091963425932853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2026-07-28T21:19:21Z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