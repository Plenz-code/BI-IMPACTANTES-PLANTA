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76" documentId="8_{C51EB6CB-002B-4D6B-B68F-DDEBDB4460C0}" xr6:coauthVersionLast="47" xr6:coauthVersionMax="47" xr10:uidLastSave="{9613D6FC-A10E-4BC2-AEEA-99B42166D9F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<sst xmlns="http://schemas.openxmlformats.org/spreadsheetml/2006/main" count="4077" uniqueCount="299">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</sst>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J191" sqref="J1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/>
      <c r="M191" s="35">
        <f t="shared" ref="M191:M202" ca="1" si="43">IFERROR(IF(K191="","",IF(L191="",MOD(NOW()-K191,1),IF(L191&gt;=K191,L191-K191,L191+1-K191))),"")</f>
        <v>1.6775462958321441E-2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175</v>
      </c>
      <c r="H203" s="37"/>
      <c r="I203" s="37"/>
      <c r="J203" s="37"/>
      <c r="K203" s="37"/>
      <c r="L203" s="37"/>
      <c r="M203" s="38">
        <f ca="1">IFERROR(SUM(M191:M202),"")</f>
        <v>1.6775462958321441E-2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175</v>
      </c>
      <c r="H217" s="41"/>
      <c r="I217" s="41"/>
      <c r="J217" s="41"/>
      <c r="K217" s="41"/>
      <c r="L217" s="41"/>
      <c r="M217" s="42">
        <f ca="1">IFERROR(M203+M216,"")</f>
        <v>1.6775462958321441E-2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J195" sqref="J1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0.24455324073642259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0.38344212962531149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0.4681643518475338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82" sqref="J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J192" sqref="J1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 t="s">
        <v>20</v>
      </c>
      <c r="I192" s="26" t="s">
        <v>52</v>
      </c>
      <c r="J192" s="26" t="s">
        <v>28</v>
      </c>
      <c r="K192" s="29">
        <v>0.36527777777777776</v>
      </c>
      <c r="L192" s="29"/>
      <c r="M192" s="30">
        <f t="shared" ca="1" si="43"/>
        <v>8.0324074224336073E-4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</v>
      </c>
      <c r="H203" s="37"/>
      <c r="I203" s="37"/>
      <c r="J203" s="37"/>
      <c r="K203" s="61"/>
      <c r="L203" s="61"/>
      <c r="M203" s="38">
        <f ca="1">IFERROR(SUM(M191:M202),"")</f>
        <v>2.0247685186687792E-2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15</v>
      </c>
      <c r="G217" s="40">
        <f>G203+G216</f>
        <v>63</v>
      </c>
      <c r="H217" s="41"/>
      <c r="I217" s="41"/>
      <c r="J217" s="41"/>
      <c r="K217" s="63"/>
      <c r="L217" s="63"/>
      <c r="M217" s="42">
        <f ca="1">IFERROR(M203+M216,"")</f>
        <v>2.0247685186687792E-2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2026-08-08T12:47:21Z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