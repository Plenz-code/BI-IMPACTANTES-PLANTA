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262" documentId="8_{AF585B22-221D-4780-BB9C-493D365A6A02}" xr6:coauthVersionLast="47" xr6:coauthVersionMax="47" xr10:uidLastSave="{9E6E2C3C-72E7-4C06-908E-7210D90DF70B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<sst xmlns="http://schemas.openxmlformats.org/spreadsheetml/2006/main" count="8146" uniqueCount="356">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</sst>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L515" sqref="L5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>
        <v>1298429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3397119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 t="s">
        <v>30</v>
      </c>
      <c r="E515" s="62"/>
      <c r="F515" s="27"/>
      <c r="G515" s="34" t="str">
        <f t="shared" ref="G515:G526" si="114">IF(F515="","",IF(E515="PC 17",F515*4.2,IF(E515="PC 19",F515*5,"")))</f>
        <v/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/>
      <c r="M515" s="35">
        <f t="shared" ref="M515:M526" ca="1" si="115">IFERROR(IF(K515="","",IF(L515="",MOD(NOW()-K515,1),IF(L515&gt;=K515,L515-K515,L515+1-K515))),"")</f>
        <v>3.2918981480179355E-2</v>
      </c>
      <c r="N515" s="46" t="s">
        <v>255</v>
      </c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3.2918981480179355E-2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3.2918981480179355E-2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94" activePane="bottomLeft" state="frozen"/>
      <selection pane="bottomLeft" activeCell="F522" sqref="F5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9.4724537033471279E-2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0.25236342592236016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0.36208564814458233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270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287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288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289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7.3196759258280508E-2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0.24403009259161387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0.38916898148050272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291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292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293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294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295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296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297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8" t="s">
        <v>231</v>
      </c>
      <c r="B513" s="89"/>
      <c r="C513" s="89"/>
      <c r="D513" s="89"/>
      <c r="E513" s="89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>
        <v>556040</v>
      </c>
    </row>
    <row r="514" spans="1:15" ht="18" customHeight="1">
      <c r="A514" s="94" t="s">
        <v>232</v>
      </c>
      <c r="B514" s="92"/>
      <c r="C514" s="92"/>
      <c r="D514" s="92"/>
      <c r="E514" s="92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1307150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 t="s">
        <v>30</v>
      </c>
      <c r="E515" s="62" t="s">
        <v>254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254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254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254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254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254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254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254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254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254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254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254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24</v>
      </c>
      <c r="G527" s="36">
        <f>SUM(G515:G526)</f>
        <v>100.80000000000001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24</v>
      </c>
      <c r="G541" s="40">
        <f>G527+G540</f>
        <v>100.80000000000001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8" zoomScale="50" zoomScaleNormal="50" workbookViewId="0">
      <selection activeCell="E524" sqref="E5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269</v>
      </c>
      <c r="K141" s="29">
        <v>0.71597222222222223</v>
      </c>
      <c r="L141" s="29" t="s">
        <v>304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306</v>
      </c>
      <c r="N166" s="27" t="s">
        <v>307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289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318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230</v>
      </c>
      <c r="O513" s="39">
        <v>276610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233</v>
      </c>
      <c r="O514" s="48">
        <f>IFERROR(O500+O513,"")</f>
        <v>593040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 t="s">
        <v>30</v>
      </c>
      <c r="E515" s="62" t="s">
        <v>254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254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254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254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254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254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254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254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254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254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254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254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9</v>
      </c>
      <c r="G527" s="36">
        <f>SUM(G515:G526)</f>
        <v>37.800000000000004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9</v>
      </c>
      <c r="G541" s="40">
        <f>G527+G540</f>
        <v>37.800000000000004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06" activePane="bottomLeft" state="frozen"/>
      <selection pane="bottomLeft" activeCell="F516" sqref="F51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320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323</v>
      </c>
      <c r="L58" s="29">
        <v>0.54097222222222219</v>
      </c>
      <c r="M58" s="30" t="str">
        <f t="shared" ca="1" si="13"/>
        <v/>
      </c>
      <c r="N58" s="27" t="s">
        <v>324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8.5002314815938007E-2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0.28430787037149363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0.65166898148260466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353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354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328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328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355</v>
      </c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230</v>
      </c>
      <c r="O513" s="39">
        <v>416720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233</v>
      </c>
      <c r="O514" s="48">
        <f>IFERROR(O500+O513,"")</f>
        <v>1447870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 t="s">
        <v>30</v>
      </c>
      <c r="E515" s="62" t="s">
        <v>254</v>
      </c>
      <c r="F515" s="27">
        <v>0</v>
      </c>
      <c r="G515" s="34">
        <f t="shared" ref="G515:G526" si="114">IF(F515="","",IF(E515="PC 17",F515*4.2,IF(E515="PC 19",F515*5,"")))</f>
        <v>0</v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254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254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254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254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254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254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254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254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254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254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254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2026-07-20T12:01:32Z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