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04" documentId="8_{C51EB6CB-002B-4D6B-B68F-DDEBDB4460C0}" xr6:coauthVersionLast="47" xr6:coauthVersionMax="47" xr10:uidLastSave="{73C9D74D-F8BC-408D-BEC9-07D8EB436D97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<sst xmlns="http://schemas.openxmlformats.org/spreadsheetml/2006/main" count="3470" uniqueCount="287">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</sst>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3" fontId="14" fillId="14" borderId="6" xfId="0" applyNumberFormat="1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3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3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3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3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3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3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3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3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3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3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3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3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3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3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3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3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3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3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3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3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3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3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3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3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3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3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26" activePane="bottomLeft" state="frozen"/>
      <selection pane="bottomLeft" activeCell="F154" sqref="F15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18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 t="s">
        <v>20</v>
      </c>
      <c r="I153" s="33" t="s">
        <v>23</v>
      </c>
      <c r="J153" s="33" t="s">
        <v>133</v>
      </c>
      <c r="K153" s="29">
        <v>0.99513888888888891</v>
      </c>
      <c r="L153" s="29"/>
      <c r="M153" s="35">
        <f t="shared" ca="1" si="34"/>
        <v>9.2476853751577437E-5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31</v>
      </c>
      <c r="G162" s="36">
        <f>SUM(G150:G161)</f>
        <v>155</v>
      </c>
      <c r="H162" s="37"/>
      <c r="I162" s="37"/>
      <c r="J162" s="37"/>
      <c r="K162" s="37"/>
      <c r="L162" s="37"/>
      <c r="M162" s="38">
        <f ca="1">IFERROR(SUM(M150:M161),"")</f>
        <v>9.0370254631529368E-2</v>
      </c>
      <c r="N162" s="36" t="s">
        <v>233</v>
      </c>
      <c r="O162" s="4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320</v>
      </c>
      <c r="G163" s="40">
        <f>G149+G162</f>
        <v>1600</v>
      </c>
      <c r="H163" s="41"/>
      <c r="I163" s="41"/>
      <c r="J163" s="41"/>
      <c r="K163" s="41"/>
      <c r="L163" s="41"/>
      <c r="M163" s="42">
        <f ca="1">IFERROR(M149+M162,"")</f>
        <v>0.18898136574264052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0" activePane="bottomLeft" state="frozen"/>
      <selection pane="bottomLeft" activeCell="F154" sqref="F15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0.87370358796033543</v>
      </c>
      <c r="N53" s="46" t="s">
        <v>254</v>
      </c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1.0125924768492243</v>
      </c>
      <c r="N54" s="36" t="s">
        <v>233</v>
      </c>
      <c r="O54" s="84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1.0973146990714466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45</v>
      </c>
      <c r="G162" s="36">
        <f>SUM(G150:G161)</f>
        <v>189.00000000000003</v>
      </c>
      <c r="H162" s="37"/>
      <c r="I162" s="37"/>
      <c r="J162" s="37"/>
      <c r="K162" s="37"/>
      <c r="L162" s="37"/>
      <c r="M162" s="38">
        <f ca="1">IFERROR(SUM(M150:M161),"")</f>
        <v>4.5833333333333504E-2</v>
      </c>
      <c r="N162" s="36" t="s">
        <v>233</v>
      </c>
      <c r="O162" s="5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185</v>
      </c>
      <c r="G163" s="40">
        <f>G149+G162</f>
        <v>777</v>
      </c>
      <c r="H163" s="41"/>
      <c r="I163" s="41"/>
      <c r="J163" s="41"/>
      <c r="K163" s="41"/>
      <c r="L163" s="41"/>
      <c r="M163" s="42">
        <f ca="1">IFERROR(M149+M162,"")</f>
        <v>0.22152777777777793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232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F154" sqref="F15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12</v>
      </c>
      <c r="G162" s="36">
        <f>SUM(G150:G161)</f>
        <v>50.400000000000006</v>
      </c>
      <c r="H162" s="37"/>
      <c r="I162" s="37"/>
      <c r="J162" s="37"/>
      <c r="K162" s="37"/>
      <c r="L162" s="37"/>
      <c r="M162" s="38">
        <f ca="1">IFERROR(SUM(M150:M161),"")</f>
        <v>6.8055555555555536E-2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45</v>
      </c>
      <c r="G163" s="40">
        <f>G149+G162</f>
        <v>189</v>
      </c>
      <c r="H163" s="41"/>
      <c r="I163" s="41"/>
      <c r="J163" s="41"/>
      <c r="K163" s="41"/>
      <c r="L163" s="41"/>
      <c r="M163" s="42">
        <f ca="1">IFERROR(M149+M162,"")</f>
        <v>0.22152777777777771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8" activePane="bottomLeft" state="frozen"/>
      <selection pane="bottomLeft" activeCell="F154" sqref="F15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232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38</v>
      </c>
      <c r="G162" s="36">
        <f>SUM(G150:G161)</f>
        <v>159.6</v>
      </c>
      <c r="H162" s="37"/>
      <c r="I162" s="37"/>
      <c r="J162" s="37"/>
      <c r="K162" s="61"/>
      <c r="L162" s="61"/>
      <c r="M162" s="38">
        <f ca="1">IFERROR(SUM(M150:M161),"")</f>
        <v>6.8055555555555647E-2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220</v>
      </c>
      <c r="G163" s="40">
        <f>G149+G162</f>
        <v>924.00000000000011</v>
      </c>
      <c r="H163" s="41"/>
      <c r="I163" s="41"/>
      <c r="J163" s="41"/>
      <c r="K163" s="63"/>
      <c r="L163" s="63"/>
      <c r="M163" s="42">
        <f ca="1">IFERROR(M149+M162,"")</f>
        <v>0.16250000000000003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232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2026-08-07T03:53:13Z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