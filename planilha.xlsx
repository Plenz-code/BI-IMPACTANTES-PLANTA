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378" documentId="8_{AF585B22-221D-4780-BB9C-493D365A6A02}" xr6:coauthVersionLast="47" xr6:coauthVersionMax="47" xr10:uidLastSave="{BCED352A-7B70-45D8-90C0-64F4C0AD0F2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<sst xmlns="http://schemas.openxmlformats.org/spreadsheetml/2006/main" count="4128" uniqueCount="279">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</sst>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>
        <v>22</v>
      </c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>
        <v>30</v>
      </c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52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290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09" activePane="bottomLeft" state="frozen"/>
      <selection pane="bottomLeft" activeCell="J233" sqref="J2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/>
      <c r="M233" s="35">
        <f t="shared" ca="1" si="52"/>
        <v>2.8854166666860692E-3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21</v>
      </c>
      <c r="G243" s="36">
        <f>SUM(G231:G242)</f>
        <v>88.2</v>
      </c>
      <c r="H243" s="37"/>
      <c r="I243" s="37"/>
      <c r="J243" s="37"/>
      <c r="K243" s="37"/>
      <c r="L243" s="37"/>
      <c r="M243" s="38">
        <f ca="1">IFERROR(SUM(M231:M242),"")</f>
        <v>8.9690972222241649E-2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136</v>
      </c>
      <c r="G244" s="40">
        <f>G230+G243</f>
        <v>571.20000000000005</v>
      </c>
      <c r="H244" s="41"/>
      <c r="I244" s="41"/>
      <c r="J244" s="41"/>
      <c r="K244" s="41"/>
      <c r="L244" s="41"/>
      <c r="M244" s="42">
        <f ca="1">IFERROR(M230+M243,"")</f>
        <v>0.42024652777779714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J231" sqref="J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/>
      <c r="M231" s="35">
        <f t="shared" ref="M231:M242" ca="1" si="52">IFERROR(IF(K231="","",IF(L231="",MOD(NOW()-K231,1),IF(L231&gt;=K231,L231-K231,L231+1-K231))),"")</f>
        <v>2.8854166666860692E-3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4</v>
      </c>
      <c r="G233" s="34">
        <f t="shared" si="51"/>
        <v>16.8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10</v>
      </c>
      <c r="G234" s="28">
        <f t="shared" si="51"/>
        <v>42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41</v>
      </c>
      <c r="G243" s="36">
        <f>SUM(G231:G242)</f>
        <v>172.20000000000002</v>
      </c>
      <c r="H243" s="37"/>
      <c r="I243" s="37"/>
      <c r="J243" s="37"/>
      <c r="K243" s="37"/>
      <c r="L243" s="37"/>
      <c r="M243" s="38">
        <f ca="1">IFERROR(SUM(M231:M242),"")</f>
        <v>2.8854166666860692E-3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143</v>
      </c>
      <c r="G244" s="40">
        <f>G230+G243</f>
        <v>600.6</v>
      </c>
      <c r="H244" s="41"/>
      <c r="I244" s="41"/>
      <c r="J244" s="41"/>
      <c r="K244" s="41"/>
      <c r="L244" s="41"/>
      <c r="M244" s="42">
        <f ca="1">IFERROR(M230+M243,"")</f>
        <v>3.8302083333352832E-2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0.69107986111339414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0.89038541666894977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1.2577465277800608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45</v>
      </c>
      <c r="G243" s="36">
        <f>SUM(G231:G242)</f>
        <v>189</v>
      </c>
      <c r="H243" s="37"/>
      <c r="I243" s="37"/>
      <c r="J243" s="37"/>
      <c r="K243" s="61"/>
      <c r="L243" s="61"/>
      <c r="M243" s="38">
        <f ca="1">IFERROR(SUM(M231:M242),"")</f>
        <v>5.9722222222222232E-2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163</v>
      </c>
      <c r="G244" s="40">
        <f>G230+G243</f>
        <v>684.6</v>
      </c>
      <c r="H244" s="41"/>
      <c r="I244" s="41"/>
      <c r="J244" s="41"/>
      <c r="K244" s="63"/>
      <c r="L244" s="63"/>
      <c r="M244" s="42">
        <f ca="1">IFERROR(M230+M243,"")</f>
        <v>0.2562500000000002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2026-07-10T02:34:26Z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