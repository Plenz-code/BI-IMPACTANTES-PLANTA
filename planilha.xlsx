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6" documentId="8_{AF585B22-221D-4780-BB9C-493D365A6A02}" xr6:coauthVersionLast="47" xr6:coauthVersionMax="47" xr10:uidLastSave="{3D6BB880-9324-4123-B1E7-47CEAD7FFE96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8" i="6" l="1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<sst xmlns="http://schemas.openxmlformats.org/spreadsheetml/2006/main" count="1663" uniqueCount="210">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</sst>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2" sqref="F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5</v>
      </c>
      <c r="G54" s="36">
        <f>SUM(G42:G53)</f>
        <v>21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H42" sqref="H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>
        <v>0.88194444444444442</v>
      </c>
      <c r="L42" s="29"/>
      <c r="M42" s="30">
        <f t="shared" ref="M42:M53" ca="1" si="10">IFERROR(IF(K42="","",IF(L42="",MOD(NOW()-K42,1),IF(L42&gt;=K42,L42-K42,L42+1-K42))),"")</f>
        <v>4.2071759526152164E-4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4</v>
      </c>
      <c r="G54" s="36">
        <f>SUM(G42:G53)</f>
        <v>16.8</v>
      </c>
      <c r="H54" s="37"/>
      <c r="I54" s="37"/>
      <c r="J54" s="37"/>
      <c r="K54" s="37"/>
      <c r="L54" s="37"/>
      <c r="M54" s="38">
        <f ca="1">IFERROR(SUM(M42:M53),"")</f>
        <v>4.2071759526152164E-4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75</v>
      </c>
      <c r="G55" s="40">
        <f>G41+G54</f>
        <v>315.00000000000006</v>
      </c>
      <c r="H55" s="41"/>
      <c r="I55" s="41"/>
      <c r="J55" s="41"/>
      <c r="K55" s="41"/>
      <c r="L55" s="41"/>
      <c r="M55" s="42">
        <f ca="1">IFERROR(M41+M54,"")</f>
        <v>0.15528182870637258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H43" sqref="H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115</v>
      </c>
      <c r="G55" s="40">
        <f>G41+G54</f>
        <v>483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2026-07-03T01:11:08Z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