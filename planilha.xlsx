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204" documentId="8_{AF585B22-221D-4780-BB9C-493D365A6A02}" xr6:coauthVersionLast="47" xr6:coauthVersionMax="47" xr10:uidLastSave="{E69CA265-1F7C-4BFF-9F65-1B6E6BE055F1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<sst xmlns="http://schemas.openxmlformats.org/spreadsheetml/2006/main" count="10537" uniqueCount="397">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</sst>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J690" sqref="J69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0.81944444444444442</v>
      </c>
      <c r="L690" s="29"/>
      <c r="M690" s="30">
        <f t="shared" ref="M690:M701" ca="1" si="154">IFERROR(IF(K690="","",IF(L690="",MOD(NOW()-K690,1),IF(L690&gt;=K690,L690-K690,L690+1-K690))),"")</f>
        <v>9.0254166665545199E-2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23</v>
      </c>
      <c r="G702" s="36">
        <f>SUM(G690:G701)</f>
        <v>115</v>
      </c>
      <c r="H702" s="37"/>
      <c r="I702" s="37"/>
      <c r="J702" s="37"/>
      <c r="K702" s="37"/>
      <c r="L702" s="37"/>
      <c r="M702" s="38">
        <f ca="1">IFERROR(SUM(M690:M701),"")</f>
        <v>9.0254166665545199E-2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321</v>
      </c>
      <c r="G703" s="40">
        <f>G689+G702</f>
        <v>1605</v>
      </c>
      <c r="H703" s="41"/>
      <c r="I703" s="41"/>
      <c r="J703" s="41"/>
      <c r="K703" s="41"/>
      <c r="L703" s="41"/>
      <c r="M703" s="42">
        <f ca="1">IFERROR(M689+M702,"")</f>
        <v>0.28261527777665624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9" activePane="bottomLeft" state="frozen"/>
      <selection pane="bottomLeft" activeCell="E692" sqref="E69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0.67011527777503943</v>
      </c>
      <c r="N377" s="46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0.82775416666392831</v>
      </c>
      <c r="N378" s="36" t="s">
        <v>233</v>
      </c>
      <c r="O378" s="77">
        <v>511980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0.93747638888615048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0.64858749999984866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0.81942083333318205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0.96455972222207098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/>
      <c r="F680" s="101"/>
      <c r="G680" s="101"/>
      <c r="H680" s="101"/>
      <c r="I680" s="102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319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0.17011527777503943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/>
      <c r="B689" s="101"/>
      <c r="C689" s="101"/>
      <c r="D689" s="101"/>
      <c r="E689" s="102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10.28886527777504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34</v>
      </c>
      <c r="G702" s="36">
        <f>SUM(G690:G701)</f>
        <v>158</v>
      </c>
      <c r="H702" s="37"/>
      <c r="I702" s="37"/>
      <c r="J702" s="37"/>
      <c r="K702" s="37"/>
      <c r="L702" s="37"/>
      <c r="M702" s="38">
        <f ca="1">IFERROR(SUM(M690:M701),"")</f>
        <v>4.8611111111110938E-3</v>
      </c>
      <c r="N702" s="36" t="s">
        <v>233</v>
      </c>
      <c r="O702" s="77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163</v>
      </c>
      <c r="G703" s="40">
        <f>G689+G702</f>
        <v>699.80000000000007</v>
      </c>
      <c r="H703" s="41"/>
      <c r="I703" s="41"/>
      <c r="J703" s="41"/>
      <c r="K703" s="41"/>
      <c r="L703" s="41"/>
      <c r="M703" s="42">
        <f ca="1">IFERROR(M689+M702,"")</f>
        <v>10.293726388886151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75" zoomScale="50" zoomScaleNormal="50" workbookViewId="0">
      <selection activeCell="F693" sqref="F69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327</v>
      </c>
      <c r="N166" s="27" t="s">
        <v>328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14</v>
      </c>
      <c r="G702" s="36">
        <f>SUM(G690:G701)</f>
        <v>62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144</v>
      </c>
      <c r="G703" s="40">
        <f>G689+G702</f>
        <v>608.00000000000011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9" activePane="bottomLeft" state="frozen"/>
      <selection pane="bottomLeft" activeCell="E692" sqref="E69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353</v>
      </c>
      <c r="L58" s="29">
        <v>0.54097222222222219</v>
      </c>
      <c r="M58" s="30" t="str">
        <f t="shared" ca="1" si="13"/>
        <v/>
      </c>
      <c r="N58" s="27" t="s">
        <v>354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0.66039305555750616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0.85969861111306178</v>
      </c>
      <c r="N135" s="36" t="s">
        <v>233</v>
      </c>
      <c r="O135" s="39">
        <v>729290</v>
      </c>
    </row>
    <row r="136" spans="1:18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1.2270597222241728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232</v>
      </c>
      <c r="B338" s="101"/>
      <c r="C338" s="101"/>
      <c r="D338" s="101"/>
      <c r="E338" s="102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51</v>
      </c>
      <c r="G702" s="36">
        <f>SUM(G690:G701)</f>
        <v>234.2</v>
      </c>
      <c r="H702" s="37"/>
      <c r="I702" s="37"/>
      <c r="J702" s="37"/>
      <c r="K702" s="61"/>
      <c r="L702" s="61"/>
      <c r="M702" s="38">
        <f ca="1">IFERROR(SUM(M690:M701),"")</f>
        <v>1.041666666666663E-2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250</v>
      </c>
      <c r="G703" s="40">
        <f>G689+G702</f>
        <v>998.59999999999991</v>
      </c>
      <c r="H703" s="41"/>
      <c r="I703" s="41"/>
      <c r="J703" s="41"/>
      <c r="K703" s="63"/>
      <c r="L703" s="63"/>
      <c r="M703" s="42">
        <f ca="1">IFERROR(M689+M702,"")</f>
        <v>0.10138888888888886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2026-07-27T01:50:02Z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