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987" documentId="13_ncr:1_{0A10D8D4-8450-4366-8075-B53B08E6B7EA}" xr6:coauthVersionLast="47" xr6:coauthVersionMax="47" xr10:uidLastSave="{C157454E-B25B-4EE5-B5A1-50E229B40C6A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4" i="6" l="1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<sst xmlns="http://schemas.openxmlformats.org/spreadsheetml/2006/main" count="7546" uniqueCount="363">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</sst>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59854730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/>
    </row>
    <row r="59" spans="1:18" ht="15" customHeight="1">
      <c r="M59" s="170"/>
      <c r="N59" s="17"/>
      <c r="O59" s="17"/>
      <c r="P59" s="17" t="s">
        <v>217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218</v>
      </c>
      <c r="Q61" s="17"/>
      <c r="R61" s="17"/>
    </row>
    <row r="62" spans="1:18" ht="15" customHeight="1">
      <c r="M62" s="170"/>
      <c r="N62" s="16"/>
      <c r="O62" s="16"/>
      <c r="P62" s="16" t="s">
        <v>219</v>
      </c>
      <c r="Q62" s="16"/>
      <c r="R62" s="16"/>
    </row>
    <row r="63" spans="1:18" ht="15" customHeight="1">
      <c r="M63" s="170"/>
      <c r="N63" s="17"/>
      <c r="O63" s="17"/>
      <c r="P63" s="17" t="s">
        <v>220</v>
      </c>
      <c r="Q63" s="17"/>
      <c r="R63" s="17"/>
    </row>
    <row r="64" spans="1:18" ht="15" customHeight="1">
      <c r="M64" s="170"/>
      <c r="N64" s="16"/>
      <c r="O64" s="16"/>
      <c r="P64" s="16" t="s">
        <v>221</v>
      </c>
      <c r="Q64" s="16"/>
      <c r="R64" s="16"/>
    </row>
    <row r="65" spans="13:18" ht="15" customHeight="1">
      <c r="M65" s="170"/>
      <c r="N65" s="17"/>
      <c r="O65" s="17"/>
      <c r="P65" s="17" t="s">
        <v>222</v>
      </c>
      <c r="Q65" s="17"/>
      <c r="R65" s="17"/>
    </row>
    <row r="66" spans="13:18" ht="15" customHeight="1">
      <c r="M66" s="170"/>
      <c r="N66" s="16"/>
      <c r="O66" s="16"/>
      <c r="P66" s="16" t="s">
        <v>223</v>
      </c>
      <c r="Q66" s="16"/>
      <c r="R66" s="16"/>
    </row>
    <row r="67" spans="13:18" ht="15" customHeight="1">
      <c r="M67" s="170"/>
      <c r="N67" s="17"/>
      <c r="O67" s="17"/>
      <c r="P67" s="17" t="s">
        <v>224</v>
      </c>
      <c r="Q67" s="17"/>
      <c r="R67" s="17"/>
    </row>
    <row r="68" spans="13:18" ht="15" customHeight="1">
      <c r="M68" s="170"/>
      <c r="N68" s="16"/>
      <c r="O68" s="16"/>
      <c r="P68" s="16" t="s">
        <v>225</v>
      </c>
      <c r="Q68" s="16"/>
      <c r="R68" s="16"/>
    </row>
    <row r="69" spans="13:18" ht="15" customHeight="1">
      <c r="M69" s="170"/>
      <c r="N69" s="17"/>
      <c r="O69" s="17"/>
      <c r="P69" s="17" t="s">
        <v>226</v>
      </c>
      <c r="Q69" s="17"/>
      <c r="R69" s="17"/>
    </row>
    <row r="70" spans="13:18" ht="15" customHeight="1">
      <c r="M70" s="170"/>
      <c r="N70" s="16"/>
      <c r="O70" s="16"/>
      <c r="P70" s="16" t="s">
        <v>227</v>
      </c>
      <c r="Q70" s="16"/>
      <c r="R70" s="16"/>
    </row>
    <row r="71" spans="13:18" ht="15" customHeight="1">
      <c r="M71" s="170"/>
      <c r="N71" s="17"/>
      <c r="O71" s="17"/>
      <c r="P71" s="17" t="s">
        <v>228</v>
      </c>
      <c r="Q71" s="17"/>
      <c r="R71" s="17"/>
    </row>
    <row r="72" spans="13:18" ht="15" customHeight="1">
      <c r="M72" s="170"/>
      <c r="N72" s="16"/>
      <c r="O72" s="16"/>
      <c r="P72" s="16" t="s">
        <v>229</v>
      </c>
      <c r="Q72" s="16"/>
      <c r="R72" s="16"/>
    </row>
    <row r="73" spans="13:18" ht="15" customHeight="1">
      <c r="M73" s="170"/>
      <c r="N73" s="17"/>
      <c r="O73" s="17"/>
      <c r="P73" s="17" t="s">
        <v>230</v>
      </c>
      <c r="Q73" s="17"/>
      <c r="R73" s="17"/>
    </row>
    <row r="74" spans="13:18" ht="15" customHeight="1">
      <c r="M74" s="170"/>
      <c r="N74" s="16"/>
      <c r="O74" s="16"/>
      <c r="P74" s="16" t="s">
        <v>231</v>
      </c>
      <c r="Q74" s="16"/>
      <c r="R74" s="16"/>
    </row>
    <row r="75" spans="13:18" ht="15" customHeight="1">
      <c r="M75" s="170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11" activePane="bottomLeft" state="frozen"/>
      <selection pane="bottomLeft" activeCell="F446" sqref="F446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244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247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1" t="s">
        <v>248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244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247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1" t="s">
        <v>248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244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247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1" t="s">
        <v>248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244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247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1" t="s">
        <v>248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244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247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1" t="s">
        <v>248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244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247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1" t="s">
        <v>248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244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247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1" t="s">
        <v>248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244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247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1" t="s">
        <v>248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244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247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1" t="s">
        <v>248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244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247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1" t="s">
        <v>248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244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247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1" t="s">
        <v>248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244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247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1" t="s">
        <v>248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244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247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1" t="s">
        <v>248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244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247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1" t="s">
        <v>248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244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247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1" t="s">
        <v>248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244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247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1" t="s">
        <v>248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244</v>
      </c>
      <c r="B446" s="160"/>
      <c r="C446" s="160"/>
      <c r="D446" s="160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247</v>
      </c>
      <c r="B459" s="160"/>
      <c r="C459" s="160"/>
      <c r="D459" s="160"/>
      <c r="E459" s="17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1" t="s">
        <v>248</v>
      </c>
      <c r="B460" s="162"/>
      <c r="C460" s="162"/>
      <c r="D460" s="162"/>
      <c r="E460" s="173">
        <f>E446+E459</f>
        <v>0</v>
      </c>
      <c r="F460" s="40">
        <f>F446+F459</f>
        <v>168</v>
      </c>
      <c r="G460" s="40">
        <f>G446+G459</f>
        <v>840</v>
      </c>
      <c r="H460" s="41"/>
      <c r="I460" s="41"/>
      <c r="J460" s="41"/>
      <c r="K460" s="41"/>
      <c r="L460" s="41"/>
      <c r="M460" s="42">
        <f ca="1">IFERROR(M446+M459,"")</f>
        <v>0.12847222222222232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244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247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1" t="s">
        <v>248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244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247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1" t="s">
        <v>248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244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247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1" t="s">
        <v>248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244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247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1" t="s">
        <v>248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244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247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1" t="s">
        <v>248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244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247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1" t="s">
        <v>248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244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247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1" t="s">
        <v>248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244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247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1" t="s">
        <v>248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244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247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1" t="s">
        <v>248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244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247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1" t="s">
        <v>248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244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247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1" t="s">
        <v>248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244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247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1" t="s">
        <v>248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244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247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5" t="s">
        <v>248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244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247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1" t="s">
        <v>248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454:E838 E29:E229 E231:E310 E312:E381 E383:E452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11" activePane="bottomLeft" state="frozen"/>
      <selection pane="bottomLeft" activeCell="S447" sqref="S447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0.66673449074005475</v>
      </c>
      <c r="R53" s="46" t="s">
        <v>281</v>
      </c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0.80562337962894359</v>
      </c>
      <c r="R54" s="36" t="s">
        <v>245</v>
      </c>
      <c r="S54" s="75">
        <v>352430</v>
      </c>
      <c r="T54" s="117"/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0.89034560185116596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244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308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34" t="e">
        <f>IF(G445="","",IF(#REF!="PC 17",G445*4.2,IF(#REF!="PC 19",G445*5,IF(#REF!="CB",G445*24,""))))</f>
        <v>#REF!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 t="e">
        <f>SUM(K434:K445)</f>
        <v>#REF!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245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112</v>
      </c>
      <c r="H460" s="112">
        <f>IFERROR(H446+H459,"")</f>
        <v>449.02</v>
      </c>
      <c r="I460" s="116"/>
      <c r="J460" s="125">
        <f>IFERROR(J446+J459,"")</f>
        <v>94.294199999999989</v>
      </c>
      <c r="K460" s="40" t="e">
        <f>K446+K459</f>
        <v>#REF!</v>
      </c>
      <c r="L460" s="41"/>
      <c r="M460" s="41"/>
      <c r="N460" s="41"/>
      <c r="O460" s="41"/>
      <c r="P460" s="41"/>
      <c r="Q460" s="42">
        <f ca="1">IFERROR(Q446+Q459,"")</f>
        <v>6.7361111111111205E-2</v>
      </c>
      <c r="R460" s="40" t="s">
        <v>249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04" activePane="bottomLeft" state="frozen"/>
      <selection pane="bottomLeft" activeCell="S447" sqref="S44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322</v>
      </c>
      <c r="Q222" s="30" t="str">
        <f t="shared" ca="1" si="49"/>
        <v/>
      </c>
      <c r="R222" s="27" t="s">
        <v>323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329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329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245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85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357.00000000000006</v>
      </c>
      <c r="L460" s="41"/>
      <c r="M460" s="41"/>
      <c r="N460" s="41"/>
      <c r="O460" s="41"/>
      <c r="P460" s="41"/>
      <c r="Q460" s="42">
        <f ca="1">IFERROR(Q446+Q459,"")</f>
        <v>4.5138888888888895E-2</v>
      </c>
      <c r="R460" s="40" t="s">
        <v>249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13" activePane="bottomLeft" state="frozen"/>
      <selection pane="bottomLeft" activeCell="S447" sqref="S44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244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244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245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183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768.60000000000014</v>
      </c>
      <c r="L460" s="41"/>
      <c r="M460" s="41"/>
      <c r="N460" s="41"/>
      <c r="O460" s="63"/>
      <c r="P460" s="63"/>
      <c r="Q460" s="42">
        <f ca="1">IFERROR(Q446+Q459,"")</f>
        <v>3.6111111111111094E-2</v>
      </c>
      <c r="R460" s="40" t="s">
        <v>249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2026-08-17T22:57:44Z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