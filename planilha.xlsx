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268" documentId="13_ncr:1_{A6DBCFB4-28D9-4249-9038-216934055CA6}" xr6:coauthVersionLast="47" xr6:coauthVersionMax="47" xr10:uidLastSave="{A20366AC-5984-4324-8855-5A9B8A49A088}"/>
  <bookViews>
    <workbookView xWindow="-120" yWindow="-120" windowWidth="29040" windowHeight="15720" tabRatio="500" firstSheet="3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26" i="1" l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7" i="1"/>
  <c r="J29" i="1"/>
  <c r="J30" i="1"/>
  <c r="J31" i="1"/>
  <c r="J32" i="1"/>
  <c r="J33" i="1"/>
  <c r="J34" i="1"/>
  <c r="J4" i="1"/>
  <c r="K609" i="6"/>
  <c r="O608" i="3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H625" i="5" s="1"/>
  <c r="J625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F631" i="5"/>
  <c r="Q630" i="5"/>
  <c r="K630" i="5"/>
  <c r="I630" i="5"/>
  <c r="H630" i="5"/>
  <c r="J630" i="5" s="1"/>
  <c r="F630" i="5"/>
  <c r="Q629" i="5"/>
  <c r="K629" i="5"/>
  <c r="I629" i="5"/>
  <c r="F629" i="5"/>
  <c r="Q628" i="5"/>
  <c r="K628" i="5"/>
  <c r="I628" i="5"/>
  <c r="F628" i="5"/>
  <c r="Q627" i="5"/>
  <c r="K627" i="5"/>
  <c r="I627" i="5"/>
  <c r="H627" i="5"/>
  <c r="J627" i="5" s="1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J610" i="5" s="1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J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F599" i="5"/>
  <c r="Q598" i="5"/>
  <c r="K598" i="5"/>
  <c r="I598" i="5"/>
  <c r="H598" i="5"/>
  <c r="J598" i="5" s="1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J589" i="5" s="1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C35" i="1" s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H631" i="5" l="1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K649" i="6" s="1"/>
  <c r="G635" i="3"/>
  <c r="G649" i="3" s="1"/>
  <c r="K635" i="4"/>
  <c r="K649" i="4" s="1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03" i="5" s="1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649" i="5" s="1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676" i="5" l="1"/>
  <c r="K595" i="5"/>
  <c r="K622" i="4"/>
  <c r="G622" i="3"/>
  <c r="J608" i="6"/>
  <c r="J594" i="6"/>
  <c r="T594" i="6" s="1"/>
  <c r="H635" i="6"/>
  <c r="H649" i="6" s="1"/>
  <c r="J635" i="5"/>
  <c r="J649" i="5" s="1"/>
  <c r="T649" i="5" s="1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J568" i="5" s="1"/>
  <c r="T568" i="5" s="1"/>
  <c r="K460" i="5"/>
  <c r="J540" i="5"/>
  <c r="T540" i="5" s="1"/>
  <c r="J311" i="5"/>
  <c r="T311" i="5" s="1"/>
  <c r="J392" i="5"/>
  <c r="J406" i="5" s="1"/>
  <c r="T406" i="5" s="1"/>
  <c r="H487" i="5"/>
  <c r="H568" i="5"/>
  <c r="K28" i="5"/>
  <c r="K514" i="5"/>
  <c r="K784" i="5"/>
  <c r="J486" i="5"/>
  <c r="T486" i="5" s="1"/>
  <c r="J567" i="5"/>
  <c r="T567" i="5" s="1"/>
  <c r="J419" i="5"/>
  <c r="J581" i="5"/>
  <c r="J577" i="5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H703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J649" i="6"/>
  <c r="T649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J649" i="4"/>
  <c r="T649" i="4" s="1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325" i="5" l="1"/>
  <c r="T325" i="5" s="1"/>
  <c r="T338" i="5"/>
  <c r="H24" i="1"/>
  <c r="J541" i="5"/>
  <c r="T541" i="5" s="1"/>
  <c r="J622" i="6"/>
  <c r="T622" i="6" s="1"/>
  <c r="H26" i="1" s="1"/>
  <c r="H33" i="1"/>
  <c r="H31" i="1"/>
  <c r="H30" i="1"/>
  <c r="H25" i="1"/>
  <c r="H23" i="1"/>
  <c r="H22" i="1"/>
  <c r="H20" i="1"/>
  <c r="H18" i="1"/>
  <c r="H16" i="1"/>
  <c r="H34" i="1"/>
  <c r="H32" i="1"/>
  <c r="H29" i="1"/>
  <c r="H27" i="1"/>
  <c r="H21" i="1"/>
  <c r="H19" i="1"/>
  <c r="H17" i="1"/>
  <c r="H15" i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<sst xmlns="http://schemas.openxmlformats.org/spreadsheetml/2006/main" count="11043" uniqueCount="447">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</sst>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4" sqref="G4:G27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6.42578125" customWidth="1"/>
    <col min="8" max="8" width="19" customWidth="1"/>
    <col min="9" max="9" width="18.5703125" customWidth="1"/>
    <col min="10" max="10" width="13.140625" customWidth="1"/>
    <col min="11" max="11" width="22.140625" customWidth="1"/>
    <col min="12" max="14" width="8.5703125" customWidth="1"/>
  </cols>
  <sheetData>
    <row r="1" spans="1:12" ht="31.5" customHeight="1">
      <c r="A1" s="162" t="s">
        <v>0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</row>
    <row r="2" spans="1:12" ht="30" customHeight="1">
      <c r="A2" s="163"/>
      <c r="B2" s="16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>IFERROR(IF(OR(H5="",I5="",I5=0),"",IF(H5&gt;I5,MAX(0,2-H5/I5),H5/I5)),"")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>IFERROR(IF(OR(H6="",I6="",I6=0),"",IF(H6&gt;I6,MAX(0,2-H6/I6),H6/I6)),"")</f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>IFERROR(IF(OR(H7="",I7="",I7=0),"",IF(H7&gt;I7,MAX(0,2-H7/I7),H7/I7)),"")</f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>IFERROR(IF(OR(H8="",I8="",I8=0),"",IF(H8&gt;I8,MAX(0,2-H8/I8),H8/I8)),"")</f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>IFERROR(IF(OR(H9="",I9="",I9=0),"",IF(H9&gt;I9,MAX(0,2-H9/I9),H9/I9)),"")</f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>IFERROR(IF(OR(H10="",I10="",I10=0),"",IF(H10&gt;I10,MAX(0,2-H10/I10),H10/I10)),"")</f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>IFERROR(IF(OR(H11="",I11="",I11=0),"",IF(H11&gt;I11,MAX(0,2-H11/I11),H11/I11)),"")</f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>IFERROR(IF(OR(H12="",I12="",I12=0),"",IF(H12&gt;I12,MAX(0,2-H12/I12),H12/I12)),"")</f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>IFERROR(IF(OR(H13="",I13="",I13=0),"",IF(H13&gt;I13,MAX(0,2-H13/I13),H13/I13)),"")</f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>IFERROR(IF(OR(H14="",I14="",I14=0),"",IF(H14&gt;I14,MAX(0,2-H14/I14),H14/I14)),"")</f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>IFERROR(IF(OR(H15="",I15="",I15=0),"",IF(H15&gt;I15,MAX(0,2-H15/I15),H15/I15)),"")</f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>IFERROR(IF(OR(H16="",I16="",I16=0),"",IF(H16&gt;I16,MAX(0,2-H16/I16),H16/I16)),"")</f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>IFERROR(IF(OR(H17="",I17="",I17=0),"",IF(H17&gt;I17,MAX(0,2-H17/I17),H17/I17)),"")</f>
        <v>0.97080029333838036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>IFERROR(IF(OR(H18="",I18="",I18=0),"",IF(H18&gt;I18,MAX(0,2-H18/I18),H18/I18)),"")</f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>IFERROR(IF(OR(H19="",I19="",I19=0),"",IF(H19&gt;I19,MAX(0,2-H19/I19),H19/I19)),"")</f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>IFERROR(IF(OR(H20="",I20="",I20=0),"",IF(H20&gt;I20,MAX(0,2-H20/I20),H20/I20)),"")</f>
        <v>0.2185585614475487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>IFERROR(IF(OR(H21="",I21="",I21=0),"",IF(H21&gt;I21,MAX(0,2-H21/I21),H21/I21)),"")</f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>IFERROR(IF(OR(H22="",I22="",I22=0),"",IF(H22&gt;I22,MAX(0,2-H22/I22),H22/I22)),"")</f>
        <v>0.41296419249562777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158">
        <v>480.1</v>
      </c>
      <c r="J23" s="22">
        <f>IFERROR(IF(OR(H23="",I23="",I23=0),"",IF(H23&gt;I23,MAX(0,2-H23/I23),H23/I23)),"")</f>
        <v>0.58634723992745075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>IFERROR(IF(OR(H24="",I24="",I24=0),"",IF(H24&gt;I24,MAX(0,2-H24/I24),H24/I24)),"")</f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158">
        <v>589.76</v>
      </c>
      <c r="J25" s="22">
        <f>IFERROR(IF(OR(H25="",I25="",I25=0),"",IF(H25&gt;I25,MAX(0,2-H25/I25),H25/I25)),"")</f>
        <v>0.73236570808464463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158">
        <v>1088.1099999999999</v>
      </c>
      <c r="J26" s="22">
        <f>IFERROR(IF(OR(H26="",I26="",I26=0),"",IF(H26&gt;I26,MAX(0,2-H26/I26),H26/I26)),"")</f>
        <v>0.6464245912149531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158">
        <v>1614.33</v>
      </c>
      <c r="J27" s="22">
        <f>IFERROR(IF(OR(H27="",I27="",I27=0),"",IF(H27&gt;I27,MAX(0,2-H27/I27),H27/I27)),"")</f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2220720</v>
      </c>
      <c r="D28" s="19">
        <f>IFERROR('Linha 1'!S676,"")</f>
        <v>261620</v>
      </c>
      <c r="E28" s="19">
        <f>IFERROR('Linha 2'!S676,"")</f>
        <v>24120</v>
      </c>
      <c r="F28" s="19">
        <f>IFERROR('Linha 3'!S676,"")</f>
        <v>597370</v>
      </c>
      <c r="G28" s="20">
        <f t="shared" si="0"/>
        <v>883110</v>
      </c>
      <c r="H28" s="21">
        <f>IFERROR('Linha 1'!T676+'Linha 2'!T676+'Linha 3'!T676,0)</f>
        <v>185.45309999999998</v>
      </c>
      <c r="I28" s="21"/>
      <c r="J28" s="22" t="str">
        <f>IFERROR(IF(OR(H28="",I28="",I28=0),"",IF(H28&gt;I28,MAX(0,2-H28/I28),H28/I28)),"")</f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>IFERROR(IF(OR(H29="",I29="",I29=0),"",IF(H29&gt;I29,MAX(0,2-H29/I29),H29/I29)),"")</f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>IFERROR(IF(OR(H30="",I30="",I30=0),"",IF(H30&gt;I30,MAX(0,2-H30/I30),H30/I30)),"")</f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>IFERROR(IF(OR(H31="",I31="",I31=0),"",IF(H31&gt;I31,MAX(0,2-H31/I31),H31/I31)),"")</f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>IFERROR(IF(OR(H32="",I32="",I32=0),"",IF(H32&gt;I32,MAX(0,2-H32/I32),H32/I32)),"")</f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>IFERROR(IF(OR(H33="",I33="",I33=0),"",IF(H33&gt;I33,MAX(0,2-H33/I33),H33/I33)),"")</f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>IFERROR(IF(OR(H34="",I34="",I34=0),"",IF(H34&gt;I34,MAX(0,2-H34/I34),H34/I34)),"")</f>
        <v/>
      </c>
      <c r="K34" s="22"/>
      <c r="L34" s="23">
        <f>IFERROR(INDEX('Britador Móvel'!$F:$F,3*A34+1),"")</f>
        <v>0</v>
      </c>
    </row>
    <row r="35" spans="1:12" ht="14.25" customHeight="1">
      <c r="A35" s="164" t="s">
        <v>16</v>
      </c>
      <c r="B35" s="164"/>
      <c r="C35" s="30">
        <f t="shared" ref="C35:I35" si="1">IFERROR(SUM(C4:C34),"")</f>
        <v>90445770</v>
      </c>
      <c r="D35" s="30">
        <f t="shared" si="1"/>
        <v>28186290</v>
      </c>
      <c r="E35" s="30">
        <f t="shared" si="1"/>
        <v>15912690</v>
      </c>
      <c r="F35" s="30">
        <f t="shared" si="1"/>
        <v>38210940</v>
      </c>
      <c r="G35" s="30">
        <f t="shared" si="1"/>
        <v>82309920</v>
      </c>
      <c r="H35" s="31">
        <f t="shared" si="1"/>
        <v>8863.8676946384148</v>
      </c>
      <c r="I35" s="31">
        <f t="shared" si="1"/>
        <v>9156.869999999999</v>
      </c>
      <c r="J35" s="32">
        <f>IFERROR(IF(H35&gt;I35,MAX(0,2-H35/I35),H35/I35),"")</f>
        <v>0.96800191491616849</v>
      </c>
      <c r="K35" s="159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r3XIo71h0/l39sS9U5Ji6OyAkkljO6Xc89dheQfNXAJ7ZWvgaiVsmf/cxxO0PPMSrf7cCW/vu4RjHJoK+2mC1g==" saltValue="Rbm/NLSQOx0VbKKqbXZYEw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B25" zoomScale="85" zoomScaleNormal="85" workbookViewId="0">
      <selection activeCell="R61" sqref="R6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5" t="s">
        <v>17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  <c r="L1" s="165"/>
      <c r="M1" s="166"/>
      <c r="N1" s="167" t="s">
        <v>18</v>
      </c>
      <c r="O1" s="167"/>
      <c r="P1" s="167"/>
      <c r="Q1" s="167"/>
      <c r="R1" s="167"/>
    </row>
    <row r="2" spans="1:18" ht="4.5" customHeight="1">
      <c r="M2" s="16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6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0.35</v>
      </c>
      <c r="G4" s="38">
        <v>0.6</v>
      </c>
      <c r="J4" s="36" t="s">
        <v>25</v>
      </c>
      <c r="L4" s="36" t="s">
        <v>32</v>
      </c>
      <c r="M4" s="166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66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66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66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6"/>
      <c r="D8" s="42"/>
      <c r="E8" s="43"/>
      <c r="F8" s="42"/>
      <c r="G8" s="44"/>
      <c r="H8" s="42"/>
      <c r="J8" s="39" t="s">
        <v>29</v>
      </c>
      <c r="L8" s="36" t="s">
        <v>61</v>
      </c>
      <c r="M8" s="166"/>
      <c r="N8" s="36" t="s">
        <v>62</v>
      </c>
      <c r="O8" s="36" t="s">
        <v>63</v>
      </c>
      <c r="P8" s="36" t="s">
        <v>51</v>
      </c>
      <c r="Q8" s="36" t="s">
        <v>64</v>
      </c>
      <c r="R8" s="36" t="s">
        <v>65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66</v>
      </c>
      <c r="M9" s="166"/>
      <c r="N9" s="39" t="s">
        <v>67</v>
      </c>
      <c r="O9" s="39" t="s">
        <v>68</v>
      </c>
      <c r="P9" s="39" t="s">
        <v>69</v>
      </c>
      <c r="Q9" s="39" t="s">
        <v>70</v>
      </c>
      <c r="R9" s="39" t="s">
        <v>71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72</v>
      </c>
      <c r="M10" s="166"/>
      <c r="N10" s="36" t="s">
        <v>73</v>
      </c>
      <c r="O10" s="36" t="s">
        <v>74</v>
      </c>
      <c r="P10" s="36" t="s">
        <v>75</v>
      </c>
      <c r="Q10" s="36" t="s">
        <v>76</v>
      </c>
      <c r="R10" s="36" t="s">
        <v>77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78</v>
      </c>
      <c r="M11" s="166"/>
      <c r="N11" s="39" t="s">
        <v>79</v>
      </c>
      <c r="O11" s="39" t="s">
        <v>80</v>
      </c>
      <c r="P11" s="39" t="s">
        <v>81</v>
      </c>
      <c r="Q11" s="39" t="s">
        <v>82</v>
      </c>
      <c r="R11" s="39" t="s">
        <v>83</v>
      </c>
    </row>
    <row r="12" spans="1:18" ht="15.75" customHeight="1">
      <c r="A12" s="36"/>
      <c r="C12" s="36"/>
      <c r="J12" s="36"/>
      <c r="L12" s="36" t="s">
        <v>84</v>
      </c>
      <c r="M12" s="166"/>
      <c r="N12" s="36" t="s">
        <v>85</v>
      </c>
      <c r="O12" s="36" t="s">
        <v>86</v>
      </c>
      <c r="P12" s="36" t="s">
        <v>70</v>
      </c>
      <c r="Q12" s="36" t="s">
        <v>87</v>
      </c>
      <c r="R12" s="36" t="s">
        <v>88</v>
      </c>
    </row>
    <row r="13" spans="1:18" ht="15.75" customHeight="1">
      <c r="A13" s="39"/>
      <c r="C13" s="39"/>
      <c r="J13" s="39"/>
      <c r="L13" s="39" t="s">
        <v>89</v>
      </c>
      <c r="M13" s="166"/>
      <c r="N13" s="39"/>
      <c r="O13" s="39" t="s">
        <v>90</v>
      </c>
      <c r="P13" s="39" t="s">
        <v>91</v>
      </c>
      <c r="Q13" s="39" t="s">
        <v>92</v>
      </c>
      <c r="R13" s="39" t="s">
        <v>93</v>
      </c>
    </row>
    <row r="14" spans="1:18" ht="15.75" customHeight="1">
      <c r="A14" s="36"/>
      <c r="C14" s="36"/>
      <c r="J14" s="36"/>
      <c r="L14" s="36" t="s">
        <v>94</v>
      </c>
      <c r="M14" s="166"/>
      <c r="N14" s="36" t="s">
        <v>95</v>
      </c>
      <c r="O14" s="36" t="s">
        <v>96</v>
      </c>
      <c r="P14" s="36" t="s">
        <v>97</v>
      </c>
      <c r="Q14" s="36" t="s">
        <v>98</v>
      </c>
      <c r="R14" s="36" t="s">
        <v>99</v>
      </c>
    </row>
    <row r="15" spans="1:18" ht="15.75" customHeight="1">
      <c r="A15" s="39"/>
      <c r="C15" s="39"/>
      <c r="J15" s="39"/>
      <c r="L15" s="39" t="s">
        <v>100</v>
      </c>
      <c r="M15" s="166"/>
      <c r="N15" s="39" t="s">
        <v>101</v>
      </c>
      <c r="O15" s="39" t="s">
        <v>102</v>
      </c>
      <c r="P15" s="39" t="s">
        <v>103</v>
      </c>
      <c r="Q15" s="39" t="s">
        <v>104</v>
      </c>
      <c r="R15" s="39" t="s">
        <v>105</v>
      </c>
    </row>
    <row r="16" spans="1:18" ht="15.75" customHeight="1">
      <c r="A16" s="36"/>
      <c r="C16" s="36"/>
      <c r="J16" s="36"/>
      <c r="L16" s="36" t="s">
        <v>106</v>
      </c>
      <c r="M16" s="166"/>
      <c r="N16" s="36" t="s">
        <v>107</v>
      </c>
      <c r="O16" s="36" t="s">
        <v>108</v>
      </c>
      <c r="P16" s="36" t="s">
        <v>109</v>
      </c>
      <c r="Q16" s="36" t="s">
        <v>110</v>
      </c>
      <c r="R16" s="36" t="s">
        <v>111</v>
      </c>
    </row>
    <row r="17" spans="1:18" ht="15.75" customHeight="1">
      <c r="A17" s="39"/>
      <c r="C17" s="39"/>
      <c r="J17" s="39"/>
      <c r="L17" s="39" t="s">
        <v>112</v>
      </c>
      <c r="M17" s="166"/>
      <c r="N17" s="39" t="s">
        <v>113</v>
      </c>
      <c r="O17" s="39" t="s">
        <v>114</v>
      </c>
      <c r="P17" s="39" t="s">
        <v>115</v>
      </c>
      <c r="Q17" s="39" t="s">
        <v>116</v>
      </c>
      <c r="R17" s="39" t="s">
        <v>117</v>
      </c>
    </row>
    <row r="18" spans="1:18" ht="15.75" customHeight="1">
      <c r="A18" s="36"/>
      <c r="C18" s="36"/>
      <c r="J18" s="36"/>
      <c r="L18" s="36" t="s">
        <v>118</v>
      </c>
      <c r="M18" s="166"/>
      <c r="N18" s="36" t="s">
        <v>119</v>
      </c>
      <c r="O18" s="36" t="s">
        <v>120</v>
      </c>
      <c r="P18" s="36" t="s">
        <v>121</v>
      </c>
      <c r="Q18" s="36" t="s">
        <v>122</v>
      </c>
      <c r="R18" s="36" t="s">
        <v>123</v>
      </c>
    </row>
    <row r="19" spans="1:18" ht="15.75" customHeight="1">
      <c r="A19" s="39"/>
      <c r="C19" s="39"/>
      <c r="J19" s="39"/>
      <c r="L19" s="39" t="s">
        <v>124</v>
      </c>
      <c r="M19" s="166"/>
      <c r="N19" s="39" t="s">
        <v>125</v>
      </c>
      <c r="O19" s="39" t="s">
        <v>126</v>
      </c>
      <c r="P19" s="39" t="s">
        <v>127</v>
      </c>
      <c r="Q19" s="39"/>
      <c r="R19" s="39" t="s">
        <v>128</v>
      </c>
    </row>
    <row r="20" spans="1:18" ht="15.75" customHeight="1">
      <c r="A20" s="36"/>
      <c r="C20" s="36"/>
      <c r="J20" s="36"/>
      <c r="L20" s="36" t="s">
        <v>129</v>
      </c>
      <c r="M20" s="166"/>
      <c r="N20" s="36"/>
      <c r="O20" s="36" t="s">
        <v>130</v>
      </c>
      <c r="P20" s="36" t="s">
        <v>131</v>
      </c>
      <c r="Q20" s="36"/>
      <c r="R20" s="36" t="s">
        <v>132</v>
      </c>
    </row>
    <row r="21" spans="1:18" ht="15.75" customHeight="1">
      <c r="A21" s="39"/>
      <c r="C21" s="39"/>
      <c r="J21" s="39"/>
      <c r="L21" s="39" t="s">
        <v>133</v>
      </c>
      <c r="M21" s="166"/>
      <c r="N21" s="39"/>
      <c r="O21" s="39" t="s">
        <v>134</v>
      </c>
      <c r="P21" s="39" t="s">
        <v>135</v>
      </c>
      <c r="Q21" s="39"/>
      <c r="R21" s="39" t="s">
        <v>136</v>
      </c>
    </row>
    <row r="22" spans="1:18" ht="15.75" customHeight="1">
      <c r="A22" s="36"/>
      <c r="C22" s="36"/>
      <c r="J22" s="36"/>
      <c r="L22" s="36" t="s">
        <v>137</v>
      </c>
      <c r="M22" s="166"/>
      <c r="N22" s="36"/>
      <c r="O22" s="36"/>
      <c r="P22" s="36" t="s">
        <v>138</v>
      </c>
      <c r="Q22" s="36"/>
      <c r="R22" s="36" t="s">
        <v>139</v>
      </c>
    </row>
    <row r="23" spans="1:18" ht="15.75" customHeight="1">
      <c r="A23" s="39"/>
      <c r="C23" s="39"/>
      <c r="J23" s="39"/>
      <c r="L23" s="39" t="s">
        <v>140</v>
      </c>
      <c r="M23" s="166"/>
      <c r="N23" s="39"/>
      <c r="O23" s="39"/>
      <c r="P23" s="39" t="s">
        <v>141</v>
      </c>
      <c r="Q23" s="39"/>
      <c r="R23" s="39" t="s">
        <v>142</v>
      </c>
    </row>
    <row r="24" spans="1:18" ht="15.75" customHeight="1">
      <c r="A24" s="36"/>
      <c r="C24" s="36"/>
      <c r="J24" s="36"/>
      <c r="L24" s="36" t="s">
        <v>143</v>
      </c>
      <c r="M24" s="166"/>
      <c r="N24" s="36"/>
      <c r="O24" s="36"/>
      <c r="P24" s="36" t="s">
        <v>144</v>
      </c>
      <c r="Q24" s="36"/>
      <c r="R24" s="36" t="s">
        <v>145</v>
      </c>
    </row>
    <row r="25" spans="1:18" ht="15.75" customHeight="1">
      <c r="A25" s="39"/>
      <c r="C25" s="39"/>
      <c r="J25" s="39"/>
      <c r="L25" s="39" t="s">
        <v>146</v>
      </c>
      <c r="M25" s="166"/>
      <c r="N25" s="39"/>
      <c r="O25" s="39"/>
      <c r="P25" s="39" t="s">
        <v>147</v>
      </c>
      <c r="Q25" s="39"/>
      <c r="R25" s="39" t="s">
        <v>148</v>
      </c>
    </row>
    <row r="26" spans="1:18" ht="15.75" customHeight="1">
      <c r="A26" s="36"/>
      <c r="C26" s="36"/>
      <c r="J26" s="36"/>
      <c r="L26" s="36" t="s">
        <v>149</v>
      </c>
      <c r="M26" s="166"/>
      <c r="N26" s="36"/>
      <c r="O26" s="36"/>
      <c r="P26" s="36" t="s">
        <v>150</v>
      </c>
      <c r="Q26" s="36"/>
      <c r="R26" s="36"/>
    </row>
    <row r="27" spans="1:18" ht="15.75" customHeight="1">
      <c r="A27" s="39"/>
      <c r="C27" s="39"/>
      <c r="J27" s="39"/>
      <c r="L27" s="39" t="s">
        <v>151</v>
      </c>
      <c r="M27" s="166"/>
      <c r="N27" s="39"/>
      <c r="O27" s="39"/>
      <c r="P27" s="39" t="s">
        <v>142</v>
      </c>
      <c r="Q27" s="39"/>
      <c r="R27" s="39" t="s">
        <v>71</v>
      </c>
    </row>
    <row r="28" spans="1:18" ht="15.75" customHeight="1">
      <c r="A28" s="36"/>
      <c r="C28" s="36"/>
      <c r="J28" s="36"/>
      <c r="L28" s="36" t="s">
        <v>152</v>
      </c>
      <c r="M28" s="166"/>
      <c r="N28" s="36"/>
      <c r="O28" s="36"/>
      <c r="P28" s="36" t="s">
        <v>121</v>
      </c>
      <c r="Q28" s="36"/>
      <c r="R28" s="36" t="s">
        <v>153</v>
      </c>
    </row>
    <row r="29" spans="1:18" ht="15.75" customHeight="1">
      <c r="A29" s="39"/>
      <c r="C29" s="39"/>
      <c r="J29" s="39"/>
      <c r="L29" s="39" t="s">
        <v>154</v>
      </c>
      <c r="M29" s="166"/>
      <c r="N29" s="39"/>
      <c r="O29" s="39"/>
      <c r="P29" s="39" t="s">
        <v>155</v>
      </c>
      <c r="Q29" s="39"/>
      <c r="R29" s="39" t="s">
        <v>156</v>
      </c>
    </row>
    <row r="30" spans="1:18" ht="15.75" customHeight="1">
      <c r="A30" s="36"/>
      <c r="C30" s="36"/>
      <c r="J30" s="36"/>
      <c r="L30" s="36" t="s">
        <v>157</v>
      </c>
      <c r="M30" s="166"/>
      <c r="N30" s="36"/>
      <c r="O30" s="36"/>
      <c r="P30" s="36" t="s">
        <v>158</v>
      </c>
      <c r="Q30" s="36"/>
      <c r="R30" s="36" t="s">
        <v>159</v>
      </c>
    </row>
    <row r="31" spans="1:18" ht="15.75" customHeight="1">
      <c r="A31" s="39"/>
      <c r="C31" s="39"/>
      <c r="J31" s="39"/>
      <c r="L31" s="39" t="s">
        <v>160</v>
      </c>
      <c r="M31" s="166"/>
      <c r="N31" s="39"/>
      <c r="O31" s="39"/>
      <c r="P31" s="39" t="s">
        <v>161</v>
      </c>
      <c r="Q31" s="39"/>
      <c r="R31" s="39" t="s">
        <v>162</v>
      </c>
    </row>
    <row r="32" spans="1:18" ht="15.75" customHeight="1">
      <c r="A32" s="36"/>
      <c r="C32" s="36"/>
      <c r="J32" s="36"/>
      <c r="L32" s="36" t="s">
        <v>163</v>
      </c>
      <c r="M32" s="166"/>
      <c r="N32" s="36"/>
      <c r="O32" s="36"/>
      <c r="P32" s="36" t="s">
        <v>164</v>
      </c>
      <c r="Q32" s="36"/>
      <c r="R32" t="s">
        <v>165</v>
      </c>
    </row>
    <row r="33" spans="1:18" ht="15.75" customHeight="1">
      <c r="A33" s="39"/>
      <c r="C33" s="49" t="s">
        <v>166</v>
      </c>
      <c r="E33" s="50">
        <v>1000</v>
      </c>
      <c r="J33" s="39"/>
      <c r="L33" s="39" t="s">
        <v>167</v>
      </c>
      <c r="M33" s="166"/>
      <c r="N33" s="39"/>
      <c r="O33" s="39"/>
      <c r="P33" s="39" t="s">
        <v>168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169</v>
      </c>
      <c r="M34" s="166"/>
      <c r="N34" s="36"/>
      <c r="O34" s="36"/>
      <c r="P34" s="36" t="s">
        <v>88</v>
      </c>
      <c r="Q34" s="36"/>
      <c r="R34" s="36" t="s">
        <v>170</v>
      </c>
    </row>
    <row r="35" spans="1:18" ht="15.75" customHeight="1">
      <c r="A35" s="39"/>
      <c r="C35" s="39"/>
      <c r="J35" s="39"/>
      <c r="L35" s="39" t="s">
        <v>171</v>
      </c>
      <c r="M35" s="166"/>
      <c r="N35" s="39"/>
      <c r="O35" s="39"/>
      <c r="P35" s="39" t="s">
        <v>172</v>
      </c>
      <c r="Q35" s="39"/>
      <c r="R35" s="39" t="s">
        <v>173</v>
      </c>
    </row>
    <row r="36" spans="1:18" ht="15.75" customHeight="1">
      <c r="A36" s="36"/>
      <c r="C36" s="36"/>
      <c r="J36" s="36"/>
      <c r="L36" s="36" t="s">
        <v>174</v>
      </c>
      <c r="M36" s="166"/>
      <c r="N36" s="36"/>
      <c r="O36" s="36"/>
      <c r="P36" s="36" t="s">
        <v>175</v>
      </c>
      <c r="Q36" s="36"/>
      <c r="R36" s="36" t="s">
        <v>176</v>
      </c>
    </row>
    <row r="37" spans="1:18" ht="15.75" customHeight="1">
      <c r="A37" s="39"/>
      <c r="C37" s="39"/>
      <c r="J37" s="39"/>
      <c r="L37" s="39" t="s">
        <v>177</v>
      </c>
      <c r="M37" s="166"/>
      <c r="N37" s="39"/>
      <c r="O37" s="39"/>
      <c r="P37" s="39" t="s">
        <v>178</v>
      </c>
      <c r="Q37" s="39"/>
      <c r="R37" s="39" t="s">
        <v>179</v>
      </c>
    </row>
    <row r="38" spans="1:18" ht="15.75" customHeight="1">
      <c r="A38" s="36"/>
      <c r="C38" s="36"/>
      <c r="J38" s="36"/>
      <c r="L38" s="36" t="s">
        <v>180</v>
      </c>
      <c r="M38" s="166"/>
      <c r="N38" s="36"/>
      <c r="O38" s="36"/>
      <c r="P38" s="36" t="s">
        <v>181</v>
      </c>
      <c r="Q38" s="36"/>
      <c r="R38" s="36" t="s">
        <v>182</v>
      </c>
    </row>
    <row r="39" spans="1:18" ht="15.75" customHeight="1">
      <c r="A39" s="39"/>
      <c r="C39" s="39"/>
      <c r="J39" s="39"/>
      <c r="L39" s="39" t="s">
        <v>183</v>
      </c>
      <c r="M39" s="166"/>
      <c r="N39" s="39"/>
      <c r="O39" s="39"/>
      <c r="P39" s="39" t="s">
        <v>184</v>
      </c>
      <c r="Q39" s="39"/>
      <c r="R39" s="39" t="s">
        <v>185</v>
      </c>
    </row>
    <row r="40" spans="1:18" ht="15.75" customHeight="1">
      <c r="A40" s="36"/>
      <c r="C40" s="36"/>
      <c r="J40" s="36"/>
      <c r="L40" s="36"/>
      <c r="M40" s="166"/>
      <c r="N40" s="36"/>
      <c r="O40" s="36"/>
      <c r="P40" s="36" t="s">
        <v>186</v>
      </c>
      <c r="Q40" s="36"/>
      <c r="R40" s="36" t="s">
        <v>187</v>
      </c>
    </row>
    <row r="41" spans="1:18" ht="15.75" customHeight="1">
      <c r="A41" s="39"/>
      <c r="C41" s="39"/>
      <c r="J41" s="39"/>
      <c r="L41" s="39"/>
      <c r="M41" s="166"/>
      <c r="N41" s="39"/>
      <c r="O41" s="39"/>
      <c r="P41" s="39" t="s">
        <v>188</v>
      </c>
      <c r="Q41" s="39"/>
      <c r="R41" s="39" t="s">
        <v>189</v>
      </c>
    </row>
    <row r="42" spans="1:18" ht="15.75" customHeight="1">
      <c r="A42" s="36"/>
      <c r="C42" s="36"/>
      <c r="J42" s="36"/>
      <c r="L42" s="36"/>
      <c r="M42" s="166"/>
      <c r="N42" s="36"/>
      <c r="O42" s="36"/>
      <c r="P42" s="36" t="s">
        <v>190</v>
      </c>
      <c r="Q42" s="36"/>
      <c r="R42" s="36" t="s">
        <v>191</v>
      </c>
    </row>
    <row r="43" spans="1:18" ht="15.75" customHeight="1">
      <c r="A43" s="39"/>
      <c r="C43" s="39"/>
      <c r="J43" s="39"/>
      <c r="L43" s="39"/>
      <c r="M43" s="166"/>
      <c r="N43" s="39"/>
      <c r="O43" s="39"/>
      <c r="P43" s="39" t="s">
        <v>192</v>
      </c>
      <c r="Q43" s="39"/>
      <c r="R43" s="39" t="s">
        <v>193</v>
      </c>
    </row>
    <row r="44" spans="1:18" ht="15.75" customHeight="1">
      <c r="A44" s="36"/>
      <c r="C44" s="36"/>
      <c r="J44" s="36"/>
      <c r="L44" s="36"/>
      <c r="M44" s="166"/>
      <c r="N44" s="36"/>
      <c r="O44" s="36"/>
      <c r="P44" s="36" t="s">
        <v>194</v>
      </c>
      <c r="Q44" s="36"/>
      <c r="R44" s="36" t="s">
        <v>195</v>
      </c>
    </row>
    <row r="45" spans="1:18" ht="15.75" customHeight="1">
      <c r="A45" s="39"/>
      <c r="C45" s="39"/>
      <c r="J45" s="39"/>
      <c r="L45" s="39"/>
      <c r="M45" s="166"/>
      <c r="N45" s="39"/>
      <c r="O45" s="39"/>
      <c r="P45" s="39" t="s">
        <v>196</v>
      </c>
      <c r="Q45" s="39"/>
      <c r="R45" s="39" t="s">
        <v>197</v>
      </c>
    </row>
    <row r="46" spans="1:18" ht="15.75" customHeight="1">
      <c r="A46" s="36"/>
      <c r="C46" s="36"/>
      <c r="J46" s="36"/>
      <c r="L46" s="36"/>
      <c r="M46" s="166"/>
      <c r="N46" s="36"/>
      <c r="O46" s="36"/>
      <c r="P46" s="36" t="s">
        <v>198</v>
      </c>
      <c r="Q46" s="36"/>
      <c r="R46" s="36" t="s">
        <v>199</v>
      </c>
    </row>
    <row r="47" spans="1:18" ht="15.75" customHeight="1">
      <c r="A47" s="39"/>
      <c r="C47" s="39"/>
      <c r="J47" s="39"/>
      <c r="L47" s="39"/>
      <c r="M47" s="166"/>
      <c r="N47" s="39"/>
      <c r="O47" s="39"/>
      <c r="P47" s="39" t="s">
        <v>200</v>
      </c>
      <c r="Q47" s="39"/>
      <c r="R47" s="39" t="s">
        <v>201</v>
      </c>
    </row>
    <row r="48" spans="1:18" ht="15.75" customHeight="1">
      <c r="A48" s="36"/>
      <c r="C48" s="36"/>
      <c r="J48" s="36"/>
      <c r="L48" s="36"/>
      <c r="M48" s="166"/>
      <c r="N48" s="36"/>
      <c r="O48" s="36"/>
      <c r="P48" s="36" t="s">
        <v>202</v>
      </c>
      <c r="Q48" s="36"/>
      <c r="R48" s="36" t="s">
        <v>203</v>
      </c>
    </row>
    <row r="49" spans="1:18" ht="18" customHeight="1">
      <c r="M49" s="166"/>
      <c r="N49" s="39"/>
      <c r="O49" s="39"/>
      <c r="P49" s="39" t="s">
        <v>204</v>
      </c>
      <c r="Q49" s="39"/>
      <c r="R49" s="39" t="s">
        <v>205</v>
      </c>
    </row>
    <row r="50" spans="1:18" ht="21" customHeight="1">
      <c r="A50" s="51" t="s">
        <v>206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66"/>
      <c r="N50" s="36"/>
      <c r="O50" s="36"/>
      <c r="P50" s="36" t="s">
        <v>207</v>
      </c>
      <c r="Q50" s="36"/>
      <c r="R50" s="36" t="s">
        <v>208</v>
      </c>
    </row>
    <row r="51" spans="1:18" ht="24" customHeight="1">
      <c r="M51" s="166"/>
      <c r="N51" s="39"/>
      <c r="O51" s="39"/>
      <c r="P51" s="39" t="s">
        <v>209</v>
      </c>
      <c r="Q51" s="39"/>
      <c r="R51" s="39" t="s">
        <v>210</v>
      </c>
    </row>
    <row r="52" spans="1:18" ht="24" customHeight="1">
      <c r="M52" s="166"/>
      <c r="N52" s="36"/>
      <c r="O52" s="36"/>
      <c r="P52" s="36" t="s">
        <v>211</v>
      </c>
      <c r="Q52" s="36"/>
      <c r="R52" s="36" t="s">
        <v>212</v>
      </c>
    </row>
    <row r="53" spans="1:18" ht="36" customHeight="1">
      <c r="M53" s="166"/>
      <c r="N53" s="39"/>
      <c r="O53" s="39"/>
      <c r="P53" s="39" t="s">
        <v>213</v>
      </c>
      <c r="Q53" s="39"/>
      <c r="R53" s="39" t="s">
        <v>214</v>
      </c>
    </row>
    <row r="54" spans="1:18" ht="15" customHeight="1">
      <c r="M54" s="166"/>
      <c r="N54" s="36"/>
      <c r="O54" s="36"/>
      <c r="P54" s="36" t="s">
        <v>215</v>
      </c>
      <c r="Q54" s="36"/>
      <c r="R54" s="36" t="s">
        <v>216</v>
      </c>
    </row>
    <row r="55" spans="1:18" ht="15" customHeight="1">
      <c r="M55" s="166"/>
      <c r="N55" s="39"/>
      <c r="O55" s="39"/>
      <c r="P55" s="39" t="s">
        <v>217</v>
      </c>
      <c r="Q55" s="39"/>
      <c r="R55" s="39" t="s">
        <v>218</v>
      </c>
    </row>
    <row r="56" spans="1:18" ht="15" customHeight="1">
      <c r="M56" s="166"/>
      <c r="N56" s="36"/>
      <c r="O56" s="36"/>
      <c r="P56" s="36" t="s">
        <v>219</v>
      </c>
      <c r="Q56" s="36"/>
      <c r="R56" s="36" t="s">
        <v>220</v>
      </c>
    </row>
    <row r="57" spans="1:18" ht="15" customHeight="1">
      <c r="M57" s="166"/>
      <c r="N57" s="39"/>
      <c r="O57" s="39"/>
      <c r="P57" s="39" t="s">
        <v>59</v>
      </c>
      <c r="Q57" s="39"/>
      <c r="R57" s="39" t="s">
        <v>221</v>
      </c>
    </row>
    <row r="58" spans="1:18" ht="15" customHeight="1">
      <c r="M58" s="166"/>
      <c r="N58" s="36"/>
      <c r="O58" s="36"/>
      <c r="P58" s="36" t="s">
        <v>222</v>
      </c>
      <c r="Q58" s="36"/>
      <c r="R58" s="36" t="s">
        <v>223</v>
      </c>
    </row>
    <row r="59" spans="1:18" ht="15" customHeight="1">
      <c r="M59" s="166"/>
      <c r="N59" s="39"/>
      <c r="O59" s="39"/>
      <c r="P59" s="39" t="s">
        <v>224</v>
      </c>
      <c r="Q59" s="39"/>
      <c r="R59" s="39" t="s">
        <v>225</v>
      </c>
    </row>
    <row r="60" spans="1:18" ht="15" customHeight="1">
      <c r="M60" s="166"/>
      <c r="N60" s="36"/>
      <c r="O60" s="36"/>
      <c r="P60" s="52" t="s">
        <v>114</v>
      </c>
      <c r="Q60" s="36"/>
      <c r="R60" s="36" t="s">
        <v>226</v>
      </c>
    </row>
    <row r="61" spans="1:18" ht="15" customHeight="1">
      <c r="M61" s="166"/>
      <c r="N61" s="39"/>
      <c r="O61" s="39"/>
      <c r="P61" s="39" t="s">
        <v>227</v>
      </c>
      <c r="Q61" s="39"/>
      <c r="R61" s="39"/>
    </row>
    <row r="62" spans="1:18" ht="15" customHeight="1">
      <c r="M62" s="166"/>
      <c r="N62" s="36"/>
      <c r="O62" s="36"/>
      <c r="P62" s="36" t="s">
        <v>228</v>
      </c>
      <c r="Q62" s="36"/>
      <c r="R62" s="36"/>
    </row>
    <row r="63" spans="1:18" ht="15" customHeight="1">
      <c r="M63" s="166"/>
      <c r="N63" s="39"/>
      <c r="O63" s="39"/>
      <c r="P63" s="39" t="s">
        <v>229</v>
      </c>
      <c r="Q63" s="39"/>
      <c r="R63" s="39"/>
    </row>
    <row r="64" spans="1:18" ht="15" customHeight="1">
      <c r="M64" s="166"/>
      <c r="N64" s="36"/>
      <c r="O64" s="36"/>
      <c r="P64" s="36" t="s">
        <v>230</v>
      </c>
      <c r="Q64" s="36"/>
      <c r="R64" s="36"/>
    </row>
    <row r="65" spans="13:18" ht="15" customHeight="1">
      <c r="M65" s="166"/>
      <c r="N65" s="39"/>
      <c r="O65" s="39"/>
      <c r="P65" s="39" t="s">
        <v>231</v>
      </c>
      <c r="Q65" s="39"/>
      <c r="R65" s="39"/>
    </row>
    <row r="66" spans="13:18" ht="15" customHeight="1">
      <c r="M66" s="166"/>
      <c r="N66" s="36"/>
      <c r="O66" s="36"/>
      <c r="P66" s="36" t="s">
        <v>232</v>
      </c>
      <c r="Q66" s="36"/>
      <c r="R66" s="36"/>
    </row>
    <row r="67" spans="13:18" ht="15" customHeight="1">
      <c r="M67" s="166"/>
      <c r="N67" s="39"/>
      <c r="O67" s="39"/>
      <c r="P67" s="39" t="s">
        <v>233</v>
      </c>
      <c r="Q67" s="39"/>
      <c r="R67" s="39"/>
    </row>
    <row r="68" spans="13:18" ht="15" customHeight="1">
      <c r="M68" s="166"/>
      <c r="N68" s="36"/>
      <c r="O68" s="36"/>
      <c r="P68" s="36" t="s">
        <v>234</v>
      </c>
      <c r="Q68" s="36"/>
      <c r="R68" s="36"/>
    </row>
    <row r="69" spans="13:18" ht="15" customHeight="1">
      <c r="M69" s="166"/>
      <c r="N69" s="39"/>
      <c r="O69" s="39"/>
      <c r="P69" s="39" t="s">
        <v>235</v>
      </c>
      <c r="Q69" s="39"/>
      <c r="R69" s="39"/>
    </row>
    <row r="70" spans="13:18" ht="15" customHeight="1">
      <c r="M70" s="166"/>
      <c r="N70" s="36"/>
      <c r="O70" s="36"/>
      <c r="P70" s="36" t="s">
        <v>236</v>
      </c>
      <c r="Q70" s="36"/>
      <c r="R70" s="36"/>
    </row>
    <row r="71" spans="13:18" ht="15" customHeight="1">
      <c r="M71" s="166"/>
      <c r="N71" s="39"/>
      <c r="O71" s="39"/>
      <c r="P71" s="39" t="s">
        <v>237</v>
      </c>
      <c r="Q71" s="39"/>
      <c r="R71" s="39"/>
    </row>
    <row r="72" spans="13:18" ht="15" customHeight="1">
      <c r="M72" s="166"/>
      <c r="N72" s="36"/>
      <c r="O72" s="36"/>
      <c r="P72" s="36" t="s">
        <v>238</v>
      </c>
      <c r="Q72" s="36"/>
      <c r="R72" s="36"/>
    </row>
    <row r="73" spans="13:18" ht="15" customHeight="1">
      <c r="M73" s="166"/>
      <c r="N73" s="39"/>
      <c r="O73" s="39"/>
      <c r="P73" s="39" t="s">
        <v>239</v>
      </c>
      <c r="Q73" s="39"/>
      <c r="R73" s="39"/>
    </row>
    <row r="74" spans="13:18" ht="15" customHeight="1">
      <c r="M74" s="166"/>
      <c r="N74" s="36"/>
      <c r="O74" s="36"/>
      <c r="P74" s="36" t="s">
        <v>240</v>
      </c>
      <c r="Q74" s="36"/>
      <c r="R74" s="36"/>
    </row>
    <row r="75" spans="13:18" ht="15" customHeight="1">
      <c r="M75" s="166"/>
      <c r="N75" s="39"/>
      <c r="O75" s="39"/>
      <c r="P75" s="39" t="s">
        <v>241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242</v>
      </c>
      <c r="C1" s="137" t="s">
        <v>243</v>
      </c>
      <c r="D1" s="137" t="s">
        <v>19</v>
      </c>
      <c r="E1" s="137" t="s">
        <v>244</v>
      </c>
      <c r="F1" s="137" t="s">
        <v>245</v>
      </c>
      <c r="G1" s="137" t="s">
        <v>246</v>
      </c>
      <c r="H1" s="137" t="s">
        <v>247</v>
      </c>
      <c r="I1" s="137" t="s">
        <v>248</v>
      </c>
      <c r="J1" s="137" t="s">
        <v>249</v>
      </c>
      <c r="K1" s="137" t="s">
        <v>250</v>
      </c>
    </row>
    <row r="2" spans="1:11" ht="15.75" customHeight="1">
      <c r="A2" s="138">
        <v>46235</v>
      </c>
      <c r="B2" s="139" t="s">
        <v>251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252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68" t="s">
        <v>253</v>
      </c>
      <c r="B4" s="168"/>
      <c r="C4" s="168"/>
      <c r="D4" s="168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251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252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68" t="s">
        <v>253</v>
      </c>
      <c r="B7" s="168"/>
      <c r="C7" s="168"/>
      <c r="D7" s="168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251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252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68" t="s">
        <v>253</v>
      </c>
      <c r="B10" s="168"/>
      <c r="C10" s="168"/>
      <c r="D10" s="168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251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252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68" t="s">
        <v>253</v>
      </c>
      <c r="B13" s="168"/>
      <c r="C13" s="168"/>
      <c r="D13" s="168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251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252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68" t="s">
        <v>253</v>
      </c>
      <c r="B16" s="168"/>
      <c r="C16" s="168"/>
      <c r="D16" s="168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251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252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68" t="s">
        <v>253</v>
      </c>
      <c r="B19" s="168"/>
      <c r="C19" s="168"/>
      <c r="D19" s="168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251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252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68" t="s">
        <v>253</v>
      </c>
      <c r="B22" s="168"/>
      <c r="C22" s="168"/>
      <c r="D22" s="168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251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252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68" t="s">
        <v>253</v>
      </c>
      <c r="B25" s="168"/>
      <c r="C25" s="168"/>
      <c r="D25" s="168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251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252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68" t="s">
        <v>253</v>
      </c>
      <c r="B28" s="168"/>
      <c r="C28" s="168"/>
      <c r="D28" s="168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251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252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68" t="s">
        <v>253</v>
      </c>
      <c r="B31" s="168"/>
      <c r="C31" s="168"/>
      <c r="D31" s="168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251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252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68" t="s">
        <v>253</v>
      </c>
      <c r="B34" s="168"/>
      <c r="C34" s="168"/>
      <c r="D34" s="168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251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252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68" t="s">
        <v>253</v>
      </c>
      <c r="B37" s="168"/>
      <c r="C37" s="168"/>
      <c r="D37" s="168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251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252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68" t="s">
        <v>253</v>
      </c>
      <c r="B40" s="168"/>
      <c r="C40" s="168"/>
      <c r="D40" s="168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251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252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68" t="s">
        <v>253</v>
      </c>
      <c r="B43" s="168"/>
      <c r="C43" s="168"/>
      <c r="D43" s="168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251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252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68" t="s">
        <v>253</v>
      </c>
      <c r="B46" s="168"/>
      <c r="C46" s="168"/>
      <c r="D46" s="168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251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252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68" t="s">
        <v>253</v>
      </c>
      <c r="B49" s="168"/>
      <c r="C49" s="168"/>
      <c r="D49" s="168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251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252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68" t="s">
        <v>253</v>
      </c>
      <c r="B52" s="168"/>
      <c r="C52" s="168"/>
      <c r="D52" s="168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251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252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68" t="s">
        <v>253</v>
      </c>
      <c r="B55" s="168"/>
      <c r="C55" s="168"/>
      <c r="D55" s="168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251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252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68" t="s">
        <v>253</v>
      </c>
      <c r="B58" s="168"/>
      <c r="C58" s="168"/>
      <c r="D58" s="168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251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252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68" t="s">
        <v>253</v>
      </c>
      <c r="B61" s="168"/>
      <c r="C61" s="168"/>
      <c r="D61" s="168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251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252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68" t="s">
        <v>253</v>
      </c>
      <c r="B64" s="168"/>
      <c r="C64" s="168"/>
      <c r="D64" s="168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251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252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68" t="s">
        <v>253</v>
      </c>
      <c r="B67" s="168"/>
      <c r="C67" s="168"/>
      <c r="D67" s="168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251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252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68" t="s">
        <v>253</v>
      </c>
      <c r="B70" s="168"/>
      <c r="C70" s="168"/>
      <c r="D70" s="168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251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252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68" t="s">
        <v>253</v>
      </c>
      <c r="B73" s="168"/>
      <c r="C73" s="168"/>
      <c r="D73" s="168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251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252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68" t="s">
        <v>253</v>
      </c>
      <c r="B76" s="168"/>
      <c r="C76" s="168"/>
      <c r="D76" s="168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251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252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68" t="s">
        <v>253</v>
      </c>
      <c r="B79" s="168"/>
      <c r="C79" s="168"/>
      <c r="D79" s="168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251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252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68" t="s">
        <v>253</v>
      </c>
      <c r="B82" s="168"/>
      <c r="C82" s="168"/>
      <c r="D82" s="168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251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252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68" t="s">
        <v>253</v>
      </c>
      <c r="B85" s="168"/>
      <c r="C85" s="168"/>
      <c r="D85" s="168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251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252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68" t="s">
        <v>253</v>
      </c>
      <c r="B88" s="168"/>
      <c r="C88" s="168"/>
      <c r="D88" s="168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251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252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68" t="s">
        <v>253</v>
      </c>
      <c r="B91" s="168"/>
      <c r="C91" s="168"/>
      <c r="D91" s="168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251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252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68" t="s">
        <v>253</v>
      </c>
      <c r="B94" s="168"/>
      <c r="C94" s="168"/>
      <c r="D94" s="168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642" activePane="bottomLeft" state="frozen"/>
      <selection pane="bottomLeft" activeCell="F668" sqref="F668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56" t="s">
        <v>256</v>
      </c>
      <c r="G1" s="56" t="s">
        <v>257</v>
      </c>
      <c r="H1" s="56" t="s">
        <v>23</v>
      </c>
      <c r="I1" s="56" t="s">
        <v>24</v>
      </c>
      <c r="J1" s="56" t="s">
        <v>258</v>
      </c>
      <c r="K1" s="56" t="s">
        <v>259</v>
      </c>
      <c r="L1" s="56" t="s">
        <v>260</v>
      </c>
      <c r="M1" s="57" t="s">
        <v>261</v>
      </c>
      <c r="N1" s="56" t="s">
        <v>250</v>
      </c>
      <c r="O1" s="56" t="s">
        <v>262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263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76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263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263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263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263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263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263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263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263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263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263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263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60" t="s">
        <v>264</v>
      </c>
      <c r="B14" s="160"/>
      <c r="C14" s="160"/>
      <c r="D14" s="160"/>
      <c r="E14" s="160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265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263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142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263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263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266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263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263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263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263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263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263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263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263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263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60" t="s">
        <v>267</v>
      </c>
      <c r="B27" s="160"/>
      <c r="C27" s="160"/>
      <c r="D27" s="160"/>
      <c r="E27" s="160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265</v>
      </c>
      <c r="O27" s="73">
        <v>997910</v>
      </c>
    </row>
    <row r="28" spans="1:15" ht="18" customHeight="1">
      <c r="A28" s="161" t="s">
        <v>253</v>
      </c>
      <c r="B28" s="161"/>
      <c r="C28" s="161"/>
      <c r="D28" s="161"/>
      <c r="E28" s="161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268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263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168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263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141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269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263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266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263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263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263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263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263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263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263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263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263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60" t="s">
        <v>264</v>
      </c>
      <c r="B41" s="160"/>
      <c r="C41" s="160"/>
      <c r="D41" s="160"/>
      <c r="E41" s="160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265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263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76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270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263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263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263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263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263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263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263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263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263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263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60" t="s">
        <v>267</v>
      </c>
      <c r="B54" s="160"/>
      <c r="C54" s="160"/>
      <c r="D54" s="160"/>
      <c r="E54" s="160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265</v>
      </c>
      <c r="O54" s="73">
        <v>981310</v>
      </c>
    </row>
    <row r="55" spans="1:15" ht="18" customHeight="1">
      <c r="A55" s="161" t="s">
        <v>253</v>
      </c>
      <c r="B55" s="161"/>
      <c r="C55" s="161"/>
      <c r="D55" s="161"/>
      <c r="E55" s="161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268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263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168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263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145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263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263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263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263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263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263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263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263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263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263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60" t="s">
        <v>264</v>
      </c>
      <c r="B68" s="160"/>
      <c r="C68" s="160"/>
      <c r="D68" s="160"/>
      <c r="E68" s="160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265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263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263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76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271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263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263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263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263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263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263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263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263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263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263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60" t="s">
        <v>267</v>
      </c>
      <c r="B81" s="160"/>
      <c r="C81" s="160"/>
      <c r="D81" s="160"/>
      <c r="E81" s="160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265</v>
      </c>
      <c r="O81" s="73">
        <v>1547910</v>
      </c>
    </row>
    <row r="82" spans="1:15" ht="18" customHeight="1">
      <c r="A82" s="161" t="s">
        <v>253</v>
      </c>
      <c r="B82" s="161"/>
      <c r="C82" s="161"/>
      <c r="D82" s="161"/>
      <c r="E82" s="161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268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263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67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263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145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263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156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272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263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263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263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263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263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263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263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263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263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60" t="s">
        <v>264</v>
      </c>
      <c r="B95" s="160"/>
      <c r="C95" s="160"/>
      <c r="D95" s="160"/>
      <c r="E95" s="160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265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263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263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263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263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263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263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273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263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263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263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263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263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263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60" t="s">
        <v>267</v>
      </c>
      <c r="B108" s="160"/>
      <c r="C108" s="160"/>
      <c r="D108" s="160"/>
      <c r="E108" s="160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265</v>
      </c>
      <c r="O108" s="73">
        <v>3156240</v>
      </c>
    </row>
    <row r="109" spans="1:15" ht="18" customHeight="1">
      <c r="A109" s="161" t="s">
        <v>253</v>
      </c>
      <c r="B109" s="161"/>
      <c r="C109" s="161"/>
      <c r="D109" s="161"/>
      <c r="E109" s="161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268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263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263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263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263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263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263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263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263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263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263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263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263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60" t="s">
        <v>264</v>
      </c>
      <c r="B122" s="160"/>
      <c r="C122" s="160"/>
      <c r="D122" s="160"/>
      <c r="E122" s="160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265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263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263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263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263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263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263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263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263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263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263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263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263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60" t="s">
        <v>267</v>
      </c>
      <c r="B135" s="160"/>
      <c r="C135" s="160"/>
      <c r="D135" s="160"/>
      <c r="E135" s="160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265</v>
      </c>
      <c r="O135" s="73">
        <v>2875180</v>
      </c>
    </row>
    <row r="136" spans="1:15" ht="18" customHeight="1">
      <c r="A136" s="161" t="s">
        <v>253</v>
      </c>
      <c r="B136" s="161"/>
      <c r="C136" s="161"/>
      <c r="D136" s="161"/>
      <c r="E136" s="161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268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263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274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263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116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263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263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125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263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263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263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263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263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263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263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263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60" t="s">
        <v>264</v>
      </c>
      <c r="B149" s="160"/>
      <c r="C149" s="160"/>
      <c r="D149" s="160"/>
      <c r="E149" s="160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265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263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145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263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96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275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263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145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263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76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263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156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263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263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263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263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263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263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263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60" t="s">
        <v>267</v>
      </c>
      <c r="B162" s="160"/>
      <c r="C162" s="160"/>
      <c r="D162" s="160"/>
      <c r="E162" s="160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265</v>
      </c>
      <c r="O162" s="78">
        <v>842000</v>
      </c>
    </row>
    <row r="163" spans="1:15" ht="18" customHeight="1">
      <c r="A163" s="161" t="s">
        <v>253</v>
      </c>
      <c r="B163" s="161"/>
      <c r="C163" s="161"/>
      <c r="D163" s="161"/>
      <c r="E163" s="161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268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263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240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276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263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125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263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263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263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263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263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263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263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263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263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263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60" t="s">
        <v>264</v>
      </c>
      <c r="B176" s="160"/>
      <c r="C176" s="160"/>
      <c r="D176" s="160"/>
      <c r="E176" s="160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265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263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96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277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263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263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263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263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263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263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263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278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263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263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263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60" t="s">
        <v>267</v>
      </c>
      <c r="B189" s="160"/>
      <c r="C189" s="160"/>
      <c r="D189" s="160"/>
      <c r="E189" s="160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265</v>
      </c>
      <c r="O189" s="73">
        <v>1901630</v>
      </c>
    </row>
    <row r="190" spans="1:15" ht="18" customHeight="1">
      <c r="A190" s="161" t="s">
        <v>253</v>
      </c>
      <c r="B190" s="161"/>
      <c r="C190" s="161"/>
      <c r="D190" s="161"/>
      <c r="E190" s="161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268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263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263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263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279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263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263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263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263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263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263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263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263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263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60" t="s">
        <v>264</v>
      </c>
      <c r="B203" s="160"/>
      <c r="C203" s="160"/>
      <c r="D203" s="160"/>
      <c r="E203" s="160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265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263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263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263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263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263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263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263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263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263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263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263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263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60" t="s">
        <v>267</v>
      </c>
      <c r="B216" s="160"/>
      <c r="C216" s="160"/>
      <c r="D216" s="160"/>
      <c r="E216" s="160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265</v>
      </c>
      <c r="O216" s="73">
        <v>1852295</v>
      </c>
    </row>
    <row r="217" spans="1:15" ht="18" customHeight="1">
      <c r="A217" s="161" t="s">
        <v>253</v>
      </c>
      <c r="B217" s="161"/>
      <c r="C217" s="161"/>
      <c r="D217" s="161"/>
      <c r="E217" s="161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268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263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178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263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263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216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280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263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263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263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263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263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263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263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263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263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60" t="s">
        <v>264</v>
      </c>
      <c r="B230" s="160"/>
      <c r="C230" s="160"/>
      <c r="D230" s="160"/>
      <c r="E230" s="160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265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263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216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263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156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263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156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281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281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281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281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281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281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281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281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281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60" t="s">
        <v>267</v>
      </c>
      <c r="B243" s="160"/>
      <c r="C243" s="160"/>
      <c r="D243" s="160"/>
      <c r="E243" s="160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265</v>
      </c>
      <c r="O243" s="73">
        <v>991010</v>
      </c>
    </row>
    <row r="244" spans="1:15" ht="18" customHeight="1">
      <c r="A244" s="161" t="s">
        <v>253</v>
      </c>
      <c r="B244" s="161"/>
      <c r="C244" s="161"/>
      <c r="D244" s="161"/>
      <c r="E244" s="161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268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263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221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263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77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263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76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263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263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282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263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263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263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263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263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263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263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60" t="s">
        <v>264</v>
      </c>
      <c r="B257" s="160"/>
      <c r="C257" s="160"/>
      <c r="D257" s="160"/>
      <c r="E257" s="160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265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283</v>
      </c>
      <c r="E258" s="74" t="s">
        <v>263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98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283</v>
      </c>
      <c r="E259" s="74" t="s">
        <v>263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145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283</v>
      </c>
      <c r="E260" s="74" t="s">
        <v>263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283</v>
      </c>
      <c r="E261" s="74" t="s">
        <v>263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283</v>
      </c>
      <c r="E262" s="74" t="s">
        <v>263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283</v>
      </c>
      <c r="E263" s="74" t="s">
        <v>263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283</v>
      </c>
      <c r="E264" s="74" t="s">
        <v>263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283</v>
      </c>
      <c r="E265" s="74" t="s">
        <v>263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283</v>
      </c>
      <c r="E266" s="74" t="s">
        <v>263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283</v>
      </c>
      <c r="E267" s="74" t="s">
        <v>263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283</v>
      </c>
      <c r="E268" s="74" t="s">
        <v>263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283</v>
      </c>
      <c r="E269" s="74" t="s">
        <v>263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60" t="s">
        <v>267</v>
      </c>
      <c r="B270" s="160"/>
      <c r="C270" s="160"/>
      <c r="D270" s="160"/>
      <c r="E270" s="160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265</v>
      </c>
      <c r="O270" s="73">
        <v>1544700</v>
      </c>
    </row>
    <row r="271" spans="1:15" ht="18" customHeight="1">
      <c r="A271" s="161" t="s">
        <v>253</v>
      </c>
      <c r="B271" s="161"/>
      <c r="C271" s="161"/>
      <c r="D271" s="161"/>
      <c r="E271" s="161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268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283</v>
      </c>
      <c r="E272" s="61" t="s">
        <v>263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178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283</v>
      </c>
      <c r="E273" s="61" t="s">
        <v>263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145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283</v>
      </c>
      <c r="E274" s="61" t="s">
        <v>263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76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283</v>
      </c>
      <c r="E275" s="61" t="s">
        <v>263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221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283</v>
      </c>
      <c r="E276" s="61" t="s">
        <v>263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283</v>
      </c>
      <c r="E277" s="61" t="s">
        <v>263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284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283</v>
      </c>
      <c r="E278" s="61" t="s">
        <v>263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283</v>
      </c>
      <c r="E279" s="61" t="s">
        <v>263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283</v>
      </c>
      <c r="E280" s="61" t="s">
        <v>263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283</v>
      </c>
      <c r="E281" s="61" t="s">
        <v>263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283</v>
      </c>
      <c r="E282" s="61" t="s">
        <v>263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283</v>
      </c>
      <c r="E283" s="61" t="s">
        <v>263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60" t="s">
        <v>264</v>
      </c>
      <c r="B284" s="160"/>
      <c r="C284" s="160"/>
      <c r="D284" s="160"/>
      <c r="E284" s="160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265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283</v>
      </c>
      <c r="E285" s="74" t="s">
        <v>278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283</v>
      </c>
      <c r="E286" s="74" t="s">
        <v>278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283</v>
      </c>
      <c r="E287" s="74" t="s">
        <v>278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283</v>
      </c>
      <c r="E288" s="74" t="s">
        <v>278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283</v>
      </c>
      <c r="E289" s="74" t="s">
        <v>278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283</v>
      </c>
      <c r="E290" s="74" t="s">
        <v>278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283</v>
      </c>
      <c r="E291" s="74" t="s">
        <v>278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283</v>
      </c>
      <c r="E292" s="74" t="s">
        <v>278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283</v>
      </c>
      <c r="E293" s="74" t="s">
        <v>278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283</v>
      </c>
      <c r="E294" s="74" t="s">
        <v>278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283</v>
      </c>
      <c r="E295" s="74" t="s">
        <v>278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283</v>
      </c>
      <c r="E296" s="74" t="s">
        <v>278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60" t="s">
        <v>267</v>
      </c>
      <c r="B297" s="160"/>
      <c r="C297" s="160"/>
      <c r="D297" s="160"/>
      <c r="E297" s="160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265</v>
      </c>
      <c r="O297" s="73">
        <v>1715230</v>
      </c>
    </row>
    <row r="298" spans="1:15" ht="18" customHeight="1">
      <c r="A298" s="161" t="s">
        <v>253</v>
      </c>
      <c r="B298" s="161"/>
      <c r="C298" s="161"/>
      <c r="D298" s="161"/>
      <c r="E298" s="161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268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263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240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263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145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263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263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285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263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263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263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263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263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263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263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263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60" t="s">
        <v>264</v>
      </c>
      <c r="B311" s="160"/>
      <c r="C311" s="160"/>
      <c r="D311" s="160"/>
      <c r="E311" s="160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265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263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263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263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263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263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263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263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263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263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263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263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263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60" t="s">
        <v>267</v>
      </c>
      <c r="B324" s="160"/>
      <c r="C324" s="160"/>
      <c r="D324" s="160"/>
      <c r="E324" s="160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265</v>
      </c>
      <c r="O324" s="73">
        <v>2216340</v>
      </c>
    </row>
    <row r="325" spans="1:15" ht="18" customHeight="1">
      <c r="A325" s="161" t="s">
        <v>253</v>
      </c>
      <c r="B325" s="161"/>
      <c r="C325" s="161"/>
      <c r="D325" s="161"/>
      <c r="E325" s="161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268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145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216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286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263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263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263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287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263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263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263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263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60" t="s">
        <v>264</v>
      </c>
      <c r="B338" s="160"/>
      <c r="C338" s="160"/>
      <c r="D338" s="160"/>
      <c r="E338" s="160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265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263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263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263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263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263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263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263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263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263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263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263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263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60" t="s">
        <v>267</v>
      </c>
      <c r="B351" s="160"/>
      <c r="C351" s="160"/>
      <c r="D351" s="160"/>
      <c r="E351" s="160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265</v>
      </c>
      <c r="O351" s="73">
        <v>2154990</v>
      </c>
    </row>
    <row r="352" spans="1:15" ht="18" customHeight="1">
      <c r="A352" s="161" t="s">
        <v>253</v>
      </c>
      <c r="B352" s="161"/>
      <c r="C352" s="161"/>
      <c r="D352" s="161"/>
      <c r="E352" s="161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268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74" t="s">
        <v>263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31</v>
      </c>
      <c r="E354" s="74" t="s">
        <v>263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145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31</v>
      </c>
      <c r="E355" s="74" t="s">
        <v>263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31</v>
      </c>
      <c r="E356" s="74" t="s">
        <v>263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31</v>
      </c>
      <c r="E357" s="74" t="s">
        <v>263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31</v>
      </c>
      <c r="E358" s="74" t="s">
        <v>263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31</v>
      </c>
      <c r="E359" s="74" t="s">
        <v>278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31</v>
      </c>
      <c r="E360" s="74" t="s">
        <v>263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31</v>
      </c>
      <c r="E361" s="74" t="s">
        <v>263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31</v>
      </c>
      <c r="E362" s="74" t="s">
        <v>263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31</v>
      </c>
      <c r="E363" s="74" t="s">
        <v>263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31</v>
      </c>
      <c r="E364" s="74" t="s">
        <v>263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60" t="s">
        <v>264</v>
      </c>
      <c r="B365" s="160"/>
      <c r="C365" s="160"/>
      <c r="D365" s="160"/>
      <c r="E365" s="160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265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61" t="s">
        <v>263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31</v>
      </c>
      <c r="E367" s="61" t="s">
        <v>263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31</v>
      </c>
      <c r="E368" s="61" t="s">
        <v>263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31</v>
      </c>
      <c r="E369" s="61" t="s">
        <v>263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31</v>
      </c>
      <c r="E370" s="61" t="s">
        <v>263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31</v>
      </c>
      <c r="E371" s="61" t="s">
        <v>263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31</v>
      </c>
      <c r="E372" s="61" t="s">
        <v>263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31</v>
      </c>
      <c r="E373" s="61" t="s">
        <v>263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31</v>
      </c>
      <c r="E374" s="61" t="s">
        <v>263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31</v>
      </c>
      <c r="E375" s="61" t="s">
        <v>263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31</v>
      </c>
      <c r="E376" s="61" t="s">
        <v>263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31</v>
      </c>
      <c r="E377" s="61" t="s">
        <v>263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60" t="s">
        <v>267</v>
      </c>
      <c r="B378" s="160"/>
      <c r="C378" s="160"/>
      <c r="D378" s="160"/>
      <c r="E378" s="160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265</v>
      </c>
      <c r="O378" s="73">
        <v>2614830</v>
      </c>
    </row>
    <row r="379" spans="1:15" ht="18" customHeight="1">
      <c r="A379" s="161" t="s">
        <v>253</v>
      </c>
      <c r="B379" s="161"/>
      <c r="C379" s="161"/>
      <c r="D379" s="161"/>
      <c r="E379" s="161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268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61" t="s">
        <v>263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31</v>
      </c>
      <c r="E381" s="61" t="s">
        <v>263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31</v>
      </c>
      <c r="E382" s="53" t="s">
        <v>263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31</v>
      </c>
      <c r="E383" s="61" t="s">
        <v>263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31</v>
      </c>
      <c r="E384" s="61" t="s">
        <v>263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31</v>
      </c>
      <c r="E385" s="61" t="s">
        <v>263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31</v>
      </c>
      <c r="E386" s="61" t="s">
        <v>263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31</v>
      </c>
      <c r="E387" s="61" t="s">
        <v>263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31</v>
      </c>
      <c r="E388" s="61" t="s">
        <v>263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31</v>
      </c>
      <c r="E389" s="61" t="s">
        <v>263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31</v>
      </c>
      <c r="E390" s="61" t="s">
        <v>263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31</v>
      </c>
      <c r="E391" s="61" t="s">
        <v>263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60" t="s">
        <v>264</v>
      </c>
      <c r="B392" s="160"/>
      <c r="C392" s="160"/>
      <c r="D392" s="160"/>
      <c r="E392" s="160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265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74" t="s">
        <v>263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168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288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31</v>
      </c>
      <c r="E394" s="74" t="s">
        <v>263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125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31</v>
      </c>
      <c r="E395" s="74" t="s">
        <v>263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31</v>
      </c>
      <c r="E396" s="74" t="s">
        <v>263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31</v>
      </c>
      <c r="E397" s="74" t="s">
        <v>263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31</v>
      </c>
      <c r="E398" s="74" t="s">
        <v>263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31</v>
      </c>
      <c r="E399" s="74" t="s">
        <v>263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263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263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263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263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263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60" t="s">
        <v>267</v>
      </c>
      <c r="B405" s="160"/>
      <c r="C405" s="160"/>
      <c r="D405" s="160"/>
      <c r="E405" s="160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265</v>
      </c>
      <c r="O405" s="73">
        <v>2612000</v>
      </c>
    </row>
    <row r="406" spans="1:15" ht="18" customHeight="1">
      <c r="A406" s="161" t="s">
        <v>253</v>
      </c>
      <c r="B406" s="161"/>
      <c r="C406" s="161"/>
      <c r="D406" s="161"/>
      <c r="E406" s="161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268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263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263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263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263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263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263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263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263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263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263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263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263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60" t="s">
        <v>264</v>
      </c>
      <c r="B419" s="160"/>
      <c r="C419" s="160"/>
      <c r="D419" s="160"/>
      <c r="E419" s="160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265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263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234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263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145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289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263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145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289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263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263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263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263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263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263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263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263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263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60" t="s">
        <v>267</v>
      </c>
      <c r="B432" s="160"/>
      <c r="C432" s="160"/>
      <c r="D432" s="160"/>
      <c r="E432" s="160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265</v>
      </c>
      <c r="O432" s="73">
        <v>2266710</v>
      </c>
    </row>
    <row r="433" spans="1:15" ht="18" customHeight="1">
      <c r="A433" s="161" t="s">
        <v>253</v>
      </c>
      <c r="B433" s="161"/>
      <c r="C433" s="161"/>
      <c r="D433" s="161"/>
      <c r="E433" s="161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268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61" t="s">
        <v>263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168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31</v>
      </c>
      <c r="E435" s="61" t="s">
        <v>263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31</v>
      </c>
      <c r="E436" s="61" t="s">
        <v>263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76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31</v>
      </c>
      <c r="E437" s="61" t="s">
        <v>263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31</v>
      </c>
      <c r="E438" s="61" t="s">
        <v>263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122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31</v>
      </c>
      <c r="E439" s="61" t="s">
        <v>263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31</v>
      </c>
      <c r="E440" s="61" t="s">
        <v>263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31</v>
      </c>
      <c r="E441" s="61" t="s">
        <v>263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31</v>
      </c>
      <c r="E442" s="61" t="s">
        <v>263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31</v>
      </c>
      <c r="E443" s="61" t="s">
        <v>263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31</v>
      </c>
      <c r="E444" s="61" t="s">
        <v>263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31</v>
      </c>
      <c r="E445" s="61" t="s">
        <v>263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60" t="s">
        <v>264</v>
      </c>
      <c r="B446" s="160"/>
      <c r="C446" s="160"/>
      <c r="D446" s="160"/>
      <c r="E446" s="160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265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74" t="s">
        <v>263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145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290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31</v>
      </c>
      <c r="E448" s="74" t="s">
        <v>263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130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291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31</v>
      </c>
      <c r="E449" s="74" t="s">
        <v>263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31</v>
      </c>
      <c r="E450" s="74" t="s">
        <v>263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31</v>
      </c>
      <c r="E451" s="74" t="s">
        <v>263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31</v>
      </c>
      <c r="E452" s="74" t="s">
        <v>263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292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31</v>
      </c>
      <c r="E453" s="74" t="s">
        <v>263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293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31</v>
      </c>
      <c r="E454" s="74" t="s">
        <v>263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294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31</v>
      </c>
      <c r="E455" s="74" t="s">
        <v>263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31</v>
      </c>
      <c r="E456" s="74" t="s">
        <v>263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31</v>
      </c>
      <c r="E457" s="74" t="s">
        <v>263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31</v>
      </c>
      <c r="E458" s="74" t="s">
        <v>263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60" t="s">
        <v>267</v>
      </c>
      <c r="B459" s="160"/>
      <c r="C459" s="160"/>
      <c r="D459" s="160"/>
      <c r="E459" s="160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265</v>
      </c>
      <c r="O459" s="73">
        <v>2361680</v>
      </c>
    </row>
    <row r="460" spans="1:15" ht="18" customHeight="1">
      <c r="A460" s="161" t="s">
        <v>253</v>
      </c>
      <c r="B460" s="161"/>
      <c r="C460" s="161"/>
      <c r="D460" s="161"/>
      <c r="E460" s="161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268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31</v>
      </c>
      <c r="E461" s="74" t="s">
        <v>263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295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31</v>
      </c>
      <c r="E462" s="74" t="s">
        <v>263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31</v>
      </c>
      <c r="E463" s="74" t="s">
        <v>263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31</v>
      </c>
      <c r="E464" s="74" t="s">
        <v>263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31</v>
      </c>
      <c r="E465" s="74" t="s">
        <v>263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31</v>
      </c>
      <c r="E466" s="74" t="s">
        <v>263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31</v>
      </c>
      <c r="E467" s="74" t="s">
        <v>263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31</v>
      </c>
      <c r="E468" s="74" t="s">
        <v>263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31</v>
      </c>
      <c r="E469" s="74" t="s">
        <v>263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31</v>
      </c>
      <c r="E470" s="74" t="s">
        <v>263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31</v>
      </c>
      <c r="E471" s="74" t="s">
        <v>263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31</v>
      </c>
      <c r="E472" s="74" t="s">
        <v>263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60" t="s">
        <v>264</v>
      </c>
      <c r="B473" s="160"/>
      <c r="C473" s="160"/>
      <c r="D473" s="160"/>
      <c r="E473" s="160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265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31</v>
      </c>
      <c r="E474" s="61" t="s">
        <v>263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31</v>
      </c>
      <c r="E475" s="61" t="s">
        <v>263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31</v>
      </c>
      <c r="E476" s="61" t="s">
        <v>263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145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296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31</v>
      </c>
      <c r="E477" s="61" t="s">
        <v>263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31</v>
      </c>
      <c r="E478" s="61" t="s">
        <v>263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31</v>
      </c>
      <c r="E479" s="61" t="s">
        <v>263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31</v>
      </c>
      <c r="E480" s="61" t="s">
        <v>263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31</v>
      </c>
      <c r="E481" s="61" t="s">
        <v>263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31</v>
      </c>
      <c r="E482" s="61" t="s">
        <v>263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31</v>
      </c>
      <c r="E483" s="61" t="s">
        <v>263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31</v>
      </c>
      <c r="E484" s="61" t="s">
        <v>263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31</v>
      </c>
      <c r="E485" s="61" t="s">
        <v>263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60" t="s">
        <v>267</v>
      </c>
      <c r="B486" s="160"/>
      <c r="C486" s="160"/>
      <c r="D486" s="160"/>
      <c r="E486" s="160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265</v>
      </c>
      <c r="O486" s="73">
        <v>1798670</v>
      </c>
    </row>
    <row r="487" spans="1:15" ht="18" customHeight="1">
      <c r="A487" s="161" t="s">
        <v>253</v>
      </c>
      <c r="B487" s="161"/>
      <c r="C487" s="161"/>
      <c r="D487" s="161"/>
      <c r="E487" s="161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268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263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141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263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297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263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263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263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263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263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263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263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263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263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263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60" t="s">
        <v>264</v>
      </c>
      <c r="B500" s="160"/>
      <c r="C500" s="160"/>
      <c r="D500" s="160"/>
      <c r="E500" s="160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265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31</v>
      </c>
      <c r="E501" s="74" t="s">
        <v>263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31</v>
      </c>
      <c r="E502" s="74" t="s">
        <v>263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168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298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31</v>
      </c>
      <c r="E503" s="74" t="s">
        <v>263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31</v>
      </c>
      <c r="E504" s="74" t="s">
        <v>263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31</v>
      </c>
      <c r="E505" s="74" t="s">
        <v>263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31</v>
      </c>
      <c r="E506" s="74" t="s">
        <v>263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31</v>
      </c>
      <c r="E507" s="74" t="s">
        <v>263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31</v>
      </c>
      <c r="E508" s="74" t="s">
        <v>263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31</v>
      </c>
      <c r="E509" s="74" t="s">
        <v>263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31</v>
      </c>
      <c r="E510" s="74" t="s">
        <v>263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31</v>
      </c>
      <c r="E511" s="74" t="s">
        <v>263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31</v>
      </c>
      <c r="E512" s="74" t="s">
        <v>278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60" t="s">
        <v>267</v>
      </c>
      <c r="B513" s="160"/>
      <c r="C513" s="160"/>
      <c r="D513" s="160"/>
      <c r="E513" s="160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265</v>
      </c>
      <c r="O513" s="73">
        <v>2435830</v>
      </c>
    </row>
    <row r="514" spans="1:15" ht="18" customHeight="1">
      <c r="A514" s="161" t="s">
        <v>253</v>
      </c>
      <c r="B514" s="161"/>
      <c r="C514" s="161"/>
      <c r="D514" s="161"/>
      <c r="E514" s="161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268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74" t="s">
        <v>263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98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31</v>
      </c>
      <c r="E516" s="74" t="s">
        <v>263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31</v>
      </c>
      <c r="E517" s="74" t="s">
        <v>263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31</v>
      </c>
      <c r="E518" s="74" t="s">
        <v>263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31</v>
      </c>
      <c r="E519" s="74" t="s">
        <v>263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31</v>
      </c>
      <c r="E520" s="74" t="s">
        <v>278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31</v>
      </c>
      <c r="E521" s="74" t="s">
        <v>278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31</v>
      </c>
      <c r="E522" s="74" t="s">
        <v>278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31</v>
      </c>
      <c r="E523" s="74" t="s">
        <v>278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31</v>
      </c>
      <c r="E524" s="74" t="s">
        <v>278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31</v>
      </c>
      <c r="E525" s="74" t="s">
        <v>278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31</v>
      </c>
      <c r="E526" s="74" t="s">
        <v>278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60" t="s">
        <v>264</v>
      </c>
      <c r="B527" s="160"/>
      <c r="C527" s="160"/>
      <c r="D527" s="160"/>
      <c r="E527" s="160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265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61" t="s">
        <v>263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299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31</v>
      </c>
      <c r="E529" s="61" t="s">
        <v>263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31</v>
      </c>
      <c r="E530" s="61" t="s">
        <v>263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178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31</v>
      </c>
      <c r="E531" s="61" t="s">
        <v>263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31</v>
      </c>
      <c r="E532" s="61" t="s">
        <v>263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31</v>
      </c>
      <c r="E533" s="61" t="s">
        <v>263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31</v>
      </c>
      <c r="E534" s="61" t="s">
        <v>263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31</v>
      </c>
      <c r="E535" s="61" t="s">
        <v>263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31</v>
      </c>
      <c r="E536" s="61" t="s">
        <v>263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31</v>
      </c>
      <c r="E537" s="61" t="s">
        <v>263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31</v>
      </c>
      <c r="E538" s="61" t="s">
        <v>263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31</v>
      </c>
      <c r="E539" s="61" t="s">
        <v>263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60" t="s">
        <v>267</v>
      </c>
      <c r="B540" s="160"/>
      <c r="C540" s="160"/>
      <c r="D540" s="160"/>
      <c r="E540" s="160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265</v>
      </c>
      <c r="O540" s="73">
        <v>667100</v>
      </c>
    </row>
    <row r="541" spans="1:15" ht="18" customHeight="1">
      <c r="A541" s="161" t="s">
        <v>253</v>
      </c>
      <c r="B541" s="161"/>
      <c r="C541" s="161"/>
      <c r="D541" s="161"/>
      <c r="E541" s="161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268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300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60" t="s">
        <v>264</v>
      </c>
      <c r="B554" s="160"/>
      <c r="C554" s="160"/>
      <c r="D554" s="160"/>
      <c r="E554" s="160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265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263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76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300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263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168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266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263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301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263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178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263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302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263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263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303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263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263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263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263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263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60" t="s">
        <v>267</v>
      </c>
      <c r="B567" s="160"/>
      <c r="C567" s="160"/>
      <c r="D567" s="160"/>
      <c r="E567" s="160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265</v>
      </c>
      <c r="O567" s="73">
        <v>1031030</v>
      </c>
    </row>
    <row r="568" spans="1:15" ht="18" customHeight="1">
      <c r="A568" s="161" t="s">
        <v>253</v>
      </c>
      <c r="B568" s="161"/>
      <c r="C568" s="161"/>
      <c r="D568" s="161"/>
      <c r="E568" s="161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268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74" t="s">
        <v>263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178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31</v>
      </c>
      <c r="E570" s="74" t="s">
        <v>263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178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31</v>
      </c>
      <c r="E571" s="74" t="s">
        <v>263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217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304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31</v>
      </c>
      <c r="E572" s="74" t="s">
        <v>263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31</v>
      </c>
      <c r="E573" s="74" t="s">
        <v>263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31</v>
      </c>
      <c r="E574" s="74" t="s">
        <v>263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31</v>
      </c>
      <c r="E575" s="74" t="s">
        <v>263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31</v>
      </c>
      <c r="E576" s="74" t="s">
        <v>263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31</v>
      </c>
      <c r="E577" s="74" t="s">
        <v>263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31</v>
      </c>
      <c r="E578" s="74" t="s">
        <v>263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31</v>
      </c>
      <c r="E579" s="74" t="s">
        <v>263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31</v>
      </c>
      <c r="E580" s="74" t="s">
        <v>263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60" t="s">
        <v>264</v>
      </c>
      <c r="B581" s="160"/>
      <c r="C581" s="160"/>
      <c r="D581" s="160"/>
      <c r="E581" s="160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265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61" t="s">
        <v>263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145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305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31</v>
      </c>
      <c r="E583" s="61" t="s">
        <v>263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116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306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31</v>
      </c>
      <c r="E584" s="61" t="s">
        <v>263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31</v>
      </c>
      <c r="E585" s="61" t="s">
        <v>263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31</v>
      </c>
      <c r="E586" s="61" t="s">
        <v>263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31</v>
      </c>
      <c r="E587" s="61" t="s">
        <v>263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31</v>
      </c>
      <c r="E588" s="61" t="s">
        <v>263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31</v>
      </c>
      <c r="E589" s="61" t="s">
        <v>263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31</v>
      </c>
      <c r="E590" s="61" t="s">
        <v>263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31</v>
      </c>
      <c r="E591" s="61" t="s">
        <v>263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31</v>
      </c>
      <c r="E592" s="61" t="s">
        <v>263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31</v>
      </c>
      <c r="E593" s="61" t="s">
        <v>263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60" t="s">
        <v>267</v>
      </c>
      <c r="B594" s="160"/>
      <c r="C594" s="160"/>
      <c r="D594" s="160"/>
      <c r="E594" s="160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265</v>
      </c>
      <c r="O594" s="73">
        <v>2100270</v>
      </c>
    </row>
    <row r="595" spans="1:15" ht="18" customHeight="1">
      <c r="A595" s="161" t="s">
        <v>253</v>
      </c>
      <c r="B595" s="161"/>
      <c r="C595" s="161"/>
      <c r="D595" s="161"/>
      <c r="E595" s="161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268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61" t="s">
        <v>263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31</v>
      </c>
      <c r="E597" s="61" t="s">
        <v>263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31</v>
      </c>
      <c r="E598" s="61" t="s">
        <v>263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31</v>
      </c>
      <c r="E599" s="61" t="s">
        <v>263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31</v>
      </c>
      <c r="E600" s="61" t="s">
        <v>263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31</v>
      </c>
      <c r="E601" s="61" t="s">
        <v>263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31</v>
      </c>
      <c r="E602" s="61" t="s">
        <v>263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31</v>
      </c>
      <c r="E603" s="61" t="s">
        <v>263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31</v>
      </c>
      <c r="E604" s="61" t="s">
        <v>263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31</v>
      </c>
      <c r="E605" s="61" t="s">
        <v>263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31</v>
      </c>
      <c r="E606" s="61" t="s">
        <v>263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31</v>
      </c>
      <c r="E607" s="61" t="s">
        <v>263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60" t="s">
        <v>264</v>
      </c>
      <c r="B608" s="160"/>
      <c r="C608" s="160"/>
      <c r="D608" s="160"/>
      <c r="E608" s="160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265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31</v>
      </c>
      <c r="E609" s="74" t="s">
        <v>263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187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31</v>
      </c>
      <c r="E610" s="74" t="s">
        <v>263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307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31</v>
      </c>
      <c r="E611" s="74" t="s">
        <v>263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31</v>
      </c>
      <c r="E612" s="74" t="s">
        <v>263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31</v>
      </c>
      <c r="E613" s="74" t="s">
        <v>263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31</v>
      </c>
      <c r="E614" s="74" t="s">
        <v>263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31</v>
      </c>
      <c r="E615" s="74" t="s">
        <v>263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31</v>
      </c>
      <c r="E616" s="74" t="s">
        <v>263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31</v>
      </c>
      <c r="E617" s="74" t="s">
        <v>263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31</v>
      </c>
      <c r="E618" s="74" t="s">
        <v>263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31</v>
      </c>
      <c r="E619" s="74" t="s">
        <v>263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31</v>
      </c>
      <c r="E620" s="74" t="s">
        <v>263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60" t="s">
        <v>267</v>
      </c>
      <c r="B621" s="160"/>
      <c r="C621" s="160"/>
      <c r="D621" s="160"/>
      <c r="E621" s="160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265</v>
      </c>
      <c r="O621" s="73">
        <v>2354670</v>
      </c>
    </row>
    <row r="622" spans="1:15" ht="18" customHeight="1">
      <c r="A622" s="161" t="s">
        <v>253</v>
      </c>
      <c r="B622" s="161"/>
      <c r="C622" s="161"/>
      <c r="D622" s="161"/>
      <c r="E622" s="161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268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74" t="s">
        <v>263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183</v>
      </c>
      <c r="J623" s="69" t="s">
        <v>147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31</v>
      </c>
      <c r="E624" s="74" t="s">
        <v>263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31</v>
      </c>
      <c r="E625" s="74" t="s">
        <v>263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31</v>
      </c>
      <c r="E626" s="74" t="s">
        <v>263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31</v>
      </c>
      <c r="E627" s="74" t="s">
        <v>263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31</v>
      </c>
      <c r="E628" s="74" t="s">
        <v>263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31</v>
      </c>
      <c r="E629" s="74" t="s">
        <v>263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31</v>
      </c>
      <c r="E630" s="74" t="s">
        <v>263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31</v>
      </c>
      <c r="E631" s="74" t="s">
        <v>263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31</v>
      </c>
      <c r="E632" s="74" t="s">
        <v>263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31</v>
      </c>
      <c r="E633" s="74" t="s">
        <v>263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31</v>
      </c>
      <c r="E634" s="74" t="s">
        <v>263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60" t="s">
        <v>264</v>
      </c>
      <c r="B635" s="160"/>
      <c r="C635" s="160"/>
      <c r="D635" s="160"/>
      <c r="E635" s="160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265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61" t="s">
        <v>263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145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308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31</v>
      </c>
      <c r="E637" s="61" t="s">
        <v>263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31</v>
      </c>
      <c r="E638" s="61" t="s">
        <v>263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31</v>
      </c>
      <c r="E639" s="61" t="s">
        <v>263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31</v>
      </c>
      <c r="E640" s="61" t="s">
        <v>263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31</v>
      </c>
      <c r="E641" s="61" t="s">
        <v>263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31</v>
      </c>
      <c r="E642" s="61" t="s">
        <v>263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31</v>
      </c>
      <c r="E643" s="61" t="s">
        <v>263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31</v>
      </c>
      <c r="E644" s="61" t="s">
        <v>263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31</v>
      </c>
      <c r="E645" s="61" t="s">
        <v>263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31</v>
      </c>
      <c r="E646" s="61" t="s">
        <v>263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31</v>
      </c>
      <c r="E647" s="61" t="s">
        <v>263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60" t="s">
        <v>267</v>
      </c>
      <c r="B648" s="160"/>
      <c r="C648" s="160"/>
      <c r="D648" s="160"/>
      <c r="E648" s="160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265</v>
      </c>
      <c r="O648" s="73">
        <v>2128400</v>
      </c>
    </row>
    <row r="649" spans="1:15" ht="18" customHeight="1">
      <c r="A649" s="161" t="s">
        <v>253</v>
      </c>
      <c r="B649" s="161"/>
      <c r="C649" s="161"/>
      <c r="D649" s="161"/>
      <c r="E649" s="161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268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61" t="s">
        <v>263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145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309</v>
      </c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31</v>
      </c>
      <c r="E651" s="61" t="s">
        <v>263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178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31</v>
      </c>
      <c r="E652" s="61" t="s">
        <v>263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31</v>
      </c>
      <c r="E653" s="61" t="s">
        <v>263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31</v>
      </c>
      <c r="E654" s="61" t="s">
        <v>263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31</v>
      </c>
      <c r="E655" s="61" t="s">
        <v>263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31</v>
      </c>
      <c r="E656" s="61" t="s">
        <v>263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31</v>
      </c>
      <c r="E657" s="61" t="s">
        <v>263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31</v>
      </c>
      <c r="E658" s="61" t="s">
        <v>263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31</v>
      </c>
      <c r="E659" s="61" t="s">
        <v>263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31</v>
      </c>
      <c r="E660" s="61" t="s">
        <v>263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31</v>
      </c>
      <c r="E661" s="61" t="s">
        <v>263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60" t="s">
        <v>264</v>
      </c>
      <c r="B662" s="160"/>
      <c r="C662" s="160"/>
      <c r="D662" s="160"/>
      <c r="E662" s="160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265</v>
      </c>
      <c r="O662" s="73">
        <v>2220720</v>
      </c>
    </row>
    <row r="663" spans="1:15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74" t="s">
        <v>263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31</v>
      </c>
      <c r="E664" s="74" t="s">
        <v>263</v>
      </c>
      <c r="F664" s="62">
        <v>42</v>
      </c>
      <c r="G664" s="63">
        <f t="shared" si="143"/>
        <v>210</v>
      </c>
      <c r="H664" s="60"/>
      <c r="I664" s="60"/>
      <c r="J664" s="60"/>
      <c r="K664" s="64"/>
      <c r="L664" s="64"/>
      <c r="M664" s="65" t="str">
        <f t="shared" ca="1" si="144"/>
        <v/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 t="s">
        <v>54</v>
      </c>
      <c r="D665" s="74" t="s">
        <v>31</v>
      </c>
      <c r="E665" s="74" t="s">
        <v>263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 t="s">
        <v>54</v>
      </c>
      <c r="D666" s="74" t="s">
        <v>31</v>
      </c>
      <c r="E666" s="74" t="s">
        <v>263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 t="s">
        <v>54</v>
      </c>
      <c r="D667" s="74" t="s">
        <v>31</v>
      </c>
      <c r="E667" s="74" t="s">
        <v>263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 t="s">
        <v>54</v>
      </c>
      <c r="D668" s="74" t="s">
        <v>31</v>
      </c>
      <c r="E668" s="74" t="s">
        <v>263</v>
      </c>
      <c r="F668" s="62"/>
      <c r="G668" s="63" t="str">
        <f t="shared" si="143"/>
        <v/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 t="s">
        <v>54</v>
      </c>
      <c r="D669" s="74" t="s">
        <v>31</v>
      </c>
      <c r="E669" s="74" t="s">
        <v>263</v>
      </c>
      <c r="F669" s="62"/>
      <c r="G669" s="68" t="str">
        <f t="shared" si="143"/>
        <v/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 t="s">
        <v>54</v>
      </c>
      <c r="D670" s="74" t="s">
        <v>31</v>
      </c>
      <c r="E670" s="74" t="s">
        <v>263</v>
      </c>
      <c r="F670" s="62"/>
      <c r="G670" s="63" t="str">
        <f t="shared" si="143"/>
        <v/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 t="s">
        <v>54</v>
      </c>
      <c r="D671" s="74" t="s">
        <v>31</v>
      </c>
      <c r="E671" s="74" t="s">
        <v>278</v>
      </c>
      <c r="F671" s="62"/>
      <c r="G671" s="68" t="str">
        <f t="shared" si="143"/>
        <v/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 t="s">
        <v>54</v>
      </c>
      <c r="D672" s="74" t="s">
        <v>31</v>
      </c>
      <c r="E672" s="74" t="s">
        <v>263</v>
      </c>
      <c r="F672" s="62"/>
      <c r="G672" s="63" t="str">
        <f t="shared" si="143"/>
        <v/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 t="s">
        <v>54</v>
      </c>
      <c r="D673" s="74" t="s">
        <v>31</v>
      </c>
      <c r="E673" s="74" t="s">
        <v>263</v>
      </c>
      <c r="F673" s="62"/>
      <c r="G673" s="68" t="str">
        <f t="shared" si="143"/>
        <v/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69" t="s">
        <v>54</v>
      </c>
      <c r="D674" s="61" t="s">
        <v>31</v>
      </c>
      <c r="E674" s="61" t="s">
        <v>263</v>
      </c>
      <c r="F674" s="62"/>
      <c r="G674" s="63" t="str">
        <f t="shared" si="143"/>
        <v/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60" t="s">
        <v>267</v>
      </c>
      <c r="B675" s="160"/>
      <c r="C675" s="160"/>
      <c r="D675" s="160"/>
      <c r="E675" s="160"/>
      <c r="F675" s="2">
        <f>SUM(F663:F674)</f>
        <v>205</v>
      </c>
      <c r="G675" s="2">
        <f>SUM(G663:G674)</f>
        <v>1025</v>
      </c>
      <c r="H675" s="71"/>
      <c r="I675" s="71"/>
      <c r="J675" s="71"/>
      <c r="K675" s="71"/>
      <c r="L675" s="71"/>
      <c r="M675" s="72">
        <f ca="1">IFERROR(SUM(M663:M674),"")</f>
        <v>7.6388888888888618E-3</v>
      </c>
      <c r="N675" s="2" t="s">
        <v>265</v>
      </c>
      <c r="O675" s="73"/>
    </row>
    <row r="676" spans="1:15" ht="18" customHeight="1">
      <c r="A676" s="161" t="s">
        <v>253</v>
      </c>
      <c r="B676" s="161"/>
      <c r="C676" s="161"/>
      <c r="D676" s="161"/>
      <c r="E676" s="161"/>
      <c r="F676" s="1">
        <f>F662+F675</f>
        <v>532</v>
      </c>
      <c r="G676" s="1">
        <f>G662+G675</f>
        <v>2660</v>
      </c>
      <c r="H676" s="75"/>
      <c r="I676" s="75"/>
      <c r="J676" s="75"/>
      <c r="K676" s="75"/>
      <c r="L676" s="75"/>
      <c r="M676" s="76">
        <f ca="1">IFERROR(M662+M675,"")</f>
        <v>0.14305555555555549</v>
      </c>
      <c r="N676" s="1" t="s">
        <v>268</v>
      </c>
      <c r="O676" s="81">
        <f>IFERROR(O662+O675,"")</f>
        <v>2220720</v>
      </c>
    </row>
    <row r="677" spans="1:15" ht="15" customHeight="1">
      <c r="A677" s="18">
        <v>46260</v>
      </c>
      <c r="B677" s="67">
        <v>0.33333333333333298</v>
      </c>
      <c r="C677" s="69"/>
      <c r="D677" s="74"/>
      <c r="E677" s="74"/>
      <c r="F677" s="62"/>
      <c r="G677" s="68" t="str">
        <f t="shared" ref="G677:G688" si="146">IF(F677="","",IF(E677="PC 17",F677*4.2,IF(E677="PC 19",F677*5,IF(E677="CB",F677*35,""))))</f>
        <v/>
      </c>
      <c r="H677" s="69"/>
      <c r="I677" s="69"/>
      <c r="J677" s="69"/>
      <c r="K677" s="64"/>
      <c r="L677" s="64"/>
      <c r="M677" s="70" t="str">
        <f t="shared" ref="M677:M688" ca="1" si="147">IFERROR(IF(K677="","",IF(L677="",MOD(NOW()-K677,1),IF(L677&gt;=K677,L677-K677,L677+1-K677))),"")</f>
        <v/>
      </c>
      <c r="N677" s="79"/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/>
      <c r="D678" s="74"/>
      <c r="E678" s="74"/>
      <c r="F678" s="62"/>
      <c r="G678" s="63" t="str">
        <f t="shared" si="146"/>
        <v/>
      </c>
      <c r="H678" s="60"/>
      <c r="I678" s="60"/>
      <c r="J678" s="60"/>
      <c r="K678" s="64"/>
      <c r="L678" s="64"/>
      <c r="M678" s="65" t="str">
        <f t="shared" ca="1" si="147"/>
        <v/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/>
      <c r="D679" s="74"/>
      <c r="E679" s="74"/>
      <c r="F679" s="62"/>
      <c r="G679" s="68" t="str">
        <f t="shared" si="146"/>
        <v/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/>
      <c r="D680" s="74"/>
      <c r="E680" s="74"/>
      <c r="F680" s="62"/>
      <c r="G680" s="63" t="str">
        <f t="shared" si="146"/>
        <v/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/>
      <c r="D681" s="74"/>
      <c r="E681" s="74"/>
      <c r="F681" s="62"/>
      <c r="G681" s="68" t="str">
        <f t="shared" si="146"/>
        <v/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/>
      <c r="D682" s="74"/>
      <c r="E682" s="74"/>
      <c r="F682" s="62"/>
      <c r="G682" s="63" t="str">
        <f t="shared" si="146"/>
        <v/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/>
      <c r="D683" s="74"/>
      <c r="E683" s="74"/>
      <c r="F683" s="62"/>
      <c r="G683" s="68" t="str">
        <f t="shared" si="146"/>
        <v/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/>
      <c r="D684" s="74"/>
      <c r="E684" s="74"/>
      <c r="F684" s="62"/>
      <c r="G684" s="63" t="str">
        <f t="shared" si="146"/>
        <v/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/>
      <c r="D685" s="74"/>
      <c r="E685" s="74"/>
      <c r="F685" s="62"/>
      <c r="G685" s="68" t="str">
        <f t="shared" si="146"/>
        <v/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/>
      <c r="D686" s="74"/>
      <c r="E686" s="74"/>
      <c r="F686" s="62"/>
      <c r="G686" s="63" t="str">
        <f t="shared" si="146"/>
        <v/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/>
      <c r="D687" s="74"/>
      <c r="E687" s="74"/>
      <c r="F687" s="62"/>
      <c r="G687" s="68" t="str">
        <f t="shared" si="146"/>
        <v/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/>
      <c r="D688" s="74"/>
      <c r="E688" s="74"/>
      <c r="F688" s="62"/>
      <c r="G688" s="63" t="str">
        <f t="shared" si="146"/>
        <v/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60" t="s">
        <v>264</v>
      </c>
      <c r="B689" s="160"/>
      <c r="C689" s="160"/>
      <c r="D689" s="160"/>
      <c r="E689" s="160"/>
      <c r="F689" s="2">
        <f>SUM(F677:F688)</f>
        <v>0</v>
      </c>
      <c r="G689" s="2">
        <f>SUM(G677:G688)</f>
        <v>0</v>
      </c>
      <c r="H689" s="71"/>
      <c r="I689" s="71"/>
      <c r="J689" s="71"/>
      <c r="K689" s="71"/>
      <c r="L689" s="71"/>
      <c r="M689" s="72">
        <f ca="1">IFERROR(SUM(M677:M688),"")</f>
        <v>0</v>
      </c>
      <c r="N689" s="2" t="s">
        <v>265</v>
      </c>
      <c r="O689" s="73"/>
    </row>
    <row r="690" spans="1:15" ht="15" customHeight="1">
      <c r="A690" s="58">
        <v>46260</v>
      </c>
      <c r="B690" s="59">
        <v>0.83333333333333304</v>
      </c>
      <c r="C690" s="60"/>
      <c r="D690" s="61"/>
      <c r="E690" s="61"/>
      <c r="F690" s="62"/>
      <c r="G690" s="63" t="str">
        <f t="shared" ref="G690:G701" si="149">IF(F690="","",IF(E690="PC 17",F690*4.2,IF(E690="PC 19",F690*5,IF(E690="CB",F690*35,""))))</f>
        <v/>
      </c>
      <c r="H690" s="60"/>
      <c r="I690" s="60"/>
      <c r="J690" s="60"/>
      <c r="K690" s="64"/>
      <c r="L690" s="64"/>
      <c r="M690" s="65" t="str">
        <f t="shared" ref="M690:M701" ca="1" si="150">IFERROR(IF(K690="","",IF(L690="",MOD(NOW()-K690,1),IF(L690&gt;=K690,L690-K690,L690+1-K690))),"")</f>
        <v/>
      </c>
      <c r="N690" s="79"/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/>
      <c r="D691" s="61"/>
      <c r="E691" s="61"/>
      <c r="F691" s="62"/>
      <c r="G691" s="68" t="str">
        <f t="shared" si="149"/>
        <v/>
      </c>
      <c r="H691" s="69"/>
      <c r="I691" s="69"/>
      <c r="J691" s="69"/>
      <c r="K691" s="64"/>
      <c r="L691" s="64"/>
      <c r="M691" s="70" t="str">
        <f t="shared" ca="1" si="150"/>
        <v/>
      </c>
      <c r="N691" s="79"/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/>
      <c r="D692" s="61"/>
      <c r="E692" s="61"/>
      <c r="F692" s="62"/>
      <c r="G692" s="63" t="str">
        <f t="shared" si="149"/>
        <v/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/>
      <c r="D693" s="61"/>
      <c r="E693" s="61"/>
      <c r="F693" s="62"/>
      <c r="G693" s="68" t="str">
        <f t="shared" si="149"/>
        <v/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/>
      <c r="D694" s="61"/>
      <c r="E694" s="61"/>
      <c r="F694" s="62"/>
      <c r="G694" s="63" t="str">
        <f t="shared" si="149"/>
        <v/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/>
      <c r="D695" s="61"/>
      <c r="E695" s="61"/>
      <c r="F695" s="62"/>
      <c r="G695" s="68" t="str">
        <f t="shared" si="149"/>
        <v/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/>
      <c r="D696" s="61"/>
      <c r="E696" s="61"/>
      <c r="F696" s="62"/>
      <c r="G696" s="63" t="str">
        <f t="shared" si="149"/>
        <v/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/>
      <c r="D697" s="61"/>
      <c r="E697" s="61"/>
      <c r="F697" s="62"/>
      <c r="G697" s="68" t="str">
        <f t="shared" si="149"/>
        <v/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/>
      <c r="D698" s="61"/>
      <c r="E698" s="61"/>
      <c r="F698" s="62"/>
      <c r="G698" s="63" t="str">
        <f t="shared" si="149"/>
        <v/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/>
      <c r="D699" s="61"/>
      <c r="E699" s="61"/>
      <c r="F699" s="62"/>
      <c r="G699" s="68" t="str">
        <f t="shared" si="149"/>
        <v/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/>
      <c r="D700" s="61"/>
      <c r="E700" s="61"/>
      <c r="F700" s="62"/>
      <c r="G700" s="63" t="str">
        <f t="shared" si="149"/>
        <v/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/>
      <c r="D701" s="61"/>
      <c r="E701" s="61"/>
      <c r="F701" s="62"/>
      <c r="G701" s="68" t="str">
        <f t="shared" si="149"/>
        <v/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60" t="s">
        <v>267</v>
      </c>
      <c r="B702" s="160"/>
      <c r="C702" s="160"/>
      <c r="D702" s="160"/>
      <c r="E702" s="160"/>
      <c r="F702" s="2">
        <f>SUM(F690:F701)</f>
        <v>0</v>
      </c>
      <c r="G702" s="2">
        <f>SUM(G690:G701)</f>
        <v>0</v>
      </c>
      <c r="H702" s="71"/>
      <c r="I702" s="71"/>
      <c r="J702" s="71"/>
      <c r="K702" s="71"/>
      <c r="L702" s="71"/>
      <c r="M702" s="72">
        <f ca="1">IFERROR(SUM(M690:M701),"")</f>
        <v>0</v>
      </c>
      <c r="N702" s="2" t="s">
        <v>265</v>
      </c>
      <c r="O702" s="73"/>
    </row>
    <row r="703" spans="1:15" ht="18" customHeight="1">
      <c r="A703" s="161" t="s">
        <v>253</v>
      </c>
      <c r="B703" s="161"/>
      <c r="C703" s="161"/>
      <c r="D703" s="161"/>
      <c r="E703" s="161"/>
      <c r="F703" s="1">
        <f>F689+F702</f>
        <v>0</v>
      </c>
      <c r="G703" s="1">
        <f>G689+G702</f>
        <v>0</v>
      </c>
      <c r="H703" s="75"/>
      <c r="I703" s="75"/>
      <c r="J703" s="75"/>
      <c r="K703" s="75"/>
      <c r="L703" s="75"/>
      <c r="M703" s="76">
        <f ca="1">IFERROR(M689+M702,"")</f>
        <v>0</v>
      </c>
      <c r="N703" s="1" t="s">
        <v>268</v>
      </c>
      <c r="O703" s="81">
        <f>IFERROR(O689+O702,"")</f>
        <v>0</v>
      </c>
    </row>
    <row r="704" spans="1:15" ht="15" customHeight="1">
      <c r="A704" s="58">
        <v>46261</v>
      </c>
      <c r="B704" s="59">
        <v>0.33333333333333298</v>
      </c>
      <c r="C704" s="60"/>
      <c r="D704" s="61"/>
      <c r="E704" s="61"/>
      <c r="F704" s="62"/>
      <c r="G704" s="63" t="str">
        <f t="shared" ref="G704:G715" si="152">IF(F704="","",IF(E704="PC 17",F704*4.2,IF(E704="PC 19",F704*5,IF(E704="CB",F704*35,""))))</f>
        <v/>
      </c>
      <c r="H704" s="60"/>
      <c r="I704" s="60"/>
      <c r="J704" s="60"/>
      <c r="K704" s="64"/>
      <c r="L704" s="64"/>
      <c r="M704" s="65" t="str">
        <f t="shared" ref="M704:M715" ca="1" si="153">IFERROR(IF(K704="","",IF(L704="",MOD(NOW()-K704,1),IF(L704&gt;=K704,L704-K704,L704+1-K704))),"")</f>
        <v/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/>
      <c r="D705" s="61"/>
      <c r="E705" s="61"/>
      <c r="F705" s="62"/>
      <c r="G705" s="68" t="str">
        <f t="shared" si="152"/>
        <v/>
      </c>
      <c r="H705" s="69"/>
      <c r="I705" s="69"/>
      <c r="J705" s="69"/>
      <c r="K705" s="64"/>
      <c r="L705" s="64"/>
      <c r="M705" s="70" t="str">
        <f t="shared" ca="1" si="153"/>
        <v/>
      </c>
      <c r="N705" s="79"/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/>
      <c r="D706" s="61"/>
      <c r="E706" s="61"/>
      <c r="F706" s="62"/>
      <c r="G706" s="63" t="str">
        <f t="shared" si="152"/>
        <v/>
      </c>
      <c r="H706" s="60"/>
      <c r="I706" s="60"/>
      <c r="J706" s="60"/>
      <c r="K706" s="64"/>
      <c r="L706" s="64"/>
      <c r="M706" s="65" t="str">
        <f t="shared" ca="1" si="153"/>
        <v/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/>
      <c r="D707" s="61"/>
      <c r="E707" s="61"/>
      <c r="F707" s="62"/>
      <c r="G707" s="68" t="str">
        <f t="shared" si="152"/>
        <v/>
      </c>
      <c r="H707" s="69"/>
      <c r="I707" s="69"/>
      <c r="J707" s="69"/>
      <c r="K707" s="64"/>
      <c r="L707" s="64"/>
      <c r="M707" s="70" t="str">
        <f t="shared" ca="1" si="153"/>
        <v/>
      </c>
      <c r="N707" s="79"/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/>
      <c r="D708" s="61"/>
      <c r="E708" s="61"/>
      <c r="F708" s="62"/>
      <c r="G708" s="63" t="str">
        <f t="shared" si="152"/>
        <v/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/>
      <c r="D709" s="61"/>
      <c r="E709" s="61"/>
      <c r="F709" s="62"/>
      <c r="G709" s="68" t="str">
        <f t="shared" si="152"/>
        <v/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/>
      <c r="D710" s="61"/>
      <c r="E710" s="61"/>
      <c r="F710" s="62"/>
      <c r="G710" s="63" t="str">
        <f t="shared" si="152"/>
        <v/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/>
      <c r="D711" s="61"/>
      <c r="E711" s="61"/>
      <c r="F711" s="62"/>
      <c r="G711" s="68" t="str">
        <f t="shared" si="152"/>
        <v/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/>
      <c r="D712" s="61"/>
      <c r="E712" s="61"/>
      <c r="F712" s="62"/>
      <c r="G712" s="63" t="str">
        <f t="shared" si="152"/>
        <v/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/>
      <c r="D713" s="61"/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/>
      <c r="D714" s="61"/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/>
      <c r="D715" s="61"/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60" t="s">
        <v>264</v>
      </c>
      <c r="B716" s="160"/>
      <c r="C716" s="160"/>
      <c r="D716" s="160"/>
      <c r="E716" s="160"/>
      <c r="F716" s="2">
        <f>SUM(F704:F715)</f>
        <v>0</v>
      </c>
      <c r="G716" s="2">
        <f>SUM(G704:G715)</f>
        <v>0</v>
      </c>
      <c r="H716" s="71"/>
      <c r="I716" s="71"/>
      <c r="J716" s="71"/>
      <c r="K716" s="71"/>
      <c r="L716" s="71"/>
      <c r="M716" s="72">
        <f ca="1">IFERROR(SUM(M704:M715),"")</f>
        <v>0</v>
      </c>
      <c r="N716" s="2" t="s">
        <v>265</v>
      </c>
      <c r="O716" s="73"/>
    </row>
    <row r="717" spans="1:15" ht="15" customHeight="1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60" t="s">
        <v>267</v>
      </c>
      <c r="B729" s="160"/>
      <c r="C729" s="160"/>
      <c r="D729" s="160"/>
      <c r="E729" s="160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265</v>
      </c>
      <c r="O729" s="73"/>
    </row>
    <row r="730" spans="1:15" ht="18" customHeight="1">
      <c r="A730" s="161" t="s">
        <v>253</v>
      </c>
      <c r="B730" s="161"/>
      <c r="C730" s="161"/>
      <c r="D730" s="161"/>
      <c r="E730" s="161"/>
      <c r="F730" s="1">
        <f>F716+F729</f>
        <v>0</v>
      </c>
      <c r="G730" s="1">
        <f>G716+G729</f>
        <v>0</v>
      </c>
      <c r="H730" s="75"/>
      <c r="I730" s="75"/>
      <c r="J730" s="75"/>
      <c r="K730" s="75"/>
      <c r="L730" s="75"/>
      <c r="M730" s="76">
        <f ca="1">IFERROR(M716+M729,"")</f>
        <v>0</v>
      </c>
      <c r="N730" s="1" t="s">
        <v>268</v>
      </c>
      <c r="O730" s="81">
        <f>IFERROR(O716+O729,"")</f>
        <v>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60" t="s">
        <v>264</v>
      </c>
      <c r="B743" s="160"/>
      <c r="C743" s="160"/>
      <c r="D743" s="160"/>
      <c r="E743" s="160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265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60" t="s">
        <v>267</v>
      </c>
      <c r="B756" s="160"/>
      <c r="C756" s="160"/>
      <c r="D756" s="160"/>
      <c r="E756" s="160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265</v>
      </c>
      <c r="O756" s="73"/>
    </row>
    <row r="757" spans="1:15" ht="18" customHeight="1">
      <c r="A757" s="161" t="s">
        <v>253</v>
      </c>
      <c r="B757" s="161"/>
      <c r="C757" s="161"/>
      <c r="D757" s="161"/>
      <c r="E757" s="161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268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60" t="s">
        <v>264</v>
      </c>
      <c r="B770" s="160"/>
      <c r="C770" s="160"/>
      <c r="D770" s="160"/>
      <c r="E770" s="160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265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60" t="s">
        <v>267</v>
      </c>
      <c r="B783" s="160"/>
      <c r="C783" s="160"/>
      <c r="D783" s="160"/>
      <c r="E783" s="160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265</v>
      </c>
      <c r="O783" s="73"/>
    </row>
    <row r="784" spans="1:15" ht="18" customHeight="1">
      <c r="A784" s="161" t="s">
        <v>253</v>
      </c>
      <c r="B784" s="161"/>
      <c r="C784" s="161"/>
      <c r="D784" s="161"/>
      <c r="E784" s="161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268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60" t="s">
        <v>264</v>
      </c>
      <c r="B797" s="160"/>
      <c r="C797" s="160"/>
      <c r="D797" s="160"/>
      <c r="E797" s="160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265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60" t="s">
        <v>267</v>
      </c>
      <c r="B810" s="160"/>
      <c r="C810" s="160"/>
      <c r="D810" s="160"/>
      <c r="E810" s="160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265</v>
      </c>
      <c r="O810" s="73"/>
    </row>
    <row r="811" spans="1:15" ht="18" customHeight="1">
      <c r="A811" s="161" t="s">
        <v>253</v>
      </c>
      <c r="B811" s="161"/>
      <c r="C811" s="161"/>
      <c r="D811" s="161"/>
      <c r="E811" s="161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268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60" t="s">
        <v>264</v>
      </c>
      <c r="B824" s="160"/>
      <c r="C824" s="160"/>
      <c r="D824" s="160"/>
      <c r="E824" s="160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265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60" t="s">
        <v>267</v>
      </c>
      <c r="B837" s="160"/>
      <c r="C837" s="160"/>
      <c r="D837" s="160"/>
      <c r="E837" s="160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265</v>
      </c>
      <c r="O837" s="73"/>
    </row>
    <row r="838" spans="1:15" ht="18" customHeight="1">
      <c r="A838" s="161" t="s">
        <v>253</v>
      </c>
      <c r="B838" s="161"/>
      <c r="C838" s="161"/>
      <c r="D838" s="161"/>
      <c r="E838" s="161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268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40" activePane="bottomLeft" state="frozen"/>
      <selection pane="bottomLeft" activeCell="G668" sqref="G668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5" width="16.140625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9" width="16.140625" style="53" hidden="1" customWidth="1"/>
    <col min="10" max="10" width="13.85546875" style="53" hidden="1" customWidth="1"/>
    <col min="11" max="11" width="14" style="53" customWidth="1"/>
    <col min="12" max="12" width="31.140625" style="53" customWidth="1"/>
    <col min="13" max="13" width="29.140625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310</v>
      </c>
      <c r="I1" s="85" t="s">
        <v>22</v>
      </c>
      <c r="J1" s="85" t="s">
        <v>311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311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171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312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83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141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313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67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314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142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142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69" t="s">
        <v>264</v>
      </c>
      <c r="B14" s="169"/>
      <c r="C14" s="169"/>
      <c r="D14" s="169"/>
      <c r="E14" s="169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265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278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278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146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278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169</v>
      </c>
      <c r="N18" s="60" t="s">
        <v>83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278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146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315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278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316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278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278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278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278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278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278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69" t="s">
        <v>267</v>
      </c>
      <c r="B27" s="169"/>
      <c r="C27" s="169"/>
      <c r="D27" s="169"/>
      <c r="E27" s="169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265</v>
      </c>
      <c r="S27" s="73">
        <v>549860</v>
      </c>
      <c r="T27" s="98"/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268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169</v>
      </c>
      <c r="N29" s="69" t="s">
        <v>83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69" t="s">
        <v>264</v>
      </c>
      <c r="B41" s="169"/>
      <c r="C41" s="169"/>
      <c r="D41" s="169"/>
      <c r="E41" s="169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265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171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171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317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318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141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319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141</v>
      </c>
      <c r="O53" s="64">
        <v>0.121527777777778</v>
      </c>
      <c r="P53" s="64"/>
      <c r="Q53" s="65">
        <f t="shared" ca="1" si="10"/>
        <v>0.88014351851597894</v>
      </c>
      <c r="R53" s="79" t="s">
        <v>320</v>
      </c>
      <c r="S53" s="66"/>
    </row>
    <row r="54" spans="1:20" ht="15.75" customHeight="1">
      <c r="A54" s="169" t="s">
        <v>267</v>
      </c>
      <c r="B54" s="169"/>
      <c r="C54" s="169"/>
      <c r="D54" s="169"/>
      <c r="E54" s="169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1.0190324074048667</v>
      </c>
      <c r="R54" s="2" t="s">
        <v>265</v>
      </c>
      <c r="S54" s="112">
        <v>352430</v>
      </c>
      <c r="T54" s="113"/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1.1037546296270895</v>
      </c>
      <c r="R55" s="1" t="s">
        <v>268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133</v>
      </c>
      <c r="N57" s="60" t="s">
        <v>123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133</v>
      </c>
      <c r="N58" s="60" t="s">
        <v>123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133</v>
      </c>
      <c r="N59" s="69" t="s">
        <v>123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133</v>
      </c>
      <c r="N60" s="60" t="s">
        <v>123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133</v>
      </c>
      <c r="N61" s="69" t="s">
        <v>123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133</v>
      </c>
      <c r="N62" s="60" t="s">
        <v>123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312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69" t="s">
        <v>264</v>
      </c>
      <c r="B68" s="169"/>
      <c r="C68" s="169"/>
      <c r="D68" s="169"/>
      <c r="E68" s="169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265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160</v>
      </c>
      <c r="N69" s="60" t="s">
        <v>199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146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169</v>
      </c>
      <c r="N71" s="69" t="s">
        <v>83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169</v>
      </c>
      <c r="N74" s="60" t="s">
        <v>83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214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321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278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278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69" t="s">
        <v>267</v>
      </c>
      <c r="B81" s="169"/>
      <c r="C81" s="169"/>
      <c r="D81" s="169"/>
      <c r="E81" s="169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265</v>
      </c>
      <c r="S81" s="114">
        <v>634210</v>
      </c>
      <c r="T81" s="115"/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268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278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149</v>
      </c>
      <c r="N83" s="69" t="s">
        <v>227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149</v>
      </c>
      <c r="N87" s="69" t="s">
        <v>127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69" t="s">
        <v>264</v>
      </c>
      <c r="B95" s="169"/>
      <c r="C95" s="169"/>
      <c r="D95" s="169"/>
      <c r="E95" s="169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265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152</v>
      </c>
      <c r="N96" s="60" t="s">
        <v>127</v>
      </c>
      <c r="O96" s="64">
        <v>0.79166666666666696</v>
      </c>
      <c r="P96" s="64" t="s">
        <v>322</v>
      </c>
      <c r="Q96" s="65" t="str">
        <f t="shared" ref="Q96:Q107" ca="1" si="22">IFERROR(IF(O96="","",IF(P96="",MOD(NOW()-O96,1),IF(P96&gt;=O96,P96-O96,P96+1-O96))),"")</f>
        <v/>
      </c>
      <c r="R96" s="79" t="s">
        <v>323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266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324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197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325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266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69" t="s">
        <v>267</v>
      </c>
      <c r="B108" s="169"/>
      <c r="C108" s="169"/>
      <c r="D108" s="169"/>
      <c r="E108" s="169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265</v>
      </c>
      <c r="S108" s="114">
        <v>456830</v>
      </c>
      <c r="T108" s="115"/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268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168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326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168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69" t="s">
        <v>264</v>
      </c>
      <c r="B122" s="169"/>
      <c r="C122" s="169"/>
      <c r="D122" s="169"/>
      <c r="E122" s="169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265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171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168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146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146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133</v>
      </c>
      <c r="N127" s="69" t="s">
        <v>123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69" t="s">
        <v>267</v>
      </c>
      <c r="B135" s="169"/>
      <c r="C135" s="169"/>
      <c r="D135" s="169"/>
      <c r="E135" s="169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265</v>
      </c>
      <c r="S135" s="114">
        <v>756720</v>
      </c>
      <c r="T135" s="115"/>
    </row>
    <row r="136" spans="1:20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268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65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327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328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127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171</v>
      </c>
      <c r="N144" s="60" t="s">
        <v>119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329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69" t="s">
        <v>264</v>
      </c>
      <c r="B149" s="169"/>
      <c r="C149" s="169"/>
      <c r="D149" s="169"/>
      <c r="E149" s="169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265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129</v>
      </c>
      <c r="N151" s="69" t="s">
        <v>96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330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69" t="s">
        <v>267</v>
      </c>
      <c r="B162" s="169"/>
      <c r="C162" s="169"/>
      <c r="D162" s="169"/>
      <c r="E162" s="169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265</v>
      </c>
      <c r="S162" s="114">
        <v>501750</v>
      </c>
      <c r="T162" s="115"/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268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278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278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278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169</v>
      </c>
      <c r="N167" s="69" t="s">
        <v>83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169</v>
      </c>
      <c r="N168" s="60" t="s">
        <v>83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278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278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278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278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278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278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278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69" t="s">
        <v>264</v>
      </c>
      <c r="B176" s="169"/>
      <c r="C176" s="169"/>
      <c r="D176" s="169"/>
      <c r="E176" s="169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265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126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278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133</v>
      </c>
      <c r="N179" s="69" t="s">
        <v>123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278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160</v>
      </c>
      <c r="N180" s="60" t="s">
        <v>145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83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331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278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83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328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83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332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278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69" t="s">
        <v>267</v>
      </c>
      <c r="B189" s="169"/>
      <c r="C189" s="169"/>
      <c r="D189" s="169"/>
      <c r="E189" s="169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265</v>
      </c>
      <c r="S189" s="73">
        <v>362530</v>
      </c>
      <c r="T189" s="98"/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268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333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160</v>
      </c>
      <c r="N192" s="60" t="s">
        <v>195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160</v>
      </c>
      <c r="N193" s="60" t="s">
        <v>195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326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178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133</v>
      </c>
      <c r="N197" s="69" t="s">
        <v>123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133</v>
      </c>
      <c r="N198" s="69" t="s">
        <v>123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69" t="s">
        <v>264</v>
      </c>
      <c r="B203" s="169"/>
      <c r="C203" s="169"/>
      <c r="D203" s="169"/>
      <c r="E203" s="169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265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83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171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171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69" t="s">
        <v>267</v>
      </c>
      <c r="B216" s="169"/>
      <c r="C216" s="169"/>
      <c r="D216" s="169"/>
      <c r="E216" s="169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265</v>
      </c>
      <c r="S216" s="73">
        <v>609740</v>
      </c>
      <c r="T216" s="98"/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268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184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321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266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87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334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146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335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146</v>
      </c>
      <c r="N224" s="60" t="s">
        <v>70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336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69" t="s">
        <v>264</v>
      </c>
      <c r="B230" s="169"/>
      <c r="C230" s="169"/>
      <c r="D230" s="169"/>
      <c r="E230" s="169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265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266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171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171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69" t="s">
        <v>267</v>
      </c>
      <c r="B243" s="169"/>
      <c r="C243" s="169"/>
      <c r="D243" s="169"/>
      <c r="E243" s="169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265</v>
      </c>
      <c r="S243" s="73">
        <v>825930</v>
      </c>
      <c r="T243" s="98"/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268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178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69" t="s">
        <v>264</v>
      </c>
      <c r="B257" s="169"/>
      <c r="C257" s="169"/>
      <c r="D257" s="169"/>
      <c r="E257" s="169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265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278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278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278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278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278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278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278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278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278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278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278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278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69" t="s">
        <v>267</v>
      </c>
      <c r="B270" s="169"/>
      <c r="C270" s="169"/>
      <c r="D270" s="169"/>
      <c r="E270" s="169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732130</v>
      </c>
      <c r="T270" s="98"/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268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278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278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278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278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263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278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69" t="s">
        <v>264</v>
      </c>
      <c r="B284" s="169"/>
      <c r="C284" s="169"/>
      <c r="D284" s="169"/>
      <c r="E284" s="169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263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263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278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278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263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263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263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263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263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69" t="s">
        <v>267</v>
      </c>
      <c r="B297" s="169"/>
      <c r="C297" s="169"/>
      <c r="D297" s="169"/>
      <c r="E297" s="169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990260</v>
      </c>
      <c r="T297" s="98"/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278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146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278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87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278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278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278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278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74" t="s">
        <v>278</v>
      </c>
      <c r="F305" s="87">
        <f>IFERROR(IF($D305="","",VLOOKUP($D305,Cadastro!$C$4:$E$7,3,FALSE())),"")</f>
        <v>0.35</v>
      </c>
      <c r="G305" s="62">
        <v>13</v>
      </c>
      <c r="H305" s="100">
        <f>IFERROR(IF($G305="","",$G305*$S$311/$G$311/Cadastro!$E$33),"")</f>
        <v>58.066923076923075</v>
      </c>
      <c r="I305" s="89">
        <f>IFERROR(IF($D305="","",VLOOKUP($D305,Cadastro!$C$4:$G$7,5,FALSE())),"")</f>
        <v>0.6</v>
      </c>
      <c r="J305" s="90">
        <f t="shared" si="66"/>
        <v>12.194053846153844</v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74" t="s">
        <v>278</v>
      </c>
      <c r="F306" s="87">
        <f>IFERROR(IF($D306="","",VLOOKUP($D306,Cadastro!$C$4:$E$7,3,FALSE())),"")</f>
        <v>0.35</v>
      </c>
      <c r="G306" s="62">
        <v>20</v>
      </c>
      <c r="H306" s="100">
        <f>IFERROR(IF($G306="","",$G306*$S$311/$G$311/Cadastro!$E$33),"")</f>
        <v>89.333727810650885</v>
      </c>
      <c r="I306" s="89">
        <f>IFERROR(IF($D306="","",VLOOKUP($D306,Cadastro!$C$4:$G$7,5,FALSE())),"")</f>
        <v>0.6</v>
      </c>
      <c r="J306" s="90">
        <f t="shared" si="66"/>
        <v>18.760082840236684</v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74" t="s">
        <v>278</v>
      </c>
      <c r="F307" s="87">
        <f>IFERROR(IF($D307="","",VLOOKUP($D307,Cadastro!$C$4:$E$7,3,FALSE())),"")</f>
        <v>0.35</v>
      </c>
      <c r="G307" s="62">
        <v>16</v>
      </c>
      <c r="H307" s="100">
        <f>IFERROR(IF($G307="","",$G307*$S$311/$G$311/Cadastro!$E$33),"")</f>
        <v>71.466982248520708</v>
      </c>
      <c r="I307" s="89">
        <f>IFERROR(IF($D307="","",VLOOKUP($D307,Cadastro!$C$4:$G$7,5,FALSE())),"")</f>
        <v>0.6</v>
      </c>
      <c r="J307" s="90">
        <f t="shared" si="66"/>
        <v>15.008066272189348</v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74" t="s">
        <v>278</v>
      </c>
      <c r="F308" s="87">
        <f>IFERROR(IF($D308="","",VLOOKUP($D308,Cadastro!$C$4:$E$7,3,FALSE())),"")</f>
        <v>0.35</v>
      </c>
      <c r="G308" s="62">
        <v>14</v>
      </c>
      <c r="H308" s="100">
        <f>IFERROR(IF($G308="","",$G308*$S$311/$G$311/Cadastro!$E$33),"")</f>
        <v>62.533609467455619</v>
      </c>
      <c r="I308" s="89">
        <f>IFERROR(IF($D308="","",VLOOKUP($D308,Cadastro!$C$4:$G$7,5,FALSE())),"")</f>
        <v>0.6</v>
      </c>
      <c r="J308" s="90">
        <f t="shared" si="66"/>
        <v>13.132057988165679</v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74" t="s">
        <v>278</v>
      </c>
      <c r="F309" s="87">
        <f>IFERROR(IF($D309="","",VLOOKUP($D309,Cadastro!$C$4:$E$7,3,FALSE())),"")</f>
        <v>0.35</v>
      </c>
      <c r="G309" s="62">
        <v>4</v>
      </c>
      <c r="H309" s="100">
        <f>IFERROR(IF($G309="","",$G309*$S$311/$G$311/Cadastro!$E$33),"")</f>
        <v>17.866745562130177</v>
      </c>
      <c r="I309" s="89">
        <f>IFERROR(IF($D309="","",VLOOKUP($D309,Cadastro!$C$4:$G$7,5,FALSE())),"")</f>
        <v>0.6</v>
      </c>
      <c r="J309" s="90">
        <f t="shared" si="66"/>
        <v>3.752016568047337</v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74" t="s">
        <v>278</v>
      </c>
      <c r="F310" s="91">
        <f>IFERROR(IF($D310="","",VLOOKUP($D310,Cadastro!$C$4:$E$7,3,FALSE())),"")</f>
        <v>0.35</v>
      </c>
      <c r="G310" s="62">
        <v>5</v>
      </c>
      <c r="H310" s="100">
        <f>IFERROR(IF($G310="","",$G310*$S$311/$G$311/Cadastro!$E$33),"")</f>
        <v>22.333431952662721</v>
      </c>
      <c r="I310" s="92">
        <f>IFERROR(IF($D310="","",VLOOKUP($D310,Cadastro!$C$4:$G$7,5,FALSE())),"")</f>
        <v>0.6</v>
      </c>
      <c r="J310" s="93">
        <f t="shared" si="66"/>
        <v>4.6900207100591711</v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69" t="s">
        <v>264</v>
      </c>
      <c r="B311" s="169"/>
      <c r="C311" s="169"/>
      <c r="D311" s="169"/>
      <c r="E311" s="169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129.92697372781066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265</v>
      </c>
      <c r="S311" s="73">
        <v>754870</v>
      </c>
      <c r="T311" s="98">
        <f>IFERROR(J311,"")</f>
        <v>129.92697372781066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278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171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278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278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168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171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278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149</v>
      </c>
      <c r="N317" s="69" t="s">
        <v>109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278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278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278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146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278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278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278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69" t="s">
        <v>267</v>
      </c>
      <c r="B324" s="169"/>
      <c r="C324" s="169"/>
      <c r="D324" s="169"/>
      <c r="E324" s="169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265</v>
      </c>
      <c r="S324" s="73">
        <v>725030</v>
      </c>
      <c r="T324" s="98">
        <f>IFERROR(J324,"")</f>
        <v>104.40432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234.33129372781065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268</v>
      </c>
      <c r="S325" s="81">
        <f>IFERROR(S311+S324,"")</f>
        <v>1479900</v>
      </c>
      <c r="T325" s="117">
        <f>IFERROR(J325,"")</f>
        <v>234.33129372781065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4</v>
      </c>
      <c r="H326" s="100">
        <f>IFERROR(IF($G326="","",$G326*$S$338/$G$338/Cadastro!$E$33),"")</f>
        <v>20.204324324324322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4.2429081081081073</v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141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337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0</v>
      </c>
      <c r="H327" s="87">
        <f>IFERROR(IF($G327="","",$G327*$S$338/$G$338/Cadastro!$E$33),"")</f>
        <v>0</v>
      </c>
      <c r="I327" s="89">
        <f>IFERROR(IF($D327="","",VLOOKUP($D327,Cadastro!$C$4:$G$7,5,FALSE())),"")</f>
        <v>0.6</v>
      </c>
      <c r="J327" s="90">
        <f t="shared" si="74"/>
        <v>0</v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4</v>
      </c>
      <c r="H328" s="87">
        <f>IFERROR(IF($G328="","",$G328*$S$338/$G$338/Cadastro!$E$33),"")</f>
        <v>20.204324324324322</v>
      </c>
      <c r="I328" s="89">
        <f>IFERROR(IF($D328="","",VLOOKUP($D328,Cadastro!$C$4:$G$7,5,FALSE())),"")</f>
        <v>0.6</v>
      </c>
      <c r="J328" s="90">
        <f t="shared" si="74"/>
        <v>4.2429081081081073</v>
      </c>
      <c r="K328" s="63">
        <f t="shared" si="75"/>
        <v>20</v>
      </c>
      <c r="L328" s="60" t="s">
        <v>27</v>
      </c>
      <c r="M328" s="60" t="s">
        <v>149</v>
      </c>
      <c r="N328" s="60" t="s">
        <v>141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338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55.561891891891896</v>
      </c>
      <c r="I329" s="89">
        <f>IFERROR(IF($D329="","",VLOOKUP($D329,Cadastro!$C$4:$G$7,5,FALSE())),"")</f>
        <v>0.6</v>
      </c>
      <c r="J329" s="90">
        <f t="shared" si="74"/>
        <v>11.667997297297298</v>
      </c>
      <c r="K329" s="68">
        <f t="shared" si="75"/>
        <v>55</v>
      </c>
      <c r="L329" s="69" t="s">
        <v>27</v>
      </c>
      <c r="M329" s="69" t="s">
        <v>149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339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3</v>
      </c>
      <c r="H330" s="87">
        <f>IFERROR(IF($G330="","",$G330*$S$338/$G$338/Cadastro!$E$33),"")</f>
        <v>15.153243243243244</v>
      </c>
      <c r="I330" s="89">
        <f>IFERROR(IF($D330="","",VLOOKUP($D330,Cadastro!$C$4:$G$7,5,FALSE())),"")</f>
        <v>0.6</v>
      </c>
      <c r="J330" s="90">
        <f t="shared" si="74"/>
        <v>3.1821810810810809</v>
      </c>
      <c r="K330" s="63">
        <f t="shared" si="75"/>
        <v>15</v>
      </c>
      <c r="L330" s="60" t="s">
        <v>29</v>
      </c>
      <c r="M330" s="60" t="s">
        <v>137</v>
      </c>
      <c r="N330" s="60" t="s">
        <v>123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4"/>
        <v>0</v>
      </c>
      <c r="K331" s="68">
        <f t="shared" si="75"/>
        <v>0</v>
      </c>
      <c r="L331" s="69" t="s">
        <v>27</v>
      </c>
      <c r="M331" s="69" t="s">
        <v>149</v>
      </c>
      <c r="N331" s="69" t="s">
        <v>70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340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9</v>
      </c>
      <c r="H332" s="87">
        <f>IFERROR(IF($G332="","",$G332*$S$338/$G$338/Cadastro!$E$33),"")</f>
        <v>45.459729729729723</v>
      </c>
      <c r="I332" s="89">
        <f>IFERROR(IF($D332="","",VLOOKUP($D332,Cadastro!$C$4:$G$7,5,FALSE())),"")</f>
        <v>0.6</v>
      </c>
      <c r="J332" s="90">
        <f t="shared" si="74"/>
        <v>9.5465432432432404</v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184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341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4"/>
        <v>0</v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4"/>
        <v>0</v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4"/>
        <v>0</v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4"/>
        <v>0</v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6</v>
      </c>
      <c r="H337" s="91">
        <f>IFERROR(IF($G337="","",$G337*$S$338/$G$338/Cadastro!$E$33),"")</f>
        <v>30.306486486486488</v>
      </c>
      <c r="I337" s="92">
        <f>IFERROR(IF($D337="","",VLOOKUP($D337,Cadastro!$C$4:$G$7,5,FALSE())),"")</f>
        <v>0.6</v>
      </c>
      <c r="J337" s="93">
        <f t="shared" si="74"/>
        <v>6.3643621621621618</v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69" t="s">
        <v>264</v>
      </c>
      <c r="B338" s="169"/>
      <c r="C338" s="169"/>
      <c r="D338" s="169"/>
      <c r="E338" s="169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39.246899999999989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265</v>
      </c>
      <c r="S338" s="73">
        <v>186890</v>
      </c>
      <c r="T338" s="98">
        <f>IFERROR(J338,"")</f>
        <v>39.246899999999989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6</v>
      </c>
      <c r="H339" s="100">
        <f>IFERROR(IF($G339="","",$G339*$S$351/$G$351/Cadastro!$E$33),"")</f>
        <v>24.843139534883722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5.2170593023255813</v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15</v>
      </c>
      <c r="H340" s="87">
        <f>IFERROR(IF($G340="","",$G340*$S$351/$G$351/Cadastro!$E$33),"")</f>
        <v>62.107848837209303</v>
      </c>
      <c r="I340" s="89">
        <f>IFERROR(IF($D340="","",VLOOKUP($D340,Cadastro!$C$4:$G$7,5,FALSE())),"")</f>
        <v>0.6</v>
      </c>
      <c r="J340" s="90">
        <f t="shared" si="78"/>
        <v>13.042648255813953</v>
      </c>
      <c r="K340" s="63">
        <f t="shared" si="79"/>
        <v>63</v>
      </c>
      <c r="L340" s="60" t="s">
        <v>28</v>
      </c>
      <c r="M340" s="60" t="s">
        <v>48</v>
      </c>
      <c r="N340" s="60" t="s">
        <v>87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18</v>
      </c>
      <c r="H341" s="87">
        <f>IFERROR(IF($G341="","",$G341*$S$351/$G$351/Cadastro!$E$33),"")</f>
        <v>74.529418604651156</v>
      </c>
      <c r="I341" s="89">
        <f>IFERROR(IF($D341="","",VLOOKUP($D341,Cadastro!$C$4:$G$7,5,FALSE())),"")</f>
        <v>0.6</v>
      </c>
      <c r="J341" s="90">
        <f t="shared" si="78"/>
        <v>15.651177906976741</v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333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49.686279069767444</v>
      </c>
      <c r="I342" s="89">
        <f>IFERROR(IF($D342="","",VLOOKUP($D342,Cadastro!$C$4:$G$7,5,FALSE())),"")</f>
        <v>0.6</v>
      </c>
      <c r="J342" s="90">
        <f t="shared" si="78"/>
        <v>10.434118604651163</v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178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21</v>
      </c>
      <c r="H343" s="87">
        <f>IFERROR(IF($G343="","",$G343*$S$351/$G$351/Cadastro!$E$33),"")</f>
        <v>86.950988372093022</v>
      </c>
      <c r="I343" s="89">
        <f>IFERROR(IF($D343="","",VLOOKUP($D343,Cadastro!$C$4:$G$7,5,FALSE())),"")</f>
        <v>0.6</v>
      </c>
      <c r="J343" s="90">
        <f t="shared" si="78"/>
        <v>18.259707558139532</v>
      </c>
      <c r="K343" s="68">
        <f t="shared" si="79"/>
        <v>88.2</v>
      </c>
      <c r="L343" s="69" t="s">
        <v>29</v>
      </c>
      <c r="M343" s="69" t="s">
        <v>48</v>
      </c>
      <c r="N343" s="69" t="s">
        <v>210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328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21</v>
      </c>
      <c r="H344" s="87">
        <f>IFERROR(IF($G344="","",$G344*$S$351/$G$351/Cadastro!$E$33),"")</f>
        <v>86.950988372093022</v>
      </c>
      <c r="I344" s="89">
        <f>IFERROR(IF($D344="","",VLOOKUP($D344,Cadastro!$C$4:$G$7,5,FALSE())),"")</f>
        <v>0.6</v>
      </c>
      <c r="J344" s="90">
        <f t="shared" si="78"/>
        <v>18.259707558139532</v>
      </c>
      <c r="K344" s="63">
        <f t="shared" si="79"/>
        <v>88.2</v>
      </c>
      <c r="L344" s="60" t="s">
        <v>27</v>
      </c>
      <c r="M344" s="60" t="s">
        <v>40</v>
      </c>
      <c r="N344" s="60" t="s">
        <v>168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13</v>
      </c>
      <c r="H345" s="87">
        <f>IFERROR(IF($G345="","",$G345*$S$351/$G$351/Cadastro!$E$33),"")</f>
        <v>53.826802325581397</v>
      </c>
      <c r="I345" s="89">
        <f>IFERROR(IF($D345="","",VLOOKUP($D345,Cadastro!$C$4:$G$7,5,FALSE())),"")</f>
        <v>0.6</v>
      </c>
      <c r="J345" s="90">
        <f t="shared" si="78"/>
        <v>11.303628488372091</v>
      </c>
      <c r="K345" s="68">
        <f t="shared" si="79"/>
        <v>54.6</v>
      </c>
      <c r="L345" s="69" t="s">
        <v>27</v>
      </c>
      <c r="M345" s="69" t="s">
        <v>48</v>
      </c>
      <c r="N345" s="69" t="s">
        <v>168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12</v>
      </c>
      <c r="H346" s="87">
        <f>IFERROR(IF($G346="","",$G346*$S$351/$G$351/Cadastro!$E$33),"")</f>
        <v>49.686279069767444</v>
      </c>
      <c r="I346" s="89">
        <f>IFERROR(IF($D346="","",VLOOKUP($D346,Cadastro!$C$4:$G$7,5,FALSE())),"")</f>
        <v>0.6</v>
      </c>
      <c r="J346" s="90">
        <f t="shared" si="78"/>
        <v>10.434118604651163</v>
      </c>
      <c r="K346" s="63">
        <f t="shared" si="79"/>
        <v>50.400000000000006</v>
      </c>
      <c r="L346" s="60" t="s">
        <v>26</v>
      </c>
      <c r="M346" s="60" t="s">
        <v>146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7</v>
      </c>
      <c r="H347" s="87">
        <f>IFERROR(IF($G347="","",$G347*$S$351/$G$351/Cadastro!$E$33),"")</f>
        <v>28.983662790697675</v>
      </c>
      <c r="I347" s="89">
        <f>IFERROR(IF($D347="","",VLOOKUP($D347,Cadastro!$C$4:$G$7,5,FALSE())),"")</f>
        <v>0.6</v>
      </c>
      <c r="J347" s="90">
        <f t="shared" si="78"/>
        <v>6.0865691860465114</v>
      </c>
      <c r="K347" s="68">
        <f t="shared" si="79"/>
        <v>29.400000000000002</v>
      </c>
      <c r="L347" s="69" t="s">
        <v>26</v>
      </c>
      <c r="M347" s="69" t="s">
        <v>146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19</v>
      </c>
      <c r="H348" s="87">
        <f>IFERROR(IF($G348="","",$G348*$S$351/$G$351/Cadastro!$E$33),"")</f>
        <v>78.669941860465116</v>
      </c>
      <c r="I348" s="89">
        <f>IFERROR(IF($D348="","",VLOOKUP($D348,Cadastro!$C$4:$G$7,5,FALSE())),"")</f>
        <v>0.6</v>
      </c>
      <c r="J348" s="90">
        <f t="shared" si="78"/>
        <v>16.520687790697675</v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16</v>
      </c>
      <c r="H349" s="87">
        <f>IFERROR(IF($G349="","",$G349*$S$351/$G$351/Cadastro!$E$33),"")</f>
        <v>66.248372093023249</v>
      </c>
      <c r="I349" s="89">
        <f>IFERROR(IF($D349="","",VLOOKUP($D349,Cadastro!$C$4:$G$7,5,FALSE())),"")</f>
        <v>0.6</v>
      </c>
      <c r="J349" s="90">
        <f t="shared" si="78"/>
        <v>13.912158139534881</v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12</v>
      </c>
      <c r="H350" s="91">
        <f>IFERROR(IF($G350="","",$G350*$S$351/$G$351/Cadastro!$E$33),"")</f>
        <v>49.686279069767444</v>
      </c>
      <c r="I350" s="92">
        <f>IFERROR(IF($D350="","",VLOOKUP($D350,Cadastro!$C$4:$G$7,5,FALSE())),"")</f>
        <v>0.6</v>
      </c>
      <c r="J350" s="93">
        <f t="shared" si="78"/>
        <v>10.434118604651163</v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69" t="s">
        <v>267</v>
      </c>
      <c r="B351" s="169"/>
      <c r="C351" s="169"/>
      <c r="D351" s="169"/>
      <c r="E351" s="169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149.5557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265</v>
      </c>
      <c r="S351" s="73">
        <v>712170</v>
      </c>
      <c r="T351" s="98">
        <f>IFERROR(J351,"")</f>
        <v>149.5557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188.80259999999998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268</v>
      </c>
      <c r="S352" s="81">
        <f>IFERROR(S338+S351,"")</f>
        <v>899060</v>
      </c>
      <c r="T352" s="117">
        <f>IFERROR(J352,"")</f>
        <v>188.80259999999998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0</v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65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321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57.617592592592594</v>
      </c>
      <c r="I354" s="89">
        <f>IFERROR(IF($D354="","",VLOOKUP($D354,Cadastro!$C$4:$G$7,5,FALSE())),"")</f>
        <v>0.6</v>
      </c>
      <c r="J354" s="90">
        <f t="shared" si="82"/>
        <v>12.099694444444443</v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12</v>
      </c>
      <c r="H355" s="87">
        <f>IFERROR(IF($G355="","",$G355*$S$365/$G$365/Cadastro!$E$33),"")</f>
        <v>69.141111111111115</v>
      </c>
      <c r="I355" s="89">
        <f>IFERROR(IF($D355="","",VLOOKUP($D355,Cadastro!$C$4:$G$7,5,FALSE())),"")</f>
        <v>0.6</v>
      </c>
      <c r="J355" s="90">
        <f t="shared" si="82"/>
        <v>14.519633333333333</v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87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19</v>
      </c>
      <c r="H356" s="87">
        <f>IFERROR(IF($G356="","",$G356*$S$365/$G$365/Cadastro!$E$33),"")</f>
        <v>109.47342592592592</v>
      </c>
      <c r="I356" s="89">
        <f>IFERROR(IF($D356="","",VLOOKUP($D356,Cadastro!$C$4:$G$7,5,FALSE())),"")</f>
        <v>0.6</v>
      </c>
      <c r="J356" s="90">
        <f t="shared" si="82"/>
        <v>22.98941944444444</v>
      </c>
      <c r="K356" s="63">
        <f t="shared" si="83"/>
        <v>79.8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14</v>
      </c>
      <c r="H357" s="87">
        <f>IFERROR(IF($G357="","",$G357*$S$365/$G$365/Cadastro!$E$33),"")</f>
        <v>80.66462962962963</v>
      </c>
      <c r="I357" s="89">
        <f>IFERROR(IF($D357="","",VLOOKUP($D357,Cadastro!$C$4:$G$7,5,FALSE())),"")</f>
        <v>0.6</v>
      </c>
      <c r="J357" s="90">
        <f t="shared" si="82"/>
        <v>16.939572222222221</v>
      </c>
      <c r="K357" s="68">
        <f t="shared" si="83"/>
        <v>58.800000000000004</v>
      </c>
      <c r="L357" s="69" t="s">
        <v>28</v>
      </c>
      <c r="M357" s="69" t="s">
        <v>171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86.426388888888894</v>
      </c>
      <c r="I358" s="89">
        <f>IFERROR(IF($D358="","",VLOOKUP($D358,Cadastro!$C$4:$G$7,5,FALSE())),"")</f>
        <v>0.6</v>
      </c>
      <c r="J358" s="90">
        <f t="shared" si="82"/>
        <v>18.149541666666664</v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5</v>
      </c>
      <c r="H359" s="87">
        <f>IFERROR(IF($G359="","",$G359*$S$365/$G$365/Cadastro!$E$33),"")</f>
        <v>28.808796296296297</v>
      </c>
      <c r="I359" s="89">
        <f>IFERROR(IF($D359="","",VLOOKUP($D359,Cadastro!$C$4:$G$7,5,FALSE())),"")</f>
        <v>0.6</v>
      </c>
      <c r="J359" s="90">
        <f t="shared" si="82"/>
        <v>6.0498472222222217</v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74.902870370370366</v>
      </c>
      <c r="I360" s="89">
        <f>IFERROR(IF($D360="","",VLOOKUP($D360,Cadastro!$C$4:$G$7,5,FALSE())),"")</f>
        <v>0.6</v>
      </c>
      <c r="J360" s="90">
        <f t="shared" si="82"/>
        <v>15.729602777777774</v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15</v>
      </c>
      <c r="H361" s="87">
        <f>IFERROR(IF($G361="","",$G361*$S$365/$G$365/Cadastro!$E$33),"")</f>
        <v>86.426388888888894</v>
      </c>
      <c r="I361" s="89">
        <f>IFERROR(IF($D361="","",VLOOKUP($D361,Cadastro!$C$4:$G$7,5,FALSE())),"")</f>
        <v>0.6</v>
      </c>
      <c r="J361" s="90">
        <f t="shared" si="82"/>
        <v>18.149541666666664</v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28.808796296296297</v>
      </c>
      <c r="I362" s="89">
        <f>IFERROR(IF($D362="","",VLOOKUP($D362,Cadastro!$C$4:$G$7,5,FALSE())),"")</f>
        <v>0.6</v>
      </c>
      <c r="J362" s="90">
        <f t="shared" si="82"/>
        <v>6.0498472222222217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0</v>
      </c>
      <c r="H363" s="87">
        <f>IFERROR(IF($G363="","",$G363*$S$365/$G$365/Cadastro!$E$33),"")</f>
        <v>0</v>
      </c>
      <c r="I363" s="89">
        <f>IFERROR(IF($D363="","",VLOOKUP($D363,Cadastro!$C$4:$G$7,5,FALSE())),"")</f>
        <v>0.6</v>
      </c>
      <c r="J363" s="90">
        <f t="shared" si="82"/>
        <v>0</v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0</v>
      </c>
      <c r="H364" s="91">
        <f>IFERROR(IF($G364="","",$G364*$S$365/$G$365/Cadastro!$E$33),"")</f>
        <v>0</v>
      </c>
      <c r="I364" s="92">
        <f>IFERROR(IF($D364="","",VLOOKUP($D364,Cadastro!$C$4:$G$7,5,FALSE())),"")</f>
        <v>0.6</v>
      </c>
      <c r="J364" s="93">
        <f t="shared" si="82"/>
        <v>0</v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69" t="s">
        <v>264</v>
      </c>
      <c r="B365" s="169"/>
      <c r="C365" s="169"/>
      <c r="D365" s="169"/>
      <c r="E365" s="169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130.67669999999998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265</v>
      </c>
      <c r="S365" s="73">
        <v>622270</v>
      </c>
      <c r="T365" s="98">
        <f>IFERROR(J365,"")</f>
        <v>130.67669999999998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4.5812499999999998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0.96206249999999982</v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15</v>
      </c>
      <c r="H367" s="87">
        <f>IFERROR(IF($G367="","",$G367*$S$378/$G$378/Cadastro!$E$33),"")</f>
        <v>68.71875</v>
      </c>
      <c r="I367" s="89">
        <f>IFERROR(IF($D367="","",VLOOKUP($D367,Cadastro!$C$4:$G$7,5,FALSE())),"")</f>
        <v>0.6</v>
      </c>
      <c r="J367" s="90">
        <f t="shared" si="86"/>
        <v>14.430937499999999</v>
      </c>
      <c r="K367" s="68">
        <f t="shared" si="87"/>
        <v>63</v>
      </c>
      <c r="L367" s="69" t="s">
        <v>29</v>
      </c>
      <c r="M367" s="69" t="s">
        <v>149</v>
      </c>
      <c r="N367" s="69" t="s">
        <v>83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342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14</v>
      </c>
      <c r="H368" s="87">
        <f>IFERROR(IF($G368="","",$G368*$S$378/$G$378/Cadastro!$E$33),"")</f>
        <v>64.137500000000003</v>
      </c>
      <c r="I368" s="89">
        <f>IFERROR(IF($D368="","",VLOOKUP($D368,Cadastro!$C$4:$G$7,5,FALSE())),"")</f>
        <v>0.6</v>
      </c>
      <c r="J368" s="90">
        <f t="shared" si="86"/>
        <v>13.468875000000001</v>
      </c>
      <c r="K368" s="63">
        <f t="shared" si="87"/>
        <v>58.800000000000004</v>
      </c>
      <c r="L368" s="60" t="s">
        <v>28</v>
      </c>
      <c r="M368" s="60" t="s">
        <v>171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21</v>
      </c>
      <c r="H369" s="87">
        <f>IFERROR(IF($G369="","",$G369*$S$378/$G$378/Cadastro!$E$33),"")</f>
        <v>96.206249999999997</v>
      </c>
      <c r="I369" s="89">
        <f>IFERROR(IF($D369="","",VLOOKUP($D369,Cadastro!$C$4:$G$7,5,FALSE())),"")</f>
        <v>0.6</v>
      </c>
      <c r="J369" s="90">
        <f t="shared" si="86"/>
        <v>20.203312499999999</v>
      </c>
      <c r="K369" s="68">
        <f t="shared" si="87"/>
        <v>88.2</v>
      </c>
      <c r="L369" s="69" t="s">
        <v>29</v>
      </c>
      <c r="M369" s="69"/>
      <c r="N369" s="69" t="s">
        <v>71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17</v>
      </c>
      <c r="H370" s="87">
        <f>IFERROR(IF($G370="","",$G370*$S$378/$G$378/Cadastro!$E$33),"")</f>
        <v>77.881249999999994</v>
      </c>
      <c r="I370" s="89">
        <f>IFERROR(IF($D370="","",VLOOKUP($D370,Cadastro!$C$4:$G$7,5,FALSE())),"")</f>
        <v>0.6</v>
      </c>
      <c r="J370" s="90">
        <f t="shared" si="86"/>
        <v>16.355062499999995</v>
      </c>
      <c r="K370" s="63">
        <f t="shared" si="87"/>
        <v>71.400000000000006</v>
      </c>
      <c r="L370" s="60" t="s">
        <v>28</v>
      </c>
      <c r="M370" s="60" t="s">
        <v>171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15</v>
      </c>
      <c r="H371" s="87">
        <f>IFERROR(IF($G371="","",$G371*$S$378/$G$378/Cadastro!$E$33),"")</f>
        <v>68.71875</v>
      </c>
      <c r="I371" s="89">
        <f>IFERROR(IF($D371="","",VLOOKUP($D371,Cadastro!$C$4:$G$7,5,FALSE())),"")</f>
        <v>0.6</v>
      </c>
      <c r="J371" s="90">
        <f t="shared" si="86"/>
        <v>14.430937499999999</v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64.137500000000003</v>
      </c>
      <c r="I372" s="89">
        <f>IFERROR(IF($D372="","",VLOOKUP($D372,Cadastro!$C$4:$G$7,5,FALSE())),"")</f>
        <v>0.6</v>
      </c>
      <c r="J372" s="90">
        <f t="shared" si="86"/>
        <v>13.468875000000001</v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20</v>
      </c>
      <c r="H373" s="87">
        <f>IFERROR(IF($G373="","",$G373*$S$378/$G$378/Cadastro!$E$33),"")</f>
        <v>91.625</v>
      </c>
      <c r="I373" s="89">
        <f>IFERROR(IF($D373="","",VLOOKUP($D373,Cadastro!$C$4:$G$7,5,FALSE())),"")</f>
        <v>0.6</v>
      </c>
      <c r="J373" s="90">
        <f t="shared" si="86"/>
        <v>19.241250000000001</v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96.206249999999997</v>
      </c>
      <c r="I374" s="89">
        <f>IFERROR(IF($D374="","",VLOOKUP($D374,Cadastro!$C$4:$G$7,5,FALSE())),"")</f>
        <v>0.6</v>
      </c>
      <c r="J374" s="90">
        <f t="shared" si="86"/>
        <v>20.203312499999999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10</v>
      </c>
      <c r="H375" s="87">
        <f>IFERROR(IF($G375="","",$G375*$S$378/$G$378/Cadastro!$E$33),"")</f>
        <v>45.8125</v>
      </c>
      <c r="I375" s="89">
        <f>IFERROR(IF($D375="","",VLOOKUP($D375,Cadastro!$C$4:$G$7,5,FALSE())),"")</f>
        <v>0.6</v>
      </c>
      <c r="J375" s="90">
        <f t="shared" si="86"/>
        <v>9.6206250000000004</v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18</v>
      </c>
      <c r="H376" s="87">
        <f>IFERROR(IF($G376="","",$G376*$S$378/$G$378/Cadastro!$E$33),"")</f>
        <v>82.462500000000006</v>
      </c>
      <c r="I376" s="89">
        <f>IFERROR(IF($D376="","",VLOOKUP($D376,Cadastro!$C$4:$G$7,5,FALSE())),"")</f>
        <v>0.6</v>
      </c>
      <c r="J376" s="90">
        <f t="shared" si="86"/>
        <v>17.317125000000001</v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45.8125</v>
      </c>
      <c r="I377" s="92">
        <f>IFERROR(IF($D377="","",VLOOKUP($D377,Cadastro!$C$4:$G$7,5,FALSE())),"")</f>
        <v>0.6</v>
      </c>
      <c r="J377" s="93">
        <f t="shared" si="86"/>
        <v>9.6206250000000004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69" t="s">
        <v>267</v>
      </c>
      <c r="B378" s="169"/>
      <c r="C378" s="169"/>
      <c r="D378" s="169"/>
      <c r="E378" s="169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169.32299999999998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265</v>
      </c>
      <c r="S378" s="73">
        <v>806300</v>
      </c>
      <c r="T378" s="98">
        <f>IFERROR(J378,"")</f>
        <v>169.32299999999998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299.99969999999996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268</v>
      </c>
      <c r="S379" s="81">
        <f>IFERROR(S365+S378,"")</f>
        <v>1428570</v>
      </c>
      <c r="T379" s="117">
        <f>IFERROR(J379,"")</f>
        <v>299.99969999999996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278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83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278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18</v>
      </c>
      <c r="H382" s="87">
        <f>IFERROR(IF($G382="","",$G382*$S$392/$G$392/Cadastro!$E$33),"")</f>
        <v>88.95036144578313</v>
      </c>
      <c r="I382" s="89">
        <f>IFERROR(IF($D382="","",VLOOKUP($D382,Cadastro!$C$4:$G$7,5,FALSE())),"")</f>
        <v>0.6</v>
      </c>
      <c r="J382" s="90">
        <f t="shared" si="90"/>
        <v>18.679575903614456</v>
      </c>
      <c r="K382" s="63">
        <f t="shared" si="91"/>
        <v>75.600000000000009</v>
      </c>
      <c r="L382" s="60" t="s">
        <v>29</v>
      </c>
      <c r="M382" s="60"/>
      <c r="N382" s="69" t="s">
        <v>83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12</v>
      </c>
      <c r="H383" s="87">
        <f>IFERROR(IF($G383="","",$G383*$S$392/$G$392/Cadastro!$E$33),"")</f>
        <v>59.300240963855423</v>
      </c>
      <c r="I383" s="89">
        <f>IFERROR(IF($D383="","",VLOOKUP($D383,Cadastro!$C$4:$G$7,5,FALSE())),"")</f>
        <v>0.6</v>
      </c>
      <c r="J383" s="90">
        <f t="shared" si="90"/>
        <v>12.453050602409638</v>
      </c>
      <c r="K383" s="68">
        <f t="shared" si="91"/>
        <v>50.400000000000006</v>
      </c>
      <c r="L383" s="69" t="s">
        <v>28</v>
      </c>
      <c r="M383" s="69" t="s">
        <v>171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49.416867469879513</v>
      </c>
      <c r="I384" s="89">
        <f>IFERROR(IF($D384="","",VLOOKUP($D384,Cadastro!$C$4:$G$7,5,FALSE())),"")</f>
        <v>0.6</v>
      </c>
      <c r="J384" s="90">
        <f t="shared" si="90"/>
        <v>10.377542168674696</v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16</v>
      </c>
      <c r="H385" s="87">
        <f>IFERROR(IF($G385="","",$G385*$S$392/$G$392/Cadastro!$E$33),"")</f>
        <v>79.066987951807221</v>
      </c>
      <c r="I385" s="89">
        <f>IFERROR(IF($D385="","",VLOOKUP($D385,Cadastro!$C$4:$G$7,5,FALSE())),"")</f>
        <v>0.6</v>
      </c>
      <c r="J385" s="90">
        <f t="shared" si="90"/>
        <v>16.604067469879514</v>
      </c>
      <c r="K385" s="68">
        <f t="shared" si="91"/>
        <v>67.2</v>
      </c>
      <c r="L385" s="69" t="s">
        <v>25</v>
      </c>
      <c r="M385" s="69" t="s">
        <v>154</v>
      </c>
      <c r="N385" s="69" t="s">
        <v>67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343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15</v>
      </c>
      <c r="H386" s="87">
        <f>IFERROR(IF($G386="","",$G386*$S$392/$G$392/Cadastro!$E$33),"")</f>
        <v>74.12530120481928</v>
      </c>
      <c r="I386" s="89">
        <f>IFERROR(IF($D386="","",VLOOKUP($D386,Cadastro!$C$4:$G$7,5,FALSE())),"")</f>
        <v>0.6</v>
      </c>
      <c r="J386" s="90">
        <f t="shared" si="90"/>
        <v>15.566313253012046</v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8</v>
      </c>
      <c r="H387" s="87">
        <f>IFERROR(IF($G387="","",$G387*$S$392/$G$392/Cadastro!$E$33),"")</f>
        <v>39.53349397590361</v>
      </c>
      <c r="I387" s="89">
        <f>IFERROR(IF($D387="","",VLOOKUP($D387,Cadastro!$C$4:$G$7,5,FALSE())),"")</f>
        <v>0.6</v>
      </c>
      <c r="J387" s="90">
        <f t="shared" si="90"/>
        <v>8.3020337349397568</v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17</v>
      </c>
      <c r="H388" s="87">
        <f>IFERROR(IF($G388="","",$G388*$S$392/$G$392/Cadastro!$E$33),"")</f>
        <v>84.008674698795176</v>
      </c>
      <c r="I388" s="89">
        <f>IFERROR(IF($D388="","",VLOOKUP($D388,Cadastro!$C$4:$G$7,5,FALSE())),"")</f>
        <v>0.6</v>
      </c>
      <c r="J388" s="90">
        <f t="shared" si="90"/>
        <v>17.641821686746983</v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15</v>
      </c>
      <c r="H389" s="87">
        <f>IFERROR(IF($G389="","",$G389*$S$392/$G$392/Cadastro!$E$33),"")</f>
        <v>74.12530120481928</v>
      </c>
      <c r="I389" s="89">
        <f>IFERROR(IF($D389="","",VLOOKUP($D389,Cadastro!$C$4:$G$7,5,FALSE())),"")</f>
        <v>0.6</v>
      </c>
      <c r="J389" s="90">
        <f t="shared" si="90"/>
        <v>15.566313253012046</v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11</v>
      </c>
      <c r="H390" s="87">
        <f>IFERROR(IF($G390="","",$G390*$S$392/$G$392/Cadastro!$E$33),"")</f>
        <v>54.358554216867475</v>
      </c>
      <c r="I390" s="89">
        <f>IFERROR(IF($D390="","",VLOOKUP($D390,Cadastro!$C$4:$G$7,5,FALSE())),"")</f>
        <v>0.6</v>
      </c>
      <c r="J390" s="90">
        <f t="shared" si="90"/>
        <v>11.415296385542169</v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15</v>
      </c>
      <c r="H391" s="91">
        <f>IFERROR(IF($G391="","",$G391*$S$392/$G$392/Cadastro!$E$33),"")</f>
        <v>74.12530120481928</v>
      </c>
      <c r="I391" s="92">
        <f>IFERROR(IF($D391="","",VLOOKUP($D391,Cadastro!$C$4:$G$7,5,FALSE())),"")</f>
        <v>0.6</v>
      </c>
      <c r="J391" s="93">
        <f t="shared" si="90"/>
        <v>15.566313253012046</v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69" t="s">
        <v>264</v>
      </c>
      <c r="B392" s="169"/>
      <c r="C392" s="169"/>
      <c r="D392" s="169"/>
      <c r="E392" s="169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162.80881156626504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265</v>
      </c>
      <c r="S392" s="73">
        <v>820320</v>
      </c>
      <c r="T392" s="98">
        <f>IFERROR(J392,"")</f>
        <v>162.80881156626504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20</v>
      </c>
      <c r="H393" s="100">
        <f>IFERROR(IF($G393="","",$G393*$S$405/$G$405/Cadastro!$E$33),"")</f>
        <v>84.649180327868848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17.776327868852455</v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168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22</v>
      </c>
      <c r="H394" s="87">
        <f>IFERROR(IF($G394="","",$G394*$S$405/$G$405/Cadastro!$E$33),"")</f>
        <v>93.114098360655746</v>
      </c>
      <c r="I394" s="89">
        <f>IFERROR(IF($D394="","",VLOOKUP($D394,Cadastro!$C$4:$G$7,5,FALSE())),"")</f>
        <v>0.6</v>
      </c>
      <c r="J394" s="90">
        <f t="shared" si="94"/>
        <v>19.553960655737708</v>
      </c>
      <c r="K394" s="63">
        <f t="shared" si="95"/>
        <v>92.4</v>
      </c>
      <c r="L394" s="60" t="s">
        <v>28</v>
      </c>
      <c r="M394" s="60" t="s">
        <v>171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12</v>
      </c>
      <c r="H395" s="87">
        <f>IFERROR(IF($G395="","",$G395*$S$405/$G$405/Cadastro!$E$33),"")</f>
        <v>50.789508196721314</v>
      </c>
      <c r="I395" s="89">
        <f>IFERROR(IF($D395="","",VLOOKUP($D395,Cadastro!$C$4:$G$7,5,FALSE())),"")</f>
        <v>0.6</v>
      </c>
      <c r="J395" s="90">
        <f t="shared" si="94"/>
        <v>10.665796721311475</v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26</v>
      </c>
      <c r="H396" s="87">
        <f>IFERROR(IF($G396="","",$G396*$S$405/$G$405/Cadastro!$E$33),"")</f>
        <v>110.04393442622951</v>
      </c>
      <c r="I396" s="89">
        <f>IFERROR(IF($D396="","",VLOOKUP($D396,Cadastro!$C$4:$G$7,5,FALSE())),"")</f>
        <v>0.6</v>
      </c>
      <c r="J396" s="90">
        <f t="shared" si="94"/>
        <v>23.109226229508199</v>
      </c>
      <c r="K396" s="63">
        <f t="shared" si="95"/>
        <v>109.2</v>
      </c>
      <c r="L396" s="60" t="s">
        <v>28</v>
      </c>
      <c r="M396" s="60" t="s">
        <v>171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344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17</v>
      </c>
      <c r="H397" s="87">
        <f>IFERROR(IF($G397="","",$G397*$S$405/$G$405/Cadastro!$E$33),"")</f>
        <v>71.95180327868853</v>
      </c>
      <c r="I397" s="89">
        <f>IFERROR(IF($D397="","",VLOOKUP($D397,Cadastro!$C$4:$G$7,5,FALSE())),"")</f>
        <v>0.6</v>
      </c>
      <c r="J397" s="90">
        <f t="shared" si="94"/>
        <v>15.109878688524589</v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71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6</v>
      </c>
      <c r="H398" s="87">
        <f>IFERROR(IF($G398="","",$G398*$S$405/$G$405/Cadastro!$E$33),"")</f>
        <v>25.394754098360657</v>
      </c>
      <c r="I398" s="89">
        <f>IFERROR(IF($D398="","",VLOOKUP($D398,Cadastro!$C$4:$G$7,5,FALSE())),"")</f>
        <v>0.6</v>
      </c>
      <c r="J398" s="90">
        <f t="shared" si="94"/>
        <v>5.3328983606557374</v>
      </c>
      <c r="K398" s="63">
        <f t="shared" si="95"/>
        <v>25.200000000000003</v>
      </c>
      <c r="L398" s="60" t="s">
        <v>29</v>
      </c>
      <c r="M398" s="60" t="s">
        <v>169</v>
      </c>
      <c r="N398" s="60" t="s">
        <v>83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12.697377049180329</v>
      </c>
      <c r="I399" s="89">
        <f>IFERROR(IF($D399="","",VLOOKUP($D399,Cadastro!$C$4:$G$7,5,FALSE())),"")</f>
        <v>0.6</v>
      </c>
      <c r="J399" s="90">
        <f t="shared" si="94"/>
        <v>2.6664491803278687</v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179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24</v>
      </c>
      <c r="H400" s="87">
        <f>IFERROR(IF($G400="","",$G400*$S$405/$G$405/Cadastro!$E$33),"")</f>
        <v>101.57901639344263</v>
      </c>
      <c r="I400" s="89">
        <f>IFERROR(IF($D400="","",VLOOKUP($D400,Cadastro!$C$4:$G$7,5,FALSE())),"")</f>
        <v>0.6</v>
      </c>
      <c r="J400" s="90">
        <f t="shared" si="94"/>
        <v>21.33159344262295</v>
      </c>
      <c r="K400" s="63">
        <f t="shared" si="95"/>
        <v>100.80000000000001</v>
      </c>
      <c r="L400" s="60" t="s">
        <v>29</v>
      </c>
      <c r="M400" s="60" t="s">
        <v>169</v>
      </c>
      <c r="N400" s="60" t="s">
        <v>83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126.97377049180328</v>
      </c>
      <c r="I401" s="89">
        <f>IFERROR(IF($D401="","",VLOOKUP($D401,Cadastro!$C$4:$G$7,5,FALSE())),"")</f>
        <v>0.6</v>
      </c>
      <c r="J401" s="90">
        <f t="shared" si="94"/>
        <v>26.66449180327869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69" t="s">
        <v>267</v>
      </c>
      <c r="B405" s="169"/>
      <c r="C405" s="169"/>
      <c r="D405" s="169"/>
      <c r="E405" s="169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156.22852721311477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265</v>
      </c>
      <c r="S405" s="73">
        <v>774540</v>
      </c>
      <c r="T405" s="98">
        <f>IFERROR(J405,"")</f>
        <v>156.22852721311477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319.03733877937981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268</v>
      </c>
      <c r="S406" s="81">
        <f>IFERROR(S392+S405,"")</f>
        <v>1594860</v>
      </c>
      <c r="T406" s="117">
        <f>IFERROR(J406,"")</f>
        <v>319.03733877937981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69" t="s">
        <v>264</v>
      </c>
      <c r="B419" s="169"/>
      <c r="C419" s="169"/>
      <c r="D419" s="169"/>
      <c r="E419" s="169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265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65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345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168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171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267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265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253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268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9</v>
      </c>
      <c r="H434" s="100">
        <f>IFERROR(IF($G434="","",$G434*$S$446/$G$446/Cadastro!$E$33),"")</f>
        <v>36.081964285714285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7.5772124999999999</v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346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</v>
      </c>
      <c r="H435" s="87">
        <f>IFERROR(IF($G435="","",$G435*$S$446/$G$446/Cadastro!$E$33),"")</f>
        <v>8.0182142857142846</v>
      </c>
      <c r="I435" s="89">
        <f>IFERROR(IF($D435="","",VLOOKUP($D435,Cadastro!$C$4:$G$7,5,FALSE())),"")</f>
        <v>0.6</v>
      </c>
      <c r="J435" s="90">
        <f t="shared" si="106"/>
        <v>1.6838249999999997</v>
      </c>
      <c r="K435" s="63">
        <f t="shared" si="107"/>
        <v>8.4</v>
      </c>
      <c r="L435" s="69" t="s">
        <v>29</v>
      </c>
      <c r="M435" s="69" t="s">
        <v>149</v>
      </c>
      <c r="N435" s="69" t="s">
        <v>83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44.100178571428572</v>
      </c>
      <c r="I436" s="89">
        <f>IFERROR(IF($D436="","",VLOOKUP($D436,Cadastro!$C$4:$G$7,5,FALSE())),"")</f>
        <v>0.6</v>
      </c>
      <c r="J436" s="90">
        <f t="shared" si="106"/>
        <v>9.2610374999999987</v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14</v>
      </c>
      <c r="H437" s="87">
        <f>IFERROR(IF($G437="","",$G437*$S$446/$G$446/Cadastro!$E$33),"")</f>
        <v>56.127499999999998</v>
      </c>
      <c r="I437" s="89">
        <f>IFERROR(IF($D437="","",VLOOKUP($D437,Cadastro!$C$4:$G$7,5,FALSE())),"")</f>
        <v>0.6</v>
      </c>
      <c r="J437" s="90">
        <f t="shared" si="106"/>
        <v>11.786774999999999</v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13</v>
      </c>
      <c r="H438" s="87">
        <f>IFERROR(IF($G438="","",$G438*$S$446/$G$446/Cadastro!$E$33),"")</f>
        <v>52.118392857142858</v>
      </c>
      <c r="I438" s="89">
        <f>IFERROR(IF($D438="","",VLOOKUP($D438,Cadastro!$C$4:$G$7,5,FALSE())),"")</f>
        <v>0.6</v>
      </c>
      <c r="J438" s="90">
        <f t="shared" si="106"/>
        <v>10.944862499999999</v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40.091071428571425</v>
      </c>
      <c r="I439" s="89">
        <f>IFERROR(IF($D439="","",VLOOKUP($D439,Cadastro!$C$4:$G$7,5,FALSE())),"")</f>
        <v>0.6</v>
      </c>
      <c r="J439" s="90">
        <f t="shared" si="106"/>
        <v>8.4191249999999975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123" t="s">
        <v>278</v>
      </c>
      <c r="F440" s="87">
        <f>IFERROR(IF($D440="","",VLOOKUP($D440,Cadastro!$C$4:$E$7,3,FALSE())),"")</f>
        <v>0.35</v>
      </c>
      <c r="G440" s="88">
        <v>9</v>
      </c>
      <c r="H440" s="87">
        <f>IFERROR(IF($G440="","",$G440*$S$446/$G$446/Cadastro!$E$33),"")</f>
        <v>36.081964285714285</v>
      </c>
      <c r="I440" s="89">
        <f>IFERROR(IF($D440="","",VLOOKUP($D440,Cadastro!$C$4:$G$7,5,FALSE())),"")</f>
        <v>0.6</v>
      </c>
      <c r="J440" s="90">
        <f t="shared" si="106"/>
        <v>7.5772124999999999</v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15</v>
      </c>
      <c r="H443" s="87">
        <f>IFERROR(IF($G443="","",$G443*$S$446/$G$446/Cadastro!$E$33),"")</f>
        <v>60.136607142857144</v>
      </c>
      <c r="I443" s="89">
        <f>IFERROR(IF($D443="","",VLOOKUP($D443,Cadastro!$C$4:$G$7,5,FALSE())),"")</f>
        <v>0.6</v>
      </c>
      <c r="J443" s="90">
        <f t="shared" si="106"/>
        <v>12.6286875</v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6</v>
      </c>
      <c r="H444" s="87">
        <f>IFERROR(IF($G444="","",$G444*$S$446/$G$446/Cadastro!$E$33),"")</f>
        <v>24.054642857142859</v>
      </c>
      <c r="I444" s="89">
        <f>IFERROR(IF($D444="","",VLOOKUP($D444,Cadastro!$C$4:$G$7,5,FALSE())),"")</f>
        <v>0.6</v>
      </c>
      <c r="J444" s="90">
        <f t="shared" si="106"/>
        <v>5.051474999999999</v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11</v>
      </c>
      <c r="H445" s="91">
        <f>IFERROR(IF($G445="","",$G445*$S$446/$G$446/Cadastro!$E$33),"")</f>
        <v>44.100178571428572</v>
      </c>
      <c r="I445" s="92">
        <f>IFERROR(IF($D445="","",VLOOKUP($D445,Cadastro!$C$4:$G$7,5,FALSE())),"")</f>
        <v>0.6</v>
      </c>
      <c r="J445" s="93">
        <f t="shared" si="106"/>
        <v>9.2610374999999987</v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69" t="s">
        <v>264</v>
      </c>
      <c r="B446" s="169"/>
      <c r="C446" s="169"/>
      <c r="D446" s="169"/>
      <c r="E446" s="169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91.118987142857137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265</v>
      </c>
      <c r="S446" s="73">
        <v>449020</v>
      </c>
      <c r="T446" s="98">
        <f>IFERROR(J446,"")</f>
        <v>91.118987142857137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8</v>
      </c>
      <c r="H447" s="100">
        <f>IFERROR(IF($G447="","",$G447*$S$459/$G$459/Cadastro!$E$33),"")</f>
        <v>35.177619047619046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7.3872999999999998</v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65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22</v>
      </c>
      <c r="H448" s="87">
        <f>IFERROR(IF($G448="","",$G448*$S$459/$G$459/Cadastro!$E$33),"")</f>
        <v>96.738452380952381</v>
      </c>
      <c r="I448" s="89">
        <f>IFERROR(IF($D448="","",VLOOKUP($D448,Cadastro!$C$4:$G$7,5,FALSE())),"")</f>
        <v>0.6</v>
      </c>
      <c r="J448" s="90">
        <f t="shared" si="110"/>
        <v>20.315074999999997</v>
      </c>
      <c r="K448" s="63">
        <f t="shared" si="111"/>
        <v>92.4</v>
      </c>
      <c r="L448" s="60" t="s">
        <v>29</v>
      </c>
      <c r="M448" s="60" t="s">
        <v>133</v>
      </c>
      <c r="N448" s="60" t="s">
        <v>223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48.369226190476191</v>
      </c>
      <c r="I449" s="89">
        <f>IFERROR(IF($D449="","",VLOOKUP($D449,Cadastro!$C$4:$G$7,5,FALSE())),"")</f>
        <v>0.6</v>
      </c>
      <c r="J449" s="90">
        <f t="shared" si="110"/>
        <v>10.157537499999998</v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263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171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65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347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8</v>
      </c>
      <c r="H453" s="87">
        <f>IFERROR(IF($G453="","",$G453*$S$459/$G$459/Cadastro!$E$33),"")</f>
        <v>35.177619047619046</v>
      </c>
      <c r="I453" s="89">
        <f>IFERROR(IF($D453="","",VLOOKUP($D453,Cadastro!$C$4:$G$7,5,FALSE())),"")</f>
        <v>0.6</v>
      </c>
      <c r="J453" s="90">
        <f t="shared" si="110"/>
        <v>7.3872999999999998</v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348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4</v>
      </c>
      <c r="H454" s="87">
        <f>IFERROR(IF($G454="","",$G454*$S$459/$G$459/Cadastro!$E$33),"")</f>
        <v>17.588809523809523</v>
      </c>
      <c r="I454" s="89">
        <f>IFERROR(IF($D454="","",VLOOKUP($D454,Cadastro!$C$4:$G$7,5,FALSE())),"")</f>
        <v>0.6</v>
      </c>
      <c r="J454" s="90">
        <f t="shared" si="110"/>
        <v>3.6936499999999999</v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24</v>
      </c>
      <c r="H455" s="87">
        <f>IFERROR(IF($G455="","",$G455*$S$459/$G$459/Cadastro!$E$33),"")</f>
        <v>105.53285714285714</v>
      </c>
      <c r="I455" s="89">
        <f>IFERROR(IF($D455="","",VLOOKUP($D455,Cadastro!$C$4:$G$7,5,FALSE())),"")</f>
        <v>0.6</v>
      </c>
      <c r="J455" s="90">
        <f t="shared" si="110"/>
        <v>22.161899999999996</v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23</v>
      </c>
      <c r="H456" s="87">
        <f>IFERROR(IF($G456="","",$G456*$S$459/$G$459/Cadastro!$E$33),"")</f>
        <v>101.13565476190476</v>
      </c>
      <c r="I456" s="89">
        <f>IFERROR(IF($D456="","",VLOOKUP($D456,Cadastro!$C$4:$G$7,5,FALSE())),"")</f>
        <v>0.6</v>
      </c>
      <c r="J456" s="90">
        <f t="shared" si="110"/>
        <v>21.238487499999998</v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20</v>
      </c>
      <c r="H457" s="87">
        <f>IFERROR(IF($G457="","",$G457*$S$459/$G$459/Cadastro!$E$33),"")</f>
        <v>87.944047619047623</v>
      </c>
      <c r="I457" s="89">
        <f>IFERROR(IF($D457="","",VLOOKUP($D457,Cadastro!$C$4:$G$7,5,FALSE())),"")</f>
        <v>0.6</v>
      </c>
      <c r="J457" s="90">
        <f t="shared" si="110"/>
        <v>18.468250000000001</v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10</v>
      </c>
      <c r="H458" s="91">
        <f>IFERROR(IF($G458="","",$G458*$S$459/$G$459/Cadastro!$E$33),"")</f>
        <v>43.972023809523812</v>
      </c>
      <c r="I458" s="92">
        <f>IFERROR(IF($D458="","",VLOOKUP($D458,Cadastro!$C$4:$G$7,5,FALSE())),"")</f>
        <v>0.6</v>
      </c>
      <c r="J458" s="93">
        <f t="shared" si="110"/>
        <v>9.2341250000000006</v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69" t="s">
        <v>267</v>
      </c>
      <c r="B459" s="169"/>
      <c r="C459" s="169"/>
      <c r="D459" s="169"/>
      <c r="E459" s="169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144.10511642857142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265</v>
      </c>
      <c r="S459" s="73">
        <v>738730</v>
      </c>
      <c r="T459" s="98">
        <f>IFERROR(J459,"")</f>
        <v>144.10511642857142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235.22410357142854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268</v>
      </c>
      <c r="S460" s="81">
        <f>IFERROR(S446+S459,"")</f>
        <v>1187750</v>
      </c>
      <c r="T460" s="117">
        <f>IFERROR(J460,"")</f>
        <v>235.22410357142854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349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69" t="s">
        <v>264</v>
      </c>
      <c r="B473" s="169"/>
      <c r="C473" s="169"/>
      <c r="D473" s="169"/>
      <c r="E473" s="169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265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350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137</v>
      </c>
      <c r="N478" s="60" t="s">
        <v>196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351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220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69" t="s">
        <v>267</v>
      </c>
      <c r="B486" s="169"/>
      <c r="C486" s="169"/>
      <c r="D486" s="169"/>
      <c r="E486" s="169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265</v>
      </c>
      <c r="S486" s="73">
        <v>617620</v>
      </c>
      <c r="T486" s="98">
        <f>IFERROR(J486,"")</f>
        <v>88.937280000000001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268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185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328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83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171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83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295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69" t="s">
        <v>264</v>
      </c>
      <c r="B500" s="169"/>
      <c r="C500" s="169"/>
      <c r="D500" s="169"/>
      <c r="E500" s="169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265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171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137</v>
      </c>
      <c r="N502" s="60" t="s">
        <v>123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71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220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6</v>
      </c>
      <c r="H508" s="87">
        <f>IFERROR(IF($G508="","",$G508*$S$513/$G$513/Cadastro!$E$33),"")</f>
        <v>26.301147540983607</v>
      </c>
      <c r="I508" s="89">
        <f>IFERROR(IF($D508="","",VLOOKUP($D508,Cadastro!$C$4:$G$7,5,FALSE())),"")</f>
        <v>0.6</v>
      </c>
      <c r="J508" s="90">
        <f t="shared" si="126"/>
        <v>5.5232409836065566</v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65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87.670491803278694</v>
      </c>
      <c r="I509" s="89">
        <f>IFERROR(IF($D509="","",VLOOKUP($D509,Cadastro!$C$4:$G$7,5,FALSE())),"")</f>
        <v>0.6</v>
      </c>
      <c r="J509" s="90">
        <f t="shared" si="126"/>
        <v>18.410803278688523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11</v>
      </c>
      <c r="H510" s="87">
        <f>IFERROR(IF($G510="","",$G510*$S$513/$G$513/Cadastro!$E$33),"")</f>
        <v>48.218770491803276</v>
      </c>
      <c r="I510" s="89">
        <f>IFERROR(IF($D510="","",VLOOKUP($D510,Cadastro!$C$4:$G$7,5,FALSE())),"")</f>
        <v>0.6</v>
      </c>
      <c r="J510" s="90">
        <f t="shared" si="126"/>
        <v>10.125941803278687</v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14</v>
      </c>
      <c r="H511" s="87">
        <f>IFERROR(IF($G511="","",$G511*$S$513/$G$513/Cadastro!$E$33),"")</f>
        <v>61.36934426229508</v>
      </c>
      <c r="I511" s="89">
        <f>IFERROR(IF($D511="","",VLOOKUP($D511,Cadastro!$C$4:$G$7,5,FALSE())),"")</f>
        <v>0.6</v>
      </c>
      <c r="J511" s="90">
        <f t="shared" si="126"/>
        <v>12.887562295081965</v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267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91.764703770491792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265</v>
      </c>
      <c r="S513" s="73">
        <v>534790</v>
      </c>
      <c r="T513" s="98">
        <f>IFERROR(J513,"")</f>
        <v>91.764703770491792</v>
      </c>
    </row>
    <row r="514" spans="1:20" ht="18" customHeight="1">
      <c r="A514" s="121" t="s">
        <v>253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177.92566377049178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268</v>
      </c>
      <c r="S514" s="81">
        <f>IFERROR(S500+S513,"")</f>
        <v>1133130</v>
      </c>
      <c r="T514" s="117">
        <f>IFERROR(J514,"")</f>
        <v>177.92566377049178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12</v>
      </c>
      <c r="H515" s="100">
        <f>IFERROR(IF($G515="","",$G515*$S$527/$G$527/Cadastro!$E$33),"")</f>
        <v>49.769162011173179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10.451524022346366</v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83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14</v>
      </c>
      <c r="H516" s="87">
        <f>IFERROR(IF($G516="","",$G516*$S$527/$G$527/Cadastro!$E$33),"")</f>
        <v>58.064022346368716</v>
      </c>
      <c r="I516" s="89">
        <f>IFERROR(IF($D516="","",VLOOKUP($D516,Cadastro!$C$4:$G$7,5,FALSE())),"")</f>
        <v>0.6</v>
      </c>
      <c r="J516" s="90">
        <f t="shared" si="130"/>
        <v>12.19344469273743</v>
      </c>
      <c r="K516" s="63">
        <f t="shared" si="131"/>
        <v>58.800000000000004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17</v>
      </c>
      <c r="H517" s="87">
        <f>IFERROR(IF($G517="","",$G517*$S$527/$G$527/Cadastro!$E$33),"")</f>
        <v>70.506312849162015</v>
      </c>
      <c r="I517" s="89">
        <f>IFERROR(IF($D517="","",VLOOKUP($D517,Cadastro!$C$4:$G$7,5,FALSE())),"")</f>
        <v>0.6</v>
      </c>
      <c r="J517" s="90">
        <f t="shared" si="130"/>
        <v>14.806325698324022</v>
      </c>
      <c r="K517" s="68">
        <f t="shared" si="131"/>
        <v>71.400000000000006</v>
      </c>
      <c r="L517" s="69" t="s">
        <v>28</v>
      </c>
      <c r="M517" s="69" t="s">
        <v>171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16</v>
      </c>
      <c r="H518" s="87">
        <f>IFERROR(IF($G518="","",$G518*$S$527/$G$527/Cadastro!$E$33),"")</f>
        <v>66.358882681564239</v>
      </c>
      <c r="I518" s="89">
        <f>IFERROR(IF($D518="","",VLOOKUP($D518,Cadastro!$C$4:$G$7,5,FALSE())),"")</f>
        <v>0.6</v>
      </c>
      <c r="J518" s="90">
        <f t="shared" si="130"/>
        <v>13.935365363128488</v>
      </c>
      <c r="K518" s="63">
        <f t="shared" si="131"/>
        <v>67.2</v>
      </c>
      <c r="L518" s="69" t="s">
        <v>29</v>
      </c>
      <c r="M518" s="60"/>
      <c r="N518" s="60" t="s">
        <v>71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53.916592178770955</v>
      </c>
      <c r="I519" s="89">
        <f>IFERROR(IF($D519="","",VLOOKUP($D519,Cadastro!$C$4:$G$7,5,FALSE())),"")</f>
        <v>0.6</v>
      </c>
      <c r="J519" s="90">
        <f t="shared" si="130"/>
        <v>11.322484357541899</v>
      </c>
      <c r="K519" s="68">
        <f t="shared" si="131"/>
        <v>54.6</v>
      </c>
      <c r="L519" s="69" t="s">
        <v>29</v>
      </c>
      <c r="M519" s="69"/>
      <c r="N519" s="69" t="s">
        <v>83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15</v>
      </c>
      <c r="H520" s="87">
        <f>IFERROR(IF($G520="","",$G520*$S$527/$G$527/Cadastro!$E$33),"")</f>
        <v>62.211452513966485</v>
      </c>
      <c r="I520" s="89">
        <f>IFERROR(IF($D520="","",VLOOKUP($D520,Cadastro!$C$4:$G$7,5,FALSE())),"")</f>
        <v>0.6</v>
      </c>
      <c r="J520" s="90">
        <f t="shared" si="130"/>
        <v>13.064405027932962</v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21</v>
      </c>
      <c r="H521" s="87">
        <f>IFERROR(IF($G521="","",$G521*$S$527/$G$527/Cadastro!$E$33),"")</f>
        <v>87.096033519553075</v>
      </c>
      <c r="I521" s="89">
        <f>IFERROR(IF($D521="","",VLOOKUP($D521,Cadastro!$C$4:$G$7,5,FALSE())),"")</f>
        <v>0.6</v>
      </c>
      <c r="J521" s="90">
        <f t="shared" si="130"/>
        <v>18.290167039106144</v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17</v>
      </c>
      <c r="H522" s="87">
        <f>IFERROR(IF($G522="","",$G522*$S$527/$G$527/Cadastro!$E$33),"")</f>
        <v>70.506312849162015</v>
      </c>
      <c r="I522" s="89">
        <f>IFERROR(IF($D522="","",VLOOKUP($D522,Cadastro!$C$4:$G$7,5,FALSE())),"")</f>
        <v>0.6</v>
      </c>
      <c r="J522" s="90">
        <f t="shared" si="130"/>
        <v>14.806325698324022</v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8</v>
      </c>
      <c r="H523" s="87">
        <f>IFERROR(IF($G523="","",$G523*$S$527/$G$527/Cadastro!$E$33),"")</f>
        <v>33.17944134078212</v>
      </c>
      <c r="I523" s="89">
        <f>IFERROR(IF($D523="","",VLOOKUP($D523,Cadastro!$C$4:$G$7,5,FALSE())),"")</f>
        <v>0.6</v>
      </c>
      <c r="J523" s="90">
        <f t="shared" si="130"/>
        <v>6.9676826815642441</v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20</v>
      </c>
      <c r="H524" s="87">
        <f>IFERROR(IF($G524="","",$G524*$S$527/$G$527/Cadastro!$E$33),"")</f>
        <v>82.948603351955299</v>
      </c>
      <c r="I524" s="89">
        <f>IFERROR(IF($D524="","",VLOOKUP($D524,Cadastro!$C$4:$G$7,5,FALSE())),"")</f>
        <v>0.6</v>
      </c>
      <c r="J524" s="90">
        <f t="shared" si="130"/>
        <v>17.419206703910611</v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13</v>
      </c>
      <c r="H525" s="87">
        <f>IFERROR(IF($G525="","",$G525*$S$527/$G$527/Cadastro!$E$33),"")</f>
        <v>53.916592178770955</v>
      </c>
      <c r="I525" s="89">
        <f>IFERROR(IF($D525="","",VLOOKUP($D525,Cadastro!$C$4:$G$7,5,FALSE())),"")</f>
        <v>0.6</v>
      </c>
      <c r="J525" s="90">
        <f t="shared" si="130"/>
        <v>11.322484357541899</v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13</v>
      </c>
      <c r="H526" s="91">
        <f>IFERROR(IF($G526="","",$G526*$S$527/$G$527/Cadastro!$E$33),"")</f>
        <v>53.916592178770955</v>
      </c>
      <c r="I526" s="92">
        <f>IFERROR(IF($D526="","",VLOOKUP($D526,Cadastro!$C$4:$G$7,5,FALSE())),"")</f>
        <v>0.6</v>
      </c>
      <c r="J526" s="93">
        <f t="shared" si="130"/>
        <v>11.322484357541899</v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69" t="s">
        <v>264</v>
      </c>
      <c r="B527" s="169"/>
      <c r="C527" s="169"/>
      <c r="D527" s="169"/>
      <c r="E527" s="169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155.90189999999996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265</v>
      </c>
      <c r="S527" s="73">
        <v>742390</v>
      </c>
      <c r="T527" s="98">
        <f>IFERROR(J527,"")</f>
        <v>155.90189999999996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7</v>
      </c>
      <c r="H528" s="100">
        <f>IFERROR(IF($G528="","",$G528*$S$540/$G$540/Cadastro!$E$33),"")</f>
        <v>33.701204819277109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7.0772530120481925</v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171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169</v>
      </c>
      <c r="N529" s="69" t="s">
        <v>83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141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352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353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0</v>
      </c>
      <c r="H536" s="87">
        <f>IFERROR(IF($G536="","",$G536*$S$540/$G$540/Cadastro!$E$33),"")</f>
        <v>0</v>
      </c>
      <c r="I536" s="89">
        <f>IFERROR(IF($D536="","",VLOOKUP($D536,Cadastro!$C$4:$G$7,5,FALSE())),"")</f>
        <v>0.6</v>
      </c>
      <c r="J536" s="90">
        <f t="shared" si="134"/>
        <v>0</v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10</v>
      </c>
      <c r="H537" s="87">
        <f>IFERROR(IF($G537="","",$G537*$S$540/$G$540/Cadastro!$E$33),"")</f>
        <v>48.144578313253014</v>
      </c>
      <c r="I537" s="89">
        <f>IFERROR(IF($D537="","",VLOOKUP($D537,Cadastro!$C$4:$G$7,5,FALSE())),"")</f>
        <v>0.6</v>
      </c>
      <c r="J537" s="90">
        <f t="shared" si="134"/>
        <v>10.110361445783132</v>
      </c>
      <c r="K537" s="68">
        <f t="shared" si="135"/>
        <v>42</v>
      </c>
      <c r="L537" s="69" t="s">
        <v>29</v>
      </c>
      <c r="M537" s="69" t="s">
        <v>40</v>
      </c>
      <c r="N537" s="69" t="s">
        <v>71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4"/>
        <v>0</v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5</v>
      </c>
      <c r="H539" s="91">
        <f>IFERROR(IF($G539="","",$G539*$S$540/$G$540/Cadastro!$E$33),"")</f>
        <v>24.072289156626507</v>
      </c>
      <c r="I539" s="92">
        <f>IFERROR(IF($D539="","",VLOOKUP($D539,Cadastro!$C$4:$G$7,5,FALSE())),"")</f>
        <v>0.6</v>
      </c>
      <c r="J539" s="93">
        <f t="shared" si="134"/>
        <v>5.0551807228915662</v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69" t="s">
        <v>267</v>
      </c>
      <c r="B540" s="169"/>
      <c r="C540" s="169"/>
      <c r="D540" s="169"/>
      <c r="E540" s="169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64.532992771084338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265</v>
      </c>
      <c r="S540" s="73">
        <v>399600</v>
      </c>
      <c r="T540" s="98">
        <f>IFERROR(J540,"")</f>
        <v>64.532992771084338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220.43489277108429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268</v>
      </c>
      <c r="S541" s="81">
        <f>IFERROR(S527+S540,"")</f>
        <v>1141990</v>
      </c>
      <c r="T541" s="117">
        <f>IFERROR(J541,"")</f>
        <v>220.43489277108429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178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69" t="s">
        <v>264</v>
      </c>
      <c r="B554" s="169"/>
      <c r="C554" s="169"/>
      <c r="D554" s="169"/>
      <c r="E554" s="169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265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354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278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69" t="s">
        <v>267</v>
      </c>
      <c r="B567" s="169"/>
      <c r="C567" s="169"/>
      <c r="D567" s="169"/>
      <c r="E567" s="169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265</v>
      </c>
      <c r="S567" s="73">
        <v>0</v>
      </c>
      <c r="T567" s="98">
        <f>IFERROR(J567,"")</f>
        <v>0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268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0</v>
      </c>
      <c r="H569" s="100">
        <f>IFERROR(IF($G569="","",$G569*$S$581/$G$581/Cadastro!$E$33),"")</f>
        <v>0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0</v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72</v>
      </c>
      <c r="N569" s="69" t="s">
        <v>121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0</v>
      </c>
      <c r="H570" s="87">
        <f>IFERROR(IF($G570="","",$G570*$S$581/$G$581/Cadastro!$E$33),"")</f>
        <v>0</v>
      </c>
      <c r="I570" s="89">
        <f>IFERROR(IF($D570="","",VLOOKUP($D570,Cadastro!$C$4:$G$7,5,FALSE())),"")</f>
        <v>0.6</v>
      </c>
      <c r="J570" s="90">
        <f t="shared" si="146"/>
        <v>0</v>
      </c>
      <c r="K570" s="68">
        <f t="shared" si="147"/>
        <v>0</v>
      </c>
      <c r="L570" s="69" t="s">
        <v>29</v>
      </c>
      <c r="M570" s="60" t="s">
        <v>133</v>
      </c>
      <c r="N570" s="60" t="s">
        <v>123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0</v>
      </c>
      <c r="H571" s="87">
        <f>IFERROR(IF($G571="","",$G571*$S$581/$G$581/Cadastro!$E$33),"")</f>
        <v>0</v>
      </c>
      <c r="I571" s="89">
        <f>IFERROR(IF($D571="","",VLOOKUP($D571,Cadastro!$C$4:$G$7,5,FALSE())),"")</f>
        <v>0.6</v>
      </c>
      <c r="J571" s="90">
        <f t="shared" si="146"/>
        <v>0</v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0</v>
      </c>
      <c r="H572" s="87">
        <f>IFERROR(IF($G572="","",$G572*$S$581/$G$581/Cadastro!$E$33),"")</f>
        <v>0</v>
      </c>
      <c r="I572" s="89">
        <f>IFERROR(IF($D572="","",VLOOKUP($D572,Cadastro!$C$4:$G$7,5,FALSE())),"")</f>
        <v>0.6</v>
      </c>
      <c r="J572" s="90">
        <f t="shared" si="146"/>
        <v>0</v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278</v>
      </c>
      <c r="F573" s="87">
        <f>IFERROR(IF($D573="","",VLOOKUP($D573,Cadastro!$C$4:$E$7,3,FALSE())),"")</f>
        <v>0.35</v>
      </c>
      <c r="G573" s="88">
        <v>0</v>
      </c>
      <c r="H573" s="87">
        <f>IFERROR(IF($G573="","",$G573*$S$581/$G$581/Cadastro!$E$33),"")</f>
        <v>0</v>
      </c>
      <c r="I573" s="89">
        <f>IFERROR(IF($D573="","",VLOOKUP($D573,Cadastro!$C$4:$G$7,5,FALSE())),"")</f>
        <v>0.6</v>
      </c>
      <c r="J573" s="90">
        <f t="shared" si="146"/>
        <v>0</v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0</v>
      </c>
      <c r="H574" s="87">
        <f>IFERROR(IF($G574="","",$G574*$S$581/$G$581/Cadastro!$E$33),"")</f>
        <v>0</v>
      </c>
      <c r="I574" s="89">
        <f>IFERROR(IF($D574="","",VLOOKUP($D574,Cadastro!$C$4:$G$7,5,FALSE())),"")</f>
        <v>0.6</v>
      </c>
      <c r="J574" s="90">
        <f t="shared" si="146"/>
        <v>0</v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0</v>
      </c>
      <c r="H575" s="87">
        <f>IFERROR(IF($G575="","",$G575*$S$581/$G$581/Cadastro!$E$33),"")</f>
        <v>0</v>
      </c>
      <c r="I575" s="89">
        <f>IFERROR(IF($D575="","",VLOOKUP($D575,Cadastro!$C$4:$G$7,5,FALSE())),"")</f>
        <v>0.6</v>
      </c>
      <c r="J575" s="90">
        <f t="shared" si="146"/>
        <v>0</v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0</v>
      </c>
      <c r="H576" s="87">
        <f>IFERROR(IF($G576="","",$G576*$S$581/$G$581/Cadastro!$E$33),"")</f>
        <v>0</v>
      </c>
      <c r="I576" s="89">
        <f>IFERROR(IF($D576="","",VLOOKUP($D576,Cadastro!$C$4:$G$7,5,FALSE())),"")</f>
        <v>0.6</v>
      </c>
      <c r="J576" s="90">
        <f t="shared" si="146"/>
        <v>0</v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9</v>
      </c>
      <c r="H577" s="87">
        <f>IFERROR(IF($G577="","",$G577*$S$581/$G$581/Cadastro!$E$33),"")</f>
        <v>32.242040816326529</v>
      </c>
      <c r="I577" s="89">
        <f>IFERROR(IF($D577="","",VLOOKUP($D577,Cadastro!$C$4:$G$7,5,FALSE())),"")</f>
        <v>0.6</v>
      </c>
      <c r="J577" s="90">
        <f t="shared" si="146"/>
        <v>6.770828571428571</v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19</v>
      </c>
      <c r="H578" s="87">
        <f>IFERROR(IF($G578="","",$G578*$S$581/$G$581/Cadastro!$E$33),"")</f>
        <v>68.06653061224489</v>
      </c>
      <c r="I578" s="89">
        <f>IFERROR(IF($D578="","",VLOOKUP($D578,Cadastro!$C$4:$G$7,5,FALSE())),"")</f>
        <v>0.6</v>
      </c>
      <c r="J578" s="90">
        <f t="shared" si="146"/>
        <v>14.293971428571426</v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21</v>
      </c>
      <c r="H579" s="87">
        <f>IFERROR(IF($G579="","",$G579*$S$581/$G$581/Cadastro!$E$33),"")</f>
        <v>75.231428571428566</v>
      </c>
      <c r="I579" s="89">
        <f>IFERROR(IF($D579="","",VLOOKUP($D579,Cadastro!$C$4:$G$7,5,FALSE())),"")</f>
        <v>0.6</v>
      </c>
      <c r="J579" s="90">
        <f t="shared" si="146"/>
        <v>15.798599999999997</v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6"/>
        <v>0</v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69" t="s">
        <v>264</v>
      </c>
      <c r="B581" s="169"/>
      <c r="C581" s="169"/>
      <c r="D581" s="169"/>
      <c r="E581" s="169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36.863399999999999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265</v>
      </c>
      <c r="S581" s="73">
        <v>175540</v>
      </c>
      <c r="T581" s="98">
        <f>IFERROR(J581,"")</f>
        <v>36.863399999999999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24.771235955056181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5.2019595505617975</v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4</v>
      </c>
      <c r="H583" s="87">
        <f>IFERROR(IF($G583="","",$G583*$S$594/$G$594/Cadastro!$E$33),"")</f>
        <v>24.771235955056181</v>
      </c>
      <c r="I583" s="89">
        <f>IFERROR(IF($D583="","",VLOOKUP($D583,Cadastro!$C$4:$G$7,5,FALSE())),"")</f>
        <v>0.6</v>
      </c>
      <c r="J583" s="90">
        <f t="shared" si="150"/>
        <v>5.2019595505617975</v>
      </c>
      <c r="K583" s="68">
        <f t="shared" si="151"/>
        <v>16.8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23</v>
      </c>
      <c r="H584" s="87">
        <f>IFERROR(IF($G584="","",$G584*$S$594/$G$594/Cadastro!$E$33),"")</f>
        <v>142.43460674157302</v>
      </c>
      <c r="I584" s="89">
        <f>IFERROR(IF($D584="","",VLOOKUP($D584,Cadastro!$C$4:$G$7,5,FALSE())),"")</f>
        <v>0.6</v>
      </c>
      <c r="J584" s="90">
        <f t="shared" si="150"/>
        <v>29.911267415730329</v>
      </c>
      <c r="K584" s="63">
        <f t="shared" si="151"/>
        <v>96.600000000000009</v>
      </c>
      <c r="L584" s="60" t="s">
        <v>28</v>
      </c>
      <c r="M584" s="60" t="s">
        <v>171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9</v>
      </c>
      <c r="H585" s="87">
        <f>IFERROR(IF($G585="","",$G585*$S$594/$G$594/Cadastro!$E$33),"")</f>
        <v>55.735280898876404</v>
      </c>
      <c r="I585" s="89">
        <f>IFERROR(IF($D585="","",VLOOKUP($D585,Cadastro!$C$4:$G$7,5,FALSE())),"")</f>
        <v>0.6</v>
      </c>
      <c r="J585" s="90">
        <f t="shared" si="150"/>
        <v>11.704408988764044</v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65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355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4</v>
      </c>
      <c r="H586" s="87">
        <f>IFERROR(IF($G586="","",$G586*$S$594/$G$594/Cadastro!$E$33),"")</f>
        <v>24.771235955056181</v>
      </c>
      <c r="I586" s="89">
        <f>IFERROR(IF($D586="","",VLOOKUP($D586,Cadastro!$C$4:$G$7,5,FALSE())),"")</f>
        <v>0.6</v>
      </c>
      <c r="J586" s="90">
        <f t="shared" si="150"/>
        <v>5.2019595505617975</v>
      </c>
      <c r="K586" s="63">
        <f t="shared" si="151"/>
        <v>16.8</v>
      </c>
      <c r="L586" s="60" t="s">
        <v>29</v>
      </c>
      <c r="M586" s="60" t="s">
        <v>137</v>
      </c>
      <c r="N586" s="60" t="s">
        <v>123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/>
      <c r="H587" s="87" t="str">
        <f>IFERROR(IF($G587="","",$G587*$S$594/$G$594/Cadastro!$E$33),"")</f>
        <v/>
      </c>
      <c r="I587" s="89">
        <f>IFERROR(IF($D587="","",VLOOKUP($D587,Cadastro!$C$4:$G$7,5,FALSE())),"")</f>
        <v>0.6</v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171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6</v>
      </c>
      <c r="H588" s="87">
        <f>IFERROR(IF($G588="","",$G588*$S$594/$G$594/Cadastro!$E$33),"")</f>
        <v>37.156853932584269</v>
      </c>
      <c r="I588" s="89">
        <f>IFERROR(IF($D588="","",VLOOKUP($D588,Cadastro!$C$4:$G$7,5,FALSE())),"")</f>
        <v>0.6</v>
      </c>
      <c r="J588" s="90">
        <f t="shared" si="150"/>
        <v>7.8029393258426953</v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20</v>
      </c>
      <c r="H589" s="87">
        <f>IFERROR(IF($G589="","",$G589*$S$594/$G$594/Cadastro!$E$33),"")</f>
        <v>123.85617977528089</v>
      </c>
      <c r="I589" s="89">
        <f>IFERROR(IF($D589="","",VLOOKUP($D589,Cadastro!$C$4:$G$7,5,FALSE())),"")</f>
        <v>0.6</v>
      </c>
      <c r="J589" s="90">
        <f t="shared" si="150"/>
        <v>26.009797752808986</v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263</v>
      </c>
      <c r="F590" s="87">
        <f>IFERROR(IF($D590="","",VLOOKUP($D590,Cadastro!$C$4:$E$7,3,FALSE())),"")</f>
        <v>0.35</v>
      </c>
      <c r="G590" s="88">
        <v>10</v>
      </c>
      <c r="H590" s="87">
        <f>IFERROR(IF($G590="","",$G590*$S$594/$G$594/Cadastro!$E$33),"")</f>
        <v>61.928089887640446</v>
      </c>
      <c r="I590" s="89">
        <f>IFERROR(IF($D590="","",VLOOKUP($D590,Cadastro!$C$4:$G$7,5,FALSE())),"")</f>
        <v>0.6</v>
      </c>
      <c r="J590" s="90">
        <f t="shared" si="150"/>
        <v>13.004898876404493</v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6</v>
      </c>
      <c r="H591" s="87">
        <f>IFERROR(IF($G591="","",$G591*$S$594/$G$594/Cadastro!$E$33),"")</f>
        <v>37.156853932584269</v>
      </c>
      <c r="I591" s="89">
        <f>IFERROR(IF($D591="","",VLOOKUP($D591,Cadastro!$C$4:$G$7,5,FALSE())),"")</f>
        <v>0.6</v>
      </c>
      <c r="J591" s="90">
        <f t="shared" si="150"/>
        <v>7.8029393258426953</v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3</v>
      </c>
      <c r="H592" s="87">
        <f>IFERROR(IF($G592="","",$G592*$S$594/$G$594/Cadastro!$E$33),"")</f>
        <v>18.578426966292135</v>
      </c>
      <c r="I592" s="89">
        <f>IFERROR(IF($D592="","",VLOOKUP($D592,Cadastro!$C$4:$G$7,5,FALSE())),"")</f>
        <v>0.6</v>
      </c>
      <c r="J592" s="90">
        <f t="shared" si="150"/>
        <v>3.9014696629213477</v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69" t="s">
        <v>267</v>
      </c>
      <c r="B594" s="169"/>
      <c r="C594" s="169"/>
      <c r="D594" s="169"/>
      <c r="E594" s="169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115.74359999999999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265</v>
      </c>
      <c r="S594" s="73">
        <v>551160</v>
      </c>
      <c r="T594" s="98">
        <f>IFERROR(J594,"")</f>
        <v>115.74359999999999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152.60699999999997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268</v>
      </c>
      <c r="S595" s="81">
        <f>IFERROR(S581+S594,"")</f>
        <v>726700</v>
      </c>
      <c r="T595" s="117">
        <f>IFERROR(J595,"")</f>
        <v>152.60699999999997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26</v>
      </c>
      <c r="H596" s="100">
        <f>IFERROR(IF($G596="","",$G596*$S$608/$G$608/Cadastro!$E$33),"")</f>
        <v>327.69285714285718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68.8155</v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133</v>
      </c>
      <c r="N596" s="60" t="s">
        <v>123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15</v>
      </c>
      <c r="H597" s="87">
        <f>IFERROR(IF($G597="","",$G597*$S$608/$G$608/Cadastro!$E$33),"")</f>
        <v>189.05357142857142</v>
      </c>
      <c r="I597" s="89">
        <f>IFERROR(IF($D597="","",VLOOKUP($D597,Cadastro!$C$4:$G$7,5,FALSE())),"")</f>
        <v>0.6</v>
      </c>
      <c r="J597" s="90">
        <f t="shared" si="154"/>
        <v>39.701249999999995</v>
      </c>
      <c r="K597" s="68">
        <f t="shared" si="155"/>
        <v>63</v>
      </c>
      <c r="L597" s="69" t="s">
        <v>29</v>
      </c>
      <c r="M597" s="69" t="s">
        <v>48</v>
      </c>
      <c r="N597" s="69" t="s">
        <v>210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5</v>
      </c>
      <c r="H598" s="87">
        <f>IFERROR(IF($G598="","",$G598*$S$608/$G$608/Cadastro!$E$33),"")</f>
        <v>63.017857142857146</v>
      </c>
      <c r="I598" s="89">
        <f>IFERROR(IF($D598="","",VLOOKUP($D598,Cadastro!$C$4:$G$7,5,FALSE())),"")</f>
        <v>0.6</v>
      </c>
      <c r="J598" s="90">
        <f t="shared" si="154"/>
        <v>13.233749999999999</v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88.224999999999994</v>
      </c>
      <c r="I599" s="89">
        <f>IFERROR(IF($D599="","",VLOOKUP($D599,Cadastro!$C$4:$G$7,5,FALSE())),"")</f>
        <v>0.6</v>
      </c>
      <c r="J599" s="90">
        <f t="shared" si="154"/>
        <v>18.527249999999999</v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3</v>
      </c>
      <c r="H600" s="87">
        <f>IFERROR(IF($G600="","",$G600*$S$608/$G$608/Cadastro!$E$33),"")</f>
        <v>37.810714285714283</v>
      </c>
      <c r="I600" s="89">
        <f>IFERROR(IF($D600="","",VLOOKUP($D600,Cadastro!$C$4:$G$7,5,FALSE())),"")</f>
        <v>0.6</v>
      </c>
      <c r="J600" s="90">
        <f t="shared" si="154"/>
        <v>7.9402499999999989</v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69" t="s">
        <v>264</v>
      </c>
      <c r="B608" s="169"/>
      <c r="C608" s="169"/>
      <c r="D608" s="169"/>
      <c r="E608" s="169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148.21799999999999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265</v>
      </c>
      <c r="S608" s="73">
        <f>981900-413630+137530</f>
        <v>705800</v>
      </c>
      <c r="T608" s="98">
        <f>IFERROR(J608,"")</f>
        <v>148.21799999999999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14</v>
      </c>
      <c r="H609" s="100">
        <f>IFERROR(IF($G609="","",$G609*$S$621/$G$621/Cadastro!$E$33),"")</f>
        <v>65.916666666666671</v>
      </c>
      <c r="I609" s="101">
        <f>IFERROR(IF($D609="","",VLOOKUP($D609,Cadastro!$C$4:$G$7,5,FALSE())),"")</f>
        <v>0.6</v>
      </c>
      <c r="J609" s="102">
        <f t="shared" ref="J609:J620" si="158">IFERROR(IF($H609="","",$H609*$F609*$I609),"")</f>
        <v>13.842499999999999</v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65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356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12</v>
      </c>
      <c r="H610" s="87">
        <f>IFERROR(IF($G610="","",$G610*$S$621/$G$621/Cadastro!$E$33),"")</f>
        <v>56.5</v>
      </c>
      <c r="I610" s="89">
        <f>IFERROR(IF($D610="","",VLOOKUP($D610,Cadastro!$C$4:$G$7,5,FALSE())),"")</f>
        <v>0.6</v>
      </c>
      <c r="J610" s="90">
        <f t="shared" si="158"/>
        <v>11.864999999999998</v>
      </c>
      <c r="K610" s="63">
        <f t="shared" si="159"/>
        <v>50.400000000000006</v>
      </c>
      <c r="L610" s="60" t="s">
        <v>29</v>
      </c>
      <c r="M610" s="60" t="s">
        <v>169</v>
      </c>
      <c r="N610" s="60" t="s">
        <v>83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11</v>
      </c>
      <c r="H611" s="87">
        <f>IFERROR(IF($G611="","",$G611*$S$621/$G$621/Cadastro!$E$33),"")</f>
        <v>51.791666666666664</v>
      </c>
      <c r="I611" s="89">
        <f>IFERROR(IF($D611="","",VLOOKUP($D611,Cadastro!$C$4:$G$7,5,FALSE())),"")</f>
        <v>0.6</v>
      </c>
      <c r="J611" s="90">
        <f t="shared" si="158"/>
        <v>10.876249999999999</v>
      </c>
      <c r="K611" s="68">
        <f t="shared" si="159"/>
        <v>46.2</v>
      </c>
      <c r="L611" s="69" t="s">
        <v>28</v>
      </c>
      <c r="M611" s="69" t="s">
        <v>171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14</v>
      </c>
      <c r="H612" s="87">
        <f>IFERROR(IF($G612="","",$G612*$S$621/$G$621/Cadastro!$E$33),"")</f>
        <v>65.916666666666671</v>
      </c>
      <c r="I612" s="89">
        <f>IFERROR(IF($D612="","",VLOOKUP($D612,Cadastro!$C$4:$G$7,5,FALSE())),"")</f>
        <v>0.6</v>
      </c>
      <c r="J612" s="90">
        <f t="shared" si="158"/>
        <v>13.842499999999999</v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168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10</v>
      </c>
      <c r="H613" s="87">
        <f>IFERROR(IF($G613="","",$G613*$S$621/$G$621/Cadastro!$E$33),"")</f>
        <v>47.083333333333336</v>
      </c>
      <c r="I613" s="89">
        <f>IFERROR(IF($D613="","",VLOOKUP($D613,Cadastro!$C$4:$G$7,5,FALSE())),"")</f>
        <v>0.6</v>
      </c>
      <c r="J613" s="90">
        <f t="shared" si="158"/>
        <v>9.8875000000000011</v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4</v>
      </c>
      <c r="H614" s="87">
        <f>IFERROR(IF($G614="","",$G614*$S$621/$G$621/Cadastro!$E$33),"")</f>
        <v>18.833333333333332</v>
      </c>
      <c r="I614" s="89">
        <f>IFERROR(IF($D614="","",VLOOKUP($D614,Cadastro!$C$4:$G$7,5,FALSE())),"")</f>
        <v>0.6</v>
      </c>
      <c r="J614" s="90">
        <f t="shared" si="158"/>
        <v>3.9549999999999992</v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6</v>
      </c>
      <c r="H615" s="87">
        <f>IFERROR(IF($G615="","",$G615*$S$621/$G$621/Cadastro!$E$33),"")</f>
        <v>28.25</v>
      </c>
      <c r="I615" s="89">
        <f>IFERROR(IF($D615="","",VLOOKUP($D615,Cadastro!$C$4:$G$7,5,FALSE())),"")</f>
        <v>0.6</v>
      </c>
      <c r="J615" s="90">
        <f t="shared" si="158"/>
        <v>5.9324999999999992</v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6</v>
      </c>
      <c r="H616" s="87">
        <f>IFERROR(IF($G616="","",$G616*$S$621/$G$621/Cadastro!$E$33),"")</f>
        <v>28.25</v>
      </c>
      <c r="I616" s="89">
        <f>IFERROR(IF($D616="","",VLOOKUP($D616,Cadastro!$C$4:$G$7,5,FALSE())),"")</f>
        <v>0.6</v>
      </c>
      <c r="J616" s="90">
        <f t="shared" si="158"/>
        <v>5.9324999999999992</v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12</v>
      </c>
      <c r="H617" s="87">
        <f>IFERROR(IF($G617="","",$G617*$S$621/$G$621/Cadastro!$E$33),"")</f>
        <v>56.5</v>
      </c>
      <c r="I617" s="89">
        <f>IFERROR(IF($D617="","",VLOOKUP($D617,Cadastro!$C$4:$G$7,5,FALSE())),"")</f>
        <v>0.6</v>
      </c>
      <c r="J617" s="90">
        <f t="shared" si="158"/>
        <v>11.864999999999998</v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3</v>
      </c>
      <c r="H618" s="87">
        <f>IFERROR(IF($G618="","",$G618*$S$621/$G$621/Cadastro!$E$33),"")</f>
        <v>14.125</v>
      </c>
      <c r="I618" s="89">
        <f>IFERROR(IF($D618="","",VLOOKUP($D618,Cadastro!$C$4:$G$7,5,FALSE())),"")</f>
        <v>0.6</v>
      </c>
      <c r="J618" s="90">
        <f t="shared" si="158"/>
        <v>2.9662499999999996</v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16</v>
      </c>
      <c r="H619" s="87">
        <f>IFERROR(IF($G619="","",$G619*$S$621/$G$621/Cadastro!$E$33),"")</f>
        <v>75.333333333333329</v>
      </c>
      <c r="I619" s="89">
        <f>IFERROR(IF($D619="","",VLOOKUP($D619,Cadastro!$C$4:$G$7,5,FALSE())),"")</f>
        <v>0.6</v>
      </c>
      <c r="J619" s="90">
        <f t="shared" si="158"/>
        <v>15.819999999999997</v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31</v>
      </c>
      <c r="E620" s="99" t="s">
        <v>278</v>
      </c>
      <c r="F620" s="91">
        <f>IFERROR(IF($D620="","",VLOOKUP($D620,Cadastro!$C$4:$E$7,3,FALSE())),"")</f>
        <v>0.35</v>
      </c>
      <c r="G620" s="88"/>
      <c r="H620" s="91" t="str">
        <f>IFERROR(IF($G620="","",$G620*$S$621/$G$621/Cadastro!$E$33),"")</f>
        <v/>
      </c>
      <c r="I620" s="92">
        <f>IFERROR(IF($D620="","",VLOOKUP($D620,Cadastro!$C$4:$G$7,5,FALSE())),"")</f>
        <v>0.6</v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69" t="s">
        <v>267</v>
      </c>
      <c r="B621" s="169"/>
      <c r="C621" s="169"/>
      <c r="D621" s="169"/>
      <c r="E621" s="169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106.785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265</v>
      </c>
      <c r="S621" s="73">
        <v>508500</v>
      </c>
      <c r="T621" s="98">
        <f>IFERROR(J621,"")</f>
        <v>106.785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255.00299999999999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268</v>
      </c>
      <c r="S622" s="81">
        <f>S608+S621</f>
        <v>1214300</v>
      </c>
      <c r="T622" s="117">
        <f>IFERROR(J622,"")</f>
        <v>255.00299999999999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12</v>
      </c>
      <c r="H623" s="100">
        <f>IFERROR(IF($G623="","",$G623*$S$635/$G$635/Cadastro!$E$33),"")</f>
        <v>46.79851851851852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9.827688888888888</v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328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11</v>
      </c>
      <c r="H624" s="87">
        <f>IFERROR(IF($G624="","",$G624*$S$635/$G$635/Cadastro!$E$33),"")</f>
        <v>42.898641975308642</v>
      </c>
      <c r="I624" s="89">
        <f>IFERROR(IF($D624="","",VLOOKUP($D624,Cadastro!$C$4:$G$7,5,FALSE())),"")</f>
        <v>0.6</v>
      </c>
      <c r="J624" s="90">
        <f t="shared" si="162"/>
        <v>9.0087148148148142</v>
      </c>
      <c r="K624" s="63">
        <f t="shared" si="163"/>
        <v>46.2</v>
      </c>
      <c r="L624" s="60" t="s">
        <v>28</v>
      </c>
      <c r="M624" s="60" t="s">
        <v>171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15</v>
      </c>
      <c r="H625" s="87">
        <f>IFERROR(IF($G625="","",$G625*$S$635/$G$635/Cadastro!$E$33),"")</f>
        <v>58.498148148148147</v>
      </c>
      <c r="I625" s="89">
        <f>IFERROR(IF($D625="","",VLOOKUP($D625,Cadastro!$C$4:$G$7,5,FALSE())),"")</f>
        <v>0.6</v>
      </c>
      <c r="J625" s="90">
        <f t="shared" si="162"/>
        <v>12.28461111111111</v>
      </c>
      <c r="K625" s="68">
        <f t="shared" si="163"/>
        <v>63</v>
      </c>
      <c r="L625" s="69" t="s">
        <v>29</v>
      </c>
      <c r="M625" s="69" t="s">
        <v>169</v>
      </c>
      <c r="N625" s="69" t="s">
        <v>83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15</v>
      </c>
      <c r="H626" s="87">
        <f>IFERROR(IF($G626="","",$G626*$S$635/$G$635/Cadastro!$E$33),"")</f>
        <v>58.498148148148147</v>
      </c>
      <c r="I626" s="89">
        <f>IFERROR(IF($D626="","",VLOOKUP($D626,Cadastro!$C$4:$G$7,5,FALSE())),"")</f>
        <v>0.6</v>
      </c>
      <c r="J626" s="90">
        <f t="shared" si="162"/>
        <v>12.28461111111111</v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19</v>
      </c>
      <c r="H627" s="87">
        <f>IFERROR(IF($G627="","",$G627*$S$635/$G$635/Cadastro!$E$33),"")</f>
        <v>74.097654320987658</v>
      </c>
      <c r="I627" s="89">
        <f>IFERROR(IF($D627="","",VLOOKUP($D627,Cadastro!$C$4:$G$7,5,FALSE())),"")</f>
        <v>0.6</v>
      </c>
      <c r="J627" s="90">
        <f t="shared" si="162"/>
        <v>15.560507407407407</v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12</v>
      </c>
      <c r="H628" s="87">
        <f>IFERROR(IF($G628="","",$G628*$S$635/$G$635/Cadastro!$E$33),"")</f>
        <v>46.79851851851852</v>
      </c>
      <c r="I628" s="89">
        <f>IFERROR(IF($D628="","",VLOOKUP($D628,Cadastro!$C$4:$G$7,5,FALSE())),"")</f>
        <v>0.6</v>
      </c>
      <c r="J628" s="90">
        <f t="shared" si="162"/>
        <v>9.827688888888888</v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10</v>
      </c>
      <c r="H629" s="87">
        <f>IFERROR(IF($G629="","",$G629*$S$635/$G$635/Cadastro!$E$33),"")</f>
        <v>38.998765432098764</v>
      </c>
      <c r="I629" s="89">
        <f>IFERROR(IF($D629="","",VLOOKUP($D629,Cadastro!$C$4:$G$7,5,FALSE())),"")</f>
        <v>0.6</v>
      </c>
      <c r="J629" s="90">
        <f t="shared" si="162"/>
        <v>8.1897407407407403</v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12</v>
      </c>
      <c r="H630" s="87">
        <f>IFERROR(IF($G630="","",$G630*$S$635/$G$635/Cadastro!$E$33),"")</f>
        <v>46.79851851851852</v>
      </c>
      <c r="I630" s="89">
        <f>IFERROR(IF($D630="","",VLOOKUP($D630,Cadastro!$C$4:$G$7,5,FALSE())),"")</f>
        <v>0.6</v>
      </c>
      <c r="J630" s="90">
        <f t="shared" si="162"/>
        <v>9.827688888888888</v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12</v>
      </c>
      <c r="H631" s="87">
        <f>IFERROR(IF($G631="","",$G631*$S$635/$G$635/Cadastro!$E$33),"")</f>
        <v>46.79851851851852</v>
      </c>
      <c r="I631" s="89">
        <f>IFERROR(IF($D631="","",VLOOKUP($D631,Cadastro!$C$4:$G$7,5,FALSE())),"")</f>
        <v>0.6</v>
      </c>
      <c r="J631" s="90">
        <f t="shared" si="162"/>
        <v>9.827688888888888</v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16</v>
      </c>
      <c r="H632" s="87">
        <f>IFERROR(IF($G632="","",$G632*$S$635/$G$635/Cadastro!$E$33),"")</f>
        <v>62.398024691358025</v>
      </c>
      <c r="I632" s="89">
        <f>IFERROR(IF($D632="","",VLOOKUP($D632,Cadastro!$C$4:$G$7,5,FALSE())),"")</f>
        <v>0.6</v>
      </c>
      <c r="J632" s="90">
        <f t="shared" si="162"/>
        <v>13.103585185185183</v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17</v>
      </c>
      <c r="H633" s="87">
        <f>IFERROR(IF($G633="","",$G633*$S$635/$G$635/Cadastro!$E$33),"")</f>
        <v>66.297901234567902</v>
      </c>
      <c r="I633" s="89">
        <f>IFERROR(IF($D633="","",VLOOKUP($D633,Cadastro!$C$4:$G$7,5,FALSE())),"")</f>
        <v>0.6</v>
      </c>
      <c r="J633" s="90">
        <f t="shared" si="162"/>
        <v>13.922559259259259</v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11</v>
      </c>
      <c r="H634" s="91">
        <f>IFERROR(IF($G634="","",$G634*$S$635/$G$635/Cadastro!$E$33),"")</f>
        <v>42.898641975308642</v>
      </c>
      <c r="I634" s="92">
        <f>IFERROR(IF($D634="","",VLOOKUP($D634,Cadastro!$C$4:$G$7,5,FALSE())),"")</f>
        <v>0.6</v>
      </c>
      <c r="J634" s="93">
        <f t="shared" si="162"/>
        <v>9.0087148148148142</v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69" t="s">
        <v>264</v>
      </c>
      <c r="B635" s="169"/>
      <c r="C635" s="169"/>
      <c r="D635" s="169"/>
      <c r="E635" s="169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132.6738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265</v>
      </c>
      <c r="S635" s="73">
        <v>631780</v>
      </c>
      <c r="T635" s="98">
        <f>IFERROR(J635,"")</f>
        <v>132.6738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16</v>
      </c>
      <c r="H636" s="100">
        <f>IFERROR(IF($G636="","",$G636*$S$648/$G$648/Cadastro!$E$33),"")</f>
        <v>73.371125827814566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15.407936423841058</v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11</v>
      </c>
      <c r="H637" s="87">
        <f>IFERROR(IF($G637="","",$G637*$S$648/$G$648/Cadastro!$E$33),"")</f>
        <v>50.442649006622517</v>
      </c>
      <c r="I637" s="89">
        <f>IFERROR(IF($D637="","",VLOOKUP($D637,Cadastro!$C$4:$G$7,5,FALSE())),"")</f>
        <v>0.6</v>
      </c>
      <c r="J637" s="90">
        <f t="shared" si="166"/>
        <v>10.592956291390726</v>
      </c>
      <c r="K637" s="68">
        <f t="shared" si="167"/>
        <v>55</v>
      </c>
      <c r="L637" s="69" t="s">
        <v>28</v>
      </c>
      <c r="M637" s="69" t="s">
        <v>171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10</v>
      </c>
      <c r="H638" s="87">
        <f>IFERROR(IF($G638="","",$G638*$S$648/$G$648/Cadastro!$E$33),"")</f>
        <v>45.856953642384106</v>
      </c>
      <c r="I638" s="89">
        <f>IFERROR(IF($D638="","",VLOOKUP($D638,Cadastro!$C$4:$G$7,5,FALSE())),"")</f>
        <v>0.6</v>
      </c>
      <c r="J638" s="90">
        <f t="shared" si="166"/>
        <v>9.6299602649006619</v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10</v>
      </c>
      <c r="H639" s="87">
        <f>IFERROR(IF($G639="","",$G639*$S$648/$G$648/Cadastro!$E$33),"")</f>
        <v>45.856953642384106</v>
      </c>
      <c r="I639" s="89">
        <f>IFERROR(IF($D639="","",VLOOKUP($D639,Cadastro!$C$4:$G$7,5,FALSE())),"")</f>
        <v>0.6</v>
      </c>
      <c r="J639" s="90">
        <f t="shared" si="166"/>
        <v>9.6299602649006619</v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357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20</v>
      </c>
      <c r="H640" s="87">
        <f>IFERROR(IF($G640="","",$G640*$S$648/$G$648/Cadastro!$E$33),"")</f>
        <v>91.713907284768212</v>
      </c>
      <c r="I640" s="89">
        <f>IFERROR(IF($D640="","",VLOOKUP($D640,Cadastro!$C$4:$G$7,5,FALSE())),"")</f>
        <v>0.6</v>
      </c>
      <c r="J640" s="90">
        <f t="shared" si="166"/>
        <v>19.259920529801324</v>
      </c>
      <c r="K640" s="63">
        <f t="shared" si="167"/>
        <v>84</v>
      </c>
      <c r="L640" s="60" t="s">
        <v>29</v>
      </c>
      <c r="M640" s="60"/>
      <c r="N640" s="60" t="s">
        <v>226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15</v>
      </c>
      <c r="H641" s="87">
        <f>IFERROR(IF($G641="","",$G641*$S$648/$G$648/Cadastro!$E$33),"")</f>
        <v>68.785430463576162</v>
      </c>
      <c r="I641" s="89">
        <f>IFERROR(IF($D641="","",VLOOKUP($D641,Cadastro!$C$4:$G$7,5,FALSE())),"")</f>
        <v>0.6</v>
      </c>
      <c r="J641" s="90">
        <f t="shared" si="166"/>
        <v>14.444940397350992</v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13</v>
      </c>
      <c r="H642" s="87">
        <f>IFERROR(IF($G642="","",$G642*$S$648/$G$648/Cadastro!$E$33),"")</f>
        <v>59.61403973509934</v>
      </c>
      <c r="I642" s="89">
        <f>IFERROR(IF($D642="","",VLOOKUP($D642,Cadastro!$C$4:$G$7,5,FALSE())),"")</f>
        <v>0.6</v>
      </c>
      <c r="J642" s="90">
        <f t="shared" si="166"/>
        <v>12.518948344370859</v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17</v>
      </c>
      <c r="H643" s="87">
        <f>IFERROR(IF($G643="","",$G643*$S$648/$G$648/Cadastro!$E$33),"")</f>
        <v>77.956821192052985</v>
      </c>
      <c r="I643" s="89">
        <f>IFERROR(IF($D643="","",VLOOKUP($D643,Cadastro!$C$4:$G$7,5,FALSE())),"")</f>
        <v>0.6</v>
      </c>
      <c r="J643" s="90">
        <f t="shared" si="166"/>
        <v>16.370932450331125</v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15</v>
      </c>
      <c r="H644" s="87">
        <f>IFERROR(IF($G644="","",$G644*$S$648/$G$648/Cadastro!$E$33),"")</f>
        <v>68.785430463576162</v>
      </c>
      <c r="I644" s="89">
        <f>IFERROR(IF($D644="","",VLOOKUP($D644,Cadastro!$C$4:$G$7,5,FALSE())),"")</f>
        <v>0.6</v>
      </c>
      <c r="J644" s="90">
        <f t="shared" si="166"/>
        <v>14.444940397350992</v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19</v>
      </c>
      <c r="H645" s="87">
        <f>IFERROR(IF($G645="","",$G645*$S$648/$G$648/Cadastro!$E$33),"")</f>
        <v>87.128211920529807</v>
      </c>
      <c r="I645" s="89">
        <f>IFERROR(IF($D645="","",VLOOKUP($D645,Cadastro!$C$4:$G$7,5,FALSE())),"")</f>
        <v>0.6</v>
      </c>
      <c r="J645" s="90">
        <f t="shared" si="166"/>
        <v>18.296924503311256</v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5</v>
      </c>
      <c r="H646" s="87">
        <f>IFERROR(IF($G646="","",$G646*$S$648/$G$648/Cadastro!$E$33),"")</f>
        <v>22.928476821192053</v>
      </c>
      <c r="I646" s="89">
        <f>IFERROR(IF($D646="","",VLOOKUP($D646,Cadastro!$C$4:$G$7,5,FALSE())),"")</f>
        <v>0.6</v>
      </c>
      <c r="J646" s="90">
        <f t="shared" si="166"/>
        <v>4.814980132450331</v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69" t="s">
        <v>267</v>
      </c>
      <c r="B648" s="169"/>
      <c r="C648" s="169"/>
      <c r="D648" s="169"/>
      <c r="E648" s="169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145.41239999999996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265</v>
      </c>
      <c r="S648" s="73">
        <v>692440</v>
      </c>
      <c r="T648" s="98">
        <f>IFERROR(J648,"")</f>
        <v>145.41239999999996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278.08619999999996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268</v>
      </c>
      <c r="S649" s="81">
        <f>S635+S648</f>
        <v>1324220</v>
      </c>
      <c r="T649" s="117">
        <f>IFERROR(J649,"")</f>
        <v>278.08619999999996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358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70"/>
        <v>0</v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70"/>
        <v>0</v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70"/>
        <v>0</v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10</v>
      </c>
      <c r="H658" s="87">
        <f>IFERROR(IF($G658="","",$G658*$S$662/$G$662/Cadastro!$E$33),"")</f>
        <v>39.047761194029853</v>
      </c>
      <c r="I658" s="89">
        <f>IFERROR(IF($D658="","",VLOOKUP($D658,Cadastro!$C$4:$G$7,5,FALSE())),"")</f>
        <v>0.6</v>
      </c>
      <c r="J658" s="90">
        <f t="shared" si="170"/>
        <v>8.2000298507462688</v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18</v>
      </c>
      <c r="H659" s="87">
        <f>IFERROR(IF($G659="","",$G659*$S$662/$G$662/Cadastro!$E$33),"")</f>
        <v>70.285970149253728</v>
      </c>
      <c r="I659" s="89">
        <f>IFERROR(IF($D659="","",VLOOKUP($D659,Cadastro!$C$4:$G$7,5,FALSE())),"")</f>
        <v>0.6</v>
      </c>
      <c r="J659" s="90">
        <f t="shared" si="170"/>
        <v>14.76005373134328</v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18</v>
      </c>
      <c r="H660" s="87">
        <f>IFERROR(IF($G660="","",$G660*$S$662/$G$662/Cadastro!$E$33),"")</f>
        <v>70.285970149253728</v>
      </c>
      <c r="I660" s="89">
        <f>IFERROR(IF($D660="","",VLOOKUP($D660,Cadastro!$C$4:$G$7,5,FALSE())),"")</f>
        <v>0.6</v>
      </c>
      <c r="J660" s="90">
        <f t="shared" si="170"/>
        <v>14.76005373134328</v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21</v>
      </c>
      <c r="H661" s="91">
        <f>IFERROR(IF($G661="","",$G661*$S$662/$G$662/Cadastro!$E$33),"")</f>
        <v>82.000298507462688</v>
      </c>
      <c r="I661" s="92">
        <f>IFERROR(IF($D661="","",VLOOKUP($D661,Cadastro!$C$4:$G$7,5,FALSE())),"")</f>
        <v>0.6</v>
      </c>
      <c r="J661" s="93">
        <f t="shared" si="170"/>
        <v>17.220062686567161</v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69" t="s">
        <v>264</v>
      </c>
      <c r="B662" s="169"/>
      <c r="C662" s="169"/>
      <c r="D662" s="169"/>
      <c r="E662" s="169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54.94019999999999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265</v>
      </c>
      <c r="S662" s="73">
        <v>261620</v>
      </c>
      <c r="T662" s="98">
        <f>IFERROR(J662,"")</f>
        <v>54.94019999999999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7</v>
      </c>
      <c r="H663" s="100">
        <f>IFERROR(IF($G663="","",$G663*$S$675/$G$675/Cadastro!$E$33),"")</f>
        <v>0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0</v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359</v>
      </c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11</v>
      </c>
      <c r="H664" s="87">
        <f>IFERROR(IF($G664="","",$G664*$S$675/$G$675/Cadastro!$E$33),"")</f>
        <v>0</v>
      </c>
      <c r="I664" s="89">
        <f>IFERROR(IF($D664="","",VLOOKUP($D664,Cadastro!$C$4:$G$7,5,FALSE())),"")</f>
        <v>0.6</v>
      </c>
      <c r="J664" s="90">
        <f t="shared" si="174"/>
        <v>0</v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5</v>
      </c>
      <c r="H665" s="87">
        <f>IFERROR(IF($G665="","",$G665*$S$675/$G$675/Cadastro!$E$33),"")</f>
        <v>0</v>
      </c>
      <c r="I665" s="89">
        <f>IFERROR(IF($D665="","",VLOOKUP($D665,Cadastro!$C$4:$G$7,5,FALSE())),"")</f>
        <v>0.6</v>
      </c>
      <c r="J665" s="90">
        <f t="shared" si="174"/>
        <v>0</v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/>
      <c r="Q665" s="70">
        <f t="shared" ca="1" si="176"/>
        <v>6.5324074093950912E-3</v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5</v>
      </c>
      <c r="H666" s="87">
        <f>IFERROR(IF($G666="","",$G666*$S$675/$G$675/Cadastro!$E$33),"")</f>
        <v>0</v>
      </c>
      <c r="I666" s="89">
        <f>IFERROR(IF($D666="","",VLOOKUP($D666,Cadastro!$C$4:$G$7,5,FALSE())),"")</f>
        <v>0.6</v>
      </c>
      <c r="J666" s="90">
        <f t="shared" si="174"/>
        <v>0</v>
      </c>
      <c r="K666" s="63">
        <f t="shared" si="175"/>
        <v>21</v>
      </c>
      <c r="L666" s="60"/>
      <c r="M666" s="60"/>
      <c r="N666" s="60"/>
      <c r="O666" s="64"/>
      <c r="P666" s="64"/>
      <c r="Q666" s="65" t="str">
        <f t="shared" ca="1" si="176"/>
        <v/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24</v>
      </c>
      <c r="H667" s="87">
        <f>IFERROR(IF($G667="","",$G667*$S$675/$G$675/Cadastro!$E$33),"")</f>
        <v>0</v>
      </c>
      <c r="I667" s="89">
        <f>IFERROR(IF($D667="","",VLOOKUP($D667,Cadastro!$C$4:$G$7,5,FALSE())),"")</f>
        <v>0.6</v>
      </c>
      <c r="J667" s="90">
        <f t="shared" si="174"/>
        <v>0</v>
      </c>
      <c r="K667" s="68">
        <f t="shared" si="175"/>
        <v>100.80000000000001</v>
      </c>
      <c r="L667" s="69"/>
      <c r="M667" s="69"/>
      <c r="N667" s="69"/>
      <c r="O667" s="64"/>
      <c r="P667" s="64"/>
      <c r="Q667" s="70" t="str">
        <f t="shared" ca="1" si="176"/>
        <v/>
      </c>
      <c r="R667" s="79"/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/>
      <c r="H668" s="87" t="str">
        <f>IFERROR(IF($G668="","",$G668*$S$675/$G$675/Cadastro!$E$33),"")</f>
        <v/>
      </c>
      <c r="I668" s="89">
        <f>IFERROR(IF($D668="","",VLOOKUP($D668,Cadastro!$C$4:$G$7,5,FALSE())),"")</f>
        <v>0.6</v>
      </c>
      <c r="J668" s="90" t="str">
        <f t="shared" si="174"/>
        <v/>
      </c>
      <c r="K668" s="63" t="str">
        <f t="shared" si="175"/>
        <v/>
      </c>
      <c r="L668" s="60"/>
      <c r="M668" s="60"/>
      <c r="N668" s="60"/>
      <c r="O668" s="64"/>
      <c r="P668" s="64"/>
      <c r="Q668" s="65" t="str">
        <f t="shared" ca="1" si="176"/>
        <v/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/>
      <c r="H669" s="87" t="str">
        <f>IFERROR(IF($G669="","",$G669*$S$675/$G$675/Cadastro!$E$33),"")</f>
        <v/>
      </c>
      <c r="I669" s="89">
        <f>IFERROR(IF($D669="","",VLOOKUP($D669,Cadastro!$C$4:$G$7,5,FALSE())),"")</f>
        <v>0.6</v>
      </c>
      <c r="J669" s="90" t="str">
        <f t="shared" si="174"/>
        <v/>
      </c>
      <c r="K669" s="68" t="str">
        <f t="shared" si="175"/>
        <v/>
      </c>
      <c r="L669" s="69"/>
      <c r="M669" s="69"/>
      <c r="N669" s="69"/>
      <c r="O669" s="64"/>
      <c r="P669" s="64"/>
      <c r="Q669" s="70" t="str">
        <f t="shared" ca="1" si="176"/>
        <v/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/>
      <c r="H670" s="87" t="str">
        <f>IFERROR(IF($G670="","",$G670*$S$675/$G$675/Cadastro!$E$33),"")</f>
        <v/>
      </c>
      <c r="I670" s="89">
        <f>IFERROR(IF($D670="","",VLOOKUP($D670,Cadastro!$C$4:$G$7,5,FALSE())),"")</f>
        <v>0.6</v>
      </c>
      <c r="J670" s="90" t="str">
        <f t="shared" si="174"/>
        <v/>
      </c>
      <c r="K670" s="63" t="str">
        <f t="shared" si="175"/>
        <v/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/>
      <c r="H671" s="87" t="str">
        <f>IFERROR(IF($G671="","",$G671*$S$675/$G$675/Cadastro!$E$33),"")</f>
        <v/>
      </c>
      <c r="I671" s="89">
        <f>IFERROR(IF($D671="","",VLOOKUP($D671,Cadastro!$C$4:$G$7,5,FALSE())),"")</f>
        <v>0.6</v>
      </c>
      <c r="J671" s="90" t="str">
        <f t="shared" si="174"/>
        <v/>
      </c>
      <c r="K671" s="68" t="str">
        <f t="shared" si="175"/>
        <v/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/>
      <c r="H672" s="87" t="str">
        <f>IFERROR(IF($G672="","",$G672*$S$675/$G$675/Cadastro!$E$33),"")</f>
        <v/>
      </c>
      <c r="I672" s="89">
        <f>IFERROR(IF($D672="","",VLOOKUP($D672,Cadastro!$C$4:$G$7,5,FALSE())),"")</f>
        <v>0.6</v>
      </c>
      <c r="J672" s="90" t="str">
        <f t="shared" si="174"/>
        <v/>
      </c>
      <c r="K672" s="63" t="str">
        <f t="shared" si="175"/>
        <v/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/>
      <c r="H673" s="87" t="str">
        <f>IFERROR(IF($G673="","",$G673*$S$675/$G$675/Cadastro!$E$33),"")</f>
        <v/>
      </c>
      <c r="I673" s="89">
        <f>IFERROR(IF($D673="","",VLOOKUP($D673,Cadastro!$C$4:$G$7,5,FALSE())),"")</f>
        <v>0.6</v>
      </c>
      <c r="J673" s="90" t="str">
        <f t="shared" si="174"/>
        <v/>
      </c>
      <c r="K673" s="68" t="str">
        <f t="shared" si="175"/>
        <v/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/>
      <c r="H674" s="91" t="str">
        <f>IFERROR(IF($G674="","",$G674*$S$675/$G$675/Cadastro!$E$33),"")</f>
        <v/>
      </c>
      <c r="I674" s="92">
        <f>IFERROR(IF($D674="","",VLOOKUP($D674,Cadastro!$C$4:$G$7,5,FALSE())),"")</f>
        <v>0.6</v>
      </c>
      <c r="J674" s="93" t="str">
        <f t="shared" si="174"/>
        <v/>
      </c>
      <c r="K674" s="63" t="str">
        <f t="shared" si="175"/>
        <v/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69" t="s">
        <v>267</v>
      </c>
      <c r="B675" s="169"/>
      <c r="C675" s="169"/>
      <c r="D675" s="169"/>
      <c r="E675" s="169"/>
      <c r="F675" s="104"/>
      <c r="G675" s="95">
        <f>SUM(G663:G674)</f>
        <v>52</v>
      </c>
      <c r="H675" s="104">
        <f>IFERROR(SUM(H663:H674),"")</f>
        <v>0</v>
      </c>
      <c r="I675" s="105"/>
      <c r="J675" s="106">
        <f>IFERROR(SUM(J663:J674),"")</f>
        <v>0</v>
      </c>
      <c r="K675" s="2">
        <f>SUM(K663:K674)</f>
        <v>218.40000000000003</v>
      </c>
      <c r="L675" s="71"/>
      <c r="M675" s="71"/>
      <c r="N675" s="71"/>
      <c r="O675" s="71"/>
      <c r="P675" s="71"/>
      <c r="Q675" s="72">
        <f ca="1">IFERROR(SUM(Q663:Q674),"")</f>
        <v>0.13986574074272828</v>
      </c>
      <c r="R675" s="2" t="s">
        <v>265</v>
      </c>
      <c r="S675" s="73"/>
      <c r="T675" s="98">
        <f>IFERROR(J675,"")</f>
        <v>0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119</v>
      </c>
      <c r="H676" s="107">
        <f>IFERROR(H662+H675,"")</f>
        <v>261.62</v>
      </c>
      <c r="I676" s="109"/>
      <c r="J676" s="110">
        <f>IFERROR(J662+J675,"")</f>
        <v>54.94019999999999</v>
      </c>
      <c r="K676" s="1">
        <f>K662+K675</f>
        <v>499.80000000000007</v>
      </c>
      <c r="L676" s="75"/>
      <c r="M676" s="75"/>
      <c r="N676" s="75"/>
      <c r="O676" s="75"/>
      <c r="P676" s="75"/>
      <c r="Q676" s="76">
        <f ca="1">IFERROR(Q662+Q675,"")</f>
        <v>0.50444907407606165</v>
      </c>
      <c r="R676" s="1" t="s">
        <v>268</v>
      </c>
      <c r="S676" s="81">
        <f>IFERROR(S662+S675,"")</f>
        <v>261620</v>
      </c>
      <c r="T676" s="117">
        <f>IFERROR(J676,"")</f>
        <v>54.94019999999999</v>
      </c>
    </row>
    <row r="677" spans="1:20" ht="15" customHeight="1">
      <c r="A677" s="18">
        <v>46260</v>
      </c>
      <c r="B677" s="67">
        <v>0.33333333333333298</v>
      </c>
      <c r="C677" s="69"/>
      <c r="D677" s="74"/>
      <c r="E677" s="99"/>
      <c r="F677" s="100" t="str">
        <f>IFERROR(IF($D677="","",VLOOKUP($D677,Cadastro!$C$4:$E$7,3,FALSE())),"")</f>
        <v/>
      </c>
      <c r="G677" s="88"/>
      <c r="H677" s="100" t="str">
        <f>IFERROR(IF($G677="","",$G677*$S$689/$G$689/Cadastro!$E$33),"")</f>
        <v/>
      </c>
      <c r="I677" s="101" t="str">
        <f>IFERROR(IF($D677="","",VLOOKUP($D677,Cadastro!$C$4:$G$7,5,FALSE())),"")</f>
        <v/>
      </c>
      <c r="J677" s="102" t="str">
        <f t="shared" ref="J677:J688" si="178">IFERROR(IF($H677="","",$H677*$F677*$I677),"")</f>
        <v/>
      </c>
      <c r="K677" s="68" t="str">
        <f t="shared" ref="K677:K688" si="179">IF(G677="","",IF(E677="PC 17",G677*4.2,IF(E677="PC 19",G677*5,IF(E677="CB",G677*24,""))))</f>
        <v/>
      </c>
      <c r="L677" s="69"/>
      <c r="M677" s="69"/>
      <c r="N677" s="69"/>
      <c r="O677" s="64"/>
      <c r="P677" s="64"/>
      <c r="Q677" s="70" t="str">
        <f t="shared" ref="Q677:Q688" ca="1" si="180">IFERROR(IF(O677="","",IF(P677="",MOD(NOW()-O677,1),IF(P677&gt;=O677,P677-O677,P677+1-O677))),"")</f>
        <v/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/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8"/>
        <v/>
      </c>
      <c r="K678" s="63" t="str">
        <f t="shared" si="179"/>
        <v/>
      </c>
      <c r="L678" s="60"/>
      <c r="M678" s="60"/>
      <c r="N678" s="60"/>
      <c r="O678" s="64"/>
      <c r="P678" s="64"/>
      <c r="Q678" s="70" t="str">
        <f t="shared" ca="1" si="180"/>
        <v/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/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8"/>
        <v/>
      </c>
      <c r="K679" s="68" t="str">
        <f t="shared" si="179"/>
        <v/>
      </c>
      <c r="L679" s="69"/>
      <c r="M679" s="69"/>
      <c r="N679" s="69"/>
      <c r="O679" s="64"/>
      <c r="P679" s="64"/>
      <c r="Q679" s="70" t="str">
        <f t="shared" ca="1" si="180"/>
        <v/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/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8"/>
        <v/>
      </c>
      <c r="K680" s="63" t="str">
        <f t="shared" si="179"/>
        <v/>
      </c>
      <c r="L680" s="60"/>
      <c r="M680" s="60"/>
      <c r="N680" s="60"/>
      <c r="O680" s="64"/>
      <c r="P680" s="64"/>
      <c r="Q680" s="70" t="str">
        <f t="shared" ca="1" si="180"/>
        <v/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/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8"/>
        <v/>
      </c>
      <c r="K681" s="68" t="str">
        <f t="shared" si="179"/>
        <v/>
      </c>
      <c r="L681" s="69"/>
      <c r="M681" s="69"/>
      <c r="N681" s="69"/>
      <c r="O681" s="64"/>
      <c r="P681" s="64"/>
      <c r="Q681" s="70" t="str">
        <f t="shared" ca="1" si="180"/>
        <v/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/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8"/>
        <v/>
      </c>
      <c r="K682" s="63" t="str">
        <f t="shared" si="179"/>
        <v/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/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8"/>
        <v/>
      </c>
      <c r="K683" s="68" t="str">
        <f t="shared" si="179"/>
        <v/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/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8"/>
        <v/>
      </c>
      <c r="K684" s="63" t="str">
        <f t="shared" si="179"/>
        <v/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/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8"/>
        <v/>
      </c>
      <c r="K685" s="68" t="str">
        <f t="shared" si="179"/>
        <v/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/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8"/>
        <v/>
      </c>
      <c r="K686" s="63" t="str">
        <f t="shared" si="179"/>
        <v/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/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8"/>
        <v/>
      </c>
      <c r="K687" s="68" t="str">
        <f t="shared" si="179"/>
        <v/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/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8"/>
        <v/>
      </c>
      <c r="K688" s="63" t="str">
        <f t="shared" si="179"/>
        <v/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69" t="s">
        <v>264</v>
      </c>
      <c r="B689" s="169"/>
      <c r="C689" s="169"/>
      <c r="D689" s="169"/>
      <c r="E689" s="169"/>
      <c r="F689" s="94"/>
      <c r="G689" s="95">
        <f>SUM(G677:G688)</f>
        <v>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71"/>
      <c r="P689" s="71"/>
      <c r="Q689" s="72">
        <f ca="1">IFERROR(SUM(Q677:Q688),"")</f>
        <v>0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79"/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79"/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69" t="s">
        <v>267</v>
      </c>
      <c r="B702" s="169"/>
      <c r="C702" s="169"/>
      <c r="D702" s="169"/>
      <c r="E702" s="16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75"/>
      <c r="P703" s="75"/>
      <c r="Q703" s="76">
        <f ca="1">IFERROR(Q689+Q702,"")</f>
        <v>0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69" t="s">
        <v>264</v>
      </c>
      <c r="B716" s="169"/>
      <c r="C716" s="169"/>
      <c r="D716" s="169"/>
      <c r="E716" s="16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69" t="s">
        <v>267</v>
      </c>
      <c r="B729" s="169"/>
      <c r="C729" s="169"/>
      <c r="D729" s="169"/>
      <c r="E729" s="16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69" t="s">
        <v>264</v>
      </c>
      <c r="B743" s="169"/>
      <c r="C743" s="169"/>
      <c r="D743" s="169"/>
      <c r="E743" s="16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69" t="s">
        <v>267</v>
      </c>
      <c r="B756" s="169"/>
      <c r="C756" s="169"/>
      <c r="D756" s="169"/>
      <c r="E756" s="16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69" t="s">
        <v>264</v>
      </c>
      <c r="B770" s="169"/>
      <c r="C770" s="169"/>
      <c r="D770" s="169"/>
      <c r="E770" s="16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69" t="s">
        <v>267</v>
      </c>
      <c r="B783" s="169"/>
      <c r="C783" s="169"/>
      <c r="D783" s="169"/>
      <c r="E783" s="16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69" t="s">
        <v>264</v>
      </c>
      <c r="B797" s="169"/>
      <c r="C797" s="169"/>
      <c r="D797" s="169"/>
      <c r="E797" s="16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69" t="s">
        <v>267</v>
      </c>
      <c r="B810" s="169"/>
      <c r="C810" s="169"/>
      <c r="D810" s="169"/>
      <c r="E810" s="16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69" t="s">
        <v>264</v>
      </c>
      <c r="B824" s="169"/>
      <c r="C824" s="169"/>
      <c r="D824" s="169"/>
      <c r="E824" s="16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69" t="s">
        <v>267</v>
      </c>
      <c r="B837" s="169"/>
      <c r="C837" s="169"/>
      <c r="D837" s="169"/>
      <c r="E837" s="16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112"/>
      <c r="T837" s="113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641" activePane="bottomLeft" state="frozen"/>
      <selection pane="bottomLeft" activeCell="R666" sqref="R666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310</v>
      </c>
      <c r="I1" s="85" t="s">
        <v>22</v>
      </c>
      <c r="J1" s="85" t="s">
        <v>311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311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83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69" t="s">
        <v>264</v>
      </c>
      <c r="B14" s="169"/>
      <c r="C14" s="169"/>
      <c r="D14" s="169"/>
      <c r="E14" s="169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265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64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360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146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169</v>
      </c>
      <c r="N17" s="69" t="s">
        <v>83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146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315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173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361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278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278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69" t="s">
        <v>267</v>
      </c>
      <c r="B27" s="169"/>
      <c r="C27" s="169"/>
      <c r="D27" s="169"/>
      <c r="E27" s="169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265</v>
      </c>
      <c r="S27" s="73">
        <v>358000</v>
      </c>
      <c r="T27" s="98">
        <f>IFERROR(J27,"")</f>
        <v>0</v>
      </c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268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69" t="s">
        <v>264</v>
      </c>
      <c r="B41" s="169"/>
      <c r="C41" s="169"/>
      <c r="D41" s="169"/>
      <c r="E41" s="169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265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179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321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65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360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360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169</v>
      </c>
      <c r="N51" s="69" t="s">
        <v>83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145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69" t="s">
        <v>267</v>
      </c>
      <c r="B54" s="169"/>
      <c r="C54" s="169"/>
      <c r="D54" s="169"/>
      <c r="E54" s="169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265</v>
      </c>
      <c r="S54" s="73">
        <v>279980</v>
      </c>
      <c r="T54" s="98">
        <f>IFERROR(J54,"")</f>
        <v>0</v>
      </c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268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133</v>
      </c>
      <c r="N56" s="60" t="s">
        <v>123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278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133</v>
      </c>
      <c r="N57" s="60" t="s">
        <v>123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278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278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133</v>
      </c>
      <c r="N60" s="60" t="s">
        <v>123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278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278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141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362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278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278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278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278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69" t="s">
        <v>264</v>
      </c>
      <c r="B68" s="169"/>
      <c r="C68" s="169"/>
      <c r="D68" s="169"/>
      <c r="E68" s="169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265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65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363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160</v>
      </c>
      <c r="N70" s="60" t="s">
        <v>199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169</v>
      </c>
      <c r="N71" s="69" t="s">
        <v>83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169</v>
      </c>
      <c r="N73" s="69" t="s">
        <v>83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69" t="s">
        <v>267</v>
      </c>
      <c r="B81" s="169"/>
      <c r="C81" s="169"/>
      <c r="D81" s="169"/>
      <c r="E81" s="169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265</v>
      </c>
      <c r="S81" s="73">
        <v>185920</v>
      </c>
      <c r="T81" s="98">
        <f>IFERROR(J81,"")</f>
        <v>0</v>
      </c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268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65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364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149</v>
      </c>
      <c r="N84" s="60" t="s">
        <v>127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365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69" t="s">
        <v>264</v>
      </c>
      <c r="B95" s="169"/>
      <c r="C95" s="169"/>
      <c r="D95" s="169"/>
      <c r="E95" s="169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265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149</v>
      </c>
      <c r="N96" s="60" t="s">
        <v>127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149</v>
      </c>
      <c r="N97" s="69" t="s">
        <v>127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366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169</v>
      </c>
      <c r="N99" s="69" t="s">
        <v>83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69" t="s">
        <v>267</v>
      </c>
      <c r="B108" s="169"/>
      <c r="C108" s="169"/>
      <c r="D108" s="169"/>
      <c r="E108" s="169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265</v>
      </c>
      <c r="S108" s="73">
        <v>434370</v>
      </c>
      <c r="T108" s="98">
        <f>IFERROR(J108,"")</f>
        <v>0</v>
      </c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268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69" t="s">
        <v>264</v>
      </c>
      <c r="B122" s="169"/>
      <c r="C122" s="169"/>
      <c r="D122" s="169"/>
      <c r="E122" s="169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265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169</v>
      </c>
      <c r="N123" s="69" t="s">
        <v>83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169</v>
      </c>
      <c r="N124" s="60" t="s">
        <v>83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65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367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146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142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212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69" t="s">
        <v>267</v>
      </c>
      <c r="B135" s="169"/>
      <c r="C135" s="169"/>
      <c r="D135" s="169"/>
      <c r="E135" s="169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265</v>
      </c>
      <c r="S135" s="73">
        <v>416350</v>
      </c>
      <c r="T135" s="98">
        <f>IFERROR(J135,"")</f>
        <v>0</v>
      </c>
    </row>
    <row r="136" spans="1:20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268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368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119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218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149</v>
      </c>
      <c r="N140" s="60" t="s">
        <v>83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329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69" t="s">
        <v>264</v>
      </c>
      <c r="B149" s="169"/>
      <c r="C149" s="169"/>
      <c r="D149" s="169"/>
      <c r="E149" s="169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265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65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321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69" t="s">
        <v>267</v>
      </c>
      <c r="B162" s="169"/>
      <c r="C162" s="169"/>
      <c r="D162" s="169"/>
      <c r="E162" s="169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265</v>
      </c>
      <c r="S162" s="73">
        <v>169760</v>
      </c>
      <c r="T162" s="98">
        <f>IFERROR(J162,"")</f>
        <v>0</v>
      </c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268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369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169</v>
      </c>
      <c r="N172" s="60" t="s">
        <v>83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169</v>
      </c>
      <c r="N173" s="69" t="s">
        <v>83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69" t="s">
        <v>264</v>
      </c>
      <c r="B176" s="169"/>
      <c r="C176" s="169"/>
      <c r="D176" s="169"/>
      <c r="E176" s="169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265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65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370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133</v>
      </c>
      <c r="N180" s="60" t="s">
        <v>123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160</v>
      </c>
      <c r="N181" s="69" t="s">
        <v>145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83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332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83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83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332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69" t="s">
        <v>267</v>
      </c>
      <c r="B189" s="169"/>
      <c r="C189" s="169"/>
      <c r="D189" s="169"/>
      <c r="E189" s="169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265</v>
      </c>
      <c r="S189" s="73">
        <v>72220</v>
      </c>
      <c r="T189" s="98">
        <f>IFERROR(J189,"")</f>
        <v>0</v>
      </c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268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160</v>
      </c>
      <c r="N194" s="60" t="s">
        <v>195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160</v>
      </c>
      <c r="N195" s="60" t="s">
        <v>195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87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87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87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133</v>
      </c>
      <c r="N200" s="60" t="s">
        <v>123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133</v>
      </c>
      <c r="N201" s="69" t="s">
        <v>123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69" t="s">
        <v>264</v>
      </c>
      <c r="B203" s="169"/>
      <c r="C203" s="169"/>
      <c r="D203" s="169"/>
      <c r="E203" s="169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265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65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371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83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69" t="s">
        <v>267</v>
      </c>
      <c r="B216" s="169"/>
      <c r="C216" s="169"/>
      <c r="D216" s="169"/>
      <c r="E216" s="169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265</v>
      </c>
      <c r="S216" s="73">
        <v>148720</v>
      </c>
      <c r="T216" s="98">
        <f>IFERROR(J216,"")</f>
        <v>0</v>
      </c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268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146</v>
      </c>
      <c r="N218" s="60" t="s">
        <v>70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169</v>
      </c>
      <c r="N220" s="60" t="s">
        <v>83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146</v>
      </c>
      <c r="N221" s="69" t="s">
        <v>109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372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146</v>
      </c>
      <c r="N222" s="60" t="s">
        <v>70</v>
      </c>
      <c r="O222" s="64">
        <v>0.69930555555555596</v>
      </c>
      <c r="P222" s="64" t="s">
        <v>373</v>
      </c>
      <c r="Q222" s="65" t="str">
        <f t="shared" ca="1" si="49"/>
        <v/>
      </c>
      <c r="R222" s="62" t="s">
        <v>374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69" t="s">
        <v>264</v>
      </c>
      <c r="B230" s="169"/>
      <c r="C230" s="169"/>
      <c r="D230" s="169"/>
      <c r="E230" s="169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265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69" t="s">
        <v>267</v>
      </c>
      <c r="B243" s="169"/>
      <c r="C243" s="169"/>
      <c r="D243" s="169"/>
      <c r="E243" s="169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265</v>
      </c>
      <c r="S243" s="73">
        <v>352720</v>
      </c>
      <c r="T243" s="98">
        <f>IFERROR(J243,"")</f>
        <v>0</v>
      </c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268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375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263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263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69" t="s">
        <v>264</v>
      </c>
      <c r="B257" s="169"/>
      <c r="C257" s="169"/>
      <c r="D257" s="169"/>
      <c r="E257" s="169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265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278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278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278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278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278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278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278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278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278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278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278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278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69" t="s">
        <v>267</v>
      </c>
      <c r="B270" s="169"/>
      <c r="C270" s="169"/>
      <c r="D270" s="169"/>
      <c r="E270" s="169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327900</v>
      </c>
      <c r="T270" s="98">
        <f>IFERROR(J270,"")</f>
        <v>0</v>
      </c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268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263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69" t="s">
        <v>264</v>
      </c>
      <c r="B284" s="169"/>
      <c r="C284" s="169"/>
      <c r="D284" s="169"/>
      <c r="E284" s="169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69" t="s">
        <v>267</v>
      </c>
      <c r="B297" s="169"/>
      <c r="C297" s="169"/>
      <c r="D297" s="169"/>
      <c r="E297" s="169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462190</v>
      </c>
      <c r="T297" s="98">
        <f>IFERROR(J297,"")</f>
        <v>0</v>
      </c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212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212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197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5</v>
      </c>
      <c r="H305" s="68">
        <f>IFERROR(IF($G305="","",$G305*$S$311/$G$311/Cadastro!$E$33),"")</f>
        <v>23.066666666666666</v>
      </c>
      <c r="I305" s="89">
        <f>IFERROR(IF($D305="","",VLOOKUP($D305,Cadastro!$C$4:$G$7,5,FALSE())),"")</f>
        <v>0.6</v>
      </c>
      <c r="J305" s="90">
        <f t="shared" si="65"/>
        <v>4.8439999999999994</v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6</v>
      </c>
      <c r="H306" s="68">
        <f>IFERROR(IF($G306="","",$G306*$S$311/$G$311/Cadastro!$E$33),"")</f>
        <v>27.68</v>
      </c>
      <c r="I306" s="89">
        <f>IFERROR(IF($D306="","",VLOOKUP($D306,Cadastro!$C$4:$G$7,5,FALSE())),"")</f>
        <v>0.6</v>
      </c>
      <c r="J306" s="90">
        <f t="shared" si="65"/>
        <v>5.8127999999999993</v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10</v>
      </c>
      <c r="H307" s="68">
        <f>IFERROR(IF($G307="","",$G307*$S$311/$G$311/Cadastro!$E$33),"")</f>
        <v>46.133333333333333</v>
      </c>
      <c r="I307" s="89">
        <f>IFERROR(IF($D307="","",VLOOKUP($D307,Cadastro!$C$4:$G$7,5,FALSE())),"")</f>
        <v>0.6</v>
      </c>
      <c r="J307" s="90">
        <f t="shared" si="65"/>
        <v>9.6879999999999988</v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16</v>
      </c>
      <c r="H308" s="68">
        <f>IFERROR(IF($G308="","",$G308*$S$311/$G$311/Cadastro!$E$33),"")</f>
        <v>73.813333333333333</v>
      </c>
      <c r="I308" s="89">
        <f>IFERROR(IF($D308="","",VLOOKUP($D308,Cadastro!$C$4:$G$7,5,FALSE())),"")</f>
        <v>0.6</v>
      </c>
      <c r="J308" s="90">
        <f t="shared" si="65"/>
        <v>15.500799999999998</v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7</v>
      </c>
      <c r="H309" s="68">
        <f>IFERROR(IF($G309="","",$G309*$S$311/$G$311/Cadastro!$E$33),"")</f>
        <v>32.293333333333329</v>
      </c>
      <c r="I309" s="89">
        <f>IFERROR(IF($D309="","",VLOOKUP($D309,Cadastro!$C$4:$G$7,5,FALSE())),"")</f>
        <v>0.6</v>
      </c>
      <c r="J309" s="90">
        <f t="shared" si="65"/>
        <v>6.7815999999999992</v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5</v>
      </c>
      <c r="H310" s="68">
        <f>IFERROR(IF($G310="","",$G310*$S$311/$G$311/Cadastro!$E$33),"")</f>
        <v>23.066666666666666</v>
      </c>
      <c r="I310" s="92">
        <f>IFERROR(IF($D310="","",VLOOKUP($D310,Cadastro!$C$4:$G$7,5,FALSE())),"")</f>
        <v>0.6</v>
      </c>
      <c r="J310" s="93">
        <f t="shared" si="65"/>
        <v>4.8439999999999994</v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69" t="s">
        <v>264</v>
      </c>
      <c r="B311" s="169"/>
      <c r="C311" s="169"/>
      <c r="D311" s="169"/>
      <c r="E311" s="169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96.630879999999991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265</v>
      </c>
      <c r="S311" s="73">
        <v>567440</v>
      </c>
      <c r="T311" s="98">
        <f>IFERROR(J311,"")</f>
        <v>96.630879999999991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149</v>
      </c>
      <c r="N313" s="69" t="s">
        <v>109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146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146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69" t="s">
        <v>267</v>
      </c>
      <c r="B324" s="169"/>
      <c r="C324" s="169"/>
      <c r="D324" s="169"/>
      <c r="E324" s="169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265</v>
      </c>
      <c r="S324" s="73">
        <v>289490</v>
      </c>
      <c r="T324" s="98">
        <f>IFERROR(J324,"")</f>
        <v>41.68656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138.31743999999998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268</v>
      </c>
      <c r="S325" s="81">
        <f>IFERROR(S311+S324,"")</f>
        <v>856930</v>
      </c>
      <c r="T325" s="117">
        <f>IFERROR(J325,"")</f>
        <v>138.31743999999998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12</v>
      </c>
      <c r="H326" s="100">
        <f>IFERROR(IF($G326="","",$G326*$S$338/$G$338/Cadastro!$E$33),"")</f>
        <v>76.192131147540991</v>
      </c>
      <c r="I326" s="101">
        <f>IFERROR(IF($D326="","",VLOOKUP($D326,Cadastro!$C$4:$G$7,5,FALSE())),"")</f>
        <v>0.6</v>
      </c>
      <c r="J326" s="102">
        <f t="shared" ref="J326:J337" si="72">IFERROR(IF($H326="","",$H326*$F326*$I326),"")</f>
        <v>16.000347540983604</v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149</v>
      </c>
      <c r="N326" s="60" t="s">
        <v>141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339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11</v>
      </c>
      <c r="H327" s="87">
        <f>IFERROR(IF($G327="","",$G327*$S$338/$G$338/Cadastro!$E$33),"")</f>
        <v>69.8427868852459</v>
      </c>
      <c r="I327" s="89">
        <f>IFERROR(IF($D327="","",VLOOKUP($D327,Cadastro!$C$4:$G$7,5,FALSE())),"")</f>
        <v>0.6</v>
      </c>
      <c r="J327" s="90">
        <f t="shared" si="72"/>
        <v>14.666985245901639</v>
      </c>
      <c r="K327" s="68">
        <f t="shared" si="73"/>
        <v>55</v>
      </c>
      <c r="L327" s="60" t="s">
        <v>27</v>
      </c>
      <c r="M327" s="60" t="s">
        <v>149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376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11</v>
      </c>
      <c r="H328" s="87">
        <f>IFERROR(IF($G328="","",$G328*$S$338/$G$338/Cadastro!$E$33),"")</f>
        <v>69.8427868852459</v>
      </c>
      <c r="I328" s="89">
        <f>IFERROR(IF($D328="","",VLOOKUP($D328,Cadastro!$C$4:$G$7,5,FALSE())),"")</f>
        <v>0.6</v>
      </c>
      <c r="J328" s="90">
        <f t="shared" si="72"/>
        <v>14.666985245901639</v>
      </c>
      <c r="K328" s="63">
        <f t="shared" si="73"/>
        <v>55</v>
      </c>
      <c r="L328" s="60" t="s">
        <v>29</v>
      </c>
      <c r="M328" s="60" t="s">
        <v>137</v>
      </c>
      <c r="N328" s="60" t="s">
        <v>123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12</v>
      </c>
      <c r="H329" s="87">
        <f>IFERROR(IF($G329="","",$G329*$S$338/$G$338/Cadastro!$E$33),"")</f>
        <v>76.192131147540991</v>
      </c>
      <c r="I329" s="89">
        <f>IFERROR(IF($D329="","",VLOOKUP($D329,Cadastro!$C$4:$G$7,5,FALSE())),"")</f>
        <v>0.6</v>
      </c>
      <c r="J329" s="90">
        <f t="shared" si="72"/>
        <v>16.000347540983604</v>
      </c>
      <c r="K329" s="68">
        <f t="shared" si="73"/>
        <v>60</v>
      </c>
      <c r="L329" s="69" t="s">
        <v>27</v>
      </c>
      <c r="M329" s="69" t="s">
        <v>149</v>
      </c>
      <c r="N329" s="69" t="s">
        <v>70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340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5</v>
      </c>
      <c r="H330" s="87">
        <f>IFERROR(IF($G330="","",$G330*$S$338/$G$338/Cadastro!$E$33),"")</f>
        <v>31.746721311475408</v>
      </c>
      <c r="I330" s="89">
        <f>IFERROR(IF($D330="","",VLOOKUP($D330,Cadastro!$C$4:$G$7,5,FALSE())),"")</f>
        <v>0.6</v>
      </c>
      <c r="J330" s="90">
        <f t="shared" si="72"/>
        <v>6.666811475409836</v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31</v>
      </c>
      <c r="E331" s="86" t="s">
        <v>278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2"/>
        <v>0</v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</v>
      </c>
      <c r="H332" s="87">
        <f>IFERROR(IF($G332="","",$G332*$S$338/$G$338/Cadastro!$E$33),"")</f>
        <v>31.746721311475408</v>
      </c>
      <c r="I332" s="89">
        <f>IFERROR(IF($D332="","",VLOOKUP($D332,Cadastro!$C$4:$G$7,5,FALSE())),"")</f>
        <v>0.6</v>
      </c>
      <c r="J332" s="90">
        <f t="shared" si="72"/>
        <v>6.666811475409836</v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2"/>
        <v>0</v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2"/>
        <v>0</v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2"/>
        <v>0</v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2"/>
        <v>0</v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5</v>
      </c>
      <c r="H337" s="91">
        <f>IFERROR(IF($G337="","",$G337*$S$338/$G$338/Cadastro!$E$33),"")</f>
        <v>31.746721311475408</v>
      </c>
      <c r="I337" s="92">
        <f>IFERROR(IF($D337="","",VLOOKUP($D337,Cadastro!$C$4:$G$7,5,FALSE())),"")</f>
        <v>0.6</v>
      </c>
      <c r="J337" s="93">
        <f t="shared" si="72"/>
        <v>6.666811475409836</v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69" t="s">
        <v>264</v>
      </c>
      <c r="B338" s="169"/>
      <c r="C338" s="169"/>
      <c r="D338" s="169"/>
      <c r="E338" s="169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81.335099999999983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265</v>
      </c>
      <c r="S338" s="73">
        <v>387310</v>
      </c>
      <c r="T338" s="98">
        <f>IFERROR(J338,"")</f>
        <v>81.335099999999983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8</v>
      </c>
      <c r="H339" s="100">
        <f>IFERROR(IF($G339="","",$G339*$S$351/$G$351/Cadastro!$E$33),"")</f>
        <v>34.155999999999999</v>
      </c>
      <c r="I339" s="101">
        <f>IFERROR(IF($D339="","",VLOOKUP($D339,Cadastro!$C$4:$G$7,5,FALSE())),"")</f>
        <v>0.6</v>
      </c>
      <c r="J339" s="102">
        <f t="shared" ref="J339:J350" si="76">IFERROR(IF($H339="","",$H339*$F339*$I339),"")</f>
        <v>7.1727599999999994</v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3</v>
      </c>
      <c r="H340" s="87">
        <f>IFERROR(IF($G340="","",$G340*$S$351/$G$351/Cadastro!$E$33),"")</f>
        <v>12.8085</v>
      </c>
      <c r="I340" s="89">
        <f>IFERROR(IF($D340="","",VLOOKUP($D340,Cadastro!$C$4:$G$7,5,FALSE())),"")</f>
        <v>0.6</v>
      </c>
      <c r="J340" s="90">
        <f t="shared" si="76"/>
        <v>2.6897849999999996</v>
      </c>
      <c r="K340" s="63">
        <f t="shared" si="77"/>
        <v>12.600000000000001</v>
      </c>
      <c r="L340" s="60" t="s">
        <v>26</v>
      </c>
      <c r="M340" s="60" t="s">
        <v>146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8</v>
      </c>
      <c r="H341" s="87">
        <f>IFERROR(IF($G341="","",$G341*$S$351/$G$351/Cadastro!$E$33),"")</f>
        <v>34.155999999999999</v>
      </c>
      <c r="I341" s="89">
        <f>IFERROR(IF($D341="","",VLOOKUP($D341,Cadastro!$C$4:$G$7,5,FALSE())),"")</f>
        <v>0.6</v>
      </c>
      <c r="J341" s="90">
        <f t="shared" si="76"/>
        <v>7.1727599999999994</v>
      </c>
      <c r="K341" s="68">
        <f t="shared" si="77"/>
        <v>33.6</v>
      </c>
      <c r="L341" s="69" t="s">
        <v>26</v>
      </c>
      <c r="M341" s="69" t="s">
        <v>146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4</v>
      </c>
      <c r="H342" s="87">
        <f>IFERROR(IF($G342="","",$G342*$S$351/$G$351/Cadastro!$E$33),"")</f>
        <v>17.077999999999999</v>
      </c>
      <c r="I342" s="89">
        <f>IFERROR(IF($D342="","",VLOOKUP($D342,Cadastro!$C$4:$G$7,5,FALSE())),"")</f>
        <v>0.6</v>
      </c>
      <c r="J342" s="90">
        <f t="shared" si="76"/>
        <v>3.5863799999999997</v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</v>
      </c>
      <c r="H343" s="87">
        <f>IFERROR(IF($G343="","",$G343*$S$351/$G$351/Cadastro!$E$33),"")</f>
        <v>8.5389999999999997</v>
      </c>
      <c r="I343" s="89">
        <f>IFERROR(IF($D343="","",VLOOKUP($D343,Cadastro!$C$4:$G$7,5,FALSE())),"")</f>
        <v>0.6</v>
      </c>
      <c r="J343" s="90">
        <f t="shared" si="76"/>
        <v>1.7931899999999998</v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6</v>
      </c>
      <c r="H344" s="87">
        <f>IFERROR(IF($G344="","",$G344*$S$351/$G$351/Cadastro!$E$33),"")</f>
        <v>25.617000000000001</v>
      </c>
      <c r="I344" s="89">
        <f>IFERROR(IF($D344="","",VLOOKUP($D344,Cadastro!$C$4:$G$7,5,FALSE())),"")</f>
        <v>0.6</v>
      </c>
      <c r="J344" s="90">
        <f t="shared" si="76"/>
        <v>5.3795699999999993</v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3</v>
      </c>
      <c r="H345" s="87">
        <f>IFERROR(IF($G345="","",$G345*$S$351/$G$351/Cadastro!$E$33),"")</f>
        <v>12.8085</v>
      </c>
      <c r="I345" s="89">
        <f>IFERROR(IF($D345="","",VLOOKUP($D345,Cadastro!$C$4:$G$7,5,FALSE())),"")</f>
        <v>0.6</v>
      </c>
      <c r="J345" s="90">
        <f t="shared" si="76"/>
        <v>2.6897849999999996</v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4</v>
      </c>
      <c r="H346" s="87">
        <f>IFERROR(IF($G346="","",$G346*$S$351/$G$351/Cadastro!$E$33),"")</f>
        <v>17.077999999999999</v>
      </c>
      <c r="I346" s="89">
        <f>IFERROR(IF($D346="","",VLOOKUP($D346,Cadastro!$C$4:$G$7,5,FALSE())),"")</f>
        <v>0.6</v>
      </c>
      <c r="J346" s="90">
        <f t="shared" si="76"/>
        <v>3.5863799999999997</v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9</v>
      </c>
      <c r="H347" s="87">
        <f>IFERROR(IF($G347="","",$G347*$S$351/$G$351/Cadastro!$E$33),"")</f>
        <v>38.4255</v>
      </c>
      <c r="I347" s="89">
        <f>IFERROR(IF($D347="","",VLOOKUP($D347,Cadastro!$C$4:$G$7,5,FALSE())),"")</f>
        <v>0.6</v>
      </c>
      <c r="J347" s="90">
        <f t="shared" si="76"/>
        <v>8.0693549999999998</v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5</v>
      </c>
      <c r="H348" s="87">
        <f>IFERROR(IF($G348="","",$G348*$S$351/$G$351/Cadastro!$E$33),"")</f>
        <v>21.3475</v>
      </c>
      <c r="I348" s="89">
        <f>IFERROR(IF($D348="","",VLOOKUP($D348,Cadastro!$C$4:$G$7,5,FALSE())),"")</f>
        <v>0.6</v>
      </c>
      <c r="J348" s="90">
        <f t="shared" si="76"/>
        <v>4.4829749999999997</v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4</v>
      </c>
      <c r="H349" s="87">
        <f>IFERROR(IF($G349="","",$G349*$S$351/$G$351/Cadastro!$E$33),"")</f>
        <v>17.077999999999999</v>
      </c>
      <c r="I349" s="89">
        <f>IFERROR(IF($D349="","",VLOOKUP($D349,Cadastro!$C$4:$G$7,5,FALSE())),"")</f>
        <v>0.6</v>
      </c>
      <c r="J349" s="90">
        <f t="shared" si="76"/>
        <v>3.5863799999999997</v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4</v>
      </c>
      <c r="H350" s="91">
        <f>IFERROR(IF($G350="","",$G350*$S$351/$G$351/Cadastro!$E$33),"")</f>
        <v>17.077999999999999</v>
      </c>
      <c r="I350" s="92">
        <f>IFERROR(IF($D350="","",VLOOKUP($D350,Cadastro!$C$4:$G$7,5,FALSE())),"")</f>
        <v>0.6</v>
      </c>
      <c r="J350" s="93">
        <f t="shared" si="76"/>
        <v>3.5863799999999997</v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69" t="s">
        <v>267</v>
      </c>
      <c r="B351" s="169"/>
      <c r="C351" s="169"/>
      <c r="D351" s="169"/>
      <c r="E351" s="169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53.795699999999997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265</v>
      </c>
      <c r="S351" s="73">
        <v>256170</v>
      </c>
      <c r="T351" s="98">
        <f>IFERROR(J351,"")</f>
        <v>53.795699999999997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135.13079999999997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268</v>
      </c>
      <c r="S352" s="81">
        <f>IFERROR(S338+S351,"")</f>
        <v>643480</v>
      </c>
      <c r="T352" s="117">
        <f>IFERROR(J352,"")</f>
        <v>135.13079999999997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0">IFERROR(IF($H353="","",$H353*$F353*$I353),"")</f>
        <v>0</v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71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36.903333333333336</v>
      </c>
      <c r="I354" s="89">
        <f>IFERROR(IF($D354="","",VLOOKUP($D354,Cadastro!$C$4:$G$7,5,FALSE())),"")</f>
        <v>0.6</v>
      </c>
      <c r="J354" s="90">
        <f t="shared" si="80"/>
        <v>7.7496999999999998</v>
      </c>
      <c r="K354" s="63">
        <f t="shared" si="81"/>
        <v>42</v>
      </c>
      <c r="L354" s="60" t="s">
        <v>29</v>
      </c>
      <c r="M354" s="60" t="s">
        <v>56</v>
      </c>
      <c r="N354" s="60" t="s">
        <v>71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321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7</v>
      </c>
      <c r="H355" s="87">
        <f>IFERROR(IF($G355="","",$G355*$S$365/$G$365/Cadastro!$E$33),"")</f>
        <v>25.832333333333331</v>
      </c>
      <c r="I355" s="89">
        <f>IFERROR(IF($D355="","",VLOOKUP($D355,Cadastro!$C$4:$G$7,5,FALSE())),"")</f>
        <v>0.6</v>
      </c>
      <c r="J355" s="90">
        <f t="shared" si="80"/>
        <v>5.4247899999999989</v>
      </c>
      <c r="K355" s="68">
        <f t="shared" si="81"/>
        <v>29.400000000000002</v>
      </c>
      <c r="L355" s="69" t="s">
        <v>29</v>
      </c>
      <c r="M355" s="69" t="s">
        <v>169</v>
      </c>
      <c r="N355" s="69" t="s">
        <v>83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7</v>
      </c>
      <c r="H356" s="87">
        <f>IFERROR(IF($G356="","",$G356*$S$365/$G$365/Cadastro!$E$33),"")</f>
        <v>25.832333333333331</v>
      </c>
      <c r="I356" s="89">
        <f>IFERROR(IF($D356="","",VLOOKUP($D356,Cadastro!$C$4:$G$7,5,FALSE())),"")</f>
        <v>0.6</v>
      </c>
      <c r="J356" s="90">
        <f t="shared" si="80"/>
        <v>5.4247899999999989</v>
      </c>
      <c r="K356" s="63">
        <f t="shared" si="81"/>
        <v>29.400000000000002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9</v>
      </c>
      <c r="H357" s="87">
        <f>IFERROR(IF($G357="","",$G357*$S$365/$G$365/Cadastro!$E$33),"")</f>
        <v>33.213000000000001</v>
      </c>
      <c r="I357" s="89">
        <f>IFERROR(IF($D357="","",VLOOKUP($D357,Cadastro!$C$4:$G$7,5,FALSE())),"")</f>
        <v>0.6</v>
      </c>
      <c r="J357" s="90">
        <f t="shared" si="80"/>
        <v>6.9747299999999992</v>
      </c>
      <c r="K357" s="68">
        <f t="shared" si="81"/>
        <v>37.800000000000004</v>
      </c>
      <c r="L357" s="69" t="s">
        <v>27</v>
      </c>
      <c r="M357" s="69" t="s">
        <v>146</v>
      </c>
      <c r="N357" s="69" t="s">
        <v>127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5</v>
      </c>
      <c r="H358" s="87">
        <f>IFERROR(IF($G358="","",$G358*$S$365/$G$365/Cadastro!$E$33),"")</f>
        <v>18.451666666666668</v>
      </c>
      <c r="I358" s="89">
        <f>IFERROR(IF($D358="","",VLOOKUP($D358,Cadastro!$C$4:$G$7,5,FALSE())),"")</f>
        <v>0.6</v>
      </c>
      <c r="J358" s="90">
        <f t="shared" si="80"/>
        <v>3.8748499999999999</v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55.354999999999997</v>
      </c>
      <c r="I359" s="89">
        <f>IFERROR(IF($D359="","",VLOOKUP($D359,Cadastro!$C$4:$G$7,5,FALSE())),"")</f>
        <v>0.6</v>
      </c>
      <c r="J359" s="90">
        <f t="shared" si="80"/>
        <v>11.624549999999997</v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47.974333333333334</v>
      </c>
      <c r="I360" s="89">
        <f>IFERROR(IF($D360="","",VLOOKUP($D360,Cadastro!$C$4:$G$7,5,FALSE())),"")</f>
        <v>0.6</v>
      </c>
      <c r="J360" s="90">
        <f t="shared" si="80"/>
        <v>10.074609999999998</v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8</v>
      </c>
      <c r="H361" s="87">
        <f>IFERROR(IF($G361="","",$G361*$S$365/$G$365/Cadastro!$E$33),"")</f>
        <v>29.522666666666669</v>
      </c>
      <c r="I361" s="89">
        <f>IFERROR(IF($D361="","",VLOOKUP($D361,Cadastro!$C$4:$G$7,5,FALSE())),"")</f>
        <v>0.6</v>
      </c>
      <c r="J361" s="90">
        <f t="shared" si="80"/>
        <v>6.1997599999999995</v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0</v>
      </c>
      <c r="H362" s="87">
        <f>IFERROR(IF($G362="","",$G362*$S$365/$G$365/Cadastro!$E$33),"")</f>
        <v>0</v>
      </c>
      <c r="I362" s="89">
        <f>IFERROR(IF($D362="","",VLOOKUP($D362,Cadastro!$C$4:$G$7,5,FALSE())),"")</f>
        <v>0.6</v>
      </c>
      <c r="J362" s="90">
        <f t="shared" si="80"/>
        <v>0</v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4</v>
      </c>
      <c r="H363" s="87">
        <f>IFERROR(IF($G363="","",$G363*$S$365/$G$365/Cadastro!$E$33),"")</f>
        <v>14.761333333333335</v>
      </c>
      <c r="I363" s="89">
        <f>IFERROR(IF($D363="","",VLOOKUP($D363,Cadastro!$C$4:$G$7,5,FALSE())),"")</f>
        <v>0.6</v>
      </c>
      <c r="J363" s="90">
        <f t="shared" si="80"/>
        <v>3.0998799999999997</v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12</v>
      </c>
      <c r="H364" s="91">
        <f>IFERROR(IF($G364="","",$G364*$S$365/$G$365/Cadastro!$E$33),"")</f>
        <v>44.283999999999999</v>
      </c>
      <c r="I364" s="92">
        <f>IFERROR(IF($D364="","",VLOOKUP($D364,Cadastro!$C$4:$G$7,5,FALSE())),"")</f>
        <v>0.6</v>
      </c>
      <c r="J364" s="93">
        <f t="shared" si="80"/>
        <v>9.2996399999999984</v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69" t="s">
        <v>264</v>
      </c>
      <c r="B365" s="169"/>
      <c r="C365" s="169"/>
      <c r="D365" s="169"/>
      <c r="E365" s="169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69.747299999999981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265</v>
      </c>
      <c r="S365" s="73">
        <v>332130</v>
      </c>
      <c r="T365" s="98">
        <f>IFERROR(J365,"")</f>
        <v>69.747299999999981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4.5640506329113926</v>
      </c>
      <c r="I366" s="101">
        <f>IFERROR(IF($D366="","",VLOOKUP($D366,Cadastro!$C$4:$G$7,5,FALSE())),"")</f>
        <v>0.6</v>
      </c>
      <c r="J366" s="102">
        <f t="shared" ref="J366:J377" si="84">IFERROR(IF($H366="","",$H366*$F366*$I366),"")</f>
        <v>0.95845063291139232</v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0</v>
      </c>
      <c r="H367" s="87">
        <f>IFERROR(IF($G367="","",$G367*$S$378/$G$378/Cadastro!$E$33),"")</f>
        <v>0</v>
      </c>
      <c r="I367" s="89">
        <f>IFERROR(IF($D367="","",VLOOKUP($D367,Cadastro!$C$4:$G$7,5,FALSE())),"")</f>
        <v>0.6</v>
      </c>
      <c r="J367" s="90">
        <f t="shared" si="84"/>
        <v>0</v>
      </c>
      <c r="K367" s="68">
        <f t="shared" si="85"/>
        <v>0</v>
      </c>
      <c r="L367" s="69" t="s">
        <v>27</v>
      </c>
      <c r="M367" s="69" t="s">
        <v>146</v>
      </c>
      <c r="N367" s="69" t="s">
        <v>127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</v>
      </c>
      <c r="H368" s="87">
        <f>IFERROR(IF($G368="","",$G368*$S$378/$G$378/Cadastro!$E$33),"")</f>
        <v>9.1281012658227851</v>
      </c>
      <c r="I368" s="89">
        <f>IFERROR(IF($D368="","",VLOOKUP($D368,Cadastro!$C$4:$G$7,5,FALSE())),"")</f>
        <v>0.6</v>
      </c>
      <c r="J368" s="90">
        <f t="shared" si="84"/>
        <v>1.9169012658227846</v>
      </c>
      <c r="K368" s="63">
        <f t="shared" si="85"/>
        <v>8.4</v>
      </c>
      <c r="L368" s="60" t="s">
        <v>29</v>
      </c>
      <c r="M368" s="60" t="s">
        <v>56</v>
      </c>
      <c r="N368" s="60" t="s">
        <v>218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4</v>
      </c>
      <c r="H369" s="87">
        <f>IFERROR(IF($G369="","",$G369*$S$378/$G$378/Cadastro!$E$33),"")</f>
        <v>18.25620253164557</v>
      </c>
      <c r="I369" s="89">
        <f>IFERROR(IF($D369="","",VLOOKUP($D369,Cadastro!$C$4:$G$7,5,FALSE())),"")</f>
        <v>0.6</v>
      </c>
      <c r="J369" s="90">
        <f t="shared" si="84"/>
        <v>3.8338025316455693</v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9</v>
      </c>
      <c r="H370" s="87">
        <f>IFERROR(IF($G370="","",$G370*$S$378/$G$378/Cadastro!$E$33),"")</f>
        <v>41.07645569620253</v>
      </c>
      <c r="I370" s="89">
        <f>IFERROR(IF($D370="","",VLOOKUP($D370,Cadastro!$C$4:$G$7,5,FALSE())),"")</f>
        <v>0.6</v>
      </c>
      <c r="J370" s="90">
        <f t="shared" si="84"/>
        <v>8.6260556962025294</v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10</v>
      </c>
      <c r="H371" s="87">
        <f>IFERROR(IF($G371="","",$G371*$S$378/$G$378/Cadastro!$E$33),"")</f>
        <v>45.640506329113926</v>
      </c>
      <c r="I371" s="89">
        <f>IFERROR(IF($D371="","",VLOOKUP($D371,Cadastro!$C$4:$G$7,5,FALSE())),"")</f>
        <v>0.6</v>
      </c>
      <c r="J371" s="90">
        <f t="shared" si="84"/>
        <v>9.584506329113923</v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7</v>
      </c>
      <c r="H372" s="87">
        <f>IFERROR(IF($G372="","",$G372*$S$378/$G$378/Cadastro!$E$33),"")</f>
        <v>31.948354430379744</v>
      </c>
      <c r="I372" s="89">
        <f>IFERROR(IF($D372="","",VLOOKUP($D372,Cadastro!$C$4:$G$7,5,FALSE())),"")</f>
        <v>0.6</v>
      </c>
      <c r="J372" s="90">
        <f t="shared" si="84"/>
        <v>6.7091544303797459</v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15</v>
      </c>
      <c r="H373" s="87">
        <f>IFERROR(IF($G373="","",$G373*$S$378/$G$378/Cadastro!$E$33),"")</f>
        <v>68.460759493670892</v>
      </c>
      <c r="I373" s="89">
        <f>IFERROR(IF($D373="","",VLOOKUP($D373,Cadastro!$C$4:$G$7,5,FALSE())),"")</f>
        <v>0.6</v>
      </c>
      <c r="J373" s="90">
        <f t="shared" si="84"/>
        <v>14.376759493670885</v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13</v>
      </c>
      <c r="H374" s="87">
        <f>IFERROR(IF($G374="","",$G374*$S$378/$G$378/Cadastro!$E$33),"")</f>
        <v>59.3326582278481</v>
      </c>
      <c r="I374" s="89">
        <f>IFERROR(IF($D374="","",VLOOKUP($D374,Cadastro!$C$4:$G$7,5,FALSE())),"")</f>
        <v>0.6</v>
      </c>
      <c r="J374" s="90">
        <f t="shared" si="84"/>
        <v>12.4598582278481</v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3</v>
      </c>
      <c r="H375" s="87">
        <f>IFERROR(IF($G375="","",$G375*$S$378/$G$378/Cadastro!$E$33),"")</f>
        <v>13.692151898734178</v>
      </c>
      <c r="I375" s="89">
        <f>IFERROR(IF($D375="","",VLOOKUP($D375,Cadastro!$C$4:$G$7,5,FALSE())),"")</f>
        <v>0.6</v>
      </c>
      <c r="J375" s="90">
        <f t="shared" si="84"/>
        <v>2.8753518987341766</v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8</v>
      </c>
      <c r="H376" s="87">
        <f>IFERROR(IF($G376="","",$G376*$S$378/$G$378/Cadastro!$E$33),"")</f>
        <v>36.512405063291141</v>
      </c>
      <c r="I376" s="89">
        <f>IFERROR(IF($D376="","",VLOOKUP($D376,Cadastro!$C$4:$G$7,5,FALSE())),"")</f>
        <v>0.6</v>
      </c>
      <c r="J376" s="90">
        <f t="shared" si="84"/>
        <v>7.6676050632911386</v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7</v>
      </c>
      <c r="H377" s="91">
        <f>IFERROR(IF($G377="","",$G377*$S$378/$G$378/Cadastro!$E$33),"")</f>
        <v>31.948354430379744</v>
      </c>
      <c r="I377" s="92">
        <f>IFERROR(IF($D377="","",VLOOKUP($D377,Cadastro!$C$4:$G$7,5,FALSE())),"")</f>
        <v>0.6</v>
      </c>
      <c r="J377" s="93">
        <f t="shared" si="84"/>
        <v>6.7091544303797459</v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69" t="s">
        <v>267</v>
      </c>
      <c r="B378" s="169"/>
      <c r="C378" s="169"/>
      <c r="D378" s="169"/>
      <c r="E378" s="169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75.71759999999999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265</v>
      </c>
      <c r="S378" s="73">
        <v>360560</v>
      </c>
      <c r="T378" s="98">
        <f>IFERROR(J378,"")</f>
        <v>75.71759999999999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145.46489999999997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268</v>
      </c>
      <c r="S379" s="81">
        <f>IFERROR(S365+S378,"")</f>
        <v>692690</v>
      </c>
      <c r="T379" s="117">
        <f>IFERROR(J379,"")</f>
        <v>145.46489999999997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10</v>
      </c>
      <c r="H380" s="100">
        <f>IFERROR(IF($G380="","",$G380*$S$392/$G$392/Cadastro!$E$33),"")</f>
        <v>52.132608695652173</v>
      </c>
      <c r="I380" s="101">
        <f>IFERROR(IF($D380="","",VLOOKUP($D380,Cadastro!$C$4:$G$7,5,FALSE())),"")</f>
        <v>0.6</v>
      </c>
      <c r="J380" s="102">
        <f t="shared" ref="J380:J391" si="88">IFERROR(IF($H380="","",$H380*$F380*$I380),"")</f>
        <v>10.947847826086955</v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83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31</v>
      </c>
      <c r="F381" s="87">
        <f>IFERROR(IF($D381="","",VLOOKUP($D381,Cadastro!$C$4:$E$7,3,FALSE())),"")</f>
        <v>0.35</v>
      </c>
      <c r="G381" s="88">
        <v>11</v>
      </c>
      <c r="H381" s="87">
        <f>IFERROR(IF($G381="","",$G381*$S$392/$G$392/Cadastro!$E$33),"")</f>
        <v>57.345869565217392</v>
      </c>
      <c r="I381" s="89">
        <f>IFERROR(IF($D381="","",VLOOKUP($D381,Cadastro!$C$4:$G$7,5,FALSE())),"")</f>
        <v>0.6</v>
      </c>
      <c r="J381" s="90">
        <f t="shared" si="88"/>
        <v>12.04263260869565</v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83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7</v>
      </c>
      <c r="H382" s="87">
        <f>IFERROR(IF($G382="","",$G382*$S$392/$G$392/Cadastro!$E$33),"")</f>
        <v>36.492826086956519</v>
      </c>
      <c r="I382" s="89">
        <f>IFERROR(IF($D382="","",VLOOKUP($D382,Cadastro!$C$4:$G$7,5,FALSE())),"")</f>
        <v>0.6</v>
      </c>
      <c r="J382" s="90">
        <f t="shared" si="88"/>
        <v>7.6634934782608681</v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6</v>
      </c>
      <c r="H383" s="87">
        <f>IFERROR(IF($G383="","",$G383*$S$392/$G$392/Cadastro!$E$33),"")</f>
        <v>31.279565217391305</v>
      </c>
      <c r="I383" s="89">
        <f>IFERROR(IF($D383="","",VLOOKUP($D383,Cadastro!$C$4:$G$7,5,FALSE())),"")</f>
        <v>0.6</v>
      </c>
      <c r="J383" s="90">
        <f t="shared" si="88"/>
        <v>6.5687086956521741</v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65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377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0</v>
      </c>
      <c r="H384" s="87">
        <f>IFERROR(IF($G384="","",$G384*$S$392/$G$392/Cadastro!$E$33),"")</f>
        <v>0</v>
      </c>
      <c r="I384" s="89">
        <f>IFERROR(IF($D384="","",VLOOKUP($D384,Cadastro!$C$4:$G$7,5,FALSE())),"")</f>
        <v>0.6</v>
      </c>
      <c r="J384" s="90">
        <f t="shared" si="88"/>
        <v>0</v>
      </c>
      <c r="K384" s="63">
        <f t="shared" si="91"/>
        <v>0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343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8</v>
      </c>
      <c r="H385" s="87">
        <f>IFERROR(IF($G385="","",$G385*$S$392/$G$392/Cadastro!$E$33),"")</f>
        <v>41.706086956521737</v>
      </c>
      <c r="I385" s="89">
        <f>IFERROR(IF($D385="","",VLOOKUP($D385,Cadastro!$C$4:$G$7,5,FALSE())),"")</f>
        <v>0.6</v>
      </c>
      <c r="J385" s="90">
        <f t="shared" si="88"/>
        <v>8.7582782608695631</v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11</v>
      </c>
      <c r="H386" s="87">
        <f>IFERROR(IF($G386="","",$G386*$S$392/$G$392/Cadastro!$E$33),"")</f>
        <v>57.345869565217392</v>
      </c>
      <c r="I386" s="89">
        <f>IFERROR(IF($D386="","",VLOOKUP($D386,Cadastro!$C$4:$G$7,5,FALSE())),"")</f>
        <v>0.6</v>
      </c>
      <c r="J386" s="90">
        <f t="shared" si="88"/>
        <v>12.04263260869565</v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3</v>
      </c>
      <c r="H387" s="87">
        <f>IFERROR(IF($G387="","",$G387*$S$392/$G$392/Cadastro!$E$33),"")</f>
        <v>15.639782608695652</v>
      </c>
      <c r="I387" s="89">
        <f>IFERROR(IF($D387="","",VLOOKUP($D387,Cadastro!$C$4:$G$7,5,FALSE())),"")</f>
        <v>0.6</v>
      </c>
      <c r="J387" s="90">
        <f t="shared" si="88"/>
        <v>3.284354347826087</v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13</v>
      </c>
      <c r="H388" s="87">
        <f>IFERROR(IF($G388="","",$G388*$S$392/$G$392/Cadastro!$E$33),"")</f>
        <v>67.772391304347821</v>
      </c>
      <c r="I388" s="89">
        <f>IFERROR(IF($D388="","",VLOOKUP($D388,Cadastro!$C$4:$G$7,5,FALSE())),"")</f>
        <v>0.6</v>
      </c>
      <c r="J388" s="90">
        <f t="shared" si="88"/>
        <v>14.23220217391304</v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41.706086956521737</v>
      </c>
      <c r="I389" s="89">
        <f>IFERROR(IF($D389="","",VLOOKUP($D389,Cadastro!$C$4:$G$7,5,FALSE())),"")</f>
        <v>0.6</v>
      </c>
      <c r="J389" s="90">
        <f t="shared" si="88"/>
        <v>8.7582782608695631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7</v>
      </c>
      <c r="H390" s="87">
        <f>IFERROR(IF($G390="","",$G390*$S$392/$G$392/Cadastro!$E$33),"")</f>
        <v>36.492826086956519</v>
      </c>
      <c r="I390" s="89">
        <f>IFERROR(IF($D390="","",VLOOKUP($D390,Cadastro!$C$4:$G$7,5,FALSE())),"")</f>
        <v>0.6</v>
      </c>
      <c r="J390" s="90">
        <f t="shared" si="88"/>
        <v>7.6634934782608681</v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8</v>
      </c>
      <c r="H391" s="91">
        <f>IFERROR(IF($G391="","",$G391*$S$392/$G$392/Cadastro!$E$33),"")</f>
        <v>41.706086956521737</v>
      </c>
      <c r="I391" s="92">
        <f>IFERROR(IF($D391="","",VLOOKUP($D391,Cadastro!$C$4:$G$7,5,FALSE())),"")</f>
        <v>0.6</v>
      </c>
      <c r="J391" s="93">
        <f t="shared" si="88"/>
        <v>8.7582782608695631</v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69" t="s">
        <v>264</v>
      </c>
      <c r="B392" s="169"/>
      <c r="C392" s="169"/>
      <c r="D392" s="169"/>
      <c r="E392" s="169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100.72019999999998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265</v>
      </c>
      <c r="S392" s="73">
        <v>479620</v>
      </c>
      <c r="T392" s="98">
        <f>IFERROR(J392,"")</f>
        <v>100.72019999999998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9</v>
      </c>
      <c r="H393" s="100">
        <f>IFERROR(IF($G393="","",$G393*$S$405/$G$405/Cadastro!$E$33),"")</f>
        <v>39.323571428571427</v>
      </c>
      <c r="I393" s="101">
        <f>IFERROR(IF($D393="","",VLOOKUP($D393,Cadastro!$C$4:$G$7,5,FALSE())),"")</f>
        <v>0.6</v>
      </c>
      <c r="J393" s="102">
        <f t="shared" ref="J393:J404" si="92">IFERROR(IF($H393="","",$H393*$F393*$I393),"")</f>
        <v>8.2579499999999992</v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17</v>
      </c>
      <c r="H394" s="87">
        <f>IFERROR(IF($G394="","",$G394*$S$405/$G$405/Cadastro!$E$33),"")</f>
        <v>74.277857142857144</v>
      </c>
      <c r="I394" s="89">
        <f>IFERROR(IF($D394="","",VLOOKUP($D394,Cadastro!$C$4:$G$7,5,FALSE())),"")</f>
        <v>0.6</v>
      </c>
      <c r="J394" s="90">
        <f t="shared" si="92"/>
        <v>15.598349999999998</v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6</v>
      </c>
      <c r="H395" s="87">
        <f>IFERROR(IF($G395="","",$G395*$S$405/$G$405/Cadastro!$E$33),"")</f>
        <v>26.215714285714288</v>
      </c>
      <c r="I395" s="89">
        <f>IFERROR(IF($D395="","",VLOOKUP($D395,Cadastro!$C$4:$G$7,5,FALSE())),"")</f>
        <v>0.6</v>
      </c>
      <c r="J395" s="90">
        <f t="shared" si="92"/>
        <v>5.5052999999999992</v>
      </c>
      <c r="K395" s="68">
        <f t="shared" si="93"/>
        <v>25.200000000000003</v>
      </c>
      <c r="L395" s="69" t="s">
        <v>29</v>
      </c>
      <c r="M395" s="69" t="s">
        <v>169</v>
      </c>
      <c r="N395" s="69" t="s">
        <v>83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7</v>
      </c>
      <c r="H396" s="87">
        <f>IFERROR(IF($G396="","",$G396*$S$405/$G$405/Cadastro!$E$33),"")</f>
        <v>30.585000000000001</v>
      </c>
      <c r="I396" s="89">
        <f>IFERROR(IF($D396="","",VLOOKUP($D396,Cadastro!$C$4:$G$7,5,FALSE())),"")</f>
        <v>0.6</v>
      </c>
      <c r="J396" s="90">
        <f t="shared" si="92"/>
        <v>6.4228499999999995</v>
      </c>
      <c r="K396" s="63">
        <f t="shared" si="93"/>
        <v>29.400000000000002</v>
      </c>
      <c r="L396" s="60" t="s">
        <v>29</v>
      </c>
      <c r="M396" s="60" t="s">
        <v>169</v>
      </c>
      <c r="N396" s="60" t="s">
        <v>83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20</v>
      </c>
      <c r="H397" s="87">
        <f>IFERROR(IF($G397="","",$G397*$S$405/$G$405/Cadastro!$E$33),"")</f>
        <v>87.385714285714286</v>
      </c>
      <c r="I397" s="89">
        <f>IFERROR(IF($D397="","",VLOOKUP($D397,Cadastro!$C$4:$G$7,5,FALSE())),"")</f>
        <v>0.6</v>
      </c>
      <c r="J397" s="90">
        <f t="shared" si="92"/>
        <v>18.350999999999999</v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10</v>
      </c>
      <c r="H398" s="87">
        <f>IFERROR(IF($G398="","",$G398*$S$405/$G$405/Cadastro!$E$33),"")</f>
        <v>43.692857142857143</v>
      </c>
      <c r="I398" s="89">
        <f>IFERROR(IF($D398="","",VLOOKUP($D398,Cadastro!$C$4:$G$7,5,FALSE())),"")</f>
        <v>0.6</v>
      </c>
      <c r="J398" s="90">
        <f t="shared" si="92"/>
        <v>9.1754999999999995</v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5</v>
      </c>
      <c r="H399" s="87">
        <f>IFERROR(IF($G399="","",$G399*$S$405/$G$405/Cadastro!$E$33),"")</f>
        <v>21.846428571428572</v>
      </c>
      <c r="I399" s="89">
        <f>IFERROR(IF($D399="","",VLOOKUP($D399,Cadastro!$C$4:$G$7,5,FALSE())),"")</f>
        <v>0.6</v>
      </c>
      <c r="J399" s="90">
        <f t="shared" si="92"/>
        <v>4.5877499999999998</v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16</v>
      </c>
      <c r="H400" s="87">
        <f>IFERROR(IF($G400="","",$G400*$S$405/$G$405/Cadastro!$E$33),"")</f>
        <v>69.908571428571435</v>
      </c>
      <c r="I400" s="89">
        <f>IFERROR(IF($D400="","",VLOOKUP($D400,Cadastro!$C$4:$G$7,5,FALSE())),"")</f>
        <v>0.6</v>
      </c>
      <c r="J400" s="90">
        <f t="shared" si="92"/>
        <v>14.6808</v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10</v>
      </c>
      <c r="H401" s="87">
        <f>IFERROR(IF($G401="","",$G401*$S$405/$G$405/Cadastro!$E$33),"")</f>
        <v>43.692857142857143</v>
      </c>
      <c r="I401" s="89">
        <f>IFERROR(IF($D401="","",VLOOKUP($D401,Cadastro!$C$4:$G$7,5,FALSE())),"")</f>
        <v>0.6</v>
      </c>
      <c r="J401" s="90">
        <f t="shared" si="92"/>
        <v>9.1754999999999995</v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69" t="s">
        <v>267</v>
      </c>
      <c r="B405" s="169"/>
      <c r="C405" s="169"/>
      <c r="D405" s="169"/>
      <c r="E405" s="169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99.305125714285708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265</v>
      </c>
      <c r="S405" s="73">
        <v>489360</v>
      </c>
      <c r="T405" s="98">
        <f>IFERROR(J405,"")</f>
        <v>99.305125714285708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200.02532571428569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268</v>
      </c>
      <c r="S406" s="81">
        <f>IFERROR(S392+S405,"")</f>
        <v>968980</v>
      </c>
      <c r="T406" s="117">
        <f>IFERROR(J406,"")</f>
        <v>200.02532571428569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378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69" t="s">
        <v>264</v>
      </c>
      <c r="B419" s="169"/>
      <c r="C419" s="169"/>
      <c r="D419" s="169"/>
      <c r="E419" s="169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265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65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379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71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65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169</v>
      </c>
      <c r="N425" s="69" t="s">
        <v>83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69" t="s">
        <v>267</v>
      </c>
      <c r="B432" s="169"/>
      <c r="C432" s="169"/>
      <c r="D432" s="169"/>
      <c r="E432" s="169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265</v>
      </c>
      <c r="S432" s="73">
        <v>180150</v>
      </c>
      <c r="T432" s="98">
        <f>IFERROR(J432,"")</f>
        <v>25.941599999999998</v>
      </c>
    </row>
    <row r="433" spans="1:20" ht="18" customHeight="1">
      <c r="A433" s="170" t="s">
        <v>253</v>
      </c>
      <c r="B433" s="170"/>
      <c r="C433" s="170"/>
      <c r="D433" s="170"/>
      <c r="E433" s="170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268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6</v>
      </c>
      <c r="H434" s="100">
        <f>IFERROR(IF($G434="","",$G434*$S$446/$G$446/Cadastro!$E$33),"")</f>
        <v>27.478588235294119</v>
      </c>
      <c r="I434" s="101">
        <f>IFERROR(IF($D434="","",VLOOKUP($D434,Cadastro!$C$4:$G$7,5,FALSE())),"")</f>
        <v>0.6</v>
      </c>
      <c r="J434" s="102">
        <f t="shared" ref="J434:J445" si="104">IFERROR(IF($H434="","",$H434*$F434*$I434),"")</f>
        <v>5.7705035294117639</v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65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380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3</v>
      </c>
      <c r="H435" s="87">
        <f>IFERROR(IF($G435="","",$G435*$S$446/$G$446/Cadastro!$E$33),"")</f>
        <v>13.739294117647059</v>
      </c>
      <c r="I435" s="89">
        <f>IFERROR(IF($D435="","",VLOOKUP($D435,Cadastro!$C$4:$G$7,5,FALSE())),"")</f>
        <v>0.6</v>
      </c>
      <c r="J435" s="90">
        <f t="shared" si="104"/>
        <v>2.885251764705882</v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50.377411764705883</v>
      </c>
      <c r="I436" s="89">
        <f>IFERROR(IF($D436="","",VLOOKUP($D436,Cadastro!$C$4:$G$7,5,FALSE())),"")</f>
        <v>0.6</v>
      </c>
      <c r="J436" s="90">
        <f t="shared" si="104"/>
        <v>10.579256470588234</v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380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12</v>
      </c>
      <c r="H437" s="87">
        <f>IFERROR(IF($G437="","",$G437*$S$446/$G$446/Cadastro!$E$33),"")</f>
        <v>54.957176470588237</v>
      </c>
      <c r="I437" s="89">
        <f>IFERROR(IF($D437="","",VLOOKUP($D437,Cadastro!$C$4:$G$7,5,FALSE())),"")</f>
        <v>0.6</v>
      </c>
      <c r="J437" s="90">
        <f t="shared" si="104"/>
        <v>11.541007058823528</v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0</v>
      </c>
      <c r="H438" s="87">
        <f>IFERROR(IF($G438="","",$G438*$S$446/$G$446/Cadastro!$E$33),"")</f>
        <v>0</v>
      </c>
      <c r="I438" s="89">
        <f>IFERROR(IF($D438="","",VLOOKUP($D438,Cadastro!$C$4:$G$7,5,FALSE())),"")</f>
        <v>0.6</v>
      </c>
      <c r="J438" s="90">
        <f t="shared" si="104"/>
        <v>0</v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45.797647058823529</v>
      </c>
      <c r="I439" s="89">
        <f>IFERROR(IF($D439="","",VLOOKUP($D439,Cadastro!$C$4:$G$7,5,FALSE())),"")</f>
        <v>0.6</v>
      </c>
      <c r="J439" s="90">
        <f t="shared" si="104"/>
        <v>9.6175058823529387</v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2</v>
      </c>
      <c r="H440" s="87">
        <f>IFERROR(IF($G440="","",$G440*$S$446/$G$446/Cadastro!$E$33),"")</f>
        <v>9.1595294117647068</v>
      </c>
      <c r="I440" s="89">
        <f>IFERROR(IF($D440="","",VLOOKUP($D440,Cadastro!$C$4:$G$7,5,FALSE())),"")</f>
        <v>0.6</v>
      </c>
      <c r="J440" s="90">
        <f t="shared" si="104"/>
        <v>1.9235011764705883</v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41.217882352941174</v>
      </c>
      <c r="I443" s="89">
        <f>IFERROR(IF($D443="","",VLOOKUP($D443,Cadastro!$C$4:$G$7,5,FALSE())),"")</f>
        <v>0.6</v>
      </c>
      <c r="J443" s="90">
        <f t="shared" si="104"/>
        <v>8.6557552941176468</v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8</v>
      </c>
      <c r="H444" s="87">
        <f>IFERROR(IF($G444="","",$G444*$S$446/$G$446/Cadastro!$E$33),"")</f>
        <v>36.638117647058827</v>
      </c>
      <c r="I444" s="89">
        <f>IFERROR(IF($D444="","",VLOOKUP($D444,Cadastro!$C$4:$G$7,5,FALSE())),"")</f>
        <v>0.6</v>
      </c>
      <c r="J444" s="90">
        <f t="shared" si="104"/>
        <v>7.6940047058823531</v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0</v>
      </c>
      <c r="H445" s="91">
        <f>IFERROR(IF($G445="","",$G445*$S$446/$G$446/Cadastro!$E$33),"")</f>
        <v>0</v>
      </c>
      <c r="I445" s="92">
        <f>IFERROR(IF($D445="","",VLOOKUP($D445,Cadastro!$C$4:$G$7,5,FALSE())),"")</f>
        <v>0.6</v>
      </c>
      <c r="J445" s="93">
        <f t="shared" si="104"/>
        <v>0</v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69" t="s">
        <v>264</v>
      </c>
      <c r="B446" s="169"/>
      <c r="C446" s="169"/>
      <c r="D446" s="169"/>
      <c r="E446" s="169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74.494452705882338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265</v>
      </c>
      <c r="S446" s="73">
        <v>389280</v>
      </c>
      <c r="T446" s="98">
        <f>IFERROR(J446,"")</f>
        <v>74.494452705882338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15</v>
      </c>
      <c r="H447" s="100">
        <f>IFERROR(IF($G447="","",$G447*$S$459/$G$459/Cadastro!$E$33),"")</f>
        <v>63.77162162162162</v>
      </c>
      <c r="I447" s="101">
        <f>IFERROR(IF($D447="","",VLOOKUP($D447,Cadastro!$C$4:$G$7,5,FALSE())),"")</f>
        <v>0.6</v>
      </c>
      <c r="J447" s="102">
        <f t="shared" ref="J447:J458" si="108">IFERROR(IF($H447="","",$H447*$F447*$I447),"")</f>
        <v>13.39204054054054</v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137</v>
      </c>
      <c r="N447" s="69" t="s">
        <v>223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16</v>
      </c>
      <c r="H448" s="87">
        <f>IFERROR(IF($G448="","",$G448*$S$459/$G$459/Cadastro!$E$33),"")</f>
        <v>68.023063063063063</v>
      </c>
      <c r="I448" s="89">
        <f>IFERROR(IF($D448="","",VLOOKUP($D448,Cadastro!$C$4:$G$7,5,FALSE())),"")</f>
        <v>0.6</v>
      </c>
      <c r="J448" s="90">
        <f t="shared" si="108"/>
        <v>14.284843243243243</v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6</v>
      </c>
      <c r="H449" s="87">
        <f>IFERROR(IF($G449="","",$G449*$S$459/$G$459/Cadastro!$E$33),"")</f>
        <v>25.508648648648649</v>
      </c>
      <c r="I449" s="89">
        <f>IFERROR(IF($D449="","",VLOOKUP($D449,Cadastro!$C$4:$G$7,5,FALSE())),"")</f>
        <v>0.6</v>
      </c>
      <c r="J449" s="90">
        <f t="shared" si="108"/>
        <v>5.3568162162162158</v>
      </c>
      <c r="K449" s="68">
        <f t="shared" si="109"/>
        <v>25.200000000000003</v>
      </c>
      <c r="L449" s="69" t="s">
        <v>29</v>
      </c>
      <c r="M449" s="69"/>
      <c r="N449" s="69" t="s">
        <v>212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381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10</v>
      </c>
      <c r="H453" s="87">
        <f>IFERROR(IF($G453="","",$G453*$S$459/$G$459/Cadastro!$E$33),"")</f>
        <v>42.514414414414418</v>
      </c>
      <c r="I453" s="89">
        <f>IFERROR(IF($D453="","",VLOOKUP($D453,Cadastro!$C$4:$G$7,5,FALSE())),"")</f>
        <v>0.6</v>
      </c>
      <c r="J453" s="90">
        <f t="shared" si="108"/>
        <v>8.9280270270270279</v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</v>
      </c>
      <c r="H454" s="87">
        <f>IFERROR(IF($G454="","",$G454*$S$459/$G$459/Cadastro!$E$33),"")</f>
        <v>8.5028828828828829</v>
      </c>
      <c r="I454" s="89">
        <f>IFERROR(IF($D454="","",VLOOKUP($D454,Cadastro!$C$4:$G$7,5,FALSE())),"")</f>
        <v>0.6</v>
      </c>
      <c r="J454" s="90">
        <f t="shared" si="108"/>
        <v>1.7856054054054054</v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16</v>
      </c>
      <c r="H455" s="87">
        <f>IFERROR(IF($G455="","",$G455*$S$459/$G$459/Cadastro!$E$33),"")</f>
        <v>68.023063063063063</v>
      </c>
      <c r="I455" s="89">
        <f>IFERROR(IF($D455="","",VLOOKUP($D455,Cadastro!$C$4:$G$7,5,FALSE())),"")</f>
        <v>0.6</v>
      </c>
      <c r="J455" s="90">
        <f t="shared" si="108"/>
        <v>14.284843243243243</v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7</v>
      </c>
      <c r="H456" s="87">
        <f>IFERROR(IF($G456="","",$G456*$S$459/$G$459/Cadastro!$E$33),"")</f>
        <v>29.760090090090088</v>
      </c>
      <c r="I456" s="89">
        <f>IFERROR(IF($D456="","",VLOOKUP($D456,Cadastro!$C$4:$G$7,5,FALSE())),"")</f>
        <v>0.6</v>
      </c>
      <c r="J456" s="90">
        <f t="shared" si="108"/>
        <v>6.2496189189189177</v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13</v>
      </c>
      <c r="H457" s="87">
        <f>IFERROR(IF($G457="","",$G457*$S$459/$G$459/Cadastro!$E$33),"")</f>
        <v>55.268738738738733</v>
      </c>
      <c r="I457" s="89">
        <f>IFERROR(IF($D457="","",VLOOKUP($D457,Cadastro!$C$4:$G$7,5,FALSE())),"")</f>
        <v>0.6</v>
      </c>
      <c r="J457" s="90">
        <f t="shared" si="108"/>
        <v>11.606435135135133</v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4</v>
      </c>
      <c r="H458" s="91">
        <f>IFERROR(IF($G458="","",$G458*$S$459/$G$459/Cadastro!$E$33),"")</f>
        <v>17.005765765765766</v>
      </c>
      <c r="I458" s="92">
        <f>IFERROR(IF($D458="","",VLOOKUP($D458,Cadastro!$C$4:$G$7,5,FALSE())),"")</f>
        <v>0.6</v>
      </c>
      <c r="J458" s="93">
        <f t="shared" si="108"/>
        <v>3.5712108108108107</v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69" t="s">
        <v>267</v>
      </c>
      <c r="B459" s="169"/>
      <c r="C459" s="169"/>
      <c r="D459" s="169"/>
      <c r="E459" s="169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92.928007027027007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265</v>
      </c>
      <c r="S459" s="73">
        <v>471910</v>
      </c>
      <c r="T459" s="98">
        <f>IFERROR(J459,"")</f>
        <v>92.928007027027007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167.42245973290935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268</v>
      </c>
      <c r="S460" s="81">
        <f>IFERROR(S446+S459,"")</f>
        <v>861190</v>
      </c>
      <c r="T460" s="117">
        <f>IFERROR(J460,"")</f>
        <v>167.42245973290935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67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69" t="s">
        <v>264</v>
      </c>
      <c r="B473" s="169"/>
      <c r="C473" s="169"/>
      <c r="D473" s="169"/>
      <c r="E473" s="169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265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67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321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137</v>
      </c>
      <c r="N475" s="69" t="s">
        <v>196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169</v>
      </c>
      <c r="N476" s="60" t="s">
        <v>83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141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382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69" t="s">
        <v>267</v>
      </c>
      <c r="B486" s="169"/>
      <c r="C486" s="169"/>
      <c r="D486" s="169"/>
      <c r="E486" s="169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265</v>
      </c>
      <c r="S486" s="73">
        <v>261400</v>
      </c>
      <c r="T486" s="98">
        <f>IFERROR(J486,"")</f>
        <v>37.641599999999997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268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83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278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367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69" t="s">
        <v>264</v>
      </c>
      <c r="B500" s="169"/>
      <c r="C500" s="169"/>
      <c r="D500" s="169"/>
      <c r="E500" s="169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265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133</v>
      </c>
      <c r="N501" s="69" t="s">
        <v>123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383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212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168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384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5</v>
      </c>
      <c r="H508" s="87">
        <f>IFERROR(IF($G508="","",$G508*$S$513/$G$513/Cadastro!$E$33),"")</f>
        <v>21.258333333333333</v>
      </c>
      <c r="I508" s="89">
        <f>IFERROR(IF($D508="","",VLOOKUP($D508,Cadastro!$C$4:$G$7,5,FALSE())),"")</f>
        <v>0.6</v>
      </c>
      <c r="J508" s="90">
        <f t="shared" si="123"/>
        <v>4.4642499999999989</v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10</v>
      </c>
      <c r="H509" s="87">
        <f>IFERROR(IF($G509="","",$G509*$S$513/$G$513/Cadastro!$E$33),"")</f>
        <v>42.516666666666666</v>
      </c>
      <c r="I509" s="89">
        <f>IFERROR(IF($D509="","",VLOOKUP($D509,Cadastro!$C$4:$G$7,5,FALSE())),"")</f>
        <v>0.6</v>
      </c>
      <c r="J509" s="90">
        <f t="shared" si="123"/>
        <v>8.9284999999999979</v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10</v>
      </c>
      <c r="H510" s="87">
        <f>IFERROR(IF($G510="","",$G510*$S$513/$G$513/Cadastro!$E$33),"")</f>
        <v>42.516666666666666</v>
      </c>
      <c r="I510" s="89">
        <f>IFERROR(IF($D510="","",VLOOKUP($D510,Cadastro!$C$4:$G$7,5,FALSE())),"")</f>
        <v>0.6</v>
      </c>
      <c r="J510" s="90">
        <f t="shared" si="123"/>
        <v>8.9284999999999979</v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12</v>
      </c>
      <c r="H511" s="87">
        <f>IFERROR(IF($G511="","",$G511*$S$513/$G$513/Cadastro!$E$33),"")</f>
        <v>51.02</v>
      </c>
      <c r="I511" s="89">
        <f>IFERROR(IF($D511="","",VLOOKUP($D511,Cadastro!$C$4:$G$7,5,FALSE())),"")</f>
        <v>0.6</v>
      </c>
      <c r="J511" s="90">
        <f t="shared" si="123"/>
        <v>10.7142</v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3"/>
        <v>0</v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69" t="s">
        <v>267</v>
      </c>
      <c r="B513" s="169"/>
      <c r="C513" s="169"/>
      <c r="D513" s="169"/>
      <c r="E513" s="169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61.810729999999992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265</v>
      </c>
      <c r="S513" s="73">
        <v>357140</v>
      </c>
      <c r="T513" s="98">
        <f>IFERROR(J513,"")</f>
        <v>61.810729999999992</v>
      </c>
    </row>
    <row r="514" spans="1:20" ht="18" customHeight="1">
      <c r="A514" s="170" t="s">
        <v>253</v>
      </c>
      <c r="B514" s="170"/>
      <c r="C514" s="170"/>
      <c r="D514" s="170"/>
      <c r="E514" s="170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115.41472999999999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268</v>
      </c>
      <c r="S514" s="81">
        <f>IFERROR(S500+S513,"")</f>
        <v>729390</v>
      </c>
      <c r="T514" s="117">
        <f>IFERROR(J514,"")</f>
        <v>115.41472999999999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6</v>
      </c>
      <c r="H515" s="100">
        <f>IFERROR(IF($G515="","",$G515*$S$527/$G$527/Cadastro!$E$33),"")</f>
        <v>30.633506493506495</v>
      </c>
      <c r="I515" s="101">
        <f>IFERROR(IF($D515="","",VLOOKUP($D515,Cadastro!$C$4:$G$7,5,FALSE())),"")</f>
        <v>0.6</v>
      </c>
      <c r="J515" s="102">
        <f t="shared" ref="J515:J526" si="127">IFERROR(IF($H515="","",$H515*$F515*$I515),"")</f>
        <v>6.4330363636363641</v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83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7</v>
      </c>
      <c r="H516" s="87">
        <f>IFERROR(IF($G516="","",$G516*$S$527/$G$527/Cadastro!$E$33),"")</f>
        <v>35.739090909090912</v>
      </c>
      <c r="I516" s="89">
        <f>IFERROR(IF($D516="","",VLOOKUP($D516,Cadastro!$C$4:$G$7,5,FALSE())),"")</f>
        <v>0.6</v>
      </c>
      <c r="J516" s="90">
        <f t="shared" si="127"/>
        <v>7.5052090909090907</v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11</v>
      </c>
      <c r="H517" s="87">
        <f>IFERROR(IF($G517="","",$G517*$S$527/$G$527/Cadastro!$E$33),"")</f>
        <v>56.161428571428573</v>
      </c>
      <c r="I517" s="89">
        <f>IFERROR(IF($D517="","",VLOOKUP($D517,Cadastro!$C$4:$G$7,5,FALSE())),"")</f>
        <v>0.6</v>
      </c>
      <c r="J517" s="90">
        <f t="shared" si="127"/>
        <v>11.793899999999999</v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385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4</v>
      </c>
      <c r="H518" s="87">
        <f>IFERROR(IF($G518="","",$G518*$S$527/$G$527/Cadastro!$E$33),"")</f>
        <v>20.422337662337661</v>
      </c>
      <c r="I518" s="89">
        <f>IFERROR(IF($D518="","",VLOOKUP($D518,Cadastro!$C$4:$G$7,5,FALSE())),"")</f>
        <v>0.6</v>
      </c>
      <c r="J518" s="90">
        <f t="shared" si="127"/>
        <v>4.2886909090909082</v>
      </c>
      <c r="K518" s="63">
        <f t="shared" si="130"/>
        <v>16.8</v>
      </c>
      <c r="L518" s="69" t="s">
        <v>29</v>
      </c>
      <c r="M518" s="60"/>
      <c r="N518" s="60" t="s">
        <v>83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7</v>
      </c>
      <c r="H519" s="87">
        <f>IFERROR(IF($G519="","",$G519*$S$527/$G$527/Cadastro!$E$33),"")</f>
        <v>35.739090909090912</v>
      </c>
      <c r="I519" s="89">
        <f>IFERROR(IF($D519="","",VLOOKUP($D519,Cadastro!$C$4:$G$7,5,FALSE())),"")</f>
        <v>0.6</v>
      </c>
      <c r="J519" s="90">
        <f t="shared" si="127"/>
        <v>7.5052090909090907</v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10</v>
      </c>
      <c r="H520" s="87">
        <f>IFERROR(IF($G520="","",$G520*$S$527/$G$527/Cadastro!$E$33),"")</f>
        <v>51.055844155844156</v>
      </c>
      <c r="I520" s="89">
        <f>IFERROR(IF($D520="","",VLOOKUP($D520,Cadastro!$C$4:$G$7,5,FALSE())),"")</f>
        <v>0.6</v>
      </c>
      <c r="J520" s="90">
        <f t="shared" si="127"/>
        <v>10.721727272727271</v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7</v>
      </c>
      <c r="H521" s="87">
        <f>IFERROR(IF($G521="","",$G521*$S$527/$G$527/Cadastro!$E$33),"")</f>
        <v>35.739090909090912</v>
      </c>
      <c r="I521" s="89">
        <f>IFERROR(IF($D521="","",VLOOKUP($D521,Cadastro!$C$4:$G$7,5,FALSE())),"")</f>
        <v>0.6</v>
      </c>
      <c r="J521" s="90">
        <f t="shared" si="127"/>
        <v>7.5052090909090907</v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2</v>
      </c>
      <c r="H522" s="87">
        <f>IFERROR(IF($G522="","",$G522*$S$527/$G$527/Cadastro!$E$33),"")</f>
        <v>10.21116883116883</v>
      </c>
      <c r="I522" s="89">
        <f>IFERROR(IF($D522="","",VLOOKUP($D522,Cadastro!$C$4:$G$7,5,FALSE())),"")</f>
        <v>0.6</v>
      </c>
      <c r="J522" s="90">
        <f t="shared" si="127"/>
        <v>2.1443454545454541</v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6</v>
      </c>
      <c r="H523" s="87">
        <f>IFERROR(IF($G523="","",$G523*$S$527/$G$527/Cadastro!$E$33),"")</f>
        <v>30.633506493506495</v>
      </c>
      <c r="I523" s="89">
        <f>IFERROR(IF($D523="","",VLOOKUP($D523,Cadastro!$C$4:$G$7,5,FALSE())),"")</f>
        <v>0.6</v>
      </c>
      <c r="J523" s="90">
        <f t="shared" si="127"/>
        <v>6.4330363636363641</v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5</v>
      </c>
      <c r="H524" s="87">
        <f>IFERROR(IF($G524="","",$G524*$S$527/$G$527/Cadastro!$E$33),"")</f>
        <v>25.527922077922078</v>
      </c>
      <c r="I524" s="89">
        <f>IFERROR(IF($D524="","",VLOOKUP($D524,Cadastro!$C$4:$G$7,5,FALSE())),"")</f>
        <v>0.6</v>
      </c>
      <c r="J524" s="90">
        <f t="shared" si="127"/>
        <v>5.3608636363636357</v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10</v>
      </c>
      <c r="H525" s="87">
        <f>IFERROR(IF($G525="","",$G525*$S$527/$G$527/Cadastro!$E$33),"")</f>
        <v>51.055844155844156</v>
      </c>
      <c r="I525" s="89">
        <f>IFERROR(IF($D525="","",VLOOKUP($D525,Cadastro!$C$4:$G$7,5,FALSE())),"")</f>
        <v>0.6</v>
      </c>
      <c r="J525" s="90">
        <f t="shared" si="127"/>
        <v>10.721727272727271</v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2</v>
      </c>
      <c r="H526" s="91">
        <f>IFERROR(IF($G526="","",$G526*$S$527/$G$527/Cadastro!$E$33),"")</f>
        <v>10.21116883116883</v>
      </c>
      <c r="I526" s="92">
        <f>IFERROR(IF($D526="","",VLOOKUP($D526,Cadastro!$C$4:$G$7,5,FALSE())),"")</f>
        <v>0.6</v>
      </c>
      <c r="J526" s="93">
        <f t="shared" si="127"/>
        <v>2.1443454545454541</v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69" t="s">
        <v>264</v>
      </c>
      <c r="B527" s="169"/>
      <c r="C527" s="169"/>
      <c r="D527" s="169"/>
      <c r="E527" s="169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82.557299999999998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265</v>
      </c>
      <c r="S527" s="73">
        <v>393130</v>
      </c>
      <c r="T527" s="98">
        <f>IFERROR(J527,"")</f>
        <v>82.557299999999998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19</v>
      </c>
      <c r="H528" s="100">
        <f>IFERROR(IF($G528="","",$G528*$S$540/$G$540/Cadastro!$E$33),"")</f>
        <v>84.241639344262296</v>
      </c>
      <c r="I528" s="101">
        <f>IFERROR(IF($D528="","",VLOOKUP($D528,Cadastro!$C$4:$G$7,5,FALSE())),"")</f>
        <v>0.6</v>
      </c>
      <c r="J528" s="102">
        <f t="shared" ref="J528:J539" si="131">IFERROR(IF($H528="","",$H528*$F528*$I528),"")</f>
        <v>17.69074426229508</v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71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71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169</v>
      </c>
      <c r="N530" s="60" t="s">
        <v>83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321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386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8</v>
      </c>
      <c r="H536" s="87">
        <f>IFERROR(IF($G536="","",$G536*$S$540/$G$540/Cadastro!$E$33),"")</f>
        <v>35.470163934426232</v>
      </c>
      <c r="I536" s="89">
        <f>IFERROR(IF($D536="","",VLOOKUP($D536,Cadastro!$C$4:$G$7,5,FALSE())),"")</f>
        <v>0.6</v>
      </c>
      <c r="J536" s="90">
        <f t="shared" si="131"/>
        <v>7.4487344262295077</v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0</v>
      </c>
      <c r="H537" s="87">
        <f>IFERROR(IF($G537="","",$G537*$S$540/$G$540/Cadastro!$E$33),"")</f>
        <v>0</v>
      </c>
      <c r="I537" s="89">
        <f>IFERROR(IF($D537="","",VLOOKUP($D537,Cadastro!$C$4:$G$7,5,FALSE())),"")</f>
        <v>0.6</v>
      </c>
      <c r="J537" s="90">
        <f t="shared" si="131"/>
        <v>0</v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1"/>
        <v>0</v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0</v>
      </c>
      <c r="H539" s="91">
        <f>IFERROR(IF($G539="","",$G539*$S$540/$G$540/Cadastro!$E$33),"")</f>
        <v>0</v>
      </c>
      <c r="I539" s="92">
        <f>IFERROR(IF($D539="","",VLOOKUP($D539,Cadastro!$C$4:$G$7,5,FALSE())),"")</f>
        <v>0.6</v>
      </c>
      <c r="J539" s="93">
        <f t="shared" si="131"/>
        <v>0</v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69" t="s">
        <v>267</v>
      </c>
      <c r="B540" s="169"/>
      <c r="C540" s="169"/>
      <c r="D540" s="169"/>
      <c r="E540" s="169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46.847219016393439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265</v>
      </c>
      <c r="S540" s="73">
        <v>270460</v>
      </c>
      <c r="T540" s="98">
        <f>IFERROR(J540,"")</f>
        <v>46.847219016393439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129.40451901639344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268</v>
      </c>
      <c r="S541" s="81">
        <f>IFERROR(S527+S540,"")</f>
        <v>663590</v>
      </c>
      <c r="T541" s="117">
        <f>IFERROR(J541,"")</f>
        <v>129.40451901639344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387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100</v>
      </c>
      <c r="N543" s="69" t="s">
        <v>225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87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69" t="s">
        <v>264</v>
      </c>
      <c r="B554" s="169"/>
      <c r="C554" s="169"/>
      <c r="D554" s="169"/>
      <c r="E554" s="169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265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137</v>
      </c>
      <c r="N555" s="69" t="s">
        <v>123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212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212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220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321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210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212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388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263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65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360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263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71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69" t="s">
        <v>267</v>
      </c>
      <c r="B567" s="169"/>
      <c r="C567" s="169"/>
      <c r="D567" s="169"/>
      <c r="E567" s="169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265</v>
      </c>
      <c r="S567" s="73">
        <v>524080</v>
      </c>
      <c r="T567" s="98">
        <f>IFERROR(J567,"")</f>
        <v>75.467519999999979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268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18</v>
      </c>
      <c r="H569" s="100">
        <f>IFERROR(IF($G569="","",$G569*$S$581/$G$581/Cadastro!$E$33),"")</f>
        <v>69.717423312883426</v>
      </c>
      <c r="I569" s="101">
        <f>IFERROR(IF($D569="","",VLOOKUP($D569,Cadastro!$C$4:$G$7,5,FALSE())),"")</f>
        <v>0.6</v>
      </c>
      <c r="J569" s="102">
        <f t="shared" ref="J569:J580" si="143">IFERROR(IF($H569="","",$H569*$F569*$I569),"")</f>
        <v>14.640658895705517</v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141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321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10</v>
      </c>
      <c r="H570" s="87">
        <f>IFERROR(IF($G570="","",$G570*$S$581/$G$581/Cadastro!$E$33),"")</f>
        <v>38.731901840490799</v>
      </c>
      <c r="I570" s="89">
        <f>IFERROR(IF($D570="","",VLOOKUP($D570,Cadastro!$C$4:$G$7,5,FALSE())),"")</f>
        <v>0.6</v>
      </c>
      <c r="J570" s="90">
        <f t="shared" si="143"/>
        <v>8.1336993865030678</v>
      </c>
      <c r="K570" s="68">
        <f t="shared" si="144"/>
        <v>42</v>
      </c>
      <c r="L570" s="60" t="s">
        <v>27</v>
      </c>
      <c r="M570" s="60" t="s">
        <v>56</v>
      </c>
      <c r="N570" s="60" t="s">
        <v>178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12</v>
      </c>
      <c r="H571" s="87">
        <f>IFERROR(IF($G571="","",$G571*$S$581/$G$581/Cadastro!$E$33),"")</f>
        <v>46.478282208588958</v>
      </c>
      <c r="I571" s="89">
        <f>IFERROR(IF($D571="","",VLOOKUP($D571,Cadastro!$C$4:$G$7,5,FALSE())),"")</f>
        <v>0.6</v>
      </c>
      <c r="J571" s="90">
        <f t="shared" si="143"/>
        <v>9.760439263803681</v>
      </c>
      <c r="K571" s="68">
        <f t="shared" si="144"/>
        <v>50.400000000000006</v>
      </c>
      <c r="L571" s="69" t="s">
        <v>29</v>
      </c>
      <c r="M571" s="69" t="s">
        <v>133</v>
      </c>
      <c r="N571" s="69" t="s">
        <v>123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16</v>
      </c>
      <c r="H572" s="87">
        <f>IFERROR(IF($G572="","",$G572*$S$581/$G$581/Cadastro!$E$33),"")</f>
        <v>61.971042944785275</v>
      </c>
      <c r="I572" s="89">
        <f>IFERROR(IF($D572="","",VLOOKUP($D572,Cadastro!$C$4:$G$7,5,FALSE())),"")</f>
        <v>0.6</v>
      </c>
      <c r="J572" s="90">
        <f t="shared" si="143"/>
        <v>13.013919018404907</v>
      </c>
      <c r="K572" s="68">
        <f t="shared" si="144"/>
        <v>67.2</v>
      </c>
      <c r="L572" s="60" t="s">
        <v>29</v>
      </c>
      <c r="M572" s="60" t="s">
        <v>160</v>
      </c>
      <c r="N572" s="60" t="s">
        <v>123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11</v>
      </c>
      <c r="H573" s="87">
        <f>IFERROR(IF($G573="","",$G573*$S$581/$G$581/Cadastro!$E$33),"")</f>
        <v>42.605092024539871</v>
      </c>
      <c r="I573" s="89">
        <f>IFERROR(IF($D573="","",VLOOKUP($D573,Cadastro!$C$4:$G$7,5,FALSE())),"")</f>
        <v>0.6</v>
      </c>
      <c r="J573" s="90">
        <f t="shared" si="143"/>
        <v>8.9470693251533717</v>
      </c>
      <c r="K573" s="68">
        <f t="shared" si="144"/>
        <v>55</v>
      </c>
      <c r="L573" s="69" t="s">
        <v>29</v>
      </c>
      <c r="M573" s="69" t="s">
        <v>133</v>
      </c>
      <c r="N573" s="60" t="s">
        <v>123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20</v>
      </c>
      <c r="H574" s="87">
        <f>IFERROR(IF($G574="","",$G574*$S$581/$G$581/Cadastro!$E$33),"")</f>
        <v>77.463803680981599</v>
      </c>
      <c r="I574" s="89">
        <f>IFERROR(IF($D574="","",VLOOKUP($D574,Cadastro!$C$4:$G$7,5,FALSE())),"")</f>
        <v>0.6</v>
      </c>
      <c r="J574" s="90">
        <f t="shared" si="143"/>
        <v>16.267398773006136</v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4</v>
      </c>
      <c r="H575" s="87">
        <f>IFERROR(IF($G575="","",$G575*$S$581/$G$581/Cadastro!$E$33),"")</f>
        <v>15.492760736196319</v>
      </c>
      <c r="I575" s="89">
        <f>IFERROR(IF($D575="","",VLOOKUP($D575,Cadastro!$C$4:$G$7,5,FALSE())),"")</f>
        <v>0.6</v>
      </c>
      <c r="J575" s="90">
        <f t="shared" si="143"/>
        <v>3.2534797546012268</v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5</v>
      </c>
      <c r="H576" s="87">
        <f>IFERROR(IF($G576="","",$G576*$S$581/$G$581/Cadastro!$E$33),"")</f>
        <v>19.3659509202454</v>
      </c>
      <c r="I576" s="89">
        <f>IFERROR(IF($D576="","",VLOOKUP($D576,Cadastro!$C$4:$G$7,5,FALSE())),"")</f>
        <v>0.6</v>
      </c>
      <c r="J576" s="90">
        <f t="shared" si="143"/>
        <v>4.0668496932515339</v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16</v>
      </c>
      <c r="H577" s="87">
        <f>IFERROR(IF($G577="","",$G577*$S$581/$G$581/Cadastro!$E$33),"")</f>
        <v>61.971042944785275</v>
      </c>
      <c r="I577" s="89">
        <f>IFERROR(IF($D577="","",VLOOKUP($D577,Cadastro!$C$4:$G$7,5,FALSE())),"")</f>
        <v>0.6</v>
      </c>
      <c r="J577" s="90">
        <f t="shared" si="143"/>
        <v>13.013919018404907</v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27</v>
      </c>
      <c r="H578" s="87">
        <f>IFERROR(IF($G578="","",$G578*$S$581/$G$581/Cadastro!$E$33),"")</f>
        <v>104.57613496932515</v>
      </c>
      <c r="I578" s="89">
        <f>IFERROR(IF($D578="","",VLOOKUP($D578,Cadastro!$C$4:$G$7,5,FALSE())),"")</f>
        <v>0.6</v>
      </c>
      <c r="J578" s="90">
        <f t="shared" si="143"/>
        <v>21.960988343558277</v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24</v>
      </c>
      <c r="H579" s="87">
        <f>IFERROR(IF($G579="","",$G579*$S$581/$G$581/Cadastro!$E$33),"")</f>
        <v>92.956564417177916</v>
      </c>
      <c r="I579" s="89">
        <f>IFERROR(IF($D579="","",VLOOKUP($D579,Cadastro!$C$4:$G$7,5,FALSE())),"")</f>
        <v>0.6</v>
      </c>
      <c r="J579" s="90">
        <f t="shared" si="143"/>
        <v>19.520878527607362</v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3"/>
        <v>0</v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69" t="s">
        <v>264</v>
      </c>
      <c r="B581" s="169"/>
      <c r="C581" s="169"/>
      <c r="D581" s="169"/>
      <c r="E581" s="169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132.57929999999996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265</v>
      </c>
      <c r="S581" s="73">
        <v>631330</v>
      </c>
      <c r="T581" s="98">
        <f>IFERROR(J581,"")</f>
        <v>132.57929999999996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19.633978494623655</v>
      </c>
      <c r="I582" s="101">
        <f>IFERROR(IF($D582="","",VLOOKUP($D582,Cadastro!$C$4:$G$7,5,FALSE())),"")</f>
        <v>0.6</v>
      </c>
      <c r="J582" s="102">
        <f t="shared" ref="J582:J593" si="147">IFERROR(IF($H582="","",$H582*$F582*$I582),"")</f>
        <v>4.1231354838709668</v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5</v>
      </c>
      <c r="H583" s="87">
        <f>IFERROR(IF($G583="","",$G583*$S$594/$G$594/Cadastro!$E$33),"")</f>
        <v>24.54247311827957</v>
      </c>
      <c r="I583" s="89">
        <f>IFERROR(IF($D583="","",VLOOKUP($D583,Cadastro!$C$4:$G$7,5,FALSE())),"")</f>
        <v>0.6</v>
      </c>
      <c r="J583" s="90">
        <f t="shared" si="147"/>
        <v>5.1539193548387097</v>
      </c>
      <c r="K583" s="68">
        <f t="shared" si="148"/>
        <v>21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383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47"/>
        <v>0</v>
      </c>
      <c r="K584" s="63">
        <f t="shared" si="148"/>
        <v>0</v>
      </c>
      <c r="L584" s="60" t="s">
        <v>29</v>
      </c>
      <c r="M584" s="60" t="s">
        <v>137</v>
      </c>
      <c r="N584" s="60" t="s">
        <v>123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4</v>
      </c>
      <c r="H585" s="87">
        <f>IFERROR(IF($G585="","",$G585*$S$594/$G$594/Cadastro!$E$33),"")</f>
        <v>19.633978494623655</v>
      </c>
      <c r="I585" s="89">
        <f>IFERROR(IF($D585="","",VLOOKUP($D585,Cadastro!$C$4:$G$7,5,FALSE())),"")</f>
        <v>0.6</v>
      </c>
      <c r="J585" s="90">
        <f t="shared" si="147"/>
        <v>4.1231354838709668</v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7</v>
      </c>
      <c r="H586" s="87">
        <f>IFERROR(IF($G586="","",$G586*$S$594/$G$594/Cadastro!$E$33),"")</f>
        <v>34.359462365591398</v>
      </c>
      <c r="I586" s="89">
        <f>IFERROR(IF($D586="","",VLOOKUP($D586,Cadastro!$C$4:$G$7,5,FALSE())),"")</f>
        <v>0.6</v>
      </c>
      <c r="J586" s="90">
        <f t="shared" si="147"/>
        <v>7.2154870967741935</v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18</v>
      </c>
      <c r="H587" s="87">
        <f>IFERROR(IF($G587="","",$G587*$S$594/$G$594/Cadastro!$E$33),"")</f>
        <v>88.352903225806457</v>
      </c>
      <c r="I587" s="89">
        <f>IFERROR(IF($D587="","",VLOOKUP($D587,Cadastro!$C$4:$G$7,5,FALSE())),"")</f>
        <v>0.6</v>
      </c>
      <c r="J587" s="90">
        <f t="shared" si="147"/>
        <v>18.554109677419355</v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7</v>
      </c>
      <c r="H588" s="87">
        <f>IFERROR(IF($G588="","",$G588*$S$594/$G$594/Cadastro!$E$33),"")</f>
        <v>34.359462365591398</v>
      </c>
      <c r="I588" s="89">
        <f>IFERROR(IF($D588="","",VLOOKUP($D588,Cadastro!$C$4:$G$7,5,FALSE())),"")</f>
        <v>0.6</v>
      </c>
      <c r="J588" s="90">
        <f t="shared" si="147"/>
        <v>7.2154870967741935</v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11</v>
      </c>
      <c r="H589" s="87">
        <f>IFERROR(IF($G589="","",$G589*$S$594/$G$594/Cadastro!$E$33),"")</f>
        <v>53.993440860215053</v>
      </c>
      <c r="I589" s="89">
        <f>IFERROR(IF($D589="","",VLOOKUP($D589,Cadastro!$C$4:$G$7,5,FALSE())),"")</f>
        <v>0.6</v>
      </c>
      <c r="J589" s="90">
        <f t="shared" si="147"/>
        <v>11.338622580645161</v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14</v>
      </c>
      <c r="H590" s="87">
        <f>IFERROR(IF($G590="","",$G590*$S$594/$G$594/Cadastro!$E$33),"")</f>
        <v>68.718924731182796</v>
      </c>
      <c r="I590" s="89">
        <f>IFERROR(IF($D590="","",VLOOKUP($D590,Cadastro!$C$4:$G$7,5,FALSE())),"")</f>
        <v>0.6</v>
      </c>
      <c r="J590" s="90">
        <f t="shared" si="147"/>
        <v>14.430974193548387</v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9</v>
      </c>
      <c r="H591" s="87">
        <f>IFERROR(IF($G591="","",$G591*$S$594/$G$594/Cadastro!$E$33),"")</f>
        <v>44.176451612903229</v>
      </c>
      <c r="I591" s="89">
        <f>IFERROR(IF($D591="","",VLOOKUP($D591,Cadastro!$C$4:$G$7,5,FALSE())),"")</f>
        <v>0.6</v>
      </c>
      <c r="J591" s="90">
        <f t="shared" si="147"/>
        <v>9.2770548387096774</v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31</v>
      </c>
      <c r="E592" s="86" t="s">
        <v>263</v>
      </c>
      <c r="F592" s="87">
        <f>IFERROR(IF($D592="","",VLOOKUP($D592,Cadastro!$C$4:$E$7,3,FALSE())),"")</f>
        <v>0.35</v>
      </c>
      <c r="G592" s="88">
        <v>14</v>
      </c>
      <c r="H592" s="87">
        <f>IFERROR(IF($G592="","",$G592*$S$594/$G$594/Cadastro!$E$33),"")</f>
        <v>68.718924731182796</v>
      </c>
      <c r="I592" s="89">
        <f>IFERROR(IF($D592="","",VLOOKUP($D592,Cadastro!$C$4:$G$7,5,FALSE())),"")</f>
        <v>0.6</v>
      </c>
      <c r="J592" s="90">
        <f t="shared" si="147"/>
        <v>14.430974193548387</v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47"/>
        <v>0</v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69" t="s">
        <v>267</v>
      </c>
      <c r="B594" s="169"/>
      <c r="C594" s="169"/>
      <c r="D594" s="169"/>
      <c r="E594" s="169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95.862899999999996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265</v>
      </c>
      <c r="S594" s="73">
        <v>456490</v>
      </c>
      <c r="T594" s="98">
        <f>IFERROR(J594,"")</f>
        <v>95.862899999999996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228.44219999999996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268</v>
      </c>
      <c r="S595" s="81">
        <f>IFERROR(S581+S594,"")</f>
        <v>1087820</v>
      </c>
      <c r="T595" s="117">
        <f>IFERROR(J595,"")</f>
        <v>228.44219999999996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8</v>
      </c>
      <c r="H596" s="100">
        <f>IFERROR(IF($G596="","",$G596*$S$608/$G$608/Cadastro!$E$33),"")</f>
        <v>109.33439999999999</v>
      </c>
      <c r="I596" s="101">
        <f>IFERROR(IF($D596="","",VLOOKUP($D596,Cadastro!$C$4:$G$7,5,FALSE())),"")</f>
        <v>0.6</v>
      </c>
      <c r="J596" s="102">
        <f t="shared" ref="J596:J607" si="151">IFERROR(IF($H596="","",$H596*$F596*$I596),"")</f>
        <v>22.960223999999997</v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65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3</v>
      </c>
      <c r="H597" s="87">
        <f>IFERROR(IF($G597="","",$G597*$S$608/$G$608/Cadastro!$E$33),"")</f>
        <v>41.000399999999999</v>
      </c>
      <c r="I597" s="89">
        <f>IFERROR(IF($D597="","",VLOOKUP($D597,Cadastro!$C$4:$G$7,5,FALSE())),"")</f>
        <v>0.6</v>
      </c>
      <c r="J597" s="90">
        <f t="shared" si="151"/>
        <v>8.6100839999999987</v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3</v>
      </c>
      <c r="H598" s="87">
        <f>IFERROR(IF($G598="","",$G598*$S$608/$G$608/Cadastro!$E$33),"")</f>
        <v>41.000399999999999</v>
      </c>
      <c r="I598" s="89">
        <f>IFERROR(IF($D598="","",VLOOKUP($D598,Cadastro!$C$4:$G$7,5,FALSE())),"")</f>
        <v>0.6</v>
      </c>
      <c r="J598" s="90">
        <f t="shared" si="151"/>
        <v>8.6100839999999987</v>
      </c>
      <c r="K598" s="63">
        <f t="shared" si="152"/>
        <v>12.600000000000001</v>
      </c>
      <c r="L598" s="60" t="s">
        <v>29</v>
      </c>
      <c r="M598" s="60" t="s">
        <v>133</v>
      </c>
      <c r="N598" s="60" t="s">
        <v>123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95.667600000000007</v>
      </c>
      <c r="I599" s="89">
        <f>IFERROR(IF($D599="","",VLOOKUP($D599,Cadastro!$C$4:$G$7,5,FALSE())),"")</f>
        <v>0.6</v>
      </c>
      <c r="J599" s="90">
        <f t="shared" si="151"/>
        <v>20.090195999999999</v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321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54.667199999999994</v>
      </c>
      <c r="I600" s="89">
        <f>IFERROR(IF($D600="","",VLOOKUP($D600,Cadastro!$C$4:$G$7,5,FALSE())),"")</f>
        <v>0.6</v>
      </c>
      <c r="J600" s="90">
        <f t="shared" si="151"/>
        <v>11.480111999999998</v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69" t="s">
        <v>264</v>
      </c>
      <c r="B608" s="169"/>
      <c r="C608" s="169"/>
      <c r="D608" s="169"/>
      <c r="E608" s="169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71.750699999999995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265</v>
      </c>
      <c r="S608" s="73">
        <f>736040-425430+31060</f>
        <v>341670</v>
      </c>
      <c r="T608" s="98">
        <f>IFERROR(J608,"")</f>
        <v>71.750699999999995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6</v>
      </c>
      <c r="H609" s="100">
        <f>IFERROR(IF($G609="","",$G609*$S$621/$G$621/Cadastro!$E$33),"")</f>
        <v>29.963249999999999</v>
      </c>
      <c r="I609" s="101">
        <f>IFERROR(IF($D609="","",VLOOKUP($D609,Cadastro!$C$4:$G$7,5,FALSE())),"")</f>
        <v>0.6</v>
      </c>
      <c r="J609" s="102">
        <f t="shared" ref="J609:J620" si="155">IFERROR(IF($H609="","",$H609*$F609*$I609),"")</f>
        <v>6.2922824999999998</v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380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0</v>
      </c>
      <c r="H610" s="87">
        <f>IFERROR(IF($G610="","",$G610*$S$621/$G$621/Cadastro!$E$33),"")</f>
        <v>0</v>
      </c>
      <c r="I610" s="89">
        <f>IFERROR(IF($D610="","",VLOOKUP($D610,Cadastro!$C$4:$G$7,5,FALSE())),"")</f>
        <v>0.6</v>
      </c>
      <c r="J610" s="90">
        <f t="shared" si="155"/>
        <v>0</v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178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14</v>
      </c>
      <c r="H611" s="87">
        <f>IFERROR(IF($G611="","",$G611*$S$621/$G$621/Cadastro!$E$33),"")</f>
        <v>69.914249999999996</v>
      </c>
      <c r="I611" s="89">
        <f>IFERROR(IF($D611="","",VLOOKUP($D611,Cadastro!$C$4:$G$7,5,FALSE())),"")</f>
        <v>0.6</v>
      </c>
      <c r="J611" s="90">
        <f t="shared" si="155"/>
        <v>14.681992499999998</v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12</v>
      </c>
      <c r="H612" s="87">
        <f>IFERROR(IF($G612="","",$G612*$S$621/$G$621/Cadastro!$E$33),"")</f>
        <v>59.926499999999997</v>
      </c>
      <c r="I612" s="89">
        <f>IFERROR(IF($D612="","",VLOOKUP($D612,Cadastro!$C$4:$G$7,5,FALSE())),"")</f>
        <v>0.6</v>
      </c>
      <c r="J612" s="90">
        <f t="shared" si="155"/>
        <v>12.584565</v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9</v>
      </c>
      <c r="H613" s="87">
        <f>IFERROR(IF($G613="","",$G613*$S$621/$G$621/Cadastro!$E$33),"")</f>
        <v>44.944875000000003</v>
      </c>
      <c r="I613" s="89">
        <f>IFERROR(IF($D613="","",VLOOKUP($D613,Cadastro!$C$4:$G$7,5,FALSE())),"")</f>
        <v>0.6</v>
      </c>
      <c r="J613" s="90">
        <f t="shared" si="155"/>
        <v>9.4384237500000001</v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5</v>
      </c>
      <c r="H614" s="87">
        <f>IFERROR(IF($G614="","",$G614*$S$621/$G$621/Cadastro!$E$33),"")</f>
        <v>24.969374999999999</v>
      </c>
      <c r="I614" s="89">
        <f>IFERROR(IF($D614="","",VLOOKUP($D614,Cadastro!$C$4:$G$7,5,FALSE())),"")</f>
        <v>0.6</v>
      </c>
      <c r="J614" s="90">
        <f t="shared" si="155"/>
        <v>5.2435687499999997</v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389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5</v>
      </c>
      <c r="H615" s="87">
        <f>IFERROR(IF($G615="","",$G615*$S$621/$G$621/Cadastro!$E$33),"")</f>
        <v>24.969374999999999</v>
      </c>
      <c r="I615" s="89">
        <f>IFERROR(IF($D615="","",VLOOKUP($D615,Cadastro!$C$4:$G$7,5,FALSE())),"")</f>
        <v>0.6</v>
      </c>
      <c r="J615" s="90">
        <f t="shared" si="155"/>
        <v>5.2435687499999997</v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389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8</v>
      </c>
      <c r="H616" s="87">
        <f>IFERROR(IF($G616="","",$G616*$S$621/$G$621/Cadastro!$E$33),"")</f>
        <v>39.951000000000001</v>
      </c>
      <c r="I616" s="89">
        <f>IFERROR(IF($D616="","",VLOOKUP($D616,Cadastro!$C$4:$G$7,5,FALSE())),"")</f>
        <v>0.6</v>
      </c>
      <c r="J616" s="90">
        <f t="shared" si="155"/>
        <v>8.3897099999999991</v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389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3</v>
      </c>
      <c r="H617" s="87">
        <f>IFERROR(IF($G617="","",$G617*$S$621/$G$621/Cadastro!$E$33),"")</f>
        <v>14.981624999999999</v>
      </c>
      <c r="I617" s="89">
        <f>IFERROR(IF($D617="","",VLOOKUP($D617,Cadastro!$C$4:$G$7,5,FALSE())),"")</f>
        <v>0.6</v>
      </c>
      <c r="J617" s="90">
        <f t="shared" si="155"/>
        <v>3.1461412499999999</v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7</v>
      </c>
      <c r="H618" s="87">
        <f>IFERROR(IF($G618="","",$G618*$S$621/$G$621/Cadastro!$E$33),"")</f>
        <v>34.957124999999998</v>
      </c>
      <c r="I618" s="89">
        <f>IFERROR(IF($D618="","",VLOOKUP($D618,Cadastro!$C$4:$G$7,5,FALSE())),"")</f>
        <v>0.6</v>
      </c>
      <c r="J618" s="90">
        <f t="shared" si="155"/>
        <v>7.340996249999999</v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8</v>
      </c>
      <c r="H619" s="87">
        <f>IFERROR(IF($G619="","",$G619*$S$621/$G$621/Cadastro!$E$33),"")</f>
        <v>39.951000000000001</v>
      </c>
      <c r="I619" s="89">
        <f>IFERROR(IF($D619="","",VLOOKUP($D619,Cadastro!$C$4:$G$7,5,FALSE())),"")</f>
        <v>0.6</v>
      </c>
      <c r="J619" s="90">
        <f t="shared" si="155"/>
        <v>8.3897099999999991</v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3</v>
      </c>
      <c r="H620" s="91">
        <f>IFERROR(IF($G620="","",$G620*$S$621/$G$621/Cadastro!$E$33),"")</f>
        <v>14.981624999999999</v>
      </c>
      <c r="I620" s="92">
        <f>IFERROR(IF($D620="","",VLOOKUP($D620,Cadastro!$C$4:$G$7,5,FALSE())),"")</f>
        <v>0.6</v>
      </c>
      <c r="J620" s="93">
        <f t="shared" si="155"/>
        <v>3.1461412499999999</v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69" t="s">
        <v>267</v>
      </c>
      <c r="B621" s="169"/>
      <c r="C621" s="169"/>
      <c r="D621" s="169"/>
      <c r="E621" s="169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83.897099999999995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265</v>
      </c>
      <c r="S621" s="73">
        <v>399510</v>
      </c>
      <c r="T621" s="98">
        <f>IFERROR(J621,"")</f>
        <v>83.897099999999995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155.64779999999999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268</v>
      </c>
      <c r="S622" s="81">
        <f>IFERROR(S608+S621,"")</f>
        <v>741180</v>
      </c>
      <c r="T622" s="117">
        <f>IFERROR(J622,"")</f>
        <v>155.64779999999999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11</v>
      </c>
      <c r="H623" s="100">
        <f>IFERROR(IF($G623="","",$G623*$S$635/$G$635/Cadastro!$E$33),"")</f>
        <v>44.44</v>
      </c>
      <c r="I623" s="101">
        <f>IFERROR(IF($D623="","",VLOOKUP($D623,Cadastro!$C$4:$G$7,5,FALSE())),"")</f>
        <v>0.6</v>
      </c>
      <c r="J623" s="102">
        <f t="shared" ref="J623:J634" si="159">IFERROR(IF($H623="","",$H623*$F623*$I623),"")</f>
        <v>9.332399999999998</v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365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4</v>
      </c>
      <c r="H624" s="87">
        <f>IFERROR(IF($G624="","",$G624*$S$635/$G$635/Cadastro!$E$33),"")</f>
        <v>16.16</v>
      </c>
      <c r="I624" s="89">
        <f>IFERROR(IF($D624="","",VLOOKUP($D624,Cadastro!$C$4:$G$7,5,FALSE())),"")</f>
        <v>0.6</v>
      </c>
      <c r="J624" s="90">
        <f t="shared" si="159"/>
        <v>3.3935999999999997</v>
      </c>
      <c r="K624" s="63">
        <f t="shared" si="160"/>
        <v>16.8</v>
      </c>
      <c r="L624" s="60" t="s">
        <v>29</v>
      </c>
      <c r="M624" s="60"/>
      <c r="N624" s="60" t="s">
        <v>212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5</v>
      </c>
      <c r="H625" s="87">
        <f>IFERROR(IF($G625="","",$G625*$S$635/$G$635/Cadastro!$E$33),"")</f>
        <v>20.2</v>
      </c>
      <c r="I625" s="89">
        <f>IFERROR(IF($D625="","",VLOOKUP($D625,Cadastro!$C$4:$G$7,5,FALSE())),"")</f>
        <v>0.6</v>
      </c>
      <c r="J625" s="90">
        <f t="shared" si="159"/>
        <v>4.2419999999999991</v>
      </c>
      <c r="K625" s="68">
        <f t="shared" si="160"/>
        <v>21</v>
      </c>
      <c r="L625" s="69" t="s">
        <v>29</v>
      </c>
      <c r="M625" s="69" t="s">
        <v>56</v>
      </c>
      <c r="N625" s="69" t="s">
        <v>212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6</v>
      </c>
      <c r="H626" s="87">
        <f>IFERROR(IF($G626="","",$G626*$S$635/$G$635/Cadastro!$E$33),"")</f>
        <v>24.24</v>
      </c>
      <c r="I626" s="89">
        <f>IFERROR(IF($D626="","",VLOOKUP($D626,Cadastro!$C$4:$G$7,5,FALSE())),"")</f>
        <v>0.6</v>
      </c>
      <c r="J626" s="90">
        <f t="shared" si="159"/>
        <v>5.0903999999999989</v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</v>
      </c>
      <c r="H627" s="87">
        <f>IFERROR(IF($G627="","",$G627*$S$635/$G$635/Cadastro!$E$33),"")</f>
        <v>8.08</v>
      </c>
      <c r="I627" s="89">
        <f>IFERROR(IF($D627="","",VLOOKUP($D627,Cadastro!$C$4:$G$7,5,FALSE())),"")</f>
        <v>0.6</v>
      </c>
      <c r="J627" s="90">
        <f t="shared" si="159"/>
        <v>1.6967999999999999</v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6</v>
      </c>
      <c r="H628" s="87">
        <f>IFERROR(IF($G628="","",$G628*$S$635/$G$635/Cadastro!$E$33),"")</f>
        <v>24.24</v>
      </c>
      <c r="I628" s="89">
        <f>IFERROR(IF($D628="","",VLOOKUP($D628,Cadastro!$C$4:$G$7,5,FALSE())),"")</f>
        <v>0.6</v>
      </c>
      <c r="J628" s="90">
        <f t="shared" si="159"/>
        <v>5.0903999999999989</v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9</v>
      </c>
      <c r="H629" s="87">
        <f>IFERROR(IF($G629="","",$G629*$S$635/$G$635/Cadastro!$E$33),"")</f>
        <v>36.36</v>
      </c>
      <c r="I629" s="89">
        <f>IFERROR(IF($D629="","",VLOOKUP($D629,Cadastro!$C$4:$G$7,5,FALSE())),"")</f>
        <v>0.6</v>
      </c>
      <c r="J629" s="90">
        <f t="shared" si="159"/>
        <v>7.6355999999999993</v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5</v>
      </c>
      <c r="H630" s="87">
        <f>IFERROR(IF($G630="","",$G630*$S$635/$G$635/Cadastro!$E$33),"")</f>
        <v>20.2</v>
      </c>
      <c r="I630" s="89">
        <f>IFERROR(IF($D630="","",VLOOKUP($D630,Cadastro!$C$4:$G$7,5,FALSE())),"")</f>
        <v>0.6</v>
      </c>
      <c r="J630" s="90">
        <f t="shared" si="159"/>
        <v>4.2419999999999991</v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5</v>
      </c>
      <c r="H631" s="87">
        <f>IFERROR(IF($G631="","",$G631*$S$635/$G$635/Cadastro!$E$33),"")</f>
        <v>20.2</v>
      </c>
      <c r="I631" s="89">
        <f>IFERROR(IF($D631="","",VLOOKUP($D631,Cadastro!$C$4:$G$7,5,FALSE())),"")</f>
        <v>0.6</v>
      </c>
      <c r="J631" s="90">
        <f t="shared" si="159"/>
        <v>4.2419999999999991</v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8</v>
      </c>
      <c r="H632" s="87">
        <f>IFERROR(IF($G632="","",$G632*$S$635/$G$635/Cadastro!$E$33),"")</f>
        <v>32.32</v>
      </c>
      <c r="I632" s="89">
        <f>IFERROR(IF($D632="","",VLOOKUP($D632,Cadastro!$C$4:$G$7,5,FALSE())),"")</f>
        <v>0.6</v>
      </c>
      <c r="J632" s="90">
        <f t="shared" si="159"/>
        <v>6.7871999999999995</v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5</v>
      </c>
      <c r="H633" s="87">
        <f>IFERROR(IF($G633="","",$G633*$S$635/$G$635/Cadastro!$E$33),"")</f>
        <v>20.2</v>
      </c>
      <c r="I633" s="89">
        <f>IFERROR(IF($D633="","",VLOOKUP($D633,Cadastro!$C$4:$G$7,5,FALSE())),"")</f>
        <v>0.6</v>
      </c>
      <c r="J633" s="90">
        <f t="shared" si="159"/>
        <v>4.2419999999999991</v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6</v>
      </c>
      <c r="H634" s="91">
        <f>IFERROR(IF($G634="","",$G634*$S$635/$G$635/Cadastro!$E$33),"")</f>
        <v>24.24</v>
      </c>
      <c r="I634" s="92">
        <f>IFERROR(IF($D634="","",VLOOKUP($D634,Cadastro!$C$4:$G$7,5,FALSE())),"")</f>
        <v>0.6</v>
      </c>
      <c r="J634" s="93">
        <f t="shared" si="159"/>
        <v>5.0903999999999989</v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69" t="s">
        <v>264</v>
      </c>
      <c r="B635" s="169"/>
      <c r="C635" s="169"/>
      <c r="D635" s="169"/>
      <c r="E635" s="169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61.084799999999987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265</v>
      </c>
      <c r="S635" s="73">
        <v>290880</v>
      </c>
      <c r="T635" s="98">
        <f>IFERROR(J635,"")</f>
        <v>61.084799999999987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11</v>
      </c>
      <c r="H636" s="100">
        <f>IFERROR(IF($G636="","",$G636*$S$648/$G$648/Cadastro!$E$33),"")</f>
        <v>46.211846153846153</v>
      </c>
      <c r="I636" s="101">
        <f>IFERROR(IF($D636="","",VLOOKUP($D636,Cadastro!$C$4:$G$7,5,FALSE())),"")</f>
        <v>0.6</v>
      </c>
      <c r="J636" s="102">
        <f t="shared" ref="J636:J647" si="163">IFERROR(IF($H636="","",$H636*$F636*$I636),"")</f>
        <v>9.7044876923076906</v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12</v>
      </c>
      <c r="H637" s="87">
        <f>IFERROR(IF($G637="","",$G637*$S$648/$G$648/Cadastro!$E$33),"")</f>
        <v>50.412923076923079</v>
      </c>
      <c r="I637" s="89">
        <f>IFERROR(IF($D637="","",VLOOKUP($D637,Cadastro!$C$4:$G$7,5,FALSE())),"")</f>
        <v>0.6</v>
      </c>
      <c r="J637" s="90">
        <f t="shared" si="163"/>
        <v>10.586713846153845</v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3</v>
      </c>
      <c r="H638" s="87">
        <f>IFERROR(IF($G638="","",$G638*$S$648/$G$648/Cadastro!$E$33),"")</f>
        <v>12.60323076923077</v>
      </c>
      <c r="I638" s="89">
        <f>IFERROR(IF($D638="","",VLOOKUP($D638,Cadastro!$C$4:$G$7,5,FALSE())),"")</f>
        <v>0.6</v>
      </c>
      <c r="J638" s="90">
        <f t="shared" si="163"/>
        <v>2.6466784615384613</v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14</v>
      </c>
      <c r="H639" s="87">
        <f>IFERROR(IF($G639="","",$G639*$S$648/$G$648/Cadastro!$E$33),"")</f>
        <v>58.815076923076923</v>
      </c>
      <c r="I639" s="89">
        <f>IFERROR(IF($D639="","",VLOOKUP($D639,Cadastro!$C$4:$G$7,5,FALSE())),"")</f>
        <v>0.6</v>
      </c>
      <c r="J639" s="90">
        <f t="shared" si="163"/>
        <v>12.351166153846153</v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65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390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6</v>
      </c>
      <c r="H640" s="87">
        <f>IFERROR(IF($G640="","",$G640*$S$648/$G$648/Cadastro!$E$33),"")</f>
        <v>25.206461538461539</v>
      </c>
      <c r="I640" s="89">
        <f>IFERROR(IF($D640="","",VLOOKUP($D640,Cadastro!$C$4:$G$7,5,FALSE())),"")</f>
        <v>0.6</v>
      </c>
      <c r="J640" s="90">
        <f t="shared" si="163"/>
        <v>5.2933569230769226</v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5</v>
      </c>
      <c r="H641" s="87">
        <f>IFERROR(IF($G641="","",$G641*$S$648/$G$648/Cadastro!$E$33),"")</f>
        <v>21.005384615384617</v>
      </c>
      <c r="I641" s="89">
        <f>IFERROR(IF($D641="","",VLOOKUP($D641,Cadastro!$C$4:$G$7,5,FALSE())),"")</f>
        <v>0.6</v>
      </c>
      <c r="J641" s="90">
        <f t="shared" si="163"/>
        <v>4.4111307692307689</v>
      </c>
      <c r="K641" s="68">
        <f t="shared" si="164"/>
        <v>21</v>
      </c>
      <c r="L641" s="69" t="s">
        <v>29</v>
      </c>
      <c r="M641" s="69" t="s">
        <v>56</v>
      </c>
      <c r="N641" s="69" t="s">
        <v>210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0</v>
      </c>
      <c r="H642" s="87">
        <f>IFERROR(IF($G642="","",$G642*$S$648/$G$648/Cadastro!$E$33),"")</f>
        <v>0</v>
      </c>
      <c r="I642" s="89">
        <f>IFERROR(IF($D642="","",VLOOKUP($D642,Cadastro!$C$4:$G$7,5,FALSE())),"")</f>
        <v>0.6</v>
      </c>
      <c r="J642" s="90">
        <f t="shared" si="163"/>
        <v>0</v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21.005384615384617</v>
      </c>
      <c r="I643" s="89">
        <f>IFERROR(IF($D643="","",VLOOKUP($D643,Cadastro!$C$4:$G$7,5,FALSE())),"")</f>
        <v>0.6</v>
      </c>
      <c r="J643" s="90">
        <f t="shared" si="163"/>
        <v>4.4111307692307689</v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3</v>
      </c>
      <c r="H644" s="87">
        <f>IFERROR(IF($G644="","",$G644*$S$648/$G$648/Cadastro!$E$33),"")</f>
        <v>12.60323076923077</v>
      </c>
      <c r="I644" s="89">
        <f>IFERROR(IF($D644="","",VLOOKUP($D644,Cadastro!$C$4:$G$7,5,FALSE())),"")</f>
        <v>0.6</v>
      </c>
      <c r="J644" s="90">
        <f t="shared" si="163"/>
        <v>2.6466784615384613</v>
      </c>
      <c r="K644" s="63">
        <f t="shared" si="164"/>
        <v>12.600000000000001</v>
      </c>
      <c r="L644" s="60" t="s">
        <v>29</v>
      </c>
      <c r="M644" s="60"/>
      <c r="N644" s="60" t="s">
        <v>226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6</v>
      </c>
      <c r="H645" s="87">
        <f>IFERROR(IF($G645="","",$G645*$S$648/$G$648/Cadastro!$E$33),"")</f>
        <v>25.206461538461539</v>
      </c>
      <c r="I645" s="89">
        <f>IFERROR(IF($D645="","",VLOOKUP($D645,Cadastro!$C$4:$G$7,5,FALSE())),"")</f>
        <v>0.6</v>
      </c>
      <c r="J645" s="90">
        <f t="shared" si="163"/>
        <v>5.2933569230769226</v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0</v>
      </c>
      <c r="H646" s="87">
        <f>IFERROR(IF($G646="","",$G646*$S$648/$G$648/Cadastro!$E$33),"")</f>
        <v>0</v>
      </c>
      <c r="I646" s="89">
        <f>IFERROR(IF($D646="","",VLOOKUP($D646,Cadastro!$C$4:$G$7,5,FALSE())),"")</f>
        <v>0.6</v>
      </c>
      <c r="J646" s="90">
        <f t="shared" si="163"/>
        <v>0</v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3"/>
        <v>0</v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69" t="s">
        <v>267</v>
      </c>
      <c r="B648" s="169"/>
      <c r="C648" s="169"/>
      <c r="D648" s="169"/>
      <c r="E648" s="169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57.344699999999989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265</v>
      </c>
      <c r="S648" s="73">
        <v>273070</v>
      </c>
      <c r="T648" s="98">
        <f>IFERROR(J648,"")</f>
        <v>57.344699999999989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118.42949999999998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268</v>
      </c>
      <c r="S649" s="81">
        <f>IFERROR(S635+S648,"")</f>
        <v>563950</v>
      </c>
      <c r="T649" s="117">
        <f>IFERROR(J649,"")</f>
        <v>118.42949999999998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67">IFERROR(IF($H650="","",$H650*$F650*$I650),"")</f>
        <v>0</v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67"/>
        <v>0</v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67"/>
        <v>0</v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67"/>
        <v>0</v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67"/>
        <v>0</v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67"/>
        <v>0</v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67"/>
        <v>0</v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67"/>
        <v>0</v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0</v>
      </c>
      <c r="H658" s="87">
        <f>IFERROR(IF($G658="","",$G658*$S$662/$G$662/Cadastro!$E$33),"")</f>
        <v>0</v>
      </c>
      <c r="I658" s="89">
        <f>IFERROR(IF($D658="","",VLOOKUP($D658,Cadastro!$C$4:$G$7,5,FALSE())),"")</f>
        <v>0.6</v>
      </c>
      <c r="J658" s="90">
        <f t="shared" si="167"/>
        <v>0</v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0</v>
      </c>
      <c r="H659" s="87">
        <f>IFERROR(IF($G659="","",$G659*$S$662/$G$662/Cadastro!$E$33),"")</f>
        <v>0</v>
      </c>
      <c r="I659" s="89">
        <f>IFERROR(IF($D659="","",VLOOKUP($D659,Cadastro!$C$4:$G$7,5,FALSE())),"")</f>
        <v>0.6</v>
      </c>
      <c r="J659" s="90">
        <f t="shared" si="167"/>
        <v>0</v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0</v>
      </c>
      <c r="H660" s="87">
        <f>IFERROR(IF($G660="","",$G660*$S$662/$G$662/Cadastro!$E$33),"")</f>
        <v>0</v>
      </c>
      <c r="I660" s="89">
        <f>IFERROR(IF($D660="","",VLOOKUP($D660,Cadastro!$C$4:$G$7,5,FALSE())),"")</f>
        <v>0.6</v>
      </c>
      <c r="J660" s="90">
        <f t="shared" si="167"/>
        <v>0</v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2</v>
      </c>
      <c r="H661" s="91">
        <f>IFERROR(IF($G661="","",$G661*$S$662/$G$662/Cadastro!$E$33),"")</f>
        <v>24.12</v>
      </c>
      <c r="I661" s="92">
        <f>IFERROR(IF($D661="","",VLOOKUP($D661,Cadastro!$C$4:$G$7,5,FALSE())),"")</f>
        <v>0.6</v>
      </c>
      <c r="J661" s="93">
        <f t="shared" si="167"/>
        <v>5.0651999999999999</v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69" t="s">
        <v>264</v>
      </c>
      <c r="B662" s="169"/>
      <c r="C662" s="169"/>
      <c r="D662" s="169"/>
      <c r="E662" s="169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5.0651999999999999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265</v>
      </c>
      <c r="S662" s="73">
        <v>24120</v>
      </c>
      <c r="T662" s="98">
        <f>IFERROR(J662,"")</f>
        <v>5.0651999999999999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5</v>
      </c>
      <c r="H663" s="100">
        <f>IFERROR(IF($G663="","",$G663*$S$675/$G$675/Cadastro!$E$33),"")</f>
        <v>0</v>
      </c>
      <c r="I663" s="101">
        <f>IFERROR(IF($D663="","",VLOOKUP($D663,Cadastro!$C$4:$G$7,5,FALSE())),"")</f>
        <v>0.6</v>
      </c>
      <c r="J663" s="102">
        <f t="shared" ref="J663:J674" si="171">IFERROR(IF($H663="","",$H663*$F663*$I663),"")</f>
        <v>0</v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210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6</v>
      </c>
      <c r="H664" s="87">
        <f>IFERROR(IF($G664="","",$G664*$S$675/$G$675/Cadastro!$E$33),"")</f>
        <v>0</v>
      </c>
      <c r="I664" s="89">
        <f>IFERROR(IF($D664="","",VLOOKUP($D664,Cadastro!$C$4:$G$7,5,FALSE())),"")</f>
        <v>0.6</v>
      </c>
      <c r="J664" s="90">
        <f t="shared" si="171"/>
        <v>0</v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65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391</v>
      </c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0</v>
      </c>
      <c r="H665" s="87">
        <f>IFERROR(IF($G665="","",$G665*$S$675/$G$675/Cadastro!$E$33),"")</f>
        <v>0</v>
      </c>
      <c r="I665" s="89">
        <f>IFERROR(IF($D665="","",VLOOKUP($D665,Cadastro!$C$4:$G$7,5,FALSE())),"")</f>
        <v>0.6</v>
      </c>
      <c r="J665" s="90">
        <f t="shared" si="171"/>
        <v>0</v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1</v>
      </c>
      <c r="H666" s="87">
        <f>IFERROR(IF($G666="","",$G666*$S$675/$G$675/Cadastro!$E$33),"")</f>
        <v>0</v>
      </c>
      <c r="I666" s="89">
        <f>IFERROR(IF($D666="","",VLOOKUP($D666,Cadastro!$C$4:$G$7,5,FALSE())),"")</f>
        <v>0.6</v>
      </c>
      <c r="J666" s="90">
        <f t="shared" si="171"/>
        <v>0</v>
      </c>
      <c r="K666" s="63">
        <f t="shared" si="172"/>
        <v>4.2</v>
      </c>
      <c r="L666" s="60" t="s">
        <v>27</v>
      </c>
      <c r="M666" s="60" t="s">
        <v>56</v>
      </c>
      <c r="N666" s="60" t="s">
        <v>141</v>
      </c>
      <c r="O666" s="64">
        <v>0.98611111111111116</v>
      </c>
      <c r="P666" s="64"/>
      <c r="Q666" s="65">
        <f t="shared" ca="1" si="173"/>
        <v>1.5560185187496245E-2</v>
      </c>
      <c r="R666" s="62" t="s">
        <v>392</v>
      </c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4</v>
      </c>
      <c r="H667" s="87">
        <f>IFERROR(IF($G667="","",$G667*$S$675/$G$675/Cadastro!$E$33),"")</f>
        <v>0</v>
      </c>
      <c r="I667" s="89">
        <f>IFERROR(IF($D667="","",VLOOKUP($D667,Cadastro!$C$4:$G$7,5,FALSE())),"")</f>
        <v>0.6</v>
      </c>
      <c r="J667" s="90">
        <f t="shared" si="171"/>
        <v>0</v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/>
      <c r="H668" s="87" t="str">
        <f>IFERROR(IF($G668="","",$G668*$S$675/$G$675/Cadastro!$E$33),"")</f>
        <v/>
      </c>
      <c r="I668" s="89">
        <f>IFERROR(IF($D668="","",VLOOKUP($D668,Cadastro!$C$4:$G$7,5,FALSE())),"")</f>
        <v>0.6</v>
      </c>
      <c r="J668" s="90" t="str">
        <f t="shared" si="171"/>
        <v/>
      </c>
      <c r="K668" s="63" t="str">
        <f t="shared" si="172"/>
        <v/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/>
      <c r="H669" s="87" t="str">
        <f>IFERROR(IF($G669="","",$G669*$S$675/$G$675/Cadastro!$E$33),"")</f>
        <v/>
      </c>
      <c r="I669" s="89">
        <f>IFERROR(IF($D669="","",VLOOKUP($D669,Cadastro!$C$4:$G$7,5,FALSE())),"")</f>
        <v>0.6</v>
      </c>
      <c r="J669" s="90" t="str">
        <f t="shared" si="171"/>
        <v/>
      </c>
      <c r="K669" s="68" t="str">
        <f t="shared" si="172"/>
        <v/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/>
      <c r="H670" s="87" t="str">
        <f>IFERROR(IF($G670="","",$G670*$S$675/$G$675/Cadastro!$E$33),"")</f>
        <v/>
      </c>
      <c r="I670" s="89">
        <f>IFERROR(IF($D670="","",VLOOKUP($D670,Cadastro!$C$4:$G$7,5,FALSE())),"")</f>
        <v>0.6</v>
      </c>
      <c r="J670" s="90" t="str">
        <f t="shared" si="171"/>
        <v/>
      </c>
      <c r="K670" s="63" t="str">
        <f t="shared" si="172"/>
        <v/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/>
      <c r="H671" s="87" t="str">
        <f>IFERROR(IF($G671="","",$G671*$S$675/$G$675/Cadastro!$E$33),"")</f>
        <v/>
      </c>
      <c r="I671" s="89">
        <f>IFERROR(IF($D671="","",VLOOKUP($D671,Cadastro!$C$4:$G$7,5,FALSE())),"")</f>
        <v>0.6</v>
      </c>
      <c r="J671" s="90" t="str">
        <f t="shared" si="171"/>
        <v/>
      </c>
      <c r="K671" s="68" t="str">
        <f t="shared" si="172"/>
        <v/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/>
      <c r="H672" s="87" t="str">
        <f>IFERROR(IF($G672="","",$G672*$S$675/$G$675/Cadastro!$E$33),"")</f>
        <v/>
      </c>
      <c r="I672" s="89">
        <f>IFERROR(IF($D672="","",VLOOKUP($D672,Cadastro!$C$4:$G$7,5,FALSE())),"")</f>
        <v>0.6</v>
      </c>
      <c r="J672" s="90" t="str">
        <f t="shared" si="171"/>
        <v/>
      </c>
      <c r="K672" s="63" t="str">
        <f t="shared" si="172"/>
        <v/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/>
      <c r="H673" s="87" t="str">
        <f>IFERROR(IF($G673="","",$G673*$S$675/$G$675/Cadastro!$E$33),"")</f>
        <v/>
      </c>
      <c r="I673" s="89">
        <f>IFERROR(IF($D673="","",VLOOKUP($D673,Cadastro!$C$4:$G$7,5,FALSE())),"")</f>
        <v>0.6</v>
      </c>
      <c r="J673" s="90" t="str">
        <f t="shared" si="171"/>
        <v/>
      </c>
      <c r="K673" s="68" t="str">
        <f t="shared" si="172"/>
        <v/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69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/>
      <c r="H674" s="91" t="str">
        <f>IFERROR(IF($G674="","",$G674*$S$675/$G$675/Cadastro!$E$33),"")</f>
        <v/>
      </c>
      <c r="I674" s="92">
        <f>IFERROR(IF($D674="","",VLOOKUP($D674,Cadastro!$C$4:$G$7,5,FALSE())),"")</f>
        <v>0.6</v>
      </c>
      <c r="J674" s="93" t="str">
        <f t="shared" si="171"/>
        <v/>
      </c>
      <c r="K674" s="63" t="str">
        <f t="shared" si="172"/>
        <v/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69" t="s">
        <v>267</v>
      </c>
      <c r="B675" s="169"/>
      <c r="C675" s="169"/>
      <c r="D675" s="169"/>
      <c r="E675" s="169"/>
      <c r="F675" s="104"/>
      <c r="G675" s="95">
        <f>SUM(G663:G674)</f>
        <v>16</v>
      </c>
      <c r="H675" s="104">
        <f>IFERROR(SUM(H663:H674),"")</f>
        <v>0</v>
      </c>
      <c r="I675" s="105"/>
      <c r="J675" s="106">
        <f>IFERROR(SUM(J663:J674),"")</f>
        <v>0</v>
      </c>
      <c r="K675" s="2">
        <f>SUM(K663:K674)</f>
        <v>67.2</v>
      </c>
      <c r="L675" s="71"/>
      <c r="M675" s="71"/>
      <c r="N675" s="71"/>
      <c r="O675" s="71"/>
      <c r="P675" s="71"/>
      <c r="Q675" s="72">
        <f ca="1">IFERROR(SUM(Q663:Q674),"")</f>
        <v>0.14403240740971868</v>
      </c>
      <c r="R675" s="2" t="s">
        <v>265</v>
      </c>
      <c r="S675" s="73"/>
      <c r="T675" s="98">
        <f>IFERROR(J675,"")</f>
        <v>0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18</v>
      </c>
      <c r="H676" s="107">
        <f>IFERROR(H662+H675,"")</f>
        <v>24.12</v>
      </c>
      <c r="I676" s="109"/>
      <c r="J676" s="110">
        <f>IFERROR(J662+J675,"")</f>
        <v>5.0651999999999999</v>
      </c>
      <c r="K676" s="1">
        <f>K662+K675</f>
        <v>75.600000000000009</v>
      </c>
      <c r="L676" s="75"/>
      <c r="M676" s="75"/>
      <c r="N676" s="75"/>
      <c r="O676" s="75"/>
      <c r="P676" s="75"/>
      <c r="Q676" s="76">
        <f ca="1">IFERROR(Q662+Q675,"")</f>
        <v>0.59958796296527428</v>
      </c>
      <c r="R676" s="1" t="s">
        <v>268</v>
      </c>
      <c r="S676" s="81">
        <f>IFERROR(S662+S675,"")</f>
        <v>24120</v>
      </c>
      <c r="T676" s="117">
        <f>IFERROR(J676,"")</f>
        <v>5.0651999999999999</v>
      </c>
    </row>
    <row r="677" spans="1:20" ht="15" customHeight="1">
      <c r="A677" s="18">
        <v>46260</v>
      </c>
      <c r="B677" s="67">
        <v>0.33333333333333298</v>
      </c>
      <c r="C677" s="69"/>
      <c r="D677" s="74"/>
      <c r="E677" s="99"/>
      <c r="F677" s="100" t="str">
        <f>IFERROR(IF($D677="","",VLOOKUP($D677,Cadastro!$C$4:$E$7,3,FALSE())),"")</f>
        <v/>
      </c>
      <c r="G677" s="88"/>
      <c r="H677" s="100" t="str">
        <f>IFERROR(IF($G677="","",$G677*$S$689/$G$689/Cadastro!$E$33),"")</f>
        <v/>
      </c>
      <c r="I677" s="101" t="str">
        <f>IFERROR(IF($D677="","",VLOOKUP($D677,Cadastro!$C$4:$G$7,5,FALSE())),"")</f>
        <v/>
      </c>
      <c r="J677" s="102" t="str">
        <f t="shared" ref="J677:J688" si="175">IFERROR(IF($H677="","",$H677*$F677*$I677),"")</f>
        <v/>
      </c>
      <c r="K677" s="68" t="str">
        <f t="shared" ref="K677:K688" si="176">IF(G677="","",IF(E677="PC 17",G677*4.2,IF(E677="PC 19",G677*5,IF(E677="CB",G677*24,""))))</f>
        <v/>
      </c>
      <c r="L677" s="69"/>
      <c r="M677" s="69"/>
      <c r="N677" s="69"/>
      <c r="O677" s="64"/>
      <c r="P677" s="64"/>
      <c r="Q677" s="70" t="str">
        <f t="shared" ref="Q677:Q688" ca="1" si="177">IFERROR(IF(O677="","",IF(P677="",MOD(NOW()-O677,1),IF(P677&gt;=O677,P677-O677,P677+1-O677))),"")</f>
        <v/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/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5"/>
        <v/>
      </c>
      <c r="K678" s="63" t="str">
        <f t="shared" si="176"/>
        <v/>
      </c>
      <c r="L678" s="60"/>
      <c r="M678" s="60"/>
      <c r="N678" s="60"/>
      <c r="O678" s="64"/>
      <c r="P678" s="64"/>
      <c r="Q678" s="65" t="str">
        <f t="shared" ca="1" si="177"/>
        <v/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/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5"/>
        <v/>
      </c>
      <c r="K679" s="68" t="str">
        <f t="shared" si="176"/>
        <v/>
      </c>
      <c r="L679" s="69"/>
      <c r="M679" s="69"/>
      <c r="N679" s="69"/>
      <c r="O679" s="64"/>
      <c r="P679" s="64"/>
      <c r="Q679" s="70" t="str">
        <f t="shared" ca="1" si="177"/>
        <v/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/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5"/>
        <v/>
      </c>
      <c r="K680" s="63" t="str">
        <f t="shared" si="176"/>
        <v/>
      </c>
      <c r="L680" s="60"/>
      <c r="M680" s="60"/>
      <c r="N680" s="60"/>
      <c r="O680" s="64"/>
      <c r="P680" s="64"/>
      <c r="Q680" s="65" t="str">
        <f t="shared" ca="1" si="177"/>
        <v/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/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5"/>
        <v/>
      </c>
      <c r="K681" s="68" t="str">
        <f t="shared" si="176"/>
        <v/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/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5"/>
        <v/>
      </c>
      <c r="K682" s="63" t="str">
        <f t="shared" si="176"/>
        <v/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/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5"/>
        <v/>
      </c>
      <c r="K683" s="68" t="str">
        <f t="shared" si="176"/>
        <v/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/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5"/>
        <v/>
      </c>
      <c r="K684" s="63" t="str">
        <f t="shared" si="176"/>
        <v/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/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5"/>
        <v/>
      </c>
      <c r="K685" s="68" t="str">
        <f t="shared" si="176"/>
        <v/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/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5"/>
        <v/>
      </c>
      <c r="K686" s="63" t="str">
        <f t="shared" si="176"/>
        <v/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/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5"/>
        <v/>
      </c>
      <c r="K687" s="68" t="str">
        <f t="shared" si="176"/>
        <v/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/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5"/>
        <v/>
      </c>
      <c r="K688" s="63" t="str">
        <f t="shared" si="176"/>
        <v/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69" t="s">
        <v>264</v>
      </c>
      <c r="B689" s="169"/>
      <c r="C689" s="169"/>
      <c r="D689" s="169"/>
      <c r="E689" s="169"/>
      <c r="F689" s="94"/>
      <c r="G689" s="95">
        <f>SUM(G677:G688)</f>
        <v>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71"/>
      <c r="P689" s="71"/>
      <c r="Q689" s="72">
        <f ca="1">IFERROR(SUM(Q677:Q688),"")</f>
        <v>0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79">IFERROR(IF($H690="","",$H690*$F690*$I690),"")</f>
        <v/>
      </c>
      <c r="K690" s="63" t="str">
        <f t="shared" ref="K690:K701" si="180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1">IFERROR(IF(O690="","",IF(P690="",MOD(NOW()-O690,1),IF(P690&gt;=O690,P690-O690,P690+1-O690))),"")</f>
        <v/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79"/>
        <v/>
      </c>
      <c r="K691" s="68" t="str">
        <f t="shared" si="180"/>
        <v/>
      </c>
      <c r="L691" s="69"/>
      <c r="M691" s="69"/>
      <c r="N691" s="69"/>
      <c r="O691" s="64"/>
      <c r="P691" s="64"/>
      <c r="Q691" s="70" t="str">
        <f t="shared" ca="1" si="181"/>
        <v/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79"/>
        <v/>
      </c>
      <c r="K692" s="63" t="str">
        <f t="shared" si="180"/>
        <v/>
      </c>
      <c r="L692" s="60"/>
      <c r="M692" s="60"/>
      <c r="N692" s="60"/>
      <c r="O692" s="64"/>
      <c r="P692" s="64"/>
      <c r="Q692" s="65" t="str">
        <f t="shared" ca="1" si="181"/>
        <v/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79"/>
        <v/>
      </c>
      <c r="K693" s="68" t="str">
        <f t="shared" si="180"/>
        <v/>
      </c>
      <c r="L693" s="69"/>
      <c r="M693" s="69"/>
      <c r="N693" s="69"/>
      <c r="O693" s="64"/>
      <c r="P693" s="64"/>
      <c r="Q693" s="70" t="str">
        <f t="shared" ca="1" si="181"/>
        <v/>
      </c>
      <c r="R693" s="62"/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79"/>
        <v/>
      </c>
      <c r="K694" s="63" t="str">
        <f t="shared" si="180"/>
        <v/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79"/>
        <v/>
      </c>
      <c r="K695" s="68" t="str">
        <f t="shared" si="180"/>
        <v/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79"/>
        <v/>
      </c>
      <c r="K696" s="63" t="str">
        <f t="shared" si="180"/>
        <v/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79"/>
        <v/>
      </c>
      <c r="K697" s="68" t="str">
        <f t="shared" si="180"/>
        <v/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79"/>
        <v/>
      </c>
      <c r="K698" s="63" t="str">
        <f t="shared" si="180"/>
        <v/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79"/>
        <v/>
      </c>
      <c r="K699" s="68" t="str">
        <f t="shared" si="180"/>
        <v/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79"/>
        <v/>
      </c>
      <c r="K700" s="63" t="str">
        <f t="shared" si="180"/>
        <v/>
      </c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79"/>
        <v/>
      </c>
      <c r="K701" s="68" t="str">
        <f t="shared" si="180"/>
        <v/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69" t="s">
        <v>267</v>
      </c>
      <c r="B702" s="169"/>
      <c r="C702" s="169"/>
      <c r="D702" s="169"/>
      <c r="E702" s="16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75"/>
      <c r="P703" s="75"/>
      <c r="Q703" s="76">
        <f ca="1">IFERROR(Q689+Q702,"")</f>
        <v>0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 t="str">
        <f t="shared" ref="K704:K715" si="184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5">IFERROR(IF(O704="","",IF(P704="",MOD(NOW()-O704,1),IF(P704&gt;=O704,P704-O704,P704+1-O704))),"")</f>
        <v/>
      </c>
      <c r="R704" s="62"/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3"/>
        <v/>
      </c>
      <c r="K705" s="68" t="str">
        <f t="shared" si="184"/>
        <v/>
      </c>
      <c r="L705" s="69"/>
      <c r="M705" s="69"/>
      <c r="N705" s="69"/>
      <c r="O705" s="64"/>
      <c r="P705" s="64"/>
      <c r="Q705" s="70" t="str">
        <f t="shared" ca="1" si="185"/>
        <v/>
      </c>
      <c r="R705" s="62"/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3"/>
        <v/>
      </c>
      <c r="K706" s="63" t="str">
        <f t="shared" si="184"/>
        <v/>
      </c>
      <c r="L706" s="60"/>
      <c r="M706" s="60"/>
      <c r="N706" s="60"/>
      <c r="O706" s="64"/>
      <c r="P706" s="64"/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3"/>
        <v/>
      </c>
      <c r="K707" s="68" t="str">
        <f t="shared" si="184"/>
        <v/>
      </c>
      <c r="L707" s="69"/>
      <c r="M707" s="69"/>
      <c r="N707" s="69"/>
      <c r="O707" s="64"/>
      <c r="P707" s="64"/>
      <c r="Q707" s="70" t="str">
        <f t="shared" ca="1" si="185"/>
        <v/>
      </c>
      <c r="R707" s="62"/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3"/>
        <v/>
      </c>
      <c r="K708" s="63" t="str">
        <f t="shared" si="184"/>
        <v/>
      </c>
      <c r="L708" s="60"/>
      <c r="M708" s="60"/>
      <c r="N708" s="60"/>
      <c r="O708" s="64"/>
      <c r="P708" s="64"/>
      <c r="Q708" s="65" t="str">
        <f t="shared" ca="1" si="185"/>
        <v/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3"/>
        <v/>
      </c>
      <c r="K709" s="68" t="str">
        <f t="shared" si="184"/>
        <v/>
      </c>
      <c r="L709" s="69"/>
      <c r="M709" s="69"/>
      <c r="N709" s="69"/>
      <c r="O709" s="64"/>
      <c r="P709" s="64"/>
      <c r="Q709" s="70" t="str">
        <f t="shared" ca="1" si="185"/>
        <v/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3"/>
        <v/>
      </c>
      <c r="K710" s="63" t="str">
        <f t="shared" si="184"/>
        <v/>
      </c>
      <c r="L710" s="60"/>
      <c r="M710" s="60"/>
      <c r="N710" s="60"/>
      <c r="O710" s="64"/>
      <c r="P710" s="64"/>
      <c r="Q710" s="65" t="str">
        <f t="shared" ca="1" si="185"/>
        <v/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3"/>
        <v/>
      </c>
      <c r="K711" s="68" t="str">
        <f t="shared" si="184"/>
        <v/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3"/>
        <v/>
      </c>
      <c r="K712" s="63" t="str">
        <f t="shared" si="184"/>
        <v/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69" t="s">
        <v>264</v>
      </c>
      <c r="B716" s="169"/>
      <c r="C716" s="169"/>
      <c r="D716" s="169"/>
      <c r="E716" s="16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69" t="s">
        <v>267</v>
      </c>
      <c r="B729" s="169"/>
      <c r="C729" s="169"/>
      <c r="D729" s="169"/>
      <c r="E729" s="16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69" t="s">
        <v>264</v>
      </c>
      <c r="B743" s="169"/>
      <c r="C743" s="169"/>
      <c r="D743" s="169"/>
      <c r="E743" s="16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69" t="s">
        <v>267</v>
      </c>
      <c r="B756" s="169"/>
      <c r="C756" s="169"/>
      <c r="D756" s="169"/>
      <c r="E756" s="16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69" t="s">
        <v>264</v>
      </c>
      <c r="B770" s="169"/>
      <c r="C770" s="169"/>
      <c r="D770" s="169"/>
      <c r="E770" s="16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69" t="s">
        <v>267</v>
      </c>
      <c r="B783" s="169"/>
      <c r="C783" s="169"/>
      <c r="D783" s="169"/>
      <c r="E783" s="16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69" t="s">
        <v>264</v>
      </c>
      <c r="B797" s="169"/>
      <c r="C797" s="169"/>
      <c r="D797" s="169"/>
      <c r="E797" s="16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69" t="s">
        <v>267</v>
      </c>
      <c r="B810" s="169"/>
      <c r="C810" s="169"/>
      <c r="D810" s="169"/>
      <c r="E810" s="16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69" t="s">
        <v>264</v>
      </c>
      <c r="B824" s="169"/>
      <c r="C824" s="169"/>
      <c r="D824" s="169"/>
      <c r="E824" s="16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69" t="s">
        <v>267</v>
      </c>
      <c r="B837" s="169"/>
      <c r="C837" s="169"/>
      <c r="D837" s="169"/>
      <c r="E837" s="16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1" zoomScaleNormal="81" workbookViewId="0">
      <pane ySplit="1" topLeftCell="A635" activePane="bottomLeft" state="frozen"/>
      <selection pane="bottomLeft" activeCell="G667" sqref="G667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310</v>
      </c>
      <c r="I1" s="85" t="s">
        <v>22</v>
      </c>
      <c r="J1" s="85" t="s">
        <v>311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311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61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66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66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69" t="s">
        <v>264</v>
      </c>
      <c r="B14" s="169"/>
      <c r="C14" s="169"/>
      <c r="D14" s="169"/>
      <c r="E14" s="169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265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278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61</v>
      </c>
      <c r="N15" s="69" t="s">
        <v>71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66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393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61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318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61</v>
      </c>
      <c r="N18" s="60" t="s">
        <v>141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360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61</v>
      </c>
      <c r="N19" s="69" t="s">
        <v>141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394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66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66</v>
      </c>
      <c r="N21" s="69" t="s">
        <v>71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173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395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278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278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69" t="s">
        <v>267</v>
      </c>
      <c r="B27" s="169"/>
      <c r="C27" s="169"/>
      <c r="D27" s="169"/>
      <c r="E27" s="169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265</v>
      </c>
      <c r="S27" s="73">
        <v>491520</v>
      </c>
      <c r="T27" s="98">
        <f>IFERROR(J27,"")</f>
        <v>0</v>
      </c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268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278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66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278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278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278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278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278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278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278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278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278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278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69" t="s">
        <v>264</v>
      </c>
      <c r="B41" s="169"/>
      <c r="C41" s="169"/>
      <c r="D41" s="169"/>
      <c r="E41" s="169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265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61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66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61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66</v>
      </c>
      <c r="N45" s="69" t="s">
        <v>71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396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66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66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66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69" t="s">
        <v>267</v>
      </c>
      <c r="B54" s="169"/>
      <c r="C54" s="169"/>
      <c r="D54" s="169"/>
      <c r="E54" s="169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265</v>
      </c>
      <c r="S54" s="73">
        <v>352430</v>
      </c>
      <c r="T54" s="98">
        <f>IFERROR(J54,"")</f>
        <v>0</v>
      </c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268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66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61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66</v>
      </c>
      <c r="N58" s="60" t="s">
        <v>220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61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397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61</v>
      </c>
      <c r="N60" s="60" t="s">
        <v>141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398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69" t="s">
        <v>264</v>
      </c>
      <c r="B68" s="169"/>
      <c r="C68" s="169"/>
      <c r="D68" s="169"/>
      <c r="E68" s="169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265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61</v>
      </c>
      <c r="N69" s="69" t="s">
        <v>234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399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66</v>
      </c>
      <c r="N70" s="60" t="s">
        <v>71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66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66</v>
      </c>
      <c r="N72" s="60" t="s">
        <v>141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360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61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61</v>
      </c>
      <c r="N74" s="69" t="s">
        <v>220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278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69" t="s">
        <v>267</v>
      </c>
      <c r="B81" s="169"/>
      <c r="C81" s="169"/>
      <c r="D81" s="169"/>
      <c r="E81" s="169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265</v>
      </c>
      <c r="S81" s="73">
        <v>612410</v>
      </c>
      <c r="T81" s="98">
        <f>IFERROR(J81,"")</f>
        <v>0</v>
      </c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268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174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61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69" t="s">
        <v>264</v>
      </c>
      <c r="B95" s="169"/>
      <c r="C95" s="169"/>
      <c r="D95" s="169"/>
      <c r="E95" s="169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265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174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61</v>
      </c>
      <c r="N97" s="69" t="s">
        <v>141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360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69" t="s">
        <v>267</v>
      </c>
      <c r="B108" s="169"/>
      <c r="C108" s="169"/>
      <c r="D108" s="169"/>
      <c r="E108" s="169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265</v>
      </c>
      <c r="S108" s="73">
        <v>956070</v>
      </c>
      <c r="T108" s="98">
        <f>IFERROR(J108,"")</f>
        <v>0</v>
      </c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268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174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66</v>
      </c>
      <c r="N111" s="69" t="s">
        <v>234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239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239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174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400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69" t="s">
        <v>264</v>
      </c>
      <c r="B122" s="169"/>
      <c r="C122" s="169"/>
      <c r="D122" s="169"/>
      <c r="E122" s="169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265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61</v>
      </c>
      <c r="N123" s="69" t="s">
        <v>220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61</v>
      </c>
      <c r="N124" s="60" t="s">
        <v>65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401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61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66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61</v>
      </c>
      <c r="N127" s="69" t="s">
        <v>321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66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61</v>
      </c>
      <c r="N129" s="69" t="s">
        <v>141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360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66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69" t="s">
        <v>267</v>
      </c>
      <c r="B135" s="169"/>
      <c r="C135" s="169"/>
      <c r="D135" s="169"/>
      <c r="E135" s="169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265</v>
      </c>
      <c r="S135" s="73">
        <v>912240</v>
      </c>
      <c r="T135" s="98">
        <f>IFERROR(J135,"")</f>
        <v>0</v>
      </c>
    </row>
    <row r="136" spans="1:22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268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174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402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61</v>
      </c>
      <c r="N139" s="69" t="s">
        <v>119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403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66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152</v>
      </c>
      <c r="N141" s="69" t="s">
        <v>83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61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174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66</v>
      </c>
      <c r="N144" s="60" t="s">
        <v>119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329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264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265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174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404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151</v>
      </c>
      <c r="N151" s="69" t="s">
        <v>67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405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69" t="s">
        <v>267</v>
      </c>
      <c r="B162" s="169"/>
      <c r="C162" s="169"/>
      <c r="D162" s="169"/>
      <c r="E162" s="169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265</v>
      </c>
      <c r="S162" s="73">
        <v>573230</v>
      </c>
      <c r="T162" s="98">
        <f>IFERROR(J162,"")</f>
        <v>0</v>
      </c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268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151</v>
      </c>
      <c r="N164" s="60" t="s">
        <v>145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174</v>
      </c>
      <c r="N165" s="69" t="s">
        <v>197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174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66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66</v>
      </c>
      <c r="N168" s="60" t="s">
        <v>168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152</v>
      </c>
      <c r="N169" s="69" t="s">
        <v>83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174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406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152</v>
      </c>
      <c r="N171" s="69" t="s">
        <v>83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69" t="s">
        <v>264</v>
      </c>
      <c r="B176" s="169"/>
      <c r="C176" s="169"/>
      <c r="D176" s="169"/>
      <c r="E176" s="169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265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126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407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152</v>
      </c>
      <c r="N178" s="60" t="s">
        <v>141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174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69" t="s">
        <v>267</v>
      </c>
      <c r="B189" s="169"/>
      <c r="C189" s="169"/>
      <c r="D189" s="169"/>
      <c r="E189" s="169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265</v>
      </c>
      <c r="S189" s="73">
        <v>692750</v>
      </c>
      <c r="T189" s="98">
        <f>IFERROR(J189,"")</f>
        <v>0</v>
      </c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268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174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61</v>
      </c>
      <c r="N192" s="69" t="s">
        <v>168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408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66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169</v>
      </c>
      <c r="N194" s="60" t="s">
        <v>83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69" t="s">
        <v>264</v>
      </c>
      <c r="B203" s="169"/>
      <c r="C203" s="169"/>
      <c r="D203" s="169"/>
      <c r="E203" s="169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265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66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409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410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61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411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69" t="s">
        <v>267</v>
      </c>
      <c r="B216" s="169"/>
      <c r="C216" s="169"/>
      <c r="D216" s="169"/>
      <c r="E216" s="169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265</v>
      </c>
      <c r="S216" s="73">
        <v>607180</v>
      </c>
      <c r="T216" s="98">
        <f>IFERROR(J216,"")</f>
        <v>0</v>
      </c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268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66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61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61</v>
      </c>
      <c r="N220" s="60" t="s">
        <v>65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412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66</v>
      </c>
      <c r="N221" s="69" t="s">
        <v>87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413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69" t="s">
        <v>264</v>
      </c>
      <c r="B230" s="169"/>
      <c r="C230" s="169"/>
      <c r="D230" s="169"/>
      <c r="E230" s="169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265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66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414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66</v>
      </c>
      <c r="N232" s="60" t="s">
        <v>65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415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163</v>
      </c>
      <c r="N233" s="69" t="s">
        <v>141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61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69" t="s">
        <v>267</v>
      </c>
      <c r="B243" s="169"/>
      <c r="C243" s="169"/>
      <c r="D243" s="169"/>
      <c r="E243" s="169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265</v>
      </c>
      <c r="S243" s="73">
        <v>795250</v>
      </c>
      <c r="T243" s="98">
        <f>IFERROR(J243,"")</f>
        <v>0</v>
      </c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268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61</v>
      </c>
      <c r="N245" s="69" t="s">
        <v>178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 t="s">
        <v>288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66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61</v>
      </c>
      <c r="N247" s="69" t="s">
        <v>71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66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163</v>
      </c>
      <c r="N249" s="69" t="s">
        <v>141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416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61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61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69" t="s">
        <v>264</v>
      </c>
      <c r="B257" s="169"/>
      <c r="C257" s="169"/>
      <c r="D257" s="169"/>
      <c r="E257" s="169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265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278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278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278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278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278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278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278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278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278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278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278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278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69" t="s">
        <v>267</v>
      </c>
      <c r="B270" s="169"/>
      <c r="C270" s="169"/>
      <c r="D270" s="169"/>
      <c r="E270" s="169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265</v>
      </c>
      <c r="S270" s="73">
        <v>683360</v>
      </c>
      <c r="T270" s="98">
        <f>IFERROR(J270,"")</f>
        <v>0</v>
      </c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268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278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69" t="s">
        <v>264</v>
      </c>
      <c r="B284" s="169"/>
      <c r="C284" s="169"/>
      <c r="D284" s="169"/>
      <c r="E284" s="169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265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69" t="s">
        <v>267</v>
      </c>
      <c r="B297" s="169"/>
      <c r="C297" s="169"/>
      <c r="D297" s="169"/>
      <c r="E297" s="169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265</v>
      </c>
      <c r="S297" s="73">
        <v>904710</v>
      </c>
      <c r="T297" s="98">
        <f>IFERROR(J297,"")</f>
        <v>0</v>
      </c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268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61</v>
      </c>
      <c r="N299" s="69" t="s">
        <v>197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66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95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20</v>
      </c>
      <c r="H305" s="68">
        <f>IFERROR(IF($G305="","",$G305*$S$311/$G$311/Cadastro!$E$33),"")</f>
        <v>98.848958333333329</v>
      </c>
      <c r="I305" s="89">
        <f>IFERROR(IF($D305="","",VLOOKUP($D305,Cadastro!$C$4:$G$7,5,FALSE())),"")</f>
        <v>0.6</v>
      </c>
      <c r="J305" s="90">
        <f t="shared" si="66"/>
        <v>20.758281249999996</v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10</v>
      </c>
      <c r="H306" s="68">
        <f>IFERROR(IF($G306="","",$G306*$S$311/$G$311/Cadastro!$E$33),"")</f>
        <v>49.424479166666664</v>
      </c>
      <c r="I306" s="89">
        <f>IFERROR(IF($D306="","",VLOOKUP($D306,Cadastro!$C$4:$G$7,5,FALSE())),"")</f>
        <v>0.6</v>
      </c>
      <c r="J306" s="90">
        <f t="shared" si="66"/>
        <v>10.379140624999998</v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15</v>
      </c>
      <c r="H307" s="68">
        <f>IFERROR(IF($G307="","",$G307*$S$311/$G$311/Cadastro!$E$33),"")</f>
        <v>74.13671875</v>
      </c>
      <c r="I307" s="89">
        <f>IFERROR(IF($D307="","",VLOOKUP($D307,Cadastro!$C$4:$G$7,5,FALSE())),"")</f>
        <v>0.6</v>
      </c>
      <c r="J307" s="90">
        <f t="shared" si="66"/>
        <v>15.568710937499999</v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0</v>
      </c>
      <c r="H308" s="68">
        <f>IFERROR(IF($G308="","",$G308*$S$311/$G$311/Cadastro!$E$33),"")</f>
        <v>0</v>
      </c>
      <c r="I308" s="89">
        <f>IFERROR(IF($D308="","",VLOOKUP($D308,Cadastro!$C$4:$G$7,5,FALSE())),"")</f>
        <v>0.6</v>
      </c>
      <c r="J308" s="90">
        <f t="shared" si="66"/>
        <v>0</v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14</v>
      </c>
      <c r="H309" s="68">
        <f>IFERROR(IF($G309="","",$G309*$S$311/$G$311/Cadastro!$E$33),"")</f>
        <v>69.194270833333334</v>
      </c>
      <c r="I309" s="89">
        <f>IFERROR(IF($D309="","",VLOOKUP($D309,Cadastro!$C$4:$G$7,5,FALSE())),"")</f>
        <v>0.6</v>
      </c>
      <c r="J309" s="90">
        <f t="shared" si="66"/>
        <v>14.530796874999998</v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10</v>
      </c>
      <c r="H310" s="68">
        <f>IFERROR(IF($G310="","",$G310*$S$311/$G$311/Cadastro!$E$33),"")</f>
        <v>49.424479166666664</v>
      </c>
      <c r="I310" s="92">
        <f>IFERROR(IF($D310="","",VLOOKUP($D310,Cadastro!$C$4:$G$7,5,FALSE())),"")</f>
        <v>0.6</v>
      </c>
      <c r="J310" s="93">
        <f t="shared" si="66"/>
        <v>10.379140624999998</v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69" t="s">
        <v>264</v>
      </c>
      <c r="B311" s="169"/>
      <c r="C311" s="169"/>
      <c r="D311" s="169"/>
      <c r="E311" s="169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159.15670781249997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265</v>
      </c>
      <c r="S311" s="73">
        <v>948950</v>
      </c>
      <c r="T311" s="98">
        <f>IFERROR(J311,"")</f>
        <v>159.15670781249997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169</v>
      </c>
      <c r="N312" s="60" t="s">
        <v>83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174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69" t="s">
        <v>267</v>
      </c>
      <c r="B324" s="169"/>
      <c r="C324" s="169"/>
      <c r="D324" s="169"/>
      <c r="E324" s="169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265</v>
      </c>
      <c r="S324" s="73">
        <v>1049720</v>
      </c>
      <c r="T324" s="98">
        <f>IFERROR(J324,"")</f>
        <v>151.15967999999998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310.31638781249995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268</v>
      </c>
      <c r="S325" s="81">
        <f>IFERROR(S311+S324,"")</f>
        <v>1998670</v>
      </c>
      <c r="T325" s="117">
        <f>IFERROR(J325,"")</f>
        <v>310.31638781249995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13</v>
      </c>
      <c r="H326" s="100">
        <f>IFERROR(IF($G326="","",$G326*$S$338/$G$338/Cadastro!$E$33),"")</f>
        <v>72.569953917050697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15.239690322580644</v>
      </c>
      <c r="K326" s="63">
        <f>IF(G326="","",IF(E327="PC 17",G326*4.2,IF(E327="PC 19",G326*5,"")))</f>
        <v>65</v>
      </c>
      <c r="L326" s="60" t="s">
        <v>28</v>
      </c>
      <c r="M326" s="60" t="s">
        <v>174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17</v>
      </c>
      <c r="H327" s="87">
        <f>IFERROR(IF($G327="","",$G327*$S$338/$G$338/Cadastro!$E$33),"")</f>
        <v>94.899170506912441</v>
      </c>
      <c r="I327" s="89">
        <f>IFERROR(IF($D327="","",VLOOKUP($D327,Cadastro!$C$4:$G$7,5,FALSE())),"")</f>
        <v>0.6</v>
      </c>
      <c r="J327" s="90">
        <f t="shared" si="74"/>
        <v>19.928825806451609</v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15</v>
      </c>
      <c r="H328" s="87">
        <f>IFERROR(IF($G328="","",$G328*$S$338/$G$338/Cadastro!$E$33),"")</f>
        <v>83.734562211981569</v>
      </c>
      <c r="I328" s="89">
        <f>IFERROR(IF($D328="","",VLOOKUP($D328,Cadastro!$C$4:$G$7,5,FALSE())),"")</f>
        <v>0.6</v>
      </c>
      <c r="J328" s="90">
        <f t="shared" si="74"/>
        <v>17.584258064516128</v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66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61.40534562211981</v>
      </c>
      <c r="I329" s="89">
        <f>IFERROR(IF($D329="","",VLOOKUP($D329,Cadastro!$C$4:$G$7,5,FALSE())),"")</f>
        <v>0.6</v>
      </c>
      <c r="J329" s="90">
        <f t="shared" si="74"/>
        <v>12.895122580645159</v>
      </c>
      <c r="K329" s="68">
        <f t="shared" si="77"/>
        <v>55</v>
      </c>
      <c r="L329" s="69" t="s">
        <v>28</v>
      </c>
      <c r="M329" s="69" t="s">
        <v>61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31</v>
      </c>
      <c r="E330" s="86" t="s">
        <v>278</v>
      </c>
      <c r="F330" s="87">
        <f>IFERROR(IF($D330="","",VLOOKUP($D330,Cadastro!$C$4:$E$7,3,FALSE())),"")</f>
        <v>0.35</v>
      </c>
      <c r="G330" s="88">
        <v>17</v>
      </c>
      <c r="H330" s="87">
        <f>IFERROR(IF($G330="","",$G330*$S$338/$G$338/Cadastro!$E$33),"")</f>
        <v>94.899170506912441</v>
      </c>
      <c r="I330" s="89">
        <f>IFERROR(IF($D330="","",VLOOKUP($D330,Cadastro!$C$4:$G$7,5,FALSE())),"")</f>
        <v>0.6</v>
      </c>
      <c r="J330" s="90">
        <f t="shared" si="74"/>
        <v>19.928825806451609</v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15</v>
      </c>
      <c r="H331" s="87">
        <f>IFERROR(IF($G331="","",$G331*$S$338/$G$338/Cadastro!$E$33),"")</f>
        <v>83.734562211981569</v>
      </c>
      <c r="I331" s="89">
        <f>IFERROR(IF($D331="","",VLOOKUP($D331,Cadastro!$C$4:$G$7,5,FALSE())),"")</f>
        <v>0.6</v>
      </c>
      <c r="J331" s="90">
        <f t="shared" si="74"/>
        <v>17.584258064516128</v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50</v>
      </c>
      <c r="H332" s="87">
        <f>IFERROR(IF($G332="","",$G332*$S$338/$G$338/Cadastro!$E$33),"")</f>
        <v>279.11520737327186</v>
      </c>
      <c r="I332" s="89">
        <f>IFERROR(IF($D332="","",VLOOKUP($D332,Cadastro!$C$4:$G$7,5,FALSE())),"")</f>
        <v>0.6</v>
      </c>
      <c r="J332" s="90">
        <f t="shared" si="74"/>
        <v>58.614193548387085</v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24</v>
      </c>
      <c r="H333" s="87">
        <f>IFERROR(IF($G333="","",$G333*$S$338/$G$338/Cadastro!$E$33),"")</f>
        <v>133.97529953917052</v>
      </c>
      <c r="I333" s="89">
        <f>IFERROR(IF($D333="","",VLOOKUP($D333,Cadastro!$C$4:$G$7,5,FALSE())),"")</f>
        <v>0.6</v>
      </c>
      <c r="J333" s="90">
        <f t="shared" si="74"/>
        <v>28.134812903225807</v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10</v>
      </c>
      <c r="H334" s="87">
        <f>IFERROR(IF($G334="","",$G334*$S$338/$G$338/Cadastro!$E$33),"")</f>
        <v>55.823041474654374</v>
      </c>
      <c r="I334" s="89">
        <f>IFERROR(IF($D334="","",VLOOKUP($D334,Cadastro!$C$4:$G$7,5,FALSE())),"")</f>
        <v>0.6</v>
      </c>
      <c r="J334" s="90">
        <f t="shared" si="74"/>
        <v>11.722838709677417</v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21</v>
      </c>
      <c r="H335" s="87">
        <f>IFERROR(IF($G335="","",$G335*$S$338/$G$338/Cadastro!$E$33),"")</f>
        <v>117.2283870967742</v>
      </c>
      <c r="I335" s="89">
        <f>IFERROR(IF($D335="","",VLOOKUP($D335,Cadastro!$C$4:$G$7,5,FALSE())),"")</f>
        <v>0.6</v>
      </c>
      <c r="J335" s="90">
        <f t="shared" si="74"/>
        <v>24.61796129032258</v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12</v>
      </c>
      <c r="H336" s="87">
        <f>IFERROR(IF($G336="","",$G336*$S$338/$G$338/Cadastro!$E$33),"")</f>
        <v>66.987649769585261</v>
      </c>
      <c r="I336" s="89">
        <f>IFERROR(IF($D336="","",VLOOKUP($D336,Cadastro!$C$4:$G$7,5,FALSE())),"")</f>
        <v>0.6</v>
      </c>
      <c r="J336" s="90">
        <f t="shared" si="74"/>
        <v>14.067406451612904</v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12</v>
      </c>
      <c r="H337" s="91">
        <f>IFERROR(IF($G337="","",$G337*$S$338/$G$338/Cadastro!$E$33),"")</f>
        <v>66.987649769585261</v>
      </c>
      <c r="I337" s="92">
        <f>IFERROR(IF($D337="","",VLOOKUP($D337,Cadastro!$C$4:$G$7,5,FALSE())),"")</f>
        <v>0.6</v>
      </c>
      <c r="J337" s="93">
        <f t="shared" si="74"/>
        <v>14.067406451612904</v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69" t="s">
        <v>264</v>
      </c>
      <c r="B338" s="169"/>
      <c r="C338" s="169"/>
      <c r="D338" s="169"/>
      <c r="E338" s="169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254.38559999999993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265</v>
      </c>
      <c r="S338" s="73">
        <v>1211360</v>
      </c>
      <c r="T338" s="98">
        <f>IFERROR(J338,"")</f>
        <v>254.38559999999993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30</v>
      </c>
      <c r="H339" s="100">
        <f>IFERROR(IF($G339="","",$G339*$S$351/$G$351/Cadastro!$E$33),"")</f>
        <v>133.94050632911393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28.12750632911392</v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174</v>
      </c>
      <c r="N339" s="69" t="s">
        <v>71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16</v>
      </c>
      <c r="H340" s="87">
        <f>IFERROR(IF($G340="","",$G340*$S$351/$G$351/Cadastro!$E$33),"")</f>
        <v>71.434936708860761</v>
      </c>
      <c r="I340" s="89">
        <f>IFERROR(IF($D340="","",VLOOKUP($D340,Cadastro!$C$4:$G$7,5,FALSE())),"")</f>
        <v>0.6</v>
      </c>
      <c r="J340" s="90">
        <f t="shared" si="78"/>
        <v>15.001336708860757</v>
      </c>
      <c r="K340" s="63">
        <f t="shared" si="79"/>
        <v>67.2</v>
      </c>
      <c r="L340" s="60" t="s">
        <v>29</v>
      </c>
      <c r="M340" s="60" t="s">
        <v>66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32</v>
      </c>
      <c r="H341" s="87">
        <f>IFERROR(IF($G341="","",$G341*$S$351/$G$351/Cadastro!$E$33),"")</f>
        <v>142.86987341772152</v>
      </c>
      <c r="I341" s="89">
        <f>IFERROR(IF($D341="","",VLOOKUP($D341,Cadastro!$C$4:$G$7,5,FALSE())),"")</f>
        <v>0.6</v>
      </c>
      <c r="J341" s="90">
        <f t="shared" si="78"/>
        <v>30.002673417721514</v>
      </c>
      <c r="K341" s="68">
        <f t="shared" si="79"/>
        <v>134.4</v>
      </c>
      <c r="L341" s="69" t="s">
        <v>29</v>
      </c>
      <c r="M341" s="69" t="s">
        <v>61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53.576202531645571</v>
      </c>
      <c r="I342" s="89">
        <f>IFERROR(IF($D342="","",VLOOKUP($D342,Cadastro!$C$4:$G$7,5,FALSE())),"")</f>
        <v>0.6</v>
      </c>
      <c r="J342" s="90">
        <f t="shared" si="78"/>
        <v>11.25100253164557</v>
      </c>
      <c r="K342" s="63">
        <f t="shared" si="79"/>
        <v>50.400000000000006</v>
      </c>
      <c r="L342" s="60" t="s">
        <v>28</v>
      </c>
      <c r="M342" s="60" t="s">
        <v>174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15</v>
      </c>
      <c r="H343" s="87">
        <f>IFERROR(IF($G343="","",$G343*$S$351/$G$351/Cadastro!$E$33),"")</f>
        <v>66.970253164556965</v>
      </c>
      <c r="I343" s="89">
        <f>IFERROR(IF($D343="","",VLOOKUP($D343,Cadastro!$C$4:$G$7,5,FALSE())),"")</f>
        <v>0.6</v>
      </c>
      <c r="J343" s="90">
        <f t="shared" si="78"/>
        <v>14.06375316455696</v>
      </c>
      <c r="K343" s="68">
        <f t="shared" si="79"/>
        <v>63</v>
      </c>
      <c r="L343" s="69" t="s">
        <v>29</v>
      </c>
      <c r="M343" s="69" t="s">
        <v>61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27</v>
      </c>
      <c r="H344" s="87">
        <f>IFERROR(IF($G344="","",$G344*$S$351/$G$351/Cadastro!$E$33),"")</f>
        <v>120.54645569620254</v>
      </c>
      <c r="I344" s="89">
        <f>IFERROR(IF($D344="","",VLOOKUP($D344,Cadastro!$C$4:$G$7,5,FALSE())),"")</f>
        <v>0.6</v>
      </c>
      <c r="J344" s="90">
        <f t="shared" si="78"/>
        <v>25.314755696202528</v>
      </c>
      <c r="K344" s="63">
        <f t="shared" si="79"/>
        <v>113.4</v>
      </c>
      <c r="L344" s="60" t="s">
        <v>29</v>
      </c>
      <c r="M344" s="60" t="s">
        <v>66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24</v>
      </c>
      <c r="H345" s="87">
        <f>IFERROR(IF($G345="","",$G345*$S$351/$G$351/Cadastro!$E$33),"")</f>
        <v>107.15240506329114</v>
      </c>
      <c r="I345" s="89">
        <f>IFERROR(IF($D345="","",VLOOKUP($D345,Cadastro!$C$4:$G$7,5,FALSE())),"")</f>
        <v>0.6</v>
      </c>
      <c r="J345" s="90">
        <f t="shared" si="78"/>
        <v>22.50200506329114</v>
      </c>
      <c r="K345" s="68">
        <f t="shared" si="79"/>
        <v>100.80000000000001</v>
      </c>
      <c r="L345" s="69" t="s">
        <v>29</v>
      </c>
      <c r="M345" s="69" t="s">
        <v>66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19</v>
      </c>
      <c r="H346" s="87">
        <f>IFERROR(IF($G346="","",$G346*$S$351/$G$351/Cadastro!$E$33),"")</f>
        <v>84.828987341772148</v>
      </c>
      <c r="I346" s="89">
        <f>IFERROR(IF($D346="","",VLOOKUP($D346,Cadastro!$C$4:$G$7,5,FALSE())),"")</f>
        <v>0.6</v>
      </c>
      <c r="J346" s="90">
        <f t="shared" si="78"/>
        <v>17.814087341772147</v>
      </c>
      <c r="K346" s="63">
        <f t="shared" si="79"/>
        <v>79.8</v>
      </c>
      <c r="L346" s="60" t="s">
        <v>28</v>
      </c>
      <c r="M346" s="60" t="s">
        <v>174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417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25</v>
      </c>
      <c r="H347" s="87">
        <f>IFERROR(IF($G347="","",$G347*$S$351/$G$351/Cadastro!$E$33),"")</f>
        <v>111.61708860759494</v>
      </c>
      <c r="I347" s="89">
        <f>IFERROR(IF($D347="","",VLOOKUP($D347,Cadastro!$C$4:$G$7,5,FALSE())),"")</f>
        <v>0.6</v>
      </c>
      <c r="J347" s="90">
        <f t="shared" si="78"/>
        <v>23.439588607594935</v>
      </c>
      <c r="K347" s="68">
        <f t="shared" si="79"/>
        <v>105</v>
      </c>
      <c r="L347" s="69" t="s">
        <v>29</v>
      </c>
      <c r="M347" s="69" t="s">
        <v>66</v>
      </c>
      <c r="N347" s="69" t="s">
        <v>65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418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13</v>
      </c>
      <c r="H348" s="87">
        <f>IFERROR(IF($G348="","",$G348*$S$351/$G$351/Cadastro!$E$33),"")</f>
        <v>58.040886075949366</v>
      </c>
      <c r="I348" s="89">
        <f>IFERROR(IF($D348="","",VLOOKUP($D348,Cadastro!$C$4:$G$7,5,FALSE())),"")</f>
        <v>0.6</v>
      </c>
      <c r="J348" s="90">
        <f t="shared" si="78"/>
        <v>12.188586075949367</v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9</v>
      </c>
      <c r="H349" s="87">
        <f>IFERROR(IF($G349="","",$G349*$S$351/$G$351/Cadastro!$E$33),"")</f>
        <v>40.182151898734176</v>
      </c>
      <c r="I349" s="89">
        <f>IFERROR(IF($D349="","",VLOOKUP($D349,Cadastro!$C$4:$G$7,5,FALSE())),"")</f>
        <v>0.6</v>
      </c>
      <c r="J349" s="90">
        <f t="shared" si="78"/>
        <v>8.4382518987341761</v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15</v>
      </c>
      <c r="H350" s="91">
        <f>IFERROR(IF($G350="","",$G350*$S$351/$G$351/Cadastro!$E$33),"")</f>
        <v>66.970253164556965</v>
      </c>
      <c r="I350" s="92">
        <f>IFERROR(IF($D350="","",VLOOKUP($D350,Cadastro!$C$4:$G$7,5,FALSE())),"")</f>
        <v>0.6</v>
      </c>
      <c r="J350" s="93">
        <f t="shared" si="78"/>
        <v>14.06375316455696</v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69" t="s">
        <v>267</v>
      </c>
      <c r="B351" s="169"/>
      <c r="C351" s="169"/>
      <c r="D351" s="169"/>
      <c r="E351" s="169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222.20729999999995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265</v>
      </c>
      <c r="S351" s="73">
        <v>1058130</v>
      </c>
      <c r="T351" s="98">
        <f>IFERROR(J351,"")</f>
        <v>222.20729999999995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476.59289999999987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268</v>
      </c>
      <c r="S352" s="81">
        <f>IFERROR(S338+S351,"")</f>
        <v>2269490</v>
      </c>
      <c r="T352" s="117">
        <f>IFERROR(J352,"")</f>
        <v>476.59289999999987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12</v>
      </c>
      <c r="H353" s="100">
        <f>IFERROR(IF($G353="","",$G353*$S$365/$G$365/Cadastro!$E$33),"")</f>
        <v>54.191020408163261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11.380114285714283</v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103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15</v>
      </c>
      <c r="H354" s="87">
        <f>IFERROR(IF($G354="","",$G354*$S$365/$G$365/Cadastro!$E$33),"")</f>
        <v>67.738775510204079</v>
      </c>
      <c r="I354" s="89">
        <f>IFERROR(IF($D354="","",VLOOKUP($D354,Cadastro!$C$4:$G$7,5,FALSE())),"")</f>
        <v>0.6</v>
      </c>
      <c r="J354" s="90">
        <f t="shared" si="82"/>
        <v>14.225142857142854</v>
      </c>
      <c r="K354" s="63">
        <f t="shared" si="83"/>
        <v>63</v>
      </c>
      <c r="L354" s="69" t="s">
        <v>27</v>
      </c>
      <c r="M354" s="60" t="s">
        <v>152</v>
      </c>
      <c r="N354" s="69" t="s">
        <v>141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23</v>
      </c>
      <c r="H355" s="87">
        <f>IFERROR(IF($G355="","",$G355*$S$365/$G$365/Cadastro!$E$33),"")</f>
        <v>103.86612244897958</v>
      </c>
      <c r="I355" s="89">
        <f>IFERROR(IF($D355="","",VLOOKUP($D355,Cadastro!$C$4:$G$7,5,FALSE())),"")</f>
        <v>0.6</v>
      </c>
      <c r="J355" s="90">
        <f t="shared" si="82"/>
        <v>21.811885714285708</v>
      </c>
      <c r="K355" s="68">
        <f t="shared" si="83"/>
        <v>96.600000000000009</v>
      </c>
      <c r="L355" s="69" t="s">
        <v>28</v>
      </c>
      <c r="M355" s="69" t="s">
        <v>66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29</v>
      </c>
      <c r="H356" s="87">
        <f>IFERROR(IF($G356="","",$G356*$S$365/$G$365/Cadastro!$E$33),"")</f>
        <v>130.96163265306123</v>
      </c>
      <c r="I356" s="89">
        <f>IFERROR(IF($D356="","",VLOOKUP($D356,Cadastro!$C$4:$G$7,5,FALSE())),"")</f>
        <v>0.6</v>
      </c>
      <c r="J356" s="90">
        <f t="shared" si="82"/>
        <v>27.501942857142854</v>
      </c>
      <c r="K356" s="63">
        <f t="shared" si="83"/>
        <v>121.80000000000001</v>
      </c>
      <c r="L356" s="60" t="s">
        <v>29</v>
      </c>
      <c r="M356" s="60" t="s">
        <v>61</v>
      </c>
      <c r="N356" s="60" t="s">
        <v>65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419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21</v>
      </c>
      <c r="H357" s="87">
        <f>IFERROR(IF($G357="","",$G357*$S$365/$G$365/Cadastro!$E$33),"")</f>
        <v>94.834285714285713</v>
      </c>
      <c r="I357" s="89">
        <f>IFERROR(IF($D357="","",VLOOKUP($D357,Cadastro!$C$4:$G$7,5,FALSE())),"")</f>
        <v>0.6</v>
      </c>
      <c r="J357" s="90">
        <f t="shared" si="82"/>
        <v>19.915199999999999</v>
      </c>
      <c r="K357" s="68">
        <f t="shared" si="83"/>
        <v>88.2</v>
      </c>
      <c r="L357" s="69" t="s">
        <v>29</v>
      </c>
      <c r="M357" s="69" t="s">
        <v>66</v>
      </c>
      <c r="N357" s="69" t="s">
        <v>71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67.738775510204079</v>
      </c>
      <c r="I358" s="89">
        <f>IFERROR(IF($D358="","",VLOOKUP($D358,Cadastro!$C$4:$G$7,5,FALSE())),"")</f>
        <v>0.6</v>
      </c>
      <c r="J358" s="90">
        <f t="shared" si="82"/>
        <v>14.225142857142854</v>
      </c>
      <c r="K358" s="63">
        <f t="shared" si="83"/>
        <v>63</v>
      </c>
      <c r="L358" s="60" t="s">
        <v>29</v>
      </c>
      <c r="M358" s="60" t="s">
        <v>66</v>
      </c>
      <c r="N358" s="60" t="s">
        <v>65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420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67.738775510204079</v>
      </c>
      <c r="I359" s="89">
        <f>IFERROR(IF($D359="","",VLOOKUP($D359,Cadastro!$C$4:$G$7,5,FALSE())),"")</f>
        <v>0.6</v>
      </c>
      <c r="J359" s="90">
        <f t="shared" si="82"/>
        <v>14.225142857142854</v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16</v>
      </c>
      <c r="H360" s="87">
        <f>IFERROR(IF($G360="","",$G360*$S$365/$G$365/Cadastro!$E$33),"")</f>
        <v>72.25469387755102</v>
      </c>
      <c r="I360" s="89">
        <f>IFERROR(IF($D360="","",VLOOKUP($D360,Cadastro!$C$4:$G$7,5,FALSE())),"")</f>
        <v>0.6</v>
      </c>
      <c r="J360" s="90">
        <f t="shared" si="82"/>
        <v>15.173485714285713</v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17</v>
      </c>
      <c r="H361" s="87">
        <f>IFERROR(IF($G361="","",$G361*$S$365/$G$365/Cadastro!$E$33),"")</f>
        <v>76.770612244897961</v>
      </c>
      <c r="I361" s="89">
        <f>IFERROR(IF($D361="","",VLOOKUP($D361,Cadastro!$C$4:$G$7,5,FALSE())),"")</f>
        <v>0.6</v>
      </c>
      <c r="J361" s="90">
        <f t="shared" si="82"/>
        <v>16.121828571428569</v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22.579591836734693</v>
      </c>
      <c r="I362" s="89">
        <f>IFERROR(IF($D362="","",VLOOKUP($D362,Cadastro!$C$4:$G$7,5,FALSE())),"")</f>
        <v>0.6</v>
      </c>
      <c r="J362" s="90">
        <f t="shared" si="82"/>
        <v>4.7417142857142851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12</v>
      </c>
      <c r="H363" s="87">
        <f>IFERROR(IF($G363="","",$G363*$S$365/$G$365/Cadastro!$E$33),"")</f>
        <v>54.191020408163261</v>
      </c>
      <c r="I363" s="89">
        <f>IFERROR(IF($D363="","",VLOOKUP($D363,Cadastro!$C$4:$G$7,5,FALSE())),"")</f>
        <v>0.6</v>
      </c>
      <c r="J363" s="90">
        <f t="shared" si="82"/>
        <v>11.380114285714283</v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16</v>
      </c>
      <c r="H364" s="91">
        <f>IFERROR(IF($G364="","",$G364*$S$365/$G$365/Cadastro!$E$33),"")</f>
        <v>72.25469387755102</v>
      </c>
      <c r="I364" s="92">
        <f>IFERROR(IF($D364="","",VLOOKUP($D364,Cadastro!$C$4:$G$7,5,FALSE())),"")</f>
        <v>0.6</v>
      </c>
      <c r="J364" s="93">
        <f t="shared" si="82"/>
        <v>15.173485714285713</v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264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185.87519999999998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265</v>
      </c>
      <c r="S365" s="73">
        <v>885120</v>
      </c>
      <c r="T365" s="98">
        <f>IFERROR(J365,"")</f>
        <v>185.87519999999998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19</v>
      </c>
      <c r="H366" s="100">
        <f>IFERROR(IF($G366="","",$G366*$S$378/$G$378/Cadastro!$E$33),"")</f>
        <v>88.543114754098369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18.594054098360655</v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66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21</v>
      </c>
      <c r="H367" s="87">
        <f>IFERROR(IF($G367="","",$G367*$S$378/$G$378/Cadastro!$E$33),"")</f>
        <v>97.863442622950828</v>
      </c>
      <c r="I367" s="89">
        <f>IFERROR(IF($D367="","",VLOOKUP($D367,Cadastro!$C$4:$G$7,5,FALSE())),"")</f>
        <v>0.6</v>
      </c>
      <c r="J367" s="90">
        <f t="shared" si="86"/>
        <v>20.551322950819671</v>
      </c>
      <c r="K367" s="68">
        <f t="shared" si="87"/>
        <v>88.2</v>
      </c>
      <c r="L367" s="69" t="s">
        <v>29</v>
      </c>
      <c r="M367" s="69" t="s">
        <v>143</v>
      </c>
      <c r="N367" s="69" t="s">
        <v>123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22</v>
      </c>
      <c r="H368" s="87">
        <f>IFERROR(IF($G368="","",$G368*$S$378/$G$378/Cadastro!$E$33),"")</f>
        <v>102.52360655737705</v>
      </c>
      <c r="I368" s="89">
        <f>IFERROR(IF($D368="","",VLOOKUP($D368,Cadastro!$C$4:$G$7,5,FALSE())),"")</f>
        <v>0.6</v>
      </c>
      <c r="J368" s="90">
        <f t="shared" si="86"/>
        <v>21.529957377049175</v>
      </c>
      <c r="K368" s="63">
        <f t="shared" si="87"/>
        <v>92.4</v>
      </c>
      <c r="L368" s="60" t="s">
        <v>28</v>
      </c>
      <c r="M368" s="60" t="s">
        <v>174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17</v>
      </c>
      <c r="H369" s="87">
        <f>IFERROR(IF($G369="","",$G369*$S$378/$G$378/Cadastro!$E$33),"")</f>
        <v>79.22278688524591</v>
      </c>
      <c r="I369" s="89">
        <f>IFERROR(IF($D369="","",VLOOKUP($D369,Cadastro!$C$4:$G$7,5,FALSE())),"")</f>
        <v>0.6</v>
      </c>
      <c r="J369" s="90">
        <f t="shared" si="86"/>
        <v>16.636785245901638</v>
      </c>
      <c r="K369" s="68">
        <f t="shared" si="87"/>
        <v>71.400000000000006</v>
      </c>
      <c r="L369" s="69" t="s">
        <v>29</v>
      </c>
      <c r="M369" s="69" t="s">
        <v>61</v>
      </c>
      <c r="N369" s="69" t="s">
        <v>71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21</v>
      </c>
      <c r="H370" s="87">
        <f>IFERROR(IF($G370="","",$G370*$S$378/$G$378/Cadastro!$E$33),"")</f>
        <v>97.863442622950828</v>
      </c>
      <c r="I370" s="89">
        <f>IFERROR(IF($D370="","",VLOOKUP($D370,Cadastro!$C$4:$G$7,5,FALSE())),"")</f>
        <v>0.6</v>
      </c>
      <c r="J370" s="90">
        <f t="shared" si="86"/>
        <v>20.551322950819671</v>
      </c>
      <c r="K370" s="63">
        <f t="shared" si="87"/>
        <v>88.2</v>
      </c>
      <c r="L370" s="60" t="s">
        <v>29</v>
      </c>
      <c r="M370" s="60" t="s">
        <v>66</v>
      </c>
      <c r="N370" s="60" t="s">
        <v>71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28</v>
      </c>
      <c r="H371" s="87">
        <f>IFERROR(IF($G371="","",$G371*$S$378/$G$378/Cadastro!$E$33),"")</f>
        <v>130.48459016393443</v>
      </c>
      <c r="I371" s="89">
        <f>IFERROR(IF($D371="","",VLOOKUP($D371,Cadastro!$C$4:$G$7,5,FALSE())),"")</f>
        <v>0.6</v>
      </c>
      <c r="J371" s="90">
        <f t="shared" si="86"/>
        <v>27.401763934426224</v>
      </c>
      <c r="K371" s="68">
        <f t="shared" si="87"/>
        <v>117.60000000000001</v>
      </c>
      <c r="L371" s="69" t="s">
        <v>27</v>
      </c>
      <c r="M371" s="69" t="s">
        <v>61</v>
      </c>
      <c r="N371" s="69" t="s">
        <v>168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65.242295081967214</v>
      </c>
      <c r="I372" s="89">
        <f>IFERROR(IF($D372="","",VLOOKUP($D372,Cadastro!$C$4:$G$7,5,FALSE())),"")</f>
        <v>0.6</v>
      </c>
      <c r="J372" s="90">
        <f t="shared" si="86"/>
        <v>13.700881967213112</v>
      </c>
      <c r="K372" s="63">
        <f t="shared" si="87"/>
        <v>58.800000000000004</v>
      </c>
      <c r="L372" s="60" t="s">
        <v>29</v>
      </c>
      <c r="M372" s="60" t="s">
        <v>61</v>
      </c>
      <c r="N372" s="60" t="s">
        <v>65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421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22</v>
      </c>
      <c r="H373" s="87">
        <f>IFERROR(IF($G373="","",$G373*$S$378/$G$378/Cadastro!$E$33),"")</f>
        <v>102.52360655737705</v>
      </c>
      <c r="I373" s="89">
        <f>IFERROR(IF($D373="","",VLOOKUP($D373,Cadastro!$C$4:$G$7,5,FALSE())),"")</f>
        <v>0.6</v>
      </c>
      <c r="J373" s="90">
        <f t="shared" si="86"/>
        <v>21.529957377049175</v>
      </c>
      <c r="K373" s="68">
        <f t="shared" si="87"/>
        <v>92.4</v>
      </c>
      <c r="L373" s="69" t="s">
        <v>27</v>
      </c>
      <c r="M373" s="69" t="s">
        <v>66</v>
      </c>
      <c r="N373" s="69" t="s">
        <v>178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97.863442622950828</v>
      </c>
      <c r="I374" s="89">
        <f>IFERROR(IF($D374="","",VLOOKUP($D374,Cadastro!$C$4:$G$7,5,FALSE())),"")</f>
        <v>0.6</v>
      </c>
      <c r="J374" s="90">
        <f t="shared" si="86"/>
        <v>20.551322950819671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20</v>
      </c>
      <c r="H375" s="87">
        <f>IFERROR(IF($G375="","",$G375*$S$378/$G$378/Cadastro!$E$33),"")</f>
        <v>93.203278688524591</v>
      </c>
      <c r="I375" s="89">
        <f>IFERROR(IF($D375="","",VLOOKUP($D375,Cadastro!$C$4:$G$7,5,FALSE())),"")</f>
        <v>0.6</v>
      </c>
      <c r="J375" s="90">
        <f t="shared" si="86"/>
        <v>19.572688524590163</v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29</v>
      </c>
      <c r="H376" s="87">
        <f>IFERROR(IF($G376="","",$G376*$S$378/$G$378/Cadastro!$E$33),"")</f>
        <v>135.14475409836066</v>
      </c>
      <c r="I376" s="89">
        <f>IFERROR(IF($D376="","",VLOOKUP($D376,Cadastro!$C$4:$G$7,5,FALSE())),"")</f>
        <v>0.6</v>
      </c>
      <c r="J376" s="90">
        <f t="shared" si="86"/>
        <v>28.38039836065574</v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46.601639344262296</v>
      </c>
      <c r="I377" s="92">
        <f>IFERROR(IF($D377="","",VLOOKUP($D377,Cadastro!$C$4:$G$7,5,FALSE())),"")</f>
        <v>0.6</v>
      </c>
      <c r="J377" s="93">
        <f t="shared" si="86"/>
        <v>9.7863442622950814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69" t="s">
        <v>267</v>
      </c>
      <c r="B378" s="169"/>
      <c r="C378" s="169"/>
      <c r="D378" s="169"/>
      <c r="E378" s="169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238.78679999999994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265</v>
      </c>
      <c r="S378" s="73">
        <v>1137080</v>
      </c>
      <c r="T378" s="98">
        <f>IFERROR(J378,"")</f>
        <v>238.78679999999994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424.66199999999992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268</v>
      </c>
      <c r="S379" s="81">
        <f>IFERROR(S365+S378,"")</f>
        <v>2022200</v>
      </c>
      <c r="T379" s="117">
        <f>IFERROR(J379,"")</f>
        <v>424.66199999999992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16</v>
      </c>
      <c r="H380" s="100">
        <f>IFERROR(IF($G380="","",$G380*$S$392/$G$392/Cadastro!$E$33),"")</f>
        <v>77.219428571428566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16.216079999999998</v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143</v>
      </c>
      <c r="N380" s="60" t="s">
        <v>123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31</v>
      </c>
      <c r="E381" s="86" t="s">
        <v>278</v>
      </c>
      <c r="F381" s="87">
        <f>IFERROR(IF($D381="","",VLOOKUP($D381,Cadastro!$C$4:$E$7,3,FALSE())),"")</f>
        <v>0.35</v>
      </c>
      <c r="G381" s="88">
        <v>17</v>
      </c>
      <c r="H381" s="87">
        <f>IFERROR(IF($G381="","",$G381*$S$392/$G$392/Cadastro!$E$33),"")</f>
        <v>82.045642857142852</v>
      </c>
      <c r="I381" s="89">
        <f>IFERROR(IF($D381="","",VLOOKUP($D381,Cadastro!$C$4:$G$7,5,FALSE())),"")</f>
        <v>0.6</v>
      </c>
      <c r="J381" s="90">
        <f t="shared" si="90"/>
        <v>17.229584999999997</v>
      </c>
      <c r="K381" s="68">
        <f t="shared" si="91"/>
        <v>71.400000000000006</v>
      </c>
      <c r="L381" s="69" t="s">
        <v>29</v>
      </c>
      <c r="M381" s="69" t="s">
        <v>140</v>
      </c>
      <c r="N381" s="69" t="s">
        <v>123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13</v>
      </c>
      <c r="H382" s="87">
        <f>IFERROR(IF($G382="","",$G382*$S$392/$G$392/Cadastro!$E$33),"")</f>
        <v>62.740785714285714</v>
      </c>
      <c r="I382" s="89">
        <f>IFERROR(IF($D382="","",VLOOKUP($D382,Cadastro!$C$4:$G$7,5,FALSE())),"")</f>
        <v>0.6</v>
      </c>
      <c r="J382" s="90">
        <f t="shared" si="90"/>
        <v>13.175564999999999</v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15</v>
      </c>
      <c r="H383" s="87">
        <f>IFERROR(IF($G383="","",$G383*$S$392/$G$392/Cadastro!$E$33),"")</f>
        <v>72.393214285714294</v>
      </c>
      <c r="I383" s="89">
        <f>IFERROR(IF($D383="","",VLOOKUP($D383,Cadastro!$C$4:$G$7,5,FALSE())),"")</f>
        <v>0.6</v>
      </c>
      <c r="J383" s="90">
        <f t="shared" si="90"/>
        <v>15.202575000000001</v>
      </c>
      <c r="K383" s="68">
        <f t="shared" si="91"/>
        <v>63</v>
      </c>
      <c r="L383" s="69" t="s">
        <v>28</v>
      </c>
      <c r="M383" s="69" t="s">
        <v>174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48.262142857142855</v>
      </c>
      <c r="I384" s="89">
        <f>IFERROR(IF($D384="","",VLOOKUP($D384,Cadastro!$C$4:$G$7,5,FALSE())),"")</f>
        <v>0.6</v>
      </c>
      <c r="J384" s="90">
        <f t="shared" si="90"/>
        <v>10.135049999999998</v>
      </c>
      <c r="K384" s="63">
        <f t="shared" si="91"/>
        <v>42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343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17</v>
      </c>
      <c r="H385" s="87">
        <f>IFERROR(IF($G385="","",$G385*$S$392/$G$392/Cadastro!$E$33),"")</f>
        <v>82.045642857142852</v>
      </c>
      <c r="I385" s="89">
        <f>IFERROR(IF($D385="","",VLOOKUP($D385,Cadastro!$C$4:$G$7,5,FALSE())),"")</f>
        <v>0.6</v>
      </c>
      <c r="J385" s="90">
        <f t="shared" si="90"/>
        <v>17.229584999999997</v>
      </c>
      <c r="K385" s="68">
        <f t="shared" si="91"/>
        <v>71.400000000000006</v>
      </c>
      <c r="L385" s="69" t="s">
        <v>27</v>
      </c>
      <c r="M385" s="69" t="s">
        <v>61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422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12</v>
      </c>
      <c r="H386" s="87">
        <f>IFERROR(IF($G386="","",$G386*$S$392/$G$392/Cadastro!$E$33),"")</f>
        <v>57.914571428571428</v>
      </c>
      <c r="I386" s="89">
        <f>IFERROR(IF($D386="","",VLOOKUP($D386,Cadastro!$C$4:$G$7,5,FALSE())),"")</f>
        <v>0.6</v>
      </c>
      <c r="J386" s="90">
        <f t="shared" si="90"/>
        <v>12.162059999999999</v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4</v>
      </c>
      <c r="H387" s="87">
        <f>IFERROR(IF($G387="","",$G387*$S$392/$G$392/Cadastro!$E$33),"")</f>
        <v>19.304857142857141</v>
      </c>
      <c r="I387" s="89">
        <f>IFERROR(IF($D387="","",VLOOKUP($D387,Cadastro!$C$4:$G$7,5,FALSE())),"")</f>
        <v>0.6</v>
      </c>
      <c r="J387" s="90">
        <f t="shared" si="90"/>
        <v>4.0540199999999995</v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6</v>
      </c>
      <c r="H388" s="87">
        <f>IFERROR(IF($G388="","",$G388*$S$392/$G$392/Cadastro!$E$33),"")</f>
        <v>28.957285714285714</v>
      </c>
      <c r="I388" s="89">
        <f>IFERROR(IF($D388="","",VLOOKUP($D388,Cadastro!$C$4:$G$7,5,FALSE())),"")</f>
        <v>0.6</v>
      </c>
      <c r="J388" s="90">
        <f t="shared" si="90"/>
        <v>6.0810299999999993</v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38.609714285714283</v>
      </c>
      <c r="I389" s="89">
        <f>IFERROR(IF($D389="","",VLOOKUP($D389,Cadastro!$C$4:$G$7,5,FALSE())),"")</f>
        <v>0.6</v>
      </c>
      <c r="J389" s="90">
        <f t="shared" si="90"/>
        <v>8.108039999999999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12</v>
      </c>
      <c r="H390" s="87">
        <f>IFERROR(IF($G390="","",$G390*$S$392/$G$392/Cadastro!$E$33),"")</f>
        <v>57.914571428571428</v>
      </c>
      <c r="I390" s="89">
        <f>IFERROR(IF($D390="","",VLOOKUP($D390,Cadastro!$C$4:$G$7,5,FALSE())),"")</f>
        <v>0.6</v>
      </c>
      <c r="J390" s="90">
        <f t="shared" si="90"/>
        <v>12.162059999999999</v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10</v>
      </c>
      <c r="H391" s="91">
        <f>IFERROR(IF($G391="","",$G391*$S$392/$G$392/Cadastro!$E$33),"")</f>
        <v>48.262142857142855</v>
      </c>
      <c r="I391" s="92">
        <f>IFERROR(IF($D391="","",VLOOKUP($D391,Cadastro!$C$4:$G$7,5,FALSE())),"")</f>
        <v>0.6</v>
      </c>
      <c r="J391" s="93">
        <f t="shared" si="90"/>
        <v>10.135049999999998</v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69" t="s">
        <v>264</v>
      </c>
      <c r="B392" s="169"/>
      <c r="C392" s="169"/>
      <c r="D392" s="169"/>
      <c r="E392" s="169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141.89069999999998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265</v>
      </c>
      <c r="S392" s="73">
        <v>675670</v>
      </c>
      <c r="T392" s="98">
        <f>IFERROR(J392,"")</f>
        <v>141.89069999999998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13</v>
      </c>
      <c r="H393" s="100">
        <f>IFERROR(IF($G393="","",$G393*$S$405/$G$405/Cadastro!$E$33),"")</f>
        <v>57.940765765765768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12.16756081081081</v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61</v>
      </c>
      <c r="N393" s="69" t="s">
        <v>234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21</v>
      </c>
      <c r="H394" s="87">
        <f>IFERROR(IF($G394="","",$G394*$S$405/$G$405/Cadastro!$E$33),"")</f>
        <v>93.596621621621622</v>
      </c>
      <c r="I394" s="89">
        <f>IFERROR(IF($D394="","",VLOOKUP($D394,Cadastro!$C$4:$G$7,5,FALSE())),"")</f>
        <v>0.6</v>
      </c>
      <c r="J394" s="90">
        <f t="shared" si="94"/>
        <v>19.655290540540541</v>
      </c>
      <c r="K394" s="63">
        <f t="shared" si="95"/>
        <v>88.2</v>
      </c>
      <c r="L394" s="60" t="s">
        <v>28</v>
      </c>
      <c r="M394" s="60" t="s">
        <v>174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423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24</v>
      </c>
      <c r="H395" s="87">
        <f>IFERROR(IF($G395="","",$G395*$S$405/$G$405/Cadastro!$E$33),"")</f>
        <v>106.96756756756757</v>
      </c>
      <c r="I395" s="89">
        <f>IFERROR(IF($D395="","",VLOOKUP($D395,Cadastro!$C$4:$G$7,5,FALSE())),"")</f>
        <v>0.6</v>
      </c>
      <c r="J395" s="90">
        <f t="shared" si="94"/>
        <v>22.463189189189187</v>
      </c>
      <c r="K395" s="68">
        <f t="shared" si="95"/>
        <v>100.80000000000001</v>
      </c>
      <c r="L395" s="69" t="s">
        <v>29</v>
      </c>
      <c r="M395" s="69" t="s">
        <v>66</v>
      </c>
      <c r="N395" s="69" t="s">
        <v>71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13</v>
      </c>
      <c r="H396" s="87">
        <f>IFERROR(IF($G396="","",$G396*$S$405/$G$405/Cadastro!$E$33),"")</f>
        <v>57.940765765765768</v>
      </c>
      <c r="I396" s="89">
        <f>IFERROR(IF($D396="","",VLOOKUP($D396,Cadastro!$C$4:$G$7,5,FALSE())),"")</f>
        <v>0.6</v>
      </c>
      <c r="J396" s="90">
        <f t="shared" si="94"/>
        <v>12.16756081081081</v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30</v>
      </c>
      <c r="H397" s="87">
        <f>IFERROR(IF($G397="","",$G397*$S$405/$G$405/Cadastro!$E$33),"")</f>
        <v>133.70945945945948</v>
      </c>
      <c r="I397" s="89">
        <f>IFERROR(IF($D397="","",VLOOKUP($D397,Cadastro!$C$4:$G$7,5,FALSE())),"")</f>
        <v>0.6</v>
      </c>
      <c r="J397" s="90">
        <f t="shared" si="94"/>
        <v>28.078986486486489</v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25</v>
      </c>
      <c r="H398" s="87">
        <f>IFERROR(IF($G398="","",$G398*$S$405/$G$405/Cadastro!$E$33),"")</f>
        <v>111.42454954954955</v>
      </c>
      <c r="I398" s="89">
        <f>IFERROR(IF($D398="","",VLOOKUP($D398,Cadastro!$C$4:$G$7,5,FALSE())),"")</f>
        <v>0.6</v>
      </c>
      <c r="J398" s="90">
        <f t="shared" si="94"/>
        <v>23.399155405405406</v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13.370945945945946</v>
      </c>
      <c r="I399" s="89">
        <f>IFERROR(IF($D399="","",VLOOKUP($D399,Cadastro!$C$4:$G$7,5,FALSE())),"")</f>
        <v>0.6</v>
      </c>
      <c r="J399" s="90">
        <f t="shared" si="94"/>
        <v>2.8078986486486484</v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22</v>
      </c>
      <c r="H400" s="87">
        <f>IFERROR(IF($G400="","",$G400*$S$405/$G$405/Cadastro!$E$33),"")</f>
        <v>98.053603603603605</v>
      </c>
      <c r="I400" s="89">
        <f>IFERROR(IF($D400="","",VLOOKUP($D400,Cadastro!$C$4:$G$7,5,FALSE())),"")</f>
        <v>0.6</v>
      </c>
      <c r="J400" s="90">
        <f t="shared" si="94"/>
        <v>20.591256756756753</v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133.70945945945948</v>
      </c>
      <c r="I401" s="89">
        <f>IFERROR(IF($D401="","",VLOOKUP($D401,Cadastro!$C$4:$G$7,5,FALSE())),"")</f>
        <v>0.6</v>
      </c>
      <c r="J401" s="90">
        <f t="shared" si="94"/>
        <v>28.078986486486489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69" t="s">
        <v>267</v>
      </c>
      <c r="B405" s="169"/>
      <c r="C405" s="169"/>
      <c r="D405" s="169"/>
      <c r="E405" s="169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195.72390675675675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265</v>
      </c>
      <c r="S405" s="73">
        <v>989450</v>
      </c>
      <c r="T405" s="98">
        <f>IFERROR(J405,"")</f>
        <v>195.72390675675675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337.61460675675676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268</v>
      </c>
      <c r="S406" s="81">
        <f>IFERROR(S392+S405,"")</f>
        <v>1665120</v>
      </c>
      <c r="T406" s="117">
        <f>IFERROR(J406,"")</f>
        <v>337.61460675675676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241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424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174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66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66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174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61</v>
      </c>
      <c r="N412" s="60" t="s">
        <v>141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69" t="s">
        <v>264</v>
      </c>
      <c r="B419" s="169"/>
      <c r="C419" s="169"/>
      <c r="D419" s="169"/>
      <c r="E419" s="169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265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66</v>
      </c>
      <c r="N420" s="60" t="s">
        <v>65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61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66</v>
      </c>
      <c r="N422" s="60" t="s">
        <v>71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174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425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66</v>
      </c>
      <c r="N424" s="60" t="s">
        <v>71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140</v>
      </c>
      <c r="N425" s="69" t="s">
        <v>123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61</v>
      </c>
      <c r="N426" s="60" t="s">
        <v>71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174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69" t="s">
        <v>267</v>
      </c>
      <c r="B432" s="169"/>
      <c r="C432" s="169"/>
      <c r="D432" s="169"/>
      <c r="E432" s="169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265</v>
      </c>
      <c r="S432" s="73">
        <v>766030</v>
      </c>
      <c r="T432" s="98">
        <f>IFERROR(J432,"")</f>
        <v>110.30832000000001</v>
      </c>
    </row>
    <row r="433" spans="1:21" ht="18" customHeight="1">
      <c r="A433" s="170" t="s">
        <v>253</v>
      </c>
      <c r="B433" s="170"/>
      <c r="C433" s="170"/>
      <c r="D433" s="170"/>
      <c r="E433" s="170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268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278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174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23</v>
      </c>
      <c r="H435" s="87">
        <f>IFERROR(IF($G435="","",$G435*$S$446/$G$446/Cadastro!$E$33),"")</f>
        <v>104.80961748633879</v>
      </c>
      <c r="I435" s="89">
        <f>IFERROR(IF($D435="","",VLOOKUP($D435,Cadastro!$C$4:$G$7,5,FALSE())),"")</f>
        <v>0.6</v>
      </c>
      <c r="J435" s="90">
        <f t="shared" si="106"/>
        <v>22.010019672131143</v>
      </c>
      <c r="K435" s="63">
        <f t="shared" si="107"/>
        <v>96.600000000000009</v>
      </c>
      <c r="L435" s="69" t="s">
        <v>27</v>
      </c>
      <c r="M435" s="69" t="s">
        <v>66</v>
      </c>
      <c r="N435" s="69" t="s">
        <v>168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30</v>
      </c>
      <c r="H436" s="87">
        <f>IFERROR(IF($G436="","",$G436*$S$446/$G$446/Cadastro!$E$33),"")</f>
        <v>136.70819672131148</v>
      </c>
      <c r="I436" s="89">
        <f>IFERROR(IF($D436="","",VLOOKUP($D436,Cadastro!$C$4:$G$7,5,FALSE())),"")</f>
        <v>0.6</v>
      </c>
      <c r="J436" s="90">
        <f t="shared" si="106"/>
        <v>28.708721311475408</v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26</v>
      </c>
      <c r="H437" s="87">
        <f>IFERROR(IF($G437="","",$G437*$S$446/$G$446/Cadastro!$E$33),"")</f>
        <v>118.48043715846994</v>
      </c>
      <c r="I437" s="89">
        <f>IFERROR(IF($D437="","",VLOOKUP($D437,Cadastro!$C$4:$G$7,5,FALSE())),"")</f>
        <v>0.6</v>
      </c>
      <c r="J437" s="90">
        <f t="shared" si="106"/>
        <v>24.880891803278686</v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25</v>
      </c>
      <c r="H438" s="87">
        <f>IFERROR(IF($G438="","",$G438*$S$446/$G$446/Cadastro!$E$33),"")</f>
        <v>113.92349726775957</v>
      </c>
      <c r="I438" s="89">
        <f>IFERROR(IF($D438="","",VLOOKUP($D438,Cadastro!$C$4:$G$7,5,FALSE())),"")</f>
        <v>0.6</v>
      </c>
      <c r="J438" s="90">
        <f t="shared" si="106"/>
        <v>23.923934426229511</v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45.569398907103825</v>
      </c>
      <c r="I439" s="89">
        <f>IFERROR(IF($D439="","",VLOOKUP($D439,Cadastro!$C$4:$G$7,5,FALSE())),"")</f>
        <v>0.6</v>
      </c>
      <c r="J439" s="90">
        <f t="shared" si="106"/>
        <v>9.569573770491802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1</v>
      </c>
      <c r="H440" s="87">
        <f>IFERROR(IF($G440="","",$G440*$S$446/$G$446/Cadastro!$E$33),"")</f>
        <v>4.5569398907103826</v>
      </c>
      <c r="I440" s="89">
        <f>IFERROR(IF($D440="","",VLOOKUP($D440,Cadastro!$C$4:$G$7,5,FALSE())),"")</f>
        <v>0.6</v>
      </c>
      <c r="J440" s="90">
        <f t="shared" si="106"/>
        <v>0.95695737704918016</v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41.012459016393443</v>
      </c>
      <c r="I443" s="89">
        <f>IFERROR(IF($D443="","",VLOOKUP($D443,Cadastro!$C$4:$G$7,5,FALSE())),"")</f>
        <v>0.6</v>
      </c>
      <c r="J443" s="90">
        <f t="shared" si="106"/>
        <v>8.6126163934426216</v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11</v>
      </c>
      <c r="H444" s="87">
        <f>IFERROR(IF($G444="","",$G444*$S$446/$G$446/Cadastro!$E$33),"")</f>
        <v>50.126338797814206</v>
      </c>
      <c r="I444" s="89">
        <f>IFERROR(IF($D444="","",VLOOKUP($D444,Cadastro!$C$4:$G$7,5,FALSE())),"")</f>
        <v>0.6</v>
      </c>
      <c r="J444" s="90">
        <f t="shared" si="106"/>
        <v>10.526531147540982</v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3</v>
      </c>
      <c r="H445" s="91">
        <f>IFERROR(IF($G445="","",$G445*$S$446/$G$446/Cadastro!$E$33),"")</f>
        <v>13.670819672131147</v>
      </c>
      <c r="I445" s="92">
        <f>IFERROR(IF($D445="","",VLOOKUP($D445,Cadastro!$C$4:$G$7,5,FALSE())),"")</f>
        <v>0.6</v>
      </c>
      <c r="J445" s="93">
        <f t="shared" si="106"/>
        <v>2.8708721311475407</v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69" t="s">
        <v>264</v>
      </c>
      <c r="B446" s="169"/>
      <c r="C446" s="169"/>
      <c r="D446" s="169"/>
      <c r="E446" s="169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161.58908852459015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265</v>
      </c>
      <c r="S446" s="73">
        <v>833920</v>
      </c>
      <c r="T446" s="98">
        <f>IFERROR(J446,"")</f>
        <v>161.58908852459015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40</v>
      </c>
      <c r="H447" s="100">
        <f>IFERROR(IF($G447="","",$G447*$S$459/$G$459/Cadastro!$E$33),"")</f>
        <v>180.4898678414097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37.902872246696035</v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174</v>
      </c>
      <c r="N447" s="69" t="s">
        <v>65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426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42</v>
      </c>
      <c r="H448" s="87">
        <f>IFERROR(IF($G448="","",$G448*$S$459/$G$459/Cadastro!$E$33),"")</f>
        <v>189.5143612334802</v>
      </c>
      <c r="I448" s="89">
        <f>IFERROR(IF($D448="","",VLOOKUP($D448,Cadastro!$C$4:$G$7,5,FALSE())),"")</f>
        <v>0.6</v>
      </c>
      <c r="J448" s="90">
        <f t="shared" si="110"/>
        <v>39.798015859030841</v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66</v>
      </c>
      <c r="N448" s="60" t="s">
        <v>178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49.63471365638766</v>
      </c>
      <c r="I449" s="89">
        <f>IFERROR(IF($D449="","",VLOOKUP($D449,Cadastro!$C$4:$G$7,5,FALSE())),"")</f>
        <v>0.6</v>
      </c>
      <c r="J449" s="90">
        <f t="shared" si="110"/>
        <v>10.423289867841406</v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66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66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66</v>
      </c>
      <c r="N451" s="69" t="s">
        <v>214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420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66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15</v>
      </c>
      <c r="H453" s="87">
        <f>IFERROR(IF($G453="","",$G453*$S$459/$G$459/Cadastro!$E$33),"")</f>
        <v>67.683700440528625</v>
      </c>
      <c r="I453" s="89">
        <f>IFERROR(IF($D453="","",VLOOKUP($D453,Cadastro!$C$4:$G$7,5,FALSE())),"")</f>
        <v>0.6</v>
      </c>
      <c r="J453" s="90">
        <f t="shared" si="110"/>
        <v>14.213577092511011</v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25</v>
      </c>
      <c r="H454" s="87">
        <f>IFERROR(IF($G454="","",$G454*$S$459/$G$459/Cadastro!$E$33),"")</f>
        <v>112.80616740088105</v>
      </c>
      <c r="I454" s="89">
        <f>IFERROR(IF($D454="","",VLOOKUP($D454,Cadastro!$C$4:$G$7,5,FALSE())),"")</f>
        <v>0.6</v>
      </c>
      <c r="J454" s="90">
        <f t="shared" si="110"/>
        <v>23.689295154185018</v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31</v>
      </c>
      <c r="H455" s="87">
        <f>IFERROR(IF($G455="","",$G455*$S$459/$G$459/Cadastro!$E$33),"")</f>
        <v>139.87964757709253</v>
      </c>
      <c r="I455" s="89">
        <f>IFERROR(IF($D455="","",VLOOKUP($D455,Cadastro!$C$4:$G$7,5,FALSE())),"")</f>
        <v>0.6</v>
      </c>
      <c r="J455" s="90">
        <f t="shared" si="110"/>
        <v>29.374725991189429</v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13</v>
      </c>
      <c r="H456" s="87">
        <f>IFERROR(IF($G456="","",$G456*$S$459/$G$459/Cadastro!$E$33),"")</f>
        <v>58.65920704845815</v>
      </c>
      <c r="I456" s="89">
        <f>IFERROR(IF($D456="","",VLOOKUP($D456,Cadastro!$C$4:$G$7,5,FALSE())),"")</f>
        <v>0.6</v>
      </c>
      <c r="J456" s="90">
        <f t="shared" si="110"/>
        <v>12.318433480176211</v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9</v>
      </c>
      <c r="H457" s="87">
        <f>IFERROR(IF($G457="","",$G457*$S$459/$G$459/Cadastro!$E$33),"")</f>
        <v>40.610220264317185</v>
      </c>
      <c r="I457" s="89">
        <f>IFERROR(IF($D457="","",VLOOKUP($D457,Cadastro!$C$4:$G$7,5,FALSE())),"")</f>
        <v>0.6</v>
      </c>
      <c r="J457" s="90">
        <f t="shared" si="110"/>
        <v>8.5281462555066074</v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0</v>
      </c>
      <c r="H458" s="91">
        <f>IFERROR(IF($G458="","",$G458*$S$459/$G$459/Cadastro!$E$33),"")</f>
        <v>0</v>
      </c>
      <c r="I458" s="92">
        <f>IFERROR(IF($D458="","",VLOOKUP($D458,Cadastro!$C$4:$G$7,5,FALSE())),"")</f>
        <v>0.6</v>
      </c>
      <c r="J458" s="93">
        <f t="shared" si="110"/>
        <v>0</v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69" t="s">
        <v>267</v>
      </c>
      <c r="B459" s="169"/>
      <c r="C459" s="169"/>
      <c r="D459" s="169"/>
      <c r="E459" s="169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202.88866044052861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265</v>
      </c>
      <c r="S459" s="73">
        <v>1024280</v>
      </c>
      <c r="T459" s="98">
        <f>IFERROR(J459,"")</f>
        <v>202.88866044052861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364.47774896511874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268</v>
      </c>
      <c r="S460" s="81">
        <f>IFERROR(S446+S459,"")</f>
        <v>1858200</v>
      </c>
      <c r="T460" s="117">
        <f>IFERROR(J460,"")</f>
        <v>364.47774896511874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66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61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83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140</v>
      </c>
      <c r="N464" s="60" t="s">
        <v>123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140</v>
      </c>
      <c r="N465" s="69" t="s">
        <v>123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69" t="s">
        <v>264</v>
      </c>
      <c r="B473" s="169"/>
      <c r="C473" s="169"/>
      <c r="D473" s="169"/>
      <c r="E473" s="169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265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174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169</v>
      </c>
      <c r="N475" s="69" t="s">
        <v>83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140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427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66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174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66</v>
      </c>
      <c r="N479" s="69" t="s">
        <v>141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382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69" t="s">
        <v>267</v>
      </c>
      <c r="B486" s="169"/>
      <c r="C486" s="169"/>
      <c r="D486" s="169"/>
      <c r="E486" s="169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265</v>
      </c>
      <c r="S486" s="73">
        <v>616050</v>
      </c>
      <c r="T486" s="98">
        <f>IFERROR(J486,"")</f>
        <v>88.711199999999977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268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83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174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66</v>
      </c>
      <c r="N490" s="60" t="s">
        <v>65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61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69" t="s">
        <v>264</v>
      </c>
      <c r="B500" s="169"/>
      <c r="C500" s="169"/>
      <c r="D500" s="169"/>
      <c r="E500" s="169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265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174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140</v>
      </c>
      <c r="N502" s="60" t="s">
        <v>211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174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61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428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61</v>
      </c>
      <c r="N506" s="60" t="s">
        <v>71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278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61</v>
      </c>
      <c r="N507" s="69" t="s">
        <v>65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21</v>
      </c>
      <c r="H508" s="87">
        <f>IFERROR(IF($G508="","",$G508*$S$513/$G$513/Cadastro!$E$33),"")</f>
        <v>95.510625000000005</v>
      </c>
      <c r="I508" s="89">
        <f>IFERROR(IF($D508="","",VLOOKUP($D508,Cadastro!$C$4:$G$7,5,FALSE())),"")</f>
        <v>0.6</v>
      </c>
      <c r="J508" s="90">
        <f t="shared" si="126"/>
        <v>20.057231250000001</v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90.962500000000006</v>
      </c>
      <c r="I509" s="89">
        <f>IFERROR(IF($D509="","",VLOOKUP($D509,Cadastro!$C$4:$G$7,5,FALSE())),"")</f>
        <v>0.6</v>
      </c>
      <c r="J509" s="90">
        <f t="shared" si="126"/>
        <v>19.102124999999997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12</v>
      </c>
      <c r="H510" s="87">
        <f>IFERROR(IF($G510="","",$G510*$S$513/$G$513/Cadastro!$E$33),"")</f>
        <v>54.577500000000001</v>
      </c>
      <c r="I510" s="89">
        <f>IFERROR(IF($D510="","",VLOOKUP($D510,Cadastro!$C$4:$G$7,5,FALSE())),"")</f>
        <v>0.6</v>
      </c>
      <c r="J510" s="90">
        <f t="shared" si="126"/>
        <v>11.461274999999999</v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10</v>
      </c>
      <c r="H511" s="87">
        <f>IFERROR(IF($G511="","",$G511*$S$513/$G$513/Cadastro!$E$33),"")</f>
        <v>45.481250000000003</v>
      </c>
      <c r="I511" s="89">
        <f>IFERROR(IF($D511="","",VLOOKUP($D511,Cadastro!$C$4:$G$7,5,FALSE())),"")</f>
        <v>0.6</v>
      </c>
      <c r="J511" s="90">
        <f t="shared" si="126"/>
        <v>9.5510624999999987</v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69" t="s">
        <v>267</v>
      </c>
      <c r="B513" s="169"/>
      <c r="C513" s="169"/>
      <c r="D513" s="169"/>
      <c r="E513" s="169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123.69990375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265</v>
      </c>
      <c r="S513" s="73">
        <v>727700</v>
      </c>
      <c r="T513" s="98">
        <f>IFERROR(J513,"")</f>
        <v>123.69990375</v>
      </c>
    </row>
    <row r="514" spans="1:20" ht="18" customHeight="1">
      <c r="A514" s="170" t="s">
        <v>253</v>
      </c>
      <c r="B514" s="170"/>
      <c r="C514" s="170"/>
      <c r="D514" s="170"/>
      <c r="E514" s="170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248.15622374999998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268</v>
      </c>
      <c r="S514" s="81">
        <f>IFERROR(S500+S513,"")</f>
        <v>1591980</v>
      </c>
      <c r="T514" s="117">
        <f>IFERROR(J514,"")</f>
        <v>248.15622374999998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13</v>
      </c>
      <c r="H515" s="100">
        <f>IFERROR(IF($G515="","",$G515*$S$527/$G$527/Cadastro!$E$33),"")</f>
        <v>63.554162436548218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13.346374111675125</v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61</v>
      </c>
      <c r="N515" s="69" t="s">
        <v>65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22</v>
      </c>
      <c r="H516" s="87">
        <f>IFERROR(IF($G516="","",$G516*$S$527/$G$527/Cadastro!$E$33),"")</f>
        <v>107.55319796954315</v>
      </c>
      <c r="I516" s="89">
        <f>IFERROR(IF($D516="","",VLOOKUP($D516,Cadastro!$C$4:$G$7,5,FALSE())),"")</f>
        <v>0.6</v>
      </c>
      <c r="J516" s="90">
        <f t="shared" si="130"/>
        <v>22.586171573604059</v>
      </c>
      <c r="K516" s="63">
        <f t="shared" si="131"/>
        <v>92.4</v>
      </c>
      <c r="L516" s="69" t="s">
        <v>29</v>
      </c>
      <c r="M516" s="60" t="s">
        <v>66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19</v>
      </c>
      <c r="H517" s="87">
        <f>IFERROR(IF($G517="","",$G517*$S$527/$G$527/Cadastro!$E$33),"")</f>
        <v>92.886852791878169</v>
      </c>
      <c r="I517" s="89">
        <f>IFERROR(IF($D517="","",VLOOKUP($D517,Cadastro!$C$4:$G$7,5,FALSE())),"")</f>
        <v>0.6</v>
      </c>
      <c r="J517" s="90">
        <f t="shared" si="130"/>
        <v>19.506239086294414</v>
      </c>
      <c r="K517" s="68">
        <f t="shared" si="131"/>
        <v>79.8</v>
      </c>
      <c r="L517" s="69" t="s">
        <v>28</v>
      </c>
      <c r="M517" s="69" t="s">
        <v>174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20</v>
      </c>
      <c r="H518" s="87">
        <f>IFERROR(IF($G518="","",$G518*$S$527/$G$527/Cadastro!$E$33),"")</f>
        <v>97.775634517766491</v>
      </c>
      <c r="I518" s="89">
        <f>IFERROR(IF($D518="","",VLOOKUP($D518,Cadastro!$C$4:$G$7,5,FALSE())),"")</f>
        <v>0.6</v>
      </c>
      <c r="J518" s="90">
        <f t="shared" si="130"/>
        <v>20.532883248730958</v>
      </c>
      <c r="K518" s="63">
        <f t="shared" si="131"/>
        <v>84</v>
      </c>
      <c r="L518" s="69" t="s">
        <v>29</v>
      </c>
      <c r="M518" s="60"/>
      <c r="N518" s="60" t="s">
        <v>83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63.554162436548218</v>
      </c>
      <c r="I519" s="89">
        <f>IFERROR(IF($D519="","",VLOOKUP($D519,Cadastro!$C$4:$G$7,5,FALSE())),"")</f>
        <v>0.6</v>
      </c>
      <c r="J519" s="90">
        <f t="shared" si="130"/>
        <v>13.346374111675125</v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18</v>
      </c>
      <c r="H520" s="87">
        <f>IFERROR(IF($G520="","",$G520*$S$527/$G$527/Cadastro!$E$33),"")</f>
        <v>87.998071065989848</v>
      </c>
      <c r="I520" s="89">
        <f>IFERROR(IF($D520="","",VLOOKUP($D520,Cadastro!$C$4:$G$7,5,FALSE())),"")</f>
        <v>0.6</v>
      </c>
      <c r="J520" s="90">
        <f t="shared" si="130"/>
        <v>18.479594923857867</v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17</v>
      </c>
      <c r="H521" s="87">
        <f>IFERROR(IF($G521="","",$G521*$S$527/$G$527/Cadastro!$E$33),"")</f>
        <v>83.109289340101512</v>
      </c>
      <c r="I521" s="89">
        <f>IFERROR(IF($D521="","",VLOOKUP($D521,Cadastro!$C$4:$G$7,5,FALSE())),"")</f>
        <v>0.6</v>
      </c>
      <c r="J521" s="90">
        <f t="shared" si="130"/>
        <v>17.452950761421317</v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19</v>
      </c>
      <c r="H522" s="87">
        <f>IFERROR(IF($G522="","",$G522*$S$527/$G$527/Cadastro!$E$33),"")</f>
        <v>92.886852791878169</v>
      </c>
      <c r="I522" s="89">
        <f>IFERROR(IF($D522="","",VLOOKUP($D522,Cadastro!$C$4:$G$7,5,FALSE())),"")</f>
        <v>0.6</v>
      </c>
      <c r="J522" s="90">
        <f t="shared" si="130"/>
        <v>19.506239086294414</v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15</v>
      </c>
      <c r="H523" s="87">
        <f>IFERROR(IF($G523="","",$G523*$S$527/$G$527/Cadastro!$E$33),"")</f>
        <v>73.331725888324868</v>
      </c>
      <c r="I523" s="89">
        <f>IFERROR(IF($D523="","",VLOOKUP($D523,Cadastro!$C$4:$G$7,5,FALSE())),"")</f>
        <v>0.6</v>
      </c>
      <c r="J523" s="90">
        <f t="shared" si="130"/>
        <v>15.399662436548221</v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15</v>
      </c>
      <c r="H524" s="87">
        <f>IFERROR(IF($G524="","",$G524*$S$527/$G$527/Cadastro!$E$33),"")</f>
        <v>73.331725888324868</v>
      </c>
      <c r="I524" s="89">
        <f>IFERROR(IF($D524="","",VLOOKUP($D524,Cadastro!$C$4:$G$7,5,FALSE())),"")</f>
        <v>0.6</v>
      </c>
      <c r="J524" s="90">
        <f t="shared" si="130"/>
        <v>15.399662436548221</v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15</v>
      </c>
      <c r="H525" s="87">
        <f>IFERROR(IF($G525="","",$G525*$S$527/$G$527/Cadastro!$E$33),"")</f>
        <v>73.331725888324868</v>
      </c>
      <c r="I525" s="89">
        <f>IFERROR(IF($D525="","",VLOOKUP($D525,Cadastro!$C$4:$G$7,5,FALSE())),"")</f>
        <v>0.6</v>
      </c>
      <c r="J525" s="90">
        <f t="shared" si="130"/>
        <v>15.399662436548221</v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11</v>
      </c>
      <c r="H526" s="91">
        <f>IFERROR(IF($G526="","",$G526*$S$527/$G$527/Cadastro!$E$33),"")</f>
        <v>53.776598984771574</v>
      </c>
      <c r="I526" s="92">
        <f>IFERROR(IF($D526="","",VLOOKUP($D526,Cadastro!$C$4:$G$7,5,FALSE())),"")</f>
        <v>0.6</v>
      </c>
      <c r="J526" s="93">
        <f t="shared" si="130"/>
        <v>11.293085786802029</v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69" t="s">
        <v>264</v>
      </c>
      <c r="B527" s="169"/>
      <c r="C527" s="169"/>
      <c r="D527" s="169"/>
      <c r="E527" s="169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202.24889999999996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265</v>
      </c>
      <c r="S527" s="73">
        <v>963090</v>
      </c>
      <c r="T527" s="98">
        <f>IFERROR(J527,"")</f>
        <v>202.24889999999996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22</v>
      </c>
      <c r="H528" s="100">
        <f>IFERROR(IF($G528="","",$G528*$S$540/$G$540/Cadastro!$E$33),"")</f>
        <v>98.289940119760473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20.640887425149696</v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61</v>
      </c>
      <c r="N528" s="60" t="s">
        <v>71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263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174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278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66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66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61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61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174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66</v>
      </c>
      <c r="N535" s="69" t="s">
        <v>71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5</v>
      </c>
      <c r="H536" s="87">
        <f>IFERROR(IF($G536="","",$G536*$S$540/$G$540/Cadastro!$E$33),"")</f>
        <v>22.338622754491016</v>
      </c>
      <c r="I536" s="89">
        <f>IFERROR(IF($D536="","",VLOOKUP($D536,Cadastro!$C$4:$G$7,5,FALSE())),"")</f>
        <v>0.6</v>
      </c>
      <c r="J536" s="90">
        <f t="shared" si="134"/>
        <v>4.6911107784431127</v>
      </c>
      <c r="K536" s="63">
        <f t="shared" si="135"/>
        <v>21</v>
      </c>
      <c r="L536" s="60" t="s">
        <v>29</v>
      </c>
      <c r="M536" s="60" t="s">
        <v>61</v>
      </c>
      <c r="N536" s="60" t="s">
        <v>71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7</v>
      </c>
      <c r="H537" s="87">
        <f>IFERROR(IF($G537="","",$G537*$S$540/$G$540/Cadastro!$E$33),"")</f>
        <v>31.274071856287424</v>
      </c>
      <c r="I537" s="89">
        <f>IFERROR(IF($D537="","",VLOOKUP($D537,Cadastro!$C$4:$G$7,5,FALSE())),"")</f>
        <v>0.6</v>
      </c>
      <c r="J537" s="90">
        <f t="shared" si="134"/>
        <v>6.5675550898203587</v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14</v>
      </c>
      <c r="H538" s="87">
        <f>IFERROR(IF($G538="","",$G538*$S$540/$G$540/Cadastro!$E$33),"")</f>
        <v>62.548143712574849</v>
      </c>
      <c r="I538" s="89">
        <f>IFERROR(IF($D538="","",VLOOKUP($D538,Cadastro!$C$4:$G$7,5,FALSE())),"")</f>
        <v>0.6</v>
      </c>
      <c r="J538" s="90">
        <f t="shared" si="134"/>
        <v>13.135110179640717</v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17</v>
      </c>
      <c r="H539" s="91">
        <f>IFERROR(IF($G539="","",$G539*$S$540/$G$540/Cadastro!$E$33),"")</f>
        <v>75.951317365269475</v>
      </c>
      <c r="I539" s="92">
        <f>IFERROR(IF($D539="","",VLOOKUP($D539,Cadastro!$C$4:$G$7,5,FALSE())),"")</f>
        <v>0.6</v>
      </c>
      <c r="J539" s="93">
        <f t="shared" si="134"/>
        <v>15.949776646706587</v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69" t="s">
        <v>267</v>
      </c>
      <c r="B540" s="169"/>
      <c r="C540" s="169"/>
      <c r="D540" s="169"/>
      <c r="E540" s="169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126.60637832335328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265</v>
      </c>
      <c r="S540" s="73">
        <v>746110</v>
      </c>
      <c r="T540" s="98">
        <f>IFERROR(J540,"")</f>
        <v>126.60637832335328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328.85527832335322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268</v>
      </c>
      <c r="S541" s="81">
        <f>IFERROR(S527+S540,"")</f>
        <v>1709200</v>
      </c>
      <c r="T541" s="117">
        <f>IFERROR(J541,"")</f>
        <v>328.85527832335322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61</v>
      </c>
      <c r="N542" s="60" t="s">
        <v>65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61</v>
      </c>
      <c r="N543" s="69" t="s">
        <v>71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66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66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169</v>
      </c>
      <c r="N546" s="60" t="s">
        <v>83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61</v>
      </c>
      <c r="N547" s="69" t="s">
        <v>179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429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66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66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61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66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66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430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61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69" t="s">
        <v>264</v>
      </c>
      <c r="B554" s="169"/>
      <c r="C554" s="169"/>
      <c r="D554" s="169"/>
      <c r="E554" s="169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265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61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431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174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432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61</v>
      </c>
      <c r="N557" s="69" t="s">
        <v>71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61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61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174</v>
      </c>
      <c r="N560" s="60" t="s">
        <v>212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433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66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434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66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435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61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174</v>
      </c>
      <c r="N564" s="60" t="s">
        <v>65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436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61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419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61</v>
      </c>
      <c r="N566" s="60" t="s">
        <v>135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69" t="s">
        <v>267</v>
      </c>
      <c r="B567" s="169"/>
      <c r="C567" s="169"/>
      <c r="D567" s="169"/>
      <c r="E567" s="169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265</v>
      </c>
      <c r="S567" s="73">
        <v>486090</v>
      </c>
      <c r="T567" s="98">
        <f>IFERROR(J567,"")</f>
        <v>69.996959999999987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268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17</v>
      </c>
      <c r="H569" s="100">
        <f>IFERROR(IF($G569="","",$G569*$S$581/$G$581/Cadastro!$E$33),"")</f>
        <v>63.943564356435644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13.428148514851484</v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169</v>
      </c>
      <c r="N569" s="69" t="s">
        <v>83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7</v>
      </c>
      <c r="H570" s="87">
        <f>IFERROR(IF($G570="","",$G570*$S$581/$G$581/Cadastro!$E$33),"")</f>
        <v>26.329702970297028</v>
      </c>
      <c r="I570" s="89">
        <f>IFERROR(IF($D570="","",VLOOKUP($D570,Cadastro!$C$4:$G$7,5,FALSE())),"")</f>
        <v>0.6</v>
      </c>
      <c r="J570" s="90">
        <f t="shared" si="146"/>
        <v>5.5292376237623753</v>
      </c>
      <c r="K570" s="68">
        <f t="shared" si="147"/>
        <v>29.400000000000002</v>
      </c>
      <c r="L570" s="60" t="s">
        <v>28</v>
      </c>
      <c r="M570" s="60" t="s">
        <v>61</v>
      </c>
      <c r="N570" s="60" t="s">
        <v>87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21</v>
      </c>
      <c r="H571" s="87">
        <f>IFERROR(IF($G571="","",$G571*$S$581/$G$581/Cadastro!$E$33),"")</f>
        <v>78.989108910891076</v>
      </c>
      <c r="I571" s="89">
        <f>IFERROR(IF($D571="","",VLOOKUP($D571,Cadastro!$C$4:$G$7,5,FALSE())),"")</f>
        <v>0.6</v>
      </c>
      <c r="J571" s="90">
        <f t="shared" si="146"/>
        <v>16.587712871287124</v>
      </c>
      <c r="K571" s="68">
        <f t="shared" si="147"/>
        <v>88.2</v>
      </c>
      <c r="L571" s="69" t="s">
        <v>27</v>
      </c>
      <c r="M571" s="69" t="s">
        <v>66</v>
      </c>
      <c r="N571" s="69" t="s">
        <v>168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420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26</v>
      </c>
      <c r="H572" s="87">
        <f>IFERROR(IF($G572="","",$G572*$S$581/$G$581/Cadastro!$E$33),"")</f>
        <v>97.796039603960395</v>
      </c>
      <c r="I572" s="89">
        <f>IFERROR(IF($D572="","",VLOOKUP($D572,Cadastro!$C$4:$G$7,5,FALSE())),"")</f>
        <v>0.6</v>
      </c>
      <c r="J572" s="90">
        <f t="shared" si="146"/>
        <v>20.537168316831682</v>
      </c>
      <c r="K572" s="68">
        <f t="shared" si="147"/>
        <v>109.2</v>
      </c>
      <c r="L572" s="60" t="s">
        <v>29</v>
      </c>
      <c r="M572" s="60" t="s">
        <v>169</v>
      </c>
      <c r="N572" s="60" t="s">
        <v>83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20</v>
      </c>
      <c r="H573" s="87">
        <f>IFERROR(IF($G573="","",$G573*$S$581/$G$581/Cadastro!$E$33),"")</f>
        <v>75.227722772277218</v>
      </c>
      <c r="I573" s="89">
        <f>IFERROR(IF($D573="","",VLOOKUP($D573,Cadastro!$C$4:$G$7,5,FALSE())),"")</f>
        <v>0.6</v>
      </c>
      <c r="J573" s="90">
        <f t="shared" si="146"/>
        <v>15.797821782178215</v>
      </c>
      <c r="K573" s="68">
        <f t="shared" si="147"/>
        <v>100</v>
      </c>
      <c r="L573" s="69" t="s">
        <v>29</v>
      </c>
      <c r="M573" s="69" t="s">
        <v>61</v>
      </c>
      <c r="N573" s="69" t="s">
        <v>65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437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25</v>
      </c>
      <c r="H574" s="87">
        <f>IFERROR(IF($G574="","",$G574*$S$581/$G$581/Cadastro!$E$33),"")</f>
        <v>94.034653465346537</v>
      </c>
      <c r="I574" s="89">
        <f>IFERROR(IF($D574="","",VLOOKUP($D574,Cadastro!$C$4:$G$7,5,FALSE())),"")</f>
        <v>0.6</v>
      </c>
      <c r="J574" s="90">
        <f t="shared" si="146"/>
        <v>19.747277227722773</v>
      </c>
      <c r="K574" s="68">
        <f t="shared" si="147"/>
        <v>105</v>
      </c>
      <c r="L574" s="60" t="s">
        <v>29</v>
      </c>
      <c r="M574" s="60" t="s">
        <v>169</v>
      </c>
      <c r="N574" s="60" t="s">
        <v>83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14</v>
      </c>
      <c r="H575" s="87">
        <f>IFERROR(IF($G575="","",$G575*$S$581/$G$581/Cadastro!$E$33),"")</f>
        <v>52.659405940594056</v>
      </c>
      <c r="I575" s="89">
        <f>IFERROR(IF($D575="","",VLOOKUP($D575,Cadastro!$C$4:$G$7,5,FALSE())),"")</f>
        <v>0.6</v>
      </c>
      <c r="J575" s="90">
        <f t="shared" si="146"/>
        <v>11.058475247524751</v>
      </c>
      <c r="K575" s="68">
        <f t="shared" si="147"/>
        <v>58.800000000000004</v>
      </c>
      <c r="L575" s="69" t="s">
        <v>29</v>
      </c>
      <c r="M575" s="69" t="s">
        <v>61</v>
      </c>
      <c r="N575" s="69" t="s">
        <v>65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6</v>
      </c>
      <c r="H576" s="87">
        <f>IFERROR(IF($G576="","",$G576*$S$581/$G$581/Cadastro!$E$33),"")</f>
        <v>22.56831683168317</v>
      </c>
      <c r="I576" s="89">
        <f>IFERROR(IF($D576="","",VLOOKUP($D576,Cadastro!$C$4:$G$7,5,FALSE())),"")</f>
        <v>0.6</v>
      </c>
      <c r="J576" s="90">
        <f t="shared" si="146"/>
        <v>4.7393465346534649</v>
      </c>
      <c r="K576" s="68">
        <f t="shared" si="147"/>
        <v>25.200000000000003</v>
      </c>
      <c r="L576" s="60" t="s">
        <v>29</v>
      </c>
      <c r="M576" s="60" t="s">
        <v>169</v>
      </c>
      <c r="N576" s="60" t="s">
        <v>83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18</v>
      </c>
      <c r="H577" s="87">
        <f>IFERROR(IF($G577="","",$G577*$S$581/$G$581/Cadastro!$E$33),"")</f>
        <v>67.704950495049502</v>
      </c>
      <c r="I577" s="89">
        <f>IFERROR(IF($D577="","",VLOOKUP($D577,Cadastro!$C$4:$G$7,5,FALSE())),"")</f>
        <v>0.6</v>
      </c>
      <c r="J577" s="90">
        <f t="shared" si="146"/>
        <v>14.218039603960394</v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20</v>
      </c>
      <c r="H578" s="87">
        <f>IFERROR(IF($G578="","",$G578*$S$581/$G$581/Cadastro!$E$33),"")</f>
        <v>75.227722772277218</v>
      </c>
      <c r="I578" s="89">
        <f>IFERROR(IF($D578="","",VLOOKUP($D578,Cadastro!$C$4:$G$7,5,FALSE())),"")</f>
        <v>0.6</v>
      </c>
      <c r="J578" s="90">
        <f t="shared" si="146"/>
        <v>15.797821782178215</v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20</v>
      </c>
      <c r="H579" s="87">
        <f>IFERROR(IF($G579="","",$G579*$S$581/$G$581/Cadastro!$E$33),"")</f>
        <v>75.227722772277218</v>
      </c>
      <c r="I579" s="89">
        <f>IFERROR(IF($D579="","",VLOOKUP($D579,Cadastro!$C$4:$G$7,5,FALSE())),"")</f>
        <v>0.6</v>
      </c>
      <c r="J579" s="90">
        <f t="shared" si="146"/>
        <v>15.797821782178215</v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8</v>
      </c>
      <c r="H580" s="91">
        <f>IFERROR(IF($G580="","",$G580*$S$581/$G$581/Cadastro!$E$33),"")</f>
        <v>30.091089108910893</v>
      </c>
      <c r="I580" s="92">
        <f>IFERROR(IF($D580="","",VLOOKUP($D580,Cadastro!$C$4:$G$7,5,FALSE())),"")</f>
        <v>0.6</v>
      </c>
      <c r="J580" s="93">
        <f t="shared" si="146"/>
        <v>6.3191287128712865</v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69" t="s">
        <v>264</v>
      </c>
      <c r="B581" s="169"/>
      <c r="C581" s="169"/>
      <c r="D581" s="169"/>
      <c r="E581" s="169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159.55799999999996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265</v>
      </c>
      <c r="S581" s="73">
        <v>759800</v>
      </c>
      <c r="T581" s="98">
        <f>IFERROR(J581,"")</f>
        <v>159.55799999999996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16</v>
      </c>
      <c r="H582" s="100">
        <f>IFERROR(IF($G582="","",$G582*$S$594/$G$594/Cadastro!$E$33),"")</f>
        <v>93.318816568047339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19.596951479289938</v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61</v>
      </c>
      <c r="N582" s="60" t="s">
        <v>71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12</v>
      </c>
      <c r="H583" s="87">
        <f>IFERROR(IF($G583="","",$G583*$S$594/$G$594/Cadastro!$E$33),"")</f>
        <v>69.989112426035504</v>
      </c>
      <c r="I583" s="89">
        <f>IFERROR(IF($D583="","",VLOOKUP($D583,Cadastro!$C$4:$G$7,5,FALSE())),"")</f>
        <v>0.6</v>
      </c>
      <c r="J583" s="90">
        <f t="shared" si="150"/>
        <v>14.697713609467453</v>
      </c>
      <c r="K583" s="68">
        <f t="shared" si="151"/>
        <v>50.400000000000006</v>
      </c>
      <c r="L583" s="69" t="s">
        <v>29</v>
      </c>
      <c r="M583" s="69" t="s">
        <v>174</v>
      </c>
      <c r="N583" s="69" t="s">
        <v>71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438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50"/>
        <v>0</v>
      </c>
      <c r="K584" s="63">
        <f t="shared" si="151"/>
        <v>0</v>
      </c>
      <c r="L584" s="60" t="s">
        <v>29</v>
      </c>
      <c r="M584" s="60" t="s">
        <v>61</v>
      </c>
      <c r="N584" s="60" t="s">
        <v>65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439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22</v>
      </c>
      <c r="H585" s="87">
        <f>IFERROR(IF($G585="","",$G585*$S$594/$G$594/Cadastro!$E$33),"")</f>
        <v>128.31337278106508</v>
      </c>
      <c r="I585" s="89">
        <f>IFERROR(IF($D585="","",VLOOKUP($D585,Cadastro!$C$4:$G$7,5,FALSE())),"")</f>
        <v>0.6</v>
      </c>
      <c r="J585" s="90">
        <f t="shared" si="150"/>
        <v>26.945808284023663</v>
      </c>
      <c r="K585" s="68">
        <f t="shared" si="151"/>
        <v>92.4</v>
      </c>
      <c r="L585" s="69" t="s">
        <v>29</v>
      </c>
      <c r="M585" s="69" t="s">
        <v>61</v>
      </c>
      <c r="N585" s="69" t="s">
        <v>65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17</v>
      </c>
      <c r="H586" s="87">
        <f>IFERROR(IF($G586="","",$G586*$S$594/$G$594/Cadastro!$E$33),"")</f>
        <v>99.151242603550301</v>
      </c>
      <c r="I586" s="89">
        <f>IFERROR(IF($D586="","",VLOOKUP($D586,Cadastro!$C$4:$G$7,5,FALSE())),"")</f>
        <v>0.6</v>
      </c>
      <c r="J586" s="90">
        <f t="shared" si="150"/>
        <v>20.82176094674556</v>
      </c>
      <c r="K586" s="63">
        <f t="shared" si="151"/>
        <v>71.400000000000006</v>
      </c>
      <c r="L586" s="60" t="s">
        <v>28</v>
      </c>
      <c r="M586" s="60" t="s">
        <v>66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15</v>
      </c>
      <c r="H587" s="87">
        <f>IFERROR(IF($G587="","",$G587*$S$594/$G$594/Cadastro!$E$33),"")</f>
        <v>87.486390532544377</v>
      </c>
      <c r="I587" s="89">
        <f>IFERROR(IF($D587="","",VLOOKUP($D587,Cadastro!$C$4:$G$7,5,FALSE())),"")</f>
        <v>0.6</v>
      </c>
      <c r="J587" s="90">
        <f t="shared" si="150"/>
        <v>18.372142011834317</v>
      </c>
      <c r="K587" s="68">
        <f t="shared" si="151"/>
        <v>63</v>
      </c>
      <c r="L587" s="69" t="s">
        <v>29</v>
      </c>
      <c r="M587" s="69" t="s">
        <v>61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382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12</v>
      </c>
      <c r="H588" s="87">
        <f>IFERROR(IF($G588="","",$G588*$S$594/$G$594/Cadastro!$E$33),"")</f>
        <v>69.989112426035504</v>
      </c>
      <c r="I588" s="89">
        <f>IFERROR(IF($D588="","",VLOOKUP($D588,Cadastro!$C$4:$G$7,5,FALSE())),"")</f>
        <v>0.6</v>
      </c>
      <c r="J588" s="90">
        <f t="shared" si="150"/>
        <v>14.697713609467453</v>
      </c>
      <c r="K588" s="63">
        <f t="shared" si="151"/>
        <v>50.400000000000006</v>
      </c>
      <c r="L588" s="60" t="s">
        <v>29</v>
      </c>
      <c r="M588" s="60" t="s">
        <v>143</v>
      </c>
      <c r="N588" s="60" t="s">
        <v>123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6</v>
      </c>
      <c r="H589" s="87">
        <f>IFERROR(IF($G589="","",$G589*$S$594/$G$594/Cadastro!$E$33),"")</f>
        <v>34.994556213017752</v>
      </c>
      <c r="I589" s="89">
        <f>IFERROR(IF($D589="","",VLOOKUP($D589,Cadastro!$C$4:$G$7,5,FALSE())),"")</f>
        <v>0.6</v>
      </c>
      <c r="J589" s="90">
        <f t="shared" si="150"/>
        <v>7.3488568047337264</v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31</v>
      </c>
      <c r="H590" s="87">
        <f>IFERROR(IF($G590="","",$G590*$S$594/$G$594/Cadastro!$E$33),"")</f>
        <v>180.8052071005917</v>
      </c>
      <c r="I590" s="89">
        <f>IFERROR(IF($D590="","",VLOOKUP($D590,Cadastro!$C$4:$G$7,5,FALSE())),"")</f>
        <v>0.6</v>
      </c>
      <c r="J590" s="90">
        <f t="shared" si="150"/>
        <v>37.969093491124255</v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18</v>
      </c>
      <c r="H591" s="87">
        <f>IFERROR(IF($G591="","",$G591*$S$594/$G$594/Cadastro!$E$33),"")</f>
        <v>104.98366863905325</v>
      </c>
      <c r="I591" s="89">
        <f>IFERROR(IF($D591="","",VLOOKUP($D591,Cadastro!$C$4:$G$7,5,FALSE())),"")</f>
        <v>0.6</v>
      </c>
      <c r="J591" s="90">
        <f t="shared" si="150"/>
        <v>22.046570414201181</v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20</v>
      </c>
      <c r="H592" s="87">
        <f>IFERROR(IF($G592="","",$G592*$S$594/$G$594/Cadastro!$E$33),"")</f>
        <v>116.64852071005916</v>
      </c>
      <c r="I592" s="89">
        <f>IFERROR(IF($D592="","",VLOOKUP($D592,Cadastro!$C$4:$G$7,5,FALSE())),"")</f>
        <v>0.6</v>
      </c>
      <c r="J592" s="90">
        <f t="shared" si="150"/>
        <v>24.49618934911242</v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69" t="s">
        <v>267</v>
      </c>
      <c r="B594" s="169"/>
      <c r="C594" s="169"/>
      <c r="D594" s="169"/>
      <c r="E594" s="169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206.99279999999996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265</v>
      </c>
      <c r="S594" s="73">
        <v>985680</v>
      </c>
      <c r="T594" s="98">
        <f>IFERROR(J594,"")</f>
        <v>206.99279999999996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366.55079999999992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268</v>
      </c>
      <c r="S595" s="81">
        <f>IFERROR(S581+S594,"")</f>
        <v>1745480</v>
      </c>
      <c r="T595" s="117">
        <f>IFERROR(J595,"")</f>
        <v>366.55079999999992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20</v>
      </c>
      <c r="H596" s="100">
        <f>IFERROR(IF($G596="","",$G596*$S$608/$G$608/Cadastro!$E$33),"")</f>
        <v>236.65333333333334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49.697199999999995</v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174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440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5</v>
      </c>
      <c r="H597" s="87">
        <f>IFERROR(IF($G597="","",$G597*$S$608/$G$608/Cadastro!$E$33),"")</f>
        <v>59.163333333333334</v>
      </c>
      <c r="I597" s="89">
        <f>IFERROR(IF($D597="","",VLOOKUP($D597,Cadastro!$C$4:$G$7,5,FALSE())),"")</f>
        <v>0.6</v>
      </c>
      <c r="J597" s="90">
        <f t="shared" si="154"/>
        <v>12.424299999999999</v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8</v>
      </c>
      <c r="H598" s="87">
        <f>IFERROR(IF($G598="","",$G598*$S$608/$G$608/Cadastro!$E$33),"")</f>
        <v>94.661333333333332</v>
      </c>
      <c r="I598" s="89">
        <f>IFERROR(IF($D598="","",VLOOKUP($D598,Cadastro!$C$4:$G$7,5,FALSE())),"")</f>
        <v>0.6</v>
      </c>
      <c r="J598" s="90">
        <f t="shared" si="154"/>
        <v>19.878879999999995</v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23</v>
      </c>
      <c r="H599" s="87">
        <f>IFERROR(IF($G599="","",$G599*$S$608/$G$608/Cadastro!$E$33),"")</f>
        <v>272.1513333333333</v>
      </c>
      <c r="I599" s="89">
        <f>IFERROR(IF($D599="","",VLOOKUP($D599,Cadastro!$C$4:$G$7,5,FALSE())),"")</f>
        <v>0.6</v>
      </c>
      <c r="J599" s="90">
        <f t="shared" si="154"/>
        <v>57.151779999999988</v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47.330666666666666</v>
      </c>
      <c r="I600" s="89">
        <f>IFERROR(IF($D600="","",VLOOKUP($D600,Cadastro!$C$4:$G$7,5,FALSE())),"")</f>
        <v>0.6</v>
      </c>
      <c r="J600" s="90">
        <f t="shared" si="154"/>
        <v>9.9394399999999976</v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69" t="s">
        <v>264</v>
      </c>
      <c r="B608" s="169"/>
      <c r="C608" s="169"/>
      <c r="D608" s="169"/>
      <c r="E608" s="169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149.09159999999997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265</v>
      </c>
      <c r="S608" s="73">
        <f>1545300-910510+75170</f>
        <v>709960</v>
      </c>
      <c r="T608" s="98">
        <f>IFERROR(J608,"")</f>
        <v>149.09159999999997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8</v>
      </c>
      <c r="H609" s="100" t="str">
        <f>IFERROR(IF(#REF!="","",#REF!*$S$621/$G$621/Cadastro!$E$33),"")</f>
        <v/>
      </c>
      <c r="I609" s="101">
        <f>IFERROR(IF($D609="","",VLOOKUP($D609,Cadastro!$C$4:$G$7,5,FALSE())),"")</f>
        <v>0.6</v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66</v>
      </c>
      <c r="N609" s="69" t="s">
        <v>65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382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153">
        <v>5</v>
      </c>
      <c r="H610" s="87">
        <f>IFERROR(IF($G609="","",$G609*$S$621/$G$621/Cadastro!$E$33),"")</f>
        <v>50.666194690265492</v>
      </c>
      <c r="I610" s="89">
        <f>IFERROR(IF($D610="","",VLOOKUP($D610,Cadastro!$C$4:$G$7,5,FALSE())),"")</f>
        <v>0.6</v>
      </c>
      <c r="J610" s="90">
        <f t="shared" si="158"/>
        <v>10.639900884955752</v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61</v>
      </c>
      <c r="N610" s="60" t="s">
        <v>65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419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7</v>
      </c>
      <c r="H611" s="87">
        <f>IFERROR(IF($G611="","",$G611*$S$621/$G$621/Cadastro!$E$33),"")</f>
        <v>44.332920353982303</v>
      </c>
      <c r="I611" s="89">
        <f>IFERROR(IF($D611="","",VLOOKUP($D611,Cadastro!$C$4:$G$7,5,FALSE())),"")</f>
        <v>0.6</v>
      </c>
      <c r="J611" s="90">
        <f t="shared" si="158"/>
        <v>9.3099132743362834</v>
      </c>
      <c r="K611" s="68">
        <f t="shared" ref="K609:K614" si="161">IF(G611="","",IF(E611="PC 17",G611*4.2,IF(E611="PC 19",G611*5,IF(E611="CB",G611*24,""))))</f>
        <v>29.400000000000002</v>
      </c>
      <c r="L611" s="69" t="s">
        <v>28</v>
      </c>
      <c r="M611" s="69" t="s">
        <v>61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7</v>
      </c>
      <c r="H612" s="87">
        <f>IFERROR(IF($G612="","",$G612*$S$621/$G$621/Cadastro!$E$33),"")</f>
        <v>44.332920353982303</v>
      </c>
      <c r="I612" s="89">
        <f>IFERROR(IF($D612="","",VLOOKUP($D612,Cadastro!$C$4:$G$7,5,FALSE())),"")</f>
        <v>0.6</v>
      </c>
      <c r="J612" s="90">
        <f t="shared" si="158"/>
        <v>9.3099132743362834</v>
      </c>
      <c r="K612" s="63">
        <f t="shared" si="161"/>
        <v>29.400000000000002</v>
      </c>
      <c r="L612" s="60" t="s">
        <v>27</v>
      </c>
      <c r="M612" s="60" t="s">
        <v>66</v>
      </c>
      <c r="N612" s="60" t="s">
        <v>141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441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14</v>
      </c>
      <c r="H613" s="87">
        <f>IFERROR(IF($G613="","",$G613*$S$621/$G$621/Cadastro!$E$33),"")</f>
        <v>88.665840707964605</v>
      </c>
      <c r="I613" s="89">
        <f>IFERROR(IF($D613="","",VLOOKUP($D613,Cadastro!$C$4:$G$7,5,FALSE())),"")</f>
        <v>0.6</v>
      </c>
      <c r="J613" s="90">
        <f t="shared" si="158"/>
        <v>18.619826548672567</v>
      </c>
      <c r="K613" s="68">
        <f t="shared" si="161"/>
        <v>58.800000000000004</v>
      </c>
      <c r="L613" s="69" t="s">
        <v>29</v>
      </c>
      <c r="M613" s="69" t="s">
        <v>61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436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0</v>
      </c>
      <c r="H614" s="87">
        <f>IFERROR(IF($G614="","",$G614*$S$621/$G$621/Cadastro!$E$33),"")</f>
        <v>0</v>
      </c>
      <c r="I614" s="89">
        <f>IFERROR(IF($D614="","",VLOOKUP($D614,Cadastro!$C$4:$G$7,5,FALSE())),"")</f>
        <v>0.6</v>
      </c>
      <c r="J614" s="90">
        <f t="shared" si="158"/>
        <v>0</v>
      </c>
      <c r="K614" s="63">
        <f t="shared" si="161"/>
        <v>0</v>
      </c>
      <c r="L614" s="60" t="s">
        <v>29</v>
      </c>
      <c r="M614" s="60" t="s">
        <v>174</v>
      </c>
      <c r="N614" s="60" t="s">
        <v>197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2</v>
      </c>
      <c r="H615" s="87">
        <f>IFERROR(IF($G615="","",$G615*$S$621/$G$621/Cadastro!$E$33),"")</f>
        <v>12.666548672566373</v>
      </c>
      <c r="I615" s="89">
        <f>IFERROR(IF($D615="","",VLOOKUP($D615,Cadastro!$C$4:$G$7,5,FALSE())),"")</f>
        <v>0.6</v>
      </c>
      <c r="J615" s="90">
        <f t="shared" si="158"/>
        <v>2.659975221238938</v>
      </c>
      <c r="K615" s="68"/>
      <c r="L615" s="69" t="s">
        <v>29</v>
      </c>
      <c r="M615" s="69" t="s">
        <v>66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20</v>
      </c>
      <c r="H616" s="87">
        <f>IFERROR(IF($G616="","",$G616*$S$621/$G$621/Cadastro!$E$33),"")</f>
        <v>126.66548672566373</v>
      </c>
      <c r="I616" s="89">
        <f>IFERROR(IF($D616="","",VLOOKUP($D616,Cadastro!$C$4:$G$7,5,FALSE())),"")</f>
        <v>0.6</v>
      </c>
      <c r="J616" s="90">
        <f t="shared" si="158"/>
        <v>26.599752212389379</v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10</v>
      </c>
      <c r="H617" s="87">
        <f>IFERROR(IF($G617="","",$G617*$S$621/$G$621/Cadastro!$E$33),"")</f>
        <v>63.332743362831863</v>
      </c>
      <c r="I617" s="89">
        <f>IFERROR(IF($D617="","",VLOOKUP($D617,Cadastro!$C$4:$G$7,5,FALSE())),"")</f>
        <v>0.6</v>
      </c>
      <c r="J617" s="90">
        <f t="shared" si="158"/>
        <v>13.29987610619469</v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17</v>
      </c>
      <c r="H618" s="87">
        <f>IFERROR(IF($G618="","",$G618*$S$621/$G$621/Cadastro!$E$33),"")</f>
        <v>107.66566371681417</v>
      </c>
      <c r="I618" s="89">
        <f>IFERROR(IF($D618="","",VLOOKUP($D618,Cadastro!$C$4:$G$7,5,FALSE())),"")</f>
        <v>0.6</v>
      </c>
      <c r="J618" s="90">
        <f t="shared" si="158"/>
        <v>22.609789380530973</v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14</v>
      </c>
      <c r="H619" s="87">
        <f>IFERROR(IF($G619="","",$G619*$S$621/$G$621/Cadastro!$E$33),"")</f>
        <v>88.665840707964605</v>
      </c>
      <c r="I619" s="89">
        <f>IFERROR(IF($D619="","",VLOOKUP($D619,Cadastro!$C$4:$G$7,5,FALSE())),"")</f>
        <v>0.6</v>
      </c>
      <c r="J619" s="90">
        <f t="shared" si="158"/>
        <v>18.619826548672567</v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9</v>
      </c>
      <c r="H620" s="91">
        <f>IFERROR(IF($G620="","",$G620*$S$621/$G$621/Cadastro!$E$33),"")</f>
        <v>56.999469026548674</v>
      </c>
      <c r="I620" s="92">
        <f>IFERROR(IF($D620="","",VLOOKUP($D620,Cadastro!$C$4:$G$7,5,FALSE())),"")</f>
        <v>0.6</v>
      </c>
      <c r="J620" s="93">
        <f t="shared" si="158"/>
        <v>11.969888495575221</v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69" t="s">
        <v>267</v>
      </c>
      <c r="B621" s="169"/>
      <c r="C621" s="169"/>
      <c r="D621" s="169"/>
      <c r="E621" s="169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143.63866194690266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265</v>
      </c>
      <c r="S621" s="73">
        <v>715660</v>
      </c>
      <c r="T621" s="98">
        <f>IFERROR(J621,"")</f>
        <v>143.63866194690266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292.7302619469026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268</v>
      </c>
      <c r="S622" s="81">
        <f>IFERROR(S608+S621,"")</f>
        <v>1425620</v>
      </c>
      <c r="T622" s="117">
        <f>IFERROR(J622,"")</f>
        <v>292.7302619469026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6</v>
      </c>
      <c r="H623" s="100">
        <f>IFERROR(IF($G623="","",$G623*$S$635/$G$635/Cadastro!$E$33),"")</f>
        <v>25.994190871369295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5.458780082987551</v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174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20</v>
      </c>
      <c r="H624" s="87">
        <f>IFERROR(IF($G624="","",$G624*$S$635/$G$635/Cadastro!$E$33),"")</f>
        <v>86.647302904564313</v>
      </c>
      <c r="I624" s="89">
        <f>IFERROR(IF($D624="","",VLOOKUP($D624,Cadastro!$C$4:$G$7,5,FALSE())),"")</f>
        <v>0.6</v>
      </c>
      <c r="J624" s="90">
        <f t="shared" si="162"/>
        <v>18.195933609958505</v>
      </c>
      <c r="K624" s="63">
        <f t="shared" si="163"/>
        <v>84</v>
      </c>
      <c r="L624" s="60" t="s">
        <v>27</v>
      </c>
      <c r="M624" s="60" t="s">
        <v>66</v>
      </c>
      <c r="N624" s="60" t="s">
        <v>168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442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22</v>
      </c>
      <c r="H625" s="87">
        <f>IFERROR(IF($G625="","",$G625*$S$635/$G$635/Cadastro!$E$33),"")</f>
        <v>95.312033195020746</v>
      </c>
      <c r="I625" s="89">
        <f>IFERROR(IF($D625="","",VLOOKUP($D625,Cadastro!$C$4:$G$7,5,FALSE())),"")</f>
        <v>0.6</v>
      </c>
      <c r="J625" s="90">
        <f t="shared" si="162"/>
        <v>20.015526970954358</v>
      </c>
      <c r="K625" s="68">
        <f t="shared" si="163"/>
        <v>92.4</v>
      </c>
      <c r="L625" s="69" t="s">
        <v>29</v>
      </c>
      <c r="M625" s="69" t="s">
        <v>66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23</v>
      </c>
      <c r="H626" s="87">
        <f>IFERROR(IF($G626="","",$G626*$S$635/$G$635/Cadastro!$E$33),"")</f>
        <v>99.644398340248969</v>
      </c>
      <c r="I626" s="89">
        <f>IFERROR(IF($D626="","",VLOOKUP($D626,Cadastro!$C$4:$G$7,5,FALSE())),"")</f>
        <v>0.6</v>
      </c>
      <c r="J626" s="90">
        <f t="shared" si="162"/>
        <v>20.925323651452285</v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29</v>
      </c>
      <c r="H627" s="87">
        <f>IFERROR(IF($G627="","",$G627*$S$635/$G$635/Cadastro!$E$33),"")</f>
        <v>125.63858921161825</v>
      </c>
      <c r="I627" s="89">
        <f>IFERROR(IF($D627="","",VLOOKUP($D627,Cadastro!$C$4:$G$7,5,FALSE())),"")</f>
        <v>0.6</v>
      </c>
      <c r="J627" s="90">
        <f t="shared" si="162"/>
        <v>26.384103734439829</v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23</v>
      </c>
      <c r="H628" s="87">
        <f>IFERROR(IF($G628="","",$G628*$S$635/$G$635/Cadastro!$E$33),"")</f>
        <v>99.644398340248969</v>
      </c>
      <c r="I628" s="89">
        <f>IFERROR(IF($D628="","",VLOOKUP($D628,Cadastro!$C$4:$G$7,5,FALSE())),"")</f>
        <v>0.6</v>
      </c>
      <c r="J628" s="90">
        <f t="shared" si="162"/>
        <v>20.925323651452285</v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13</v>
      </c>
      <c r="H629" s="87">
        <f>IFERROR(IF($G629="","",$G629*$S$635/$G$635/Cadastro!$E$33),"")</f>
        <v>56.320746887966806</v>
      </c>
      <c r="I629" s="89">
        <f>IFERROR(IF($D629="","",VLOOKUP($D629,Cadastro!$C$4:$G$7,5,FALSE())),"")</f>
        <v>0.6</v>
      </c>
      <c r="J629" s="90">
        <f t="shared" si="162"/>
        <v>11.827356846473027</v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22</v>
      </c>
      <c r="H630" s="87">
        <f>IFERROR(IF($G630="","",$G630*$S$635/$G$635/Cadastro!$E$33),"")</f>
        <v>95.312033195020746</v>
      </c>
      <c r="I630" s="89">
        <f>IFERROR(IF($D630="","",VLOOKUP($D630,Cadastro!$C$4:$G$7,5,FALSE())),"")</f>
        <v>0.6</v>
      </c>
      <c r="J630" s="90">
        <f t="shared" si="162"/>
        <v>20.015526970954358</v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23</v>
      </c>
      <c r="H631" s="87">
        <f>IFERROR(IF($G631="","",$G631*$S$635/$G$635/Cadastro!$E$33),"")</f>
        <v>99.644398340248969</v>
      </c>
      <c r="I631" s="89">
        <f>IFERROR(IF($D631="","",VLOOKUP($D631,Cadastro!$C$4:$G$7,5,FALSE())),"")</f>
        <v>0.6</v>
      </c>
      <c r="J631" s="90">
        <f t="shared" si="162"/>
        <v>20.925323651452285</v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22</v>
      </c>
      <c r="H632" s="87">
        <f>IFERROR(IF($G632="","",$G632*$S$635/$G$635/Cadastro!$E$33),"")</f>
        <v>95.312033195020746</v>
      </c>
      <c r="I632" s="89">
        <f>IFERROR(IF($D632="","",VLOOKUP($D632,Cadastro!$C$4:$G$7,5,FALSE())),"")</f>
        <v>0.6</v>
      </c>
      <c r="J632" s="90">
        <f t="shared" si="162"/>
        <v>20.015526970954358</v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22</v>
      </c>
      <c r="H633" s="87">
        <f>IFERROR(IF($G633="","",$G633*$S$635/$G$635/Cadastro!$E$33),"")</f>
        <v>95.312033195020746</v>
      </c>
      <c r="I633" s="89">
        <f>IFERROR(IF($D633="","",VLOOKUP($D633,Cadastro!$C$4:$G$7,5,FALSE())),"")</f>
        <v>0.6</v>
      </c>
      <c r="J633" s="90">
        <f t="shared" si="162"/>
        <v>20.015526970954358</v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16</v>
      </c>
      <c r="H634" s="91">
        <f>IFERROR(IF($G634="","",$G634*$S$635/$G$635/Cadastro!$E$33),"")</f>
        <v>69.317842323651448</v>
      </c>
      <c r="I634" s="92">
        <f>IFERROR(IF($D634="","",VLOOKUP($D634,Cadastro!$C$4:$G$7,5,FALSE())),"")</f>
        <v>0.6</v>
      </c>
      <c r="J634" s="93">
        <f t="shared" si="162"/>
        <v>14.556746887966803</v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69" t="s">
        <v>264</v>
      </c>
      <c r="B635" s="169"/>
      <c r="C635" s="169"/>
      <c r="D635" s="169"/>
      <c r="E635" s="169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219.26100000000002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265</v>
      </c>
      <c r="S635" s="73">
        <v>1044100</v>
      </c>
      <c r="T635" s="98">
        <f>IFERROR(J635,"")</f>
        <v>219.26100000000002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13</v>
      </c>
      <c r="H636" s="100">
        <f>IFERROR(IF($G636="","",$G636*$S$648/$G$648/Cadastro!$E$33),"")</f>
        <v>60.023797468354431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12.604997468354428</v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174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15</v>
      </c>
      <c r="H637" s="87">
        <f>IFERROR(IF($G637="","",$G637*$S$648/$G$648/Cadastro!$E$33),"")</f>
        <v>69.258227848101257</v>
      </c>
      <c r="I637" s="89">
        <f>IFERROR(IF($D637="","",VLOOKUP($D637,Cadastro!$C$4:$G$7,5,FALSE())),"")</f>
        <v>0.6</v>
      </c>
      <c r="J637" s="90">
        <f t="shared" si="166"/>
        <v>14.544227848101261</v>
      </c>
      <c r="K637" s="68">
        <f t="shared" si="167"/>
        <v>75</v>
      </c>
      <c r="L637" s="69" t="s">
        <v>27</v>
      </c>
      <c r="M637" s="69" t="s">
        <v>66</v>
      </c>
      <c r="N637" s="69" t="s">
        <v>240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443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18</v>
      </c>
      <c r="H638" s="87">
        <f>IFERROR(IF($G638="","",$G638*$S$648/$G$648/Cadastro!$E$33),"")</f>
        <v>83.109873417721516</v>
      </c>
      <c r="I638" s="89">
        <f>IFERROR(IF($D638="","",VLOOKUP($D638,Cadastro!$C$4:$G$7,5,FALSE())),"")</f>
        <v>0.6</v>
      </c>
      <c r="J638" s="90">
        <f t="shared" si="166"/>
        <v>17.453073417721516</v>
      </c>
      <c r="K638" s="63">
        <f t="shared" si="167"/>
        <v>75.600000000000009</v>
      </c>
      <c r="L638" s="60" t="s">
        <v>29</v>
      </c>
      <c r="M638" s="60" t="s">
        <v>174</v>
      </c>
      <c r="N638" s="60" t="s">
        <v>65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444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28</v>
      </c>
      <c r="H639" s="87">
        <f>IFERROR(IF($G639="","",$G639*$S$648/$G$648/Cadastro!$E$33),"")</f>
        <v>129.2820253164557</v>
      </c>
      <c r="I639" s="89">
        <f>IFERROR(IF($D639="","",VLOOKUP($D639,Cadastro!$C$4:$G$7,5,FALSE())),"")</f>
        <v>0.6</v>
      </c>
      <c r="J639" s="90">
        <f t="shared" si="166"/>
        <v>27.149225316455695</v>
      </c>
      <c r="K639" s="68">
        <f t="shared" si="167"/>
        <v>117.60000000000001</v>
      </c>
      <c r="L639" s="69" t="s">
        <v>28</v>
      </c>
      <c r="M639" s="69" t="s">
        <v>174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26</v>
      </c>
      <c r="H640" s="87">
        <f>IFERROR(IF($G640="","",$G640*$S$648/$G$648/Cadastro!$E$33),"")</f>
        <v>120.04759493670886</v>
      </c>
      <c r="I640" s="89">
        <f>IFERROR(IF($D640="","",VLOOKUP($D640,Cadastro!$C$4:$G$7,5,FALSE())),"")</f>
        <v>0.6</v>
      </c>
      <c r="J640" s="90">
        <f t="shared" si="166"/>
        <v>25.209994936708856</v>
      </c>
      <c r="K640" s="63">
        <f t="shared" si="167"/>
        <v>109.2</v>
      </c>
      <c r="L640" s="60" t="s">
        <v>29</v>
      </c>
      <c r="M640" s="60" t="s">
        <v>66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445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20</v>
      </c>
      <c r="H641" s="87">
        <f>IFERROR(IF($G641="","",$G641*$S$648/$G$648/Cadastro!$E$33),"")</f>
        <v>92.344303797468356</v>
      </c>
      <c r="I641" s="89">
        <f>IFERROR(IF($D641="","",VLOOKUP($D641,Cadastro!$C$4:$G$7,5,FALSE())),"")</f>
        <v>0.6</v>
      </c>
      <c r="J641" s="90">
        <f t="shared" si="166"/>
        <v>19.392303797468355</v>
      </c>
      <c r="K641" s="68">
        <f t="shared" si="167"/>
        <v>84</v>
      </c>
      <c r="L641" s="69" t="s">
        <v>29</v>
      </c>
      <c r="M641" s="69"/>
      <c r="N641" s="69" t="s">
        <v>226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3</v>
      </c>
      <c r="H642" s="87">
        <f>IFERROR(IF($G642="","",$G642*$S$648/$G$648/Cadastro!$E$33),"")</f>
        <v>13.851645569620255</v>
      </c>
      <c r="I642" s="89">
        <f>IFERROR(IF($D642="","",VLOOKUP($D642,Cadastro!$C$4:$G$7,5,FALSE())),"")</f>
        <v>0.6</v>
      </c>
      <c r="J642" s="90">
        <f t="shared" si="166"/>
        <v>2.9088455696202531</v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23.086075949367089</v>
      </c>
      <c r="I643" s="89">
        <f>IFERROR(IF($D643="","",VLOOKUP($D643,Cadastro!$C$4:$G$7,5,FALSE())),"")</f>
        <v>0.6</v>
      </c>
      <c r="J643" s="90">
        <f t="shared" si="166"/>
        <v>4.8480759493670886</v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5</v>
      </c>
      <c r="H644" s="87">
        <f>IFERROR(IF($G644="","",$G644*$S$648/$G$648/Cadastro!$E$33),"")</f>
        <v>23.086075949367089</v>
      </c>
      <c r="I644" s="89">
        <f>IFERROR(IF($D644="","",VLOOKUP($D644,Cadastro!$C$4:$G$7,5,FALSE())),"")</f>
        <v>0.6</v>
      </c>
      <c r="J644" s="90">
        <f t="shared" si="166"/>
        <v>4.8480759493670886</v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0</v>
      </c>
      <c r="H645" s="87">
        <f>IFERROR(IF($G645="","",$G645*$S$648/$G$648/Cadastro!$E$33),"")</f>
        <v>0</v>
      </c>
      <c r="I645" s="89">
        <f>IFERROR(IF($D645="","",VLOOKUP($D645,Cadastro!$C$4:$G$7,5,FALSE())),"")</f>
        <v>0.6</v>
      </c>
      <c r="J645" s="90">
        <f t="shared" si="166"/>
        <v>0</v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25</v>
      </c>
      <c r="H646" s="87">
        <f>IFERROR(IF($G646="","",$G646*$S$648/$G$648/Cadastro!$E$33),"")</f>
        <v>115.43037974683544</v>
      </c>
      <c r="I646" s="89">
        <f>IFERROR(IF($D646="","",VLOOKUP($D646,Cadastro!$C$4:$G$7,5,FALSE())),"")</f>
        <v>0.6</v>
      </c>
      <c r="J646" s="90">
        <f t="shared" si="166"/>
        <v>24.24037974683544</v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69" t="s">
        <v>267</v>
      </c>
      <c r="B648" s="169"/>
      <c r="C648" s="169"/>
      <c r="D648" s="169"/>
      <c r="E648" s="169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153.19919999999999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265</v>
      </c>
      <c r="S648" s="73">
        <v>729520</v>
      </c>
      <c r="T648" s="98">
        <f>IFERROR(J648,"")</f>
        <v>153.19919999999999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372.46019999999999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268</v>
      </c>
      <c r="S649" s="81">
        <f>IFERROR(S635+S648,"")</f>
        <v>1773620</v>
      </c>
      <c r="T649" s="117">
        <f>IFERROR(J649,"")</f>
        <v>372.46019999999999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446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29</v>
      </c>
      <c r="M651" s="69" t="s">
        <v>169</v>
      </c>
      <c r="N651" s="69" t="s">
        <v>83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 t="s">
        <v>29</v>
      </c>
      <c r="M652" s="60" t="s">
        <v>169</v>
      </c>
      <c r="N652" s="60" t="s">
        <v>83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 t="s">
        <v>28</v>
      </c>
      <c r="M654" s="60" t="s">
        <v>174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24</v>
      </c>
      <c r="H655" s="87">
        <f>IFERROR(IF($G655="","",$G655*$S$662/$G$662/Cadastro!$E$33),"")</f>
        <v>110.28369230769231</v>
      </c>
      <c r="I655" s="89">
        <f>IFERROR(IF($D655="","",VLOOKUP($D655,Cadastro!$C$4:$G$7,5,FALSE())),"")</f>
        <v>0.6</v>
      </c>
      <c r="J655" s="90">
        <f t="shared" si="170"/>
        <v>23.15957538461538</v>
      </c>
      <c r="K655" s="68">
        <f t="shared" si="171"/>
        <v>100.80000000000001</v>
      </c>
      <c r="L655" s="69" t="s">
        <v>29</v>
      </c>
      <c r="M655" s="69" t="s">
        <v>61</v>
      </c>
      <c r="N655" s="69" t="s">
        <v>65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263</v>
      </c>
      <c r="F656" s="87">
        <f>IFERROR(IF($D656="","",VLOOKUP($D656,Cadastro!$C$4:$E$7,3,FALSE())),"")</f>
        <v>0.35</v>
      </c>
      <c r="G656" s="88">
        <v>13</v>
      </c>
      <c r="H656" s="87">
        <f>IFERROR(IF($G656="","",$G656*$S$662/$G$662/Cadastro!$E$33),"")</f>
        <v>59.737000000000002</v>
      </c>
      <c r="I656" s="89">
        <f>IFERROR(IF($D656="","",VLOOKUP($D656,Cadastro!$C$4:$G$7,5,FALSE())),"")</f>
        <v>0.6</v>
      </c>
      <c r="J656" s="90">
        <f t="shared" si="170"/>
        <v>12.54477</v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9</v>
      </c>
      <c r="H657" s="87">
        <f>IFERROR(IF($G657="","",$G657*$S$662/$G$662/Cadastro!$E$33),"")</f>
        <v>41.35638461538462</v>
      </c>
      <c r="I657" s="89">
        <f>IFERROR(IF($D657="","",VLOOKUP($D657,Cadastro!$C$4:$G$7,5,FALSE())),"")</f>
        <v>0.6</v>
      </c>
      <c r="J657" s="90">
        <f t="shared" si="170"/>
        <v>8.6848407692307692</v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25</v>
      </c>
      <c r="H658" s="87">
        <f>IFERROR(IF($G658="","",$G658*$S$662/$G$662/Cadastro!$E$33),"")</f>
        <v>114.87884615384615</v>
      </c>
      <c r="I658" s="89">
        <f>IFERROR(IF($D658="","",VLOOKUP($D658,Cadastro!$C$4:$G$7,5,FALSE())),"")</f>
        <v>0.6</v>
      </c>
      <c r="J658" s="90">
        <f t="shared" si="170"/>
        <v>24.124557692307693</v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26</v>
      </c>
      <c r="H659" s="87">
        <f>IFERROR(IF($G659="","",$G659*$S$662/$G$662/Cadastro!$E$33),"")</f>
        <v>119.474</v>
      </c>
      <c r="I659" s="89">
        <f>IFERROR(IF($D659="","",VLOOKUP($D659,Cadastro!$C$4:$G$7,5,FALSE())),"")</f>
        <v>0.6</v>
      </c>
      <c r="J659" s="90">
        <f t="shared" si="170"/>
        <v>25.08954</v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21</v>
      </c>
      <c r="H660" s="87">
        <f>IFERROR(IF($G660="","",$G660*$S$662/$G$662/Cadastro!$E$33),"")</f>
        <v>96.498230769230773</v>
      </c>
      <c r="I660" s="89">
        <f>IFERROR(IF($D660="","",VLOOKUP($D660,Cadastro!$C$4:$G$7,5,FALSE())),"")</f>
        <v>0.6</v>
      </c>
      <c r="J660" s="90">
        <f t="shared" si="170"/>
        <v>20.264628461538461</v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12</v>
      </c>
      <c r="H661" s="91">
        <f>IFERROR(IF($G661="","",$G661*$S$662/$G$662/Cadastro!$E$33),"")</f>
        <v>55.141846153846153</v>
      </c>
      <c r="I661" s="92">
        <f>IFERROR(IF($D661="","",VLOOKUP($D661,Cadastro!$C$4:$G$7,5,FALSE())),"")</f>
        <v>0.6</v>
      </c>
      <c r="J661" s="93">
        <f t="shared" si="170"/>
        <v>11.57978769230769</v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69" t="s">
        <v>264</v>
      </c>
      <c r="B662" s="169"/>
      <c r="C662" s="169"/>
      <c r="D662" s="169"/>
      <c r="E662" s="169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125.4477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265</v>
      </c>
      <c r="S662" s="73">
        <v>597370</v>
      </c>
      <c r="T662" s="98">
        <f>IFERROR(J662,"")</f>
        <v>125.4477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15</v>
      </c>
      <c r="H663" s="100">
        <f>IFERROR(IF($G663="","",$G663*$S$675/$G$675/Cadastro!$E$33),"")</f>
        <v>0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0</v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174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20</v>
      </c>
      <c r="H664" s="87">
        <f>IFERROR(IF($G664="","",$G664*$S$675/$G$675/Cadastro!$E$33),"")</f>
        <v>0</v>
      </c>
      <c r="I664" s="89">
        <f>IFERROR(IF($D664="","",VLOOKUP($D664,Cadastro!$C$4:$G$7,5,FALSE())),"")</f>
        <v>0.6</v>
      </c>
      <c r="J664" s="90">
        <f t="shared" si="174"/>
        <v>0</v>
      </c>
      <c r="K664" s="63">
        <f t="shared" si="175"/>
        <v>84</v>
      </c>
      <c r="L664" s="60"/>
      <c r="M664" s="60"/>
      <c r="N664" s="60"/>
      <c r="O664" s="64"/>
      <c r="P664" s="64"/>
      <c r="Q664" s="65" t="str">
        <f t="shared" ca="1" si="176"/>
        <v/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19</v>
      </c>
      <c r="H665" s="87">
        <f>IFERROR(IF($G665="","",$G665*$S$675/$G$675/Cadastro!$E$33),"")</f>
        <v>0</v>
      </c>
      <c r="I665" s="89">
        <f>IFERROR(IF($D665="","",VLOOKUP($D665,Cadastro!$C$4:$G$7,5,FALSE())),"")</f>
        <v>0.6</v>
      </c>
      <c r="J665" s="90">
        <f t="shared" si="174"/>
        <v>0</v>
      </c>
      <c r="K665" s="68">
        <f t="shared" si="175"/>
        <v>79.8</v>
      </c>
      <c r="L665" s="69"/>
      <c r="M665" s="69"/>
      <c r="N665" s="69"/>
      <c r="O665" s="64"/>
      <c r="P665" s="64"/>
      <c r="Q665" s="70" t="str">
        <f t="shared" ca="1" si="176"/>
        <v/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11</v>
      </c>
      <c r="H666" s="87">
        <f>IFERROR(IF($G666="","",$G666*$S$675/$G$675/Cadastro!$E$33),"")</f>
        <v>0</v>
      </c>
      <c r="I666" s="89">
        <f>IFERROR(IF($D666="","",VLOOKUP($D666,Cadastro!$C$4:$G$7,5,FALSE())),"")</f>
        <v>0.6</v>
      </c>
      <c r="J666" s="90">
        <f t="shared" si="174"/>
        <v>0</v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/>
      <c r="H667" s="87" t="str">
        <f>IFERROR(IF($G667="","",$G667*$S$675/$G$675/Cadastro!$E$33),"")</f>
        <v/>
      </c>
      <c r="I667" s="89">
        <f>IFERROR(IF($D667="","",VLOOKUP($D667,Cadastro!$C$4:$G$7,5,FALSE())),"")</f>
        <v>0.6</v>
      </c>
      <c r="J667" s="90" t="str">
        <f t="shared" si="174"/>
        <v/>
      </c>
      <c r="K667" s="68" t="str">
        <f t="shared" si="175"/>
        <v/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/>
      <c r="H668" s="87" t="str">
        <f>IFERROR(IF($G668="","",$G668*$S$675/$G$675/Cadastro!$E$33),"")</f>
        <v/>
      </c>
      <c r="I668" s="89">
        <f>IFERROR(IF($D668="","",VLOOKUP($D668,Cadastro!$C$4:$G$7,5,FALSE())),"")</f>
        <v>0.6</v>
      </c>
      <c r="J668" s="90" t="str">
        <f t="shared" si="174"/>
        <v/>
      </c>
      <c r="K668" s="63" t="str">
        <f t="shared" si="175"/>
        <v/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/>
      <c r="H669" s="87" t="str">
        <f>IFERROR(IF($G669="","",$G669*$S$675/$G$675/Cadastro!$E$33),"")</f>
        <v/>
      </c>
      <c r="I669" s="89">
        <f>IFERROR(IF($D669="","",VLOOKUP($D669,Cadastro!$C$4:$G$7,5,FALSE())),"")</f>
        <v>0.6</v>
      </c>
      <c r="J669" s="90" t="str">
        <f t="shared" si="174"/>
        <v/>
      </c>
      <c r="K669" s="68" t="str">
        <f t="shared" si="175"/>
        <v/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/>
      <c r="H670" s="87" t="str">
        <f>IFERROR(IF($G670="","",$G670*$S$675/$G$675/Cadastro!$E$33),"")</f>
        <v/>
      </c>
      <c r="I670" s="89">
        <f>IFERROR(IF($D670="","",VLOOKUP($D670,Cadastro!$C$4:$G$7,5,FALSE())),"")</f>
        <v>0.6</v>
      </c>
      <c r="J670" s="90" t="str">
        <f t="shared" si="174"/>
        <v/>
      </c>
      <c r="K670" s="63" t="str">
        <f t="shared" si="175"/>
        <v/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/>
      <c r="H671" s="87" t="str">
        <f>IFERROR(IF($G671="","",$G671*$S$675/$G$675/Cadastro!$E$33),"")</f>
        <v/>
      </c>
      <c r="I671" s="89">
        <f>IFERROR(IF($D671="","",VLOOKUP($D671,Cadastro!$C$4:$G$7,5,FALSE())),"")</f>
        <v>0.6</v>
      </c>
      <c r="J671" s="90" t="str">
        <f t="shared" si="174"/>
        <v/>
      </c>
      <c r="K671" s="68" t="str">
        <f t="shared" si="175"/>
        <v/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/>
      <c r="H672" s="87" t="str">
        <f>IFERROR(IF($G672="","",$G672*$S$675/$G$675/Cadastro!$E$33),"")</f>
        <v/>
      </c>
      <c r="I672" s="89">
        <f>IFERROR(IF($D672="","",VLOOKUP($D672,Cadastro!$C$4:$G$7,5,FALSE())),"")</f>
        <v>0.6</v>
      </c>
      <c r="J672" s="90" t="str">
        <f t="shared" si="174"/>
        <v/>
      </c>
      <c r="K672" s="63" t="str">
        <f t="shared" si="175"/>
        <v/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/>
      <c r="H673" s="87" t="str">
        <f>IFERROR(IF($G673="","",$G673*$S$675/$G$675/Cadastro!$E$33),"")</f>
        <v/>
      </c>
      <c r="I673" s="89">
        <f>IFERROR(IF($D673="","",VLOOKUP($D673,Cadastro!$C$4:$G$7,5,FALSE())),"")</f>
        <v>0.6</v>
      </c>
      <c r="J673" s="90" t="str">
        <f t="shared" si="174"/>
        <v/>
      </c>
      <c r="K673" s="68" t="str">
        <f t="shared" si="175"/>
        <v/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/>
      <c r="H674" s="91" t="str">
        <f>IFERROR(IF($G674="","",$G674*$S$675/$G$675/Cadastro!$E$33),"")</f>
        <v/>
      </c>
      <c r="I674" s="92">
        <f>IFERROR(IF($D674="","",VLOOKUP($D674,Cadastro!$C$4:$G$7,5,FALSE())),"")</f>
        <v>0.6</v>
      </c>
      <c r="J674" s="93" t="str">
        <f t="shared" si="174"/>
        <v/>
      </c>
      <c r="K674" s="63" t="str">
        <f t="shared" si="175"/>
        <v/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69" t="s">
        <v>267</v>
      </c>
      <c r="B675" s="169"/>
      <c r="C675" s="169"/>
      <c r="D675" s="169"/>
      <c r="E675" s="169"/>
      <c r="F675" s="104"/>
      <c r="G675" s="95">
        <f>SUM(G663:G674)</f>
        <v>65</v>
      </c>
      <c r="H675" s="104">
        <f>IFERROR(SUM(H663:H674),"")</f>
        <v>0</v>
      </c>
      <c r="I675" s="105"/>
      <c r="J675" s="106">
        <f>IFERROR(SUM(J663:J674),"")</f>
        <v>0</v>
      </c>
      <c r="K675" s="2">
        <f>SUM(K663:K674)</f>
        <v>273</v>
      </c>
      <c r="L675" s="71"/>
      <c r="M675" s="71"/>
      <c r="N675" s="71"/>
      <c r="O675" s="133"/>
      <c r="P675" s="133"/>
      <c r="Q675" s="72">
        <f ca="1">IFERROR(SUM(Q663:Q674),"")</f>
        <v>1.8055555555555602E-2</v>
      </c>
      <c r="R675" s="2" t="s">
        <v>265</v>
      </c>
      <c r="S675" s="73"/>
      <c r="T675" s="98">
        <f>IFERROR(J675,"")</f>
        <v>0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195</v>
      </c>
      <c r="H676" s="107">
        <f>IFERROR(H662+H675,"")</f>
        <v>597.37</v>
      </c>
      <c r="I676" s="109"/>
      <c r="J676" s="110">
        <f>IFERROR(J662+J675,"")</f>
        <v>125.4477</v>
      </c>
      <c r="K676" s="1">
        <f>K662+K675</f>
        <v>829.4</v>
      </c>
      <c r="L676" s="75"/>
      <c r="M676" s="75"/>
      <c r="N676" s="75"/>
      <c r="O676" s="134"/>
      <c r="P676" s="134"/>
      <c r="Q676" s="76">
        <f ca="1">IFERROR(Q662+Q675,"")</f>
        <v>0.28263888888888883</v>
      </c>
      <c r="R676" s="1" t="s">
        <v>268</v>
      </c>
      <c r="S676" s="81">
        <f>IFERROR(S662+S675,"")</f>
        <v>597370</v>
      </c>
      <c r="T676" s="117">
        <f>IFERROR(J676,"")</f>
        <v>125.4477</v>
      </c>
    </row>
    <row r="677" spans="1:20" ht="15" customHeight="1">
      <c r="A677" s="18">
        <v>46260</v>
      </c>
      <c r="B677" s="67">
        <v>0.33333333333333298</v>
      </c>
      <c r="C677" s="69"/>
      <c r="D677" s="74"/>
      <c r="E677" s="99"/>
      <c r="F677" s="100" t="str">
        <f>IFERROR(IF($D677="","",VLOOKUP($D677,Cadastro!$C$4:$E$7,3,FALSE())),"")</f>
        <v/>
      </c>
      <c r="G677" s="88"/>
      <c r="H677" s="100" t="str">
        <f>IFERROR(IF($G677="","",$G677*$S$689/$G$689/Cadastro!$E$33),"")</f>
        <v/>
      </c>
      <c r="I677" s="101" t="str">
        <f>IFERROR(IF($D677="","",VLOOKUP($D677,Cadastro!$C$4:$G$7,5,FALSE())),"")</f>
        <v/>
      </c>
      <c r="J677" s="102" t="str">
        <f t="shared" ref="J677:J688" si="178">IFERROR(IF($H677="","",$H677*$F677*$I677),"")</f>
        <v/>
      </c>
      <c r="K677" s="68" t="str">
        <f t="shared" ref="K677:K688" si="179">IF(G677="","",IF(E677="PC 17",G677*4.2,IF(E677="PC 19",G677*5,IF(E677="CB",G677*24,""))))</f>
        <v/>
      </c>
      <c r="L677" s="69"/>
      <c r="M677" s="69"/>
      <c r="N677" s="69"/>
      <c r="O677" s="64"/>
      <c r="P677" s="64"/>
      <c r="Q677" s="70" t="str">
        <f t="shared" ref="Q677:Q688" ca="1" si="180">IFERROR(IF(O677="","",IF(P677="",MOD(NOW()-O677,1),IF(P677&gt;=O677,P677-O677,P677+1-O677))),"")</f>
        <v/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/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8"/>
        <v/>
      </c>
      <c r="K678" s="63" t="str">
        <f t="shared" si="179"/>
        <v/>
      </c>
      <c r="L678" s="60"/>
      <c r="M678" s="60"/>
      <c r="N678" s="60"/>
      <c r="O678" s="64"/>
      <c r="P678" s="64"/>
      <c r="Q678" s="65" t="str">
        <f t="shared" ca="1" si="180"/>
        <v/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/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8"/>
        <v/>
      </c>
      <c r="K679" s="68" t="str">
        <f t="shared" si="179"/>
        <v/>
      </c>
      <c r="L679" s="69"/>
      <c r="M679" s="69"/>
      <c r="N679" s="69"/>
      <c r="O679" s="64"/>
      <c r="P679" s="64"/>
      <c r="Q679" s="70" t="str">
        <f t="shared" ca="1" si="180"/>
        <v/>
      </c>
      <c r="R679" s="62"/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/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8"/>
        <v/>
      </c>
      <c r="K680" s="63" t="str">
        <f t="shared" si="179"/>
        <v/>
      </c>
      <c r="L680" s="60"/>
      <c r="M680" s="60"/>
      <c r="N680" s="60"/>
      <c r="O680" s="64"/>
      <c r="P680" s="64"/>
      <c r="Q680" s="65" t="str">
        <f t="shared" ca="1" si="180"/>
        <v/>
      </c>
      <c r="R680" s="62"/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/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8"/>
        <v/>
      </c>
      <c r="K681" s="68" t="str">
        <f t="shared" si="179"/>
        <v/>
      </c>
      <c r="L681" s="69"/>
      <c r="M681" s="69"/>
      <c r="N681" s="69"/>
      <c r="O681" s="64"/>
      <c r="P681" s="64"/>
      <c r="Q681" s="70" t="str">
        <f t="shared" ca="1" si="180"/>
        <v/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/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8"/>
        <v/>
      </c>
      <c r="K682" s="63" t="str">
        <f t="shared" si="179"/>
        <v/>
      </c>
      <c r="L682" s="60"/>
      <c r="M682" s="60"/>
      <c r="N682" s="60"/>
      <c r="O682" s="64"/>
      <c r="P682" s="64"/>
      <c r="Q682" s="65" t="str">
        <f t="shared" ca="1" si="180"/>
        <v/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/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8"/>
        <v/>
      </c>
      <c r="K683" s="68" t="str">
        <f t="shared" si="179"/>
        <v/>
      </c>
      <c r="L683" s="69"/>
      <c r="M683" s="69"/>
      <c r="N683" s="69"/>
      <c r="O683" s="64"/>
      <c r="P683" s="64"/>
      <c r="Q683" s="70" t="str">
        <f t="shared" ca="1" si="180"/>
        <v/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/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8"/>
        <v/>
      </c>
      <c r="K684" s="63" t="str">
        <f t="shared" si="179"/>
        <v/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/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8"/>
        <v/>
      </c>
      <c r="K685" s="68" t="str">
        <f t="shared" si="179"/>
        <v/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/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8"/>
        <v/>
      </c>
      <c r="K686" s="63" t="str">
        <f t="shared" si="179"/>
        <v/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/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8"/>
        <v/>
      </c>
      <c r="K687" s="68" t="str">
        <f t="shared" si="179"/>
        <v/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/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8"/>
        <v/>
      </c>
      <c r="K688" s="63" t="str">
        <f t="shared" si="179"/>
        <v/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69" t="s">
        <v>264</v>
      </c>
      <c r="B689" s="169"/>
      <c r="C689" s="169"/>
      <c r="D689" s="169"/>
      <c r="E689" s="169"/>
      <c r="F689" s="94"/>
      <c r="G689" s="95">
        <f>SUM(G677:G688)</f>
        <v>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133"/>
      <c r="P689" s="133"/>
      <c r="Q689" s="72">
        <f ca="1">IFERROR(SUM(Q677:Q688),"")</f>
        <v>0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62"/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62"/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69" t="s">
        <v>267</v>
      </c>
      <c r="B702" s="169"/>
      <c r="C702" s="169"/>
      <c r="D702" s="169"/>
      <c r="E702" s="16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133"/>
      <c r="P702" s="133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134"/>
      <c r="P703" s="134"/>
      <c r="Q703" s="76">
        <f ca="1">IFERROR(Q689+Q702,"")</f>
        <v>0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62"/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62"/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62"/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69" t="s">
        <v>264</v>
      </c>
      <c r="B716" s="169"/>
      <c r="C716" s="169"/>
      <c r="D716" s="169"/>
      <c r="E716" s="16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133"/>
      <c r="P716" s="133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69" t="s">
        <v>267</v>
      </c>
      <c r="B729" s="169"/>
      <c r="C729" s="169"/>
      <c r="D729" s="169"/>
      <c r="E729" s="16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134"/>
      <c r="P730" s="134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69" t="s">
        <v>264</v>
      </c>
      <c r="B743" s="169"/>
      <c r="C743" s="169"/>
      <c r="D743" s="169"/>
      <c r="E743" s="16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69" t="s">
        <v>267</v>
      </c>
      <c r="B756" s="169"/>
      <c r="C756" s="169"/>
      <c r="D756" s="169"/>
      <c r="E756" s="16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69" t="s">
        <v>264</v>
      </c>
      <c r="B770" s="169"/>
      <c r="C770" s="169"/>
      <c r="D770" s="169"/>
      <c r="E770" s="16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69" t="s">
        <v>267</v>
      </c>
      <c r="B783" s="169"/>
      <c r="C783" s="169"/>
      <c r="D783" s="169"/>
      <c r="E783" s="16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69" t="s">
        <v>264</v>
      </c>
      <c r="B797" s="169"/>
      <c r="C797" s="169"/>
      <c r="D797" s="169"/>
      <c r="E797" s="16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69" t="s">
        <v>267</v>
      </c>
      <c r="B810" s="169"/>
      <c r="C810" s="169"/>
      <c r="D810" s="169"/>
      <c r="E810" s="16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69" t="s">
        <v>264</v>
      </c>
      <c r="B824" s="169"/>
      <c r="C824" s="169"/>
      <c r="D824" s="169"/>
      <c r="E824" s="16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69" t="s">
        <v>267</v>
      </c>
      <c r="B837" s="169"/>
      <c r="C837" s="169"/>
      <c r="D837" s="169"/>
      <c r="E837" s="16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268</v>
      </c>
      <c r="S838" s="81">
        <f>IFERROR(S824+S837,"")</f>
        <v>0</v>
      </c>
      <c r="T838" s="117">
        <f>IFERROR(J838,"")</f>
        <v>0</v>
      </c>
    </row>
  </sheetData>
  <sheetProtection algorithmName="SHA-512" hashValue="WuzzbZ7PHs7OkiHmhHpTd4zdpnrvTWmU7ZAzd1KbnS0LuxqagRoIKZIJYUtIRofhgkr1V1wYmOveAp8Hk97AqQ==" saltValue="P5xaN3BpSI1tabpA6YTJs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F4B32959-3F17-4606-A7DA-57182556EC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2026-08-26T04:03:28Z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