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7" documentId="13_ncr:1_{0A10D8D4-8450-4366-8075-B53B08E6B7EA}" xr6:coauthVersionLast="47" xr6:coauthVersionMax="47" xr10:uidLastSave="{9DCA1B48-6562-4995-8404-80F338617FA0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06" i="6" l="1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<sst xmlns="http://schemas.openxmlformats.org/spreadsheetml/2006/main" count="7095" uniqueCount="353">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</sst>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8.5546875" customWidth="1"/>
    <col min="8" max="8" width="19" hidden="1" customWidth="1"/>
    <col min="9" max="9" width="18.5546875" hidden="1" customWidth="1"/>
    <col min="10" max="10" width="13.33203125" hidden="1" customWidth="1"/>
    <col min="11" max="11" width="22.109375" hidden="1" customWidth="1"/>
    <col min="12" max="12" width="8.5546875" customWidth="1"/>
  </cols>
  <sheetData>
    <row r="1" spans="1:11" ht="31.5" customHeight="1" x14ac:dyDescent="0.3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3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3">
      <c r="M2" s="167"/>
    </row>
    <row r="3" spans="1:18" ht="25.95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3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">
      <c r="M58" s="167"/>
      <c r="N58" s="16"/>
      <c r="O58" s="16"/>
      <c r="P58" s="16" t="s">
        <v>216</v>
      </c>
      <c r="Q58" s="16"/>
      <c r="R58" s="16"/>
    </row>
    <row r="59" spans="1:18" ht="15" customHeight="1" x14ac:dyDescent="0.3">
      <c r="M59" s="167"/>
      <c r="N59" s="17"/>
      <c r="O59" s="17"/>
      <c r="P59" s="17" t="s">
        <v>217</v>
      </c>
      <c r="Q59" s="17"/>
      <c r="R59" s="17"/>
    </row>
    <row r="60" spans="1:18" ht="15" customHeight="1" x14ac:dyDescent="0.3">
      <c r="M60" s="167"/>
      <c r="N60" s="16"/>
      <c r="O60" s="16"/>
      <c r="P60" s="77" t="s">
        <v>112</v>
      </c>
      <c r="Q60" s="16"/>
      <c r="R60" s="16"/>
    </row>
    <row r="61" spans="1:18" ht="15" customHeight="1" x14ac:dyDescent="0.3">
      <c r="M61" s="167"/>
      <c r="N61" s="17"/>
      <c r="O61" s="17"/>
      <c r="P61" s="17" t="s">
        <v>218</v>
      </c>
      <c r="Q61" s="17"/>
      <c r="R61" s="17"/>
    </row>
    <row r="62" spans="1:18" ht="15" customHeight="1" x14ac:dyDescent="0.3">
      <c r="M62" s="167"/>
      <c r="N62" s="16"/>
      <c r="O62" s="16"/>
      <c r="P62" s="16" t="s">
        <v>219</v>
      </c>
      <c r="Q62" s="16"/>
      <c r="R62" s="16"/>
    </row>
    <row r="63" spans="1:18" ht="15" customHeight="1" x14ac:dyDescent="0.3">
      <c r="M63" s="167"/>
      <c r="N63" s="17"/>
      <c r="O63" s="17"/>
      <c r="P63" s="17" t="s">
        <v>220</v>
      </c>
      <c r="Q63" s="17"/>
      <c r="R63" s="17"/>
    </row>
    <row r="64" spans="1:18" ht="15" customHeight="1" x14ac:dyDescent="0.3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3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3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3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3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3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3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3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3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3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3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3">
      <c r="M75" s="167"/>
      <c r="N75" s="17"/>
      <c r="O75" s="17"/>
      <c r="P75" s="17"/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E1" zoomScale="80" zoomScaleNormal="80" workbookViewId="0">
      <pane ySplit="1" topLeftCell="A381" activePane="bottomLeft" state="frozen"/>
      <selection pane="bottomLeft" activeCell="F406" sqref="F406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3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3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3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3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3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3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3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3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3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3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3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3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3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3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 x14ac:dyDescent="0.3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3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3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3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3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3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3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3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3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3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3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3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3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3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3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3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3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3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3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3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3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E1" zoomScale="70" zoomScaleNormal="70" zoomScaleSheetLayoutView="70" workbookViewId="0">
      <pane ySplit="1" topLeftCell="A392" activePane="bottomLeft" state="frozen"/>
      <selection pane="bottomLeft" activeCell="K406" sqref="K40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0.19027696758712409</v>
      </c>
      <c r="R53" s="46" t="s">
        <v>279</v>
      </c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0.32916585647601299</v>
      </c>
      <c r="R54" s="36" t="s">
        <v>244</v>
      </c>
      <c r="S54" s="75">
        <v>352430</v>
      </c>
      <c r="T54" s="117"/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0.4138880786982353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v>1594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3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3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opLeftCell="C1" zoomScale="80" zoomScaleNormal="80" workbookViewId="0">
      <pane ySplit="1" topLeftCell="A392" activePane="bottomLeft" state="frozen"/>
      <selection pane="bottomLeft" activeCell="K406" sqref="K40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32.664062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v>969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K407" sqref="K407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0.68402685184992151</v>
      </c>
      <c r="R385" s="27" t="s">
        <v>351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0.74861018518325473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v>1665</v>
      </c>
      <c r="L406" s="41"/>
      <c r="M406" s="41"/>
      <c r="N406" s="41"/>
      <c r="O406" s="63"/>
      <c r="P406" s="63"/>
      <c r="Q406" s="42">
        <f ca="1">IFERROR(Q392+Q405,"")</f>
        <v>0.80833240740547696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2026-08-16T11:29:18Z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