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93" documentId="8_{C51EB6CB-002B-4D6B-B68F-DDEBDB4460C0}" xr6:coauthVersionLast="47" xr6:coauthVersionMax="47" xr10:uidLastSave="{B20CEF43-E690-4EC1-BF90-C24428644A1A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<sst xmlns="http://schemas.openxmlformats.org/spreadsheetml/2006/main" count="2839" uniqueCount="271">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</sst>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K110" sqref="K1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/>
      <c r="M110" s="30">
        <f t="shared" ref="M110:M121" ca="1" si="25">IFERROR(IF(K110="","",IF(L110="",MOD(NOW()-K110,1),IF(L110&gt;=K110,L110-K110,L110+1-K110))),"")</f>
        <v>0.1581943287019385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0.1581943287019385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0.1581943287019385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17" sqref="F1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0.4783332175866235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0.61722210647551234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0.70194432869773471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103</v>
      </c>
      <c r="G122" s="36">
        <f>SUM(G110:G121)</f>
        <v>432.6</v>
      </c>
      <c r="H122" s="37"/>
      <c r="I122" s="37"/>
      <c r="J122" s="37"/>
      <c r="K122" s="37"/>
      <c r="L122" s="37"/>
      <c r="M122" s="38">
        <f ca="1">IFERROR(SUM(M110:M121),"")</f>
        <v>8.4027777777777812E-2</v>
      </c>
      <c r="N122" s="36" t="s">
        <v>231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103</v>
      </c>
      <c r="G136" s="40">
        <f>G122+G135</f>
        <v>432.6</v>
      </c>
      <c r="H136" s="41"/>
      <c r="I136" s="41"/>
      <c r="J136" s="41"/>
      <c r="K136" s="41"/>
      <c r="L136" s="41"/>
      <c r="M136" s="42">
        <f ca="1">IFERROR(M122+M135,"")</f>
        <v>8.4027777777777812E-2</v>
      </c>
      <c r="N136" s="40" t="s">
        <v>235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F117" sqref="F1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257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257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259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260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261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262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263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0.32138877314719139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0.36861099536941355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0.52486099536941355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50</v>
      </c>
      <c r="G122" s="36">
        <f>SUM(G110:G121)</f>
        <v>210.00000000000003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50</v>
      </c>
      <c r="G136" s="40">
        <f>G122+G135</f>
        <v>210.00000000000003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L113" sqref="L11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257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257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116</v>
      </c>
      <c r="G122" s="36">
        <f>SUM(G110:G121)</f>
        <v>487.20000000000005</v>
      </c>
      <c r="H122" s="37"/>
      <c r="I122" s="37"/>
      <c r="J122" s="37"/>
      <c r="K122" s="61"/>
      <c r="L122" s="61"/>
      <c r="M122" s="38">
        <f ca="1">IFERROR(SUM(M110:M121),"")</f>
        <v>5.694444444444452E-2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116</v>
      </c>
      <c r="G136" s="40">
        <f>G122+G135</f>
        <v>487.20000000000005</v>
      </c>
      <c r="H136" s="41"/>
      <c r="I136" s="41"/>
      <c r="J136" s="41"/>
      <c r="K136" s="63"/>
      <c r="L136" s="63"/>
      <c r="M136" s="42">
        <f ca="1">IFERROR(M122+M135,"")</f>
        <v>5.694444444444452E-2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2026-08-05T18:25:51Z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