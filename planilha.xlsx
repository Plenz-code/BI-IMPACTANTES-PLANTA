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02" documentId="8_{AF585B22-221D-4780-BB9C-493D365A6A02}" xr6:coauthVersionLast="47" xr6:coauthVersionMax="47" xr10:uidLastSave="{8A65AA90-1131-4A54-9E68-1D9C4DA1A50C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<sst xmlns="http://schemas.openxmlformats.org/spreadsheetml/2006/main" count="5332" uniqueCount="304">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</sst>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2" activePane="bottomLeft" state="frozen"/>
      <selection pane="bottomLeft" activeCell="E319" sqref="E3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 t="s">
        <v>232</v>
      </c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169.2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386.7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8" sqref="F3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54</v>
      </c>
      <c r="G324" s="36">
        <f>SUM(G312:G323)</f>
        <v>226.8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145</v>
      </c>
      <c r="G325" s="40">
        <f>G311+G324</f>
        <v>609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20" sqref="F3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76</v>
      </c>
      <c r="G324" s="36">
        <f>SUM(G312:G323)</f>
        <v>319.20000000000005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145</v>
      </c>
      <c r="G325" s="40">
        <f>G311+G324</f>
        <v>613.80000000000007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20" sqref="F3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0.87659178241301561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1.0758973379685712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1.4432584490796823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128</v>
      </c>
      <c r="G324" s="36">
        <f>SUM(G312:G323)</f>
        <v>553.6</v>
      </c>
      <c r="H324" s="37"/>
      <c r="I324" s="37"/>
      <c r="J324" s="37"/>
      <c r="K324" s="61"/>
      <c r="L324" s="61"/>
      <c r="M324" s="38">
        <f ca="1">IFERROR(SUM(M312:M323),"")</f>
        <v>0.10069444444444431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158</v>
      </c>
      <c r="G325" s="40">
        <f>G311+G324</f>
        <v>679.6</v>
      </c>
      <c r="H325" s="41"/>
      <c r="I325" s="41"/>
      <c r="J325" s="41"/>
      <c r="K325" s="63"/>
      <c r="L325" s="63"/>
      <c r="M325" s="42">
        <f ca="1">IFERROR(M311+M324,"")</f>
        <v>0.51388888888888884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2026-07-13T07:01:40Z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