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085" documentId="8_{C51EB6CB-002B-4D6B-B68F-DDEBDB4460C0}" xr6:coauthVersionLast="47" xr6:coauthVersionMax="47" xr10:uidLastSave="{C2287B74-1BA1-4CFD-AE1C-989DA56822A2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<sst xmlns="http://schemas.openxmlformats.org/spreadsheetml/2006/main" count="4296" uniqueCount="301">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</sst>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1392300</v>
      </c>
      <c r="D11" s="11">
        <f>IFERROR('Linha 1'!O217,"")</f>
        <v>601390</v>
      </c>
      <c r="E11" s="11">
        <f>IFERROR('Linha 2'!O217,"")</f>
        <v>92510</v>
      </c>
      <c r="F11" s="11">
        <f>IFERROR('Linha 3'!O217,"")</f>
        <v>790070</v>
      </c>
      <c r="G11" s="12">
        <f t="shared" si="0"/>
        <v>1483970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25428585</v>
      </c>
      <c r="D35" s="13">
        <f>IFERROR(SUM(D4:D34),"")</f>
        <v>7714120</v>
      </c>
      <c r="E35" s="13">
        <f>IFERROR(SUM(E4:E34),"")</f>
        <v>3728860</v>
      </c>
      <c r="F35" s="13">
        <f>IFERROR(SUM(F4:F34),"")</f>
        <v>10241570</v>
      </c>
      <c r="G35" s="13">
        <f>IFERROR(SUM(G4:G34),"")</f>
        <v>21684550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89" activePane="bottomLeft" state="frozen"/>
      <selection pane="bottomLeft" activeCell="F204" sqref="F20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251</v>
      </c>
      <c r="G217" s="40">
        <f>G203+G216</f>
        <v>1255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1392300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84" activePane="bottomLeft" state="frozen"/>
      <selection pane="bottomLeft" activeCell="K204" sqref="K20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0.70791736110550119</v>
      </c>
      <c r="N53" s="46" t="s">
        <v>259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0.84680624999439003</v>
      </c>
      <c r="N54" s="36" t="s">
        <v>235</v>
      </c>
      <c r="O54" s="84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0.93152847221661239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>
        <v>0.82430555555555551</v>
      </c>
      <c r="L204" s="29"/>
      <c r="M204" s="30">
        <f t="shared" ref="M204:M215" ca="1" si="46">IFERROR(IF(K204="","",IF(L204="",MOD(NOW()-K204,1),IF(L204&gt;=K204,L204-K204,L204+1-K204))),"")</f>
        <v>5.139583328855224E-3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5.139583328855224E-3</v>
      </c>
      <c r="N216" s="36" t="s">
        <v>235</v>
      </c>
      <c r="O216" s="77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133</v>
      </c>
      <c r="G217" s="40">
        <f>G203+G216</f>
        <v>558.6</v>
      </c>
      <c r="H217" s="41"/>
      <c r="I217" s="41"/>
      <c r="J217" s="41"/>
      <c r="K217" s="41"/>
      <c r="L217" s="41"/>
      <c r="M217" s="42">
        <f ca="1">IFERROR(M203+M216,"")</f>
        <v>0.14541736110663289</v>
      </c>
      <c r="N217" s="40" t="s">
        <v>239</v>
      </c>
      <c r="O217" s="83">
        <f>IFERROR(O203+O216,"")</f>
        <v>601390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90" zoomScale="50" zoomScaleNormal="50" workbookViewId="0">
      <selection activeCell="J205" sqref="J20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/>
      <c r="G204" s="28" t="str">
        <f t="shared" ref="G204:G215" si="45">IF(F204="","",IF(E204="PC 17",F204*4.2,IF(E204="PC 19",F204*5,IF(E204="CB",F204*24,""))))</f>
        <v/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/>
      <c r="G205" s="34" t="str">
        <f t="shared" si="45"/>
        <v/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/>
      <c r="M205" s="35">
        <f t="shared" ca="1" si="46"/>
        <v>2.1111805552209262E-2</v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2.7361805552209351E-2</v>
      </c>
      <c r="N216" s="36" t="s">
        <v>235</v>
      </c>
      <c r="O216" s="39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15</v>
      </c>
      <c r="G217" s="40">
        <f>G203+G216</f>
        <v>63.000000000000007</v>
      </c>
      <c r="H217" s="41"/>
      <c r="I217" s="41"/>
      <c r="J217" s="41"/>
      <c r="K217" s="41"/>
      <c r="L217" s="41"/>
      <c r="M217" s="42">
        <f ca="1">IFERROR(M203+M216,"")</f>
        <v>0.18916736110776483</v>
      </c>
      <c r="N217" s="40" t="s">
        <v>239</v>
      </c>
      <c r="O217" s="48">
        <f>IFERROR(O203+O216,"")</f>
        <v>92510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86" activePane="bottomLeft" state="frozen"/>
      <selection pane="bottomLeft" activeCell="J204" sqref="J20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/>
      <c r="G204" s="28" t="str">
        <f t="shared" ref="G204:G215" si="45">IF(F204="","",IF(E204="PC 17",F204*4.2,IF(E204="PC 19",F204*5,IF(E204="CB",F204*24,""))))</f>
        <v/>
      </c>
      <c r="H204" s="26" t="s">
        <v>18</v>
      </c>
      <c r="I204" s="33" t="s">
        <v>57</v>
      </c>
      <c r="J204" s="26" t="s">
        <v>34</v>
      </c>
      <c r="K204" s="29">
        <v>0.8125</v>
      </c>
      <c r="L204" s="29"/>
      <c r="M204" s="30">
        <f t="shared" ref="M204:M215" ca="1" si="46">IFERROR(IF(K204="","",IF(L204="",MOD(NOW()-K204,1),IF(L204&gt;=K204,L204-K204,L204+1-K204))),"")</f>
        <v>1.6945138886512723E-2</v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/>
      <c r="G205" s="34" t="str">
        <f t="shared" si="45"/>
        <v/>
      </c>
      <c r="H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/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1.6945138886512723E-2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161</v>
      </c>
      <c r="G217" s="40">
        <f>G203+G216</f>
        <v>676.2</v>
      </c>
      <c r="H217" s="41"/>
      <c r="I217" s="41"/>
      <c r="J217" s="41"/>
      <c r="K217" s="63"/>
      <c r="L217" s="63"/>
      <c r="M217" s="42">
        <f ca="1">IFERROR(M203+M216,"")</f>
        <v>8.5000694442068425E-2</v>
      </c>
      <c r="N217" s="40" t="s">
        <v>239</v>
      </c>
      <c r="O217" s="48">
        <f>IFERROR(O203+O216,"")</f>
        <v>790070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2026-08-08T23:54:56Z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