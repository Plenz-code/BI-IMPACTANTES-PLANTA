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5" documentId="13_ncr:1_{A6DBCFB4-28D9-4249-9038-216934055CA6}" xr6:coauthVersionLast="47" xr6:coauthVersionMax="47" xr10:uidLastSave="{8010912D-B430-4DF0-BA56-9C080229322D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<sst xmlns="http://schemas.openxmlformats.org/spreadsheetml/2006/main" count="8447" uniqueCount="395">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</sst>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9" sqref="F49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270</v>
      </c>
      <c r="G500" s="2">
        <f>SUM(G488:G499)</f>
        <v>1350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270</v>
      </c>
      <c r="G514" s="1">
        <f>G500+G513</f>
        <v>1350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9" sqref="G49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0.63069745370012242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0.76958634258901015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0.85430856481123296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2"/>
        <v>0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127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542.20000000000005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127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542.20000000000005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9" sqref="G49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0"/>
        <v>0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0"/>
        <v>0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65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277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65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277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2" activePane="bottomLeft" state="frozen"/>
      <selection pane="bottomLeft" activeCell="N491" sqref="N49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/>
      <c r="Q491" s="71">
        <f ca="1">IFERROR(IF(O491="","",IF(P491="",MOD(NOW()-O491,1),IF(P491&gt;=O491,P491-O491,P491+1-O491))),"")</f>
        <v>8.363425949937664E-4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2"/>
        <v>0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190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803.6</v>
      </c>
      <c r="L500" s="72"/>
      <c r="M500" s="72"/>
      <c r="N500" s="72"/>
      <c r="O500" s="134"/>
      <c r="P500" s="134"/>
      <c r="Q500" s="73">
        <f ca="1">IFERROR(SUM(Q488:Q499),"")</f>
        <v>8.2780787039437531E-2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190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803.6</v>
      </c>
      <c r="L514" s="76"/>
      <c r="M514" s="76"/>
      <c r="N514" s="76"/>
      <c r="O514" s="135"/>
      <c r="P514" s="135"/>
      <c r="Q514" s="77">
        <f ca="1">IFERROR(Q500+Q513,"")</f>
        <v>8.2780787039437531E-2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2026-08-19T22:03:33Z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