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711" documentId="8_{AF585B22-221D-4780-BB9C-493D365A6A02}" xr6:coauthVersionLast="47" xr6:coauthVersionMax="47" xr10:uidLastSave="{F49DA67C-5E89-4DF0-AEA7-D080B4DE9018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<sst xmlns="http://schemas.openxmlformats.org/spreadsheetml/2006/main" count="3583" uniqueCount="262">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</sst>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19433310</v>
      </c>
      <c r="D35" s="13">
        <f>IFERROR(SUM(D4:D34),"")</f>
        <v>7238930</v>
      </c>
      <c r="E35" s="13">
        <f>IFERROR(SUM(E4:E34),"")</f>
        <v>4638550</v>
      </c>
      <c r="F35" s="13">
        <f>IFERROR(SUM(F4:F34),"")</f>
        <v>8205540</v>
      </c>
      <c r="G35" s="13">
        <f>IFERROR(SUM(G4:G34),"")</f>
        <v>20083020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G80" sqref="G8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70" activePane="bottomLeft" state="frozen"/>
      <selection pane="bottomLeft" activeCell="F198" sqref="F19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>
        <v>2355810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206</v>
      </c>
      <c r="F192" s="27">
        <v>35</v>
      </c>
      <c r="G192" s="28">
        <f t="shared" si="42"/>
        <v>175</v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206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206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206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206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206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180</v>
      </c>
      <c r="G203" s="36">
        <f>SUM(G191:G202)</f>
        <v>900</v>
      </c>
      <c r="H203" s="37"/>
      <c r="I203" s="37"/>
      <c r="J203" s="37"/>
      <c r="K203" s="37"/>
      <c r="L203" s="37"/>
      <c r="M203" s="38">
        <f ca="1">IFERROR(SUM(M191:M202),"")</f>
        <v>1.3194444444444509E-2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180</v>
      </c>
      <c r="G217" s="40">
        <f>G203+G216</f>
        <v>900</v>
      </c>
      <c r="H217" s="41"/>
      <c r="I217" s="41"/>
      <c r="J217" s="41"/>
      <c r="K217" s="41"/>
      <c r="L217" s="41"/>
      <c r="M217" s="42">
        <f ca="1">IFERROR(M203+M216,"")</f>
        <v>1.3194444444444509E-2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76" activePane="bottomLeft" state="frozen"/>
      <selection pane="bottomLeft" activeCell="D198" sqref="D1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209</v>
      </c>
      <c r="O189" s="78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70" activePane="bottomLeft" state="frozen"/>
      <selection pane="bottomLeft" activeCell="F198" sqref="F1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209</v>
      </c>
      <c r="O189" s="39">
        <v>747210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130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163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217</v>
      </c>
      <c r="F193" s="27">
        <v>2</v>
      </c>
      <c r="G193" s="34">
        <f t="shared" si="42"/>
        <v>8.4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217</v>
      </c>
      <c r="F194" s="27">
        <v>0</v>
      </c>
      <c r="G194" s="28">
        <f t="shared" si="42"/>
        <v>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217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217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217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217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50</v>
      </c>
      <c r="G203" s="36">
        <f>SUM(G191:G202)</f>
        <v>210</v>
      </c>
      <c r="H203" s="37"/>
      <c r="I203" s="37"/>
      <c r="J203" s="37"/>
      <c r="K203" s="37"/>
      <c r="L203" s="37"/>
      <c r="M203" s="38">
        <f ca="1">IFERROR(SUM(M191:M202),"")</f>
        <v>0.12152777777777785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50</v>
      </c>
      <c r="G217" s="40">
        <f>G203+G216</f>
        <v>210</v>
      </c>
      <c r="H217" s="41"/>
      <c r="I217" s="41"/>
      <c r="J217" s="41"/>
      <c r="K217" s="41"/>
      <c r="L217" s="41"/>
      <c r="M217" s="42">
        <f ca="1">IFERROR(M203+M216,"")</f>
        <v>0.12152777777777785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70" activePane="bottomLeft" state="frozen"/>
      <selection pane="bottomLeft" activeCell="I192" sqref="I19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249</v>
      </c>
      <c r="L58" s="29">
        <v>0.54097222222222219</v>
      </c>
      <c r="M58" s="30" t="str">
        <f t="shared" ca="1" si="13"/>
        <v/>
      </c>
      <c r="N58" s="27" t="s">
        <v>250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0.3495638888925896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0.54886944444814523</v>
      </c>
      <c r="N135" s="36" t="s">
        <v>209</v>
      </c>
      <c r="O135" s="39">
        <v>729290</v>
      </c>
    </row>
    <row r="136" spans="1:18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0.91623055555925625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154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16</v>
      </c>
      <c r="G178" s="28">
        <f t="shared" si="39"/>
        <v>67.2</v>
      </c>
      <c r="H178" s="26" t="s">
        <v>20</v>
      </c>
      <c r="I178" s="26" t="s">
        <v>133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20</v>
      </c>
      <c r="G179" s="34">
        <f t="shared" si="39"/>
        <v>84</v>
      </c>
      <c r="H179" s="33" t="s">
        <v>20</v>
      </c>
      <c r="I179" s="33" t="s">
        <v>133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209</v>
      </c>
      <c r="O189" s="39">
        <v>973580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135</v>
      </c>
      <c r="J191" s="33" t="s">
        <v>122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217</v>
      </c>
      <c r="F192" s="27">
        <v>15</v>
      </c>
      <c r="G192" s="28">
        <f t="shared" si="42"/>
        <v>63</v>
      </c>
      <c r="H192" s="26" t="s">
        <v>19</v>
      </c>
      <c r="I192" s="26" t="s">
        <v>154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217</v>
      </c>
      <c r="F193" s="27">
        <v>15</v>
      </c>
      <c r="G193" s="34">
        <f t="shared" si="42"/>
        <v>63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217</v>
      </c>
      <c r="F194" s="27">
        <v>15</v>
      </c>
      <c r="G194" s="28">
        <f t="shared" si="42"/>
        <v>63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217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217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217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217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125</v>
      </c>
      <c r="G203" s="36">
        <f>SUM(G191:G202)</f>
        <v>525</v>
      </c>
      <c r="H203" s="37"/>
      <c r="I203" s="37"/>
      <c r="J203" s="37"/>
      <c r="K203" s="61"/>
      <c r="L203" s="61"/>
      <c r="M203" s="38">
        <f ca="1">IFERROR(SUM(M191:M202),"")</f>
        <v>2.5694444444444464E-2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125</v>
      </c>
      <c r="G217" s="40">
        <f>G203+G216</f>
        <v>525</v>
      </c>
      <c r="H217" s="41"/>
      <c r="I217" s="41"/>
      <c r="J217" s="41"/>
      <c r="K217" s="63"/>
      <c r="L217" s="63"/>
      <c r="M217" s="42">
        <f ca="1">IFERROR(M203+M216,"")</f>
        <v>2.5694444444444464E-2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2026-07-08T18:22:55Z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