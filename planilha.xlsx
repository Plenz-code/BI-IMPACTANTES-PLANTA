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185" documentId="8_{AF585B22-221D-4780-BB9C-493D365A6A02}" xr6:coauthVersionLast="47" xr6:coauthVersionMax="47" xr10:uidLastSave="{9CCF935D-8B9F-4761-A4FC-2430FDF74266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<sst xmlns="http://schemas.openxmlformats.org/spreadsheetml/2006/main" count="7135" uniqueCount="342">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</sst>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48323962</v>
      </c>
      <c r="D35" s="13">
        <f>IFERROR(SUM(D4:D34),"")</f>
        <v>17765130</v>
      </c>
      <c r="E35" s="13">
        <f>IFERROR(SUM(E4:E34),"")</f>
        <v>11645430</v>
      </c>
      <c r="F35" s="13">
        <f>IFERROR(SUM(F4:F34),"")</f>
        <v>22037760</v>
      </c>
      <c r="G35" s="13">
        <f>IFERROR(SUM(G4:G34),"")</f>
        <v>51448320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19" sqref="J19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/>
      <c r="L70" s="16"/>
      <c r="M70" s="16"/>
    </row>
    <row r="71" spans="8:13" ht="15" customHeight="1">
      <c r="H71" s="109"/>
      <c r="I71" s="17"/>
      <c r="J71" s="17"/>
      <c r="K71" s="17"/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28" activePane="bottomLeft" state="frozen"/>
      <selection pane="bottomLeft" activeCell="L436" sqref="L43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223</v>
      </c>
      <c r="E2" s="59" t="s">
        <v>224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227</v>
      </c>
      <c r="O27" s="39">
        <v>1183060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227</v>
      </c>
      <c r="O54" s="39">
        <v>959290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227</v>
      </c>
      <c r="O81" s="39">
        <v>878050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227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227</v>
      </c>
      <c r="O108" s="39">
        <v>1700000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230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227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227</v>
      </c>
      <c r="O135" s="39">
        <v>862330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230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227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227</v>
      </c>
      <c r="O162" s="44">
        <v>1546080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230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227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227</v>
      </c>
      <c r="O189" s="39">
        <v>2355810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230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227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227</v>
      </c>
      <c r="O216" s="45">
        <v>2013260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230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227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227</v>
      </c>
      <c r="O243" s="39">
        <v>1545480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230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227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227</v>
      </c>
      <c r="O270" s="39">
        <v>1182690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230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227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237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238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238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238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238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238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238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238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238</v>
      </c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227</v>
      </c>
      <c r="O297" s="39">
        <v>1843460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230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239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240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227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241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241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241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241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227</v>
      </c>
      <c r="O324" s="39">
        <v>1940000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230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242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227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227</v>
      </c>
      <c r="O351" s="39">
        <v>701874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230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243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227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227</v>
      </c>
      <c r="O378" s="39">
        <v>1088710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230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244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245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227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246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227</v>
      </c>
      <c r="O405" s="39">
        <v>1202270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230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247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248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249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249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227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227</v>
      </c>
      <c r="O432" s="39">
        <v>1801910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230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250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179</v>
      </c>
      <c r="G460" s="40">
        <f>G446+G459</f>
        <v>895</v>
      </c>
      <c r="H460" s="41"/>
      <c r="I460" s="41"/>
      <c r="J460" s="41"/>
      <c r="K460" s="41"/>
      <c r="L460" s="41"/>
      <c r="M460" s="42">
        <f ca="1">IFERROR(M446+M459,"")</f>
        <v>0.23750000000000004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59" t="s">
        <v>224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16" activePane="bottomLeft" state="frozen"/>
      <selection pane="bottomLeft" activeCell="J437" sqref="J43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227</v>
      </c>
      <c r="O27" s="78">
        <v>393200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230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227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251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85">
        <v>276360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230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227</v>
      </c>
      <c r="O81" s="54">
        <v>787860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230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227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227</v>
      </c>
      <c r="O108" s="54">
        <v>1087080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230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227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262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227</v>
      </c>
      <c r="O135" s="54">
        <v>794480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230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264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227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227</v>
      </c>
      <c r="O162" s="54">
        <v>882280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230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227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227</v>
      </c>
      <c r="O189" s="78"/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230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227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227</v>
      </c>
      <c r="O216" s="78">
        <v>648410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230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226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227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266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227</v>
      </c>
      <c r="O243" s="78">
        <v>849060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230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273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227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227</v>
      </c>
      <c r="O270" s="78">
        <v>625070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230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274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275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227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227</v>
      </c>
      <c r="O297" s="78">
        <v>761660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230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277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227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278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227</v>
      </c>
      <c r="O324" s="78">
        <v>524410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230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227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281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282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227</v>
      </c>
      <c r="O351" s="78">
        <v>598420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230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227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0.53612939814775018</v>
      </c>
      <c r="N377" s="46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0.69376828703663906</v>
      </c>
      <c r="N378" s="36" t="s">
        <v>227</v>
      </c>
      <c r="O378" s="78">
        <v>511980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0.80349050925886123</v>
      </c>
      <c r="N379" s="40" t="s">
        <v>230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266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283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227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284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242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227</v>
      </c>
      <c r="O405" s="78">
        <v>552440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230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227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0.51460162037255941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228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0.6854349537058928</v>
      </c>
      <c r="N432" s="36" t="s">
        <v>227</v>
      </c>
      <c r="O432" s="78">
        <v>484540</v>
      </c>
    </row>
    <row r="433" spans="1:15" ht="18" customHeight="1">
      <c r="A433" s="94" t="s">
        <v>229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0.83057384259478173</v>
      </c>
      <c r="N433" s="40" t="s">
        <v>230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287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78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198</v>
      </c>
      <c r="G460" s="40">
        <f>G446+G459</f>
        <v>831.60000000000014</v>
      </c>
      <c r="H460" s="41"/>
      <c r="I460" s="41"/>
      <c r="J460" s="41"/>
      <c r="K460" s="41"/>
      <c r="L460" s="41"/>
      <c r="M460" s="42">
        <f ca="1">IFERROR(M446+M459,"")</f>
        <v>6.9444444444444475E-2</v>
      </c>
      <c r="N460" s="40" t="s">
        <v>230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78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78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78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78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78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78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78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78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78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78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28" zoomScale="50" zoomScaleNormal="50" workbookViewId="0">
      <selection activeCell="F446" sqref="F44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5.5703125" style="20" customWidth="1"/>
    <col min="15" max="15" width="14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227</v>
      </c>
      <c r="O27" s="39">
        <v>308500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227</v>
      </c>
      <c r="O54" s="39">
        <v>124290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227</v>
      </c>
      <c r="O81" s="39">
        <v>396340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227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227</v>
      </c>
      <c r="O108" s="39">
        <v>41230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230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227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227</v>
      </c>
      <c r="O135" s="39">
        <v>381250</v>
      </c>
    </row>
    <row r="136" spans="1:15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230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265</v>
      </c>
      <c r="K141" s="29">
        <v>0.71597222222222223</v>
      </c>
      <c r="L141" s="29" t="s">
        <v>295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227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227</v>
      </c>
      <c r="O162" s="39">
        <v>337120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230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297</v>
      </c>
      <c r="N166" s="27" t="s">
        <v>298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227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227</v>
      </c>
      <c r="O189" s="39">
        <v>747210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230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299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227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227</v>
      </c>
      <c r="O216" s="39">
        <v>468430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230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227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227</v>
      </c>
      <c r="O243" s="39">
        <v>575930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230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227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300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301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227</v>
      </c>
      <c r="O270" s="39">
        <v>483510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230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227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303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227</v>
      </c>
      <c r="O297" s="39">
        <v>487980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230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227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305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227</v>
      </c>
      <c r="O324" s="39">
        <v>609460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230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307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226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227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227</v>
      </c>
      <c r="O351" s="39">
        <v>437940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230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226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227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227</v>
      </c>
      <c r="O378" s="39">
        <v>473310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230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227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227</v>
      </c>
      <c r="O405" s="39">
        <v>507450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230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251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227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285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227</v>
      </c>
      <c r="O432" s="39">
        <v>229150</v>
      </c>
    </row>
    <row r="433" spans="1:15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230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308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35</v>
      </c>
      <c r="G460" s="40">
        <f>G446+G459</f>
        <v>147.00000000000003</v>
      </c>
      <c r="H460" s="41"/>
      <c r="I460" s="41"/>
      <c r="J460" s="41"/>
      <c r="K460" s="41"/>
      <c r="L460" s="41"/>
      <c r="M460" s="42">
        <f ca="1">IFERROR(M446+M459,"")</f>
        <v>0.19791666666666674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18" activePane="bottomLeft" state="frozen"/>
      <selection pane="bottomLeft" activeCell="L438" sqref="L43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213</v>
      </c>
      <c r="C1" s="23" t="s">
        <v>12</v>
      </c>
      <c r="D1" s="22" t="s">
        <v>13</v>
      </c>
      <c r="E1" s="22" t="s">
        <v>214</v>
      </c>
      <c r="F1" s="23" t="s">
        <v>215</v>
      </c>
      <c r="G1" s="23" t="s">
        <v>216</v>
      </c>
      <c r="H1" s="23" t="s">
        <v>14</v>
      </c>
      <c r="I1" s="23" t="s">
        <v>15</v>
      </c>
      <c r="J1" s="23" t="s">
        <v>217</v>
      </c>
      <c r="K1" s="23" t="s">
        <v>218</v>
      </c>
      <c r="L1" s="23" t="s">
        <v>219</v>
      </c>
      <c r="M1" s="24" t="s">
        <v>220</v>
      </c>
      <c r="N1" s="23" t="s">
        <v>221</v>
      </c>
      <c r="O1" s="23" t="s">
        <v>222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251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226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228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227</v>
      </c>
      <c r="O27" s="39">
        <v>202230</v>
      </c>
    </row>
    <row r="28" spans="1:15" ht="18" customHeight="1">
      <c r="A28" s="102" t="s">
        <v>229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251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251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226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228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227</v>
      </c>
      <c r="O54" s="39">
        <v>473910</v>
      </c>
    </row>
    <row r="55" spans="1:15" ht="18" customHeight="1">
      <c r="A55" s="102" t="s">
        <v>229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313</v>
      </c>
      <c r="L58" s="29">
        <v>0.54097222222222219</v>
      </c>
      <c r="M58" s="30" t="str">
        <f t="shared" ca="1" si="13"/>
        <v/>
      </c>
      <c r="N58" s="27" t="s">
        <v>314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226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251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251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228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227</v>
      </c>
      <c r="O81" s="39">
        <v>565120</v>
      </c>
    </row>
    <row r="82" spans="1:15" ht="18" customHeight="1">
      <c r="A82" s="102" t="s">
        <v>229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226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227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228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227</v>
      </c>
      <c r="O108" s="39">
        <v>558590</v>
      </c>
    </row>
    <row r="109" spans="1:15" ht="18" customHeight="1">
      <c r="A109" s="102" t="s">
        <v>229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230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226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227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224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224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0.52640717593021691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263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228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0.72571273148577253</v>
      </c>
      <c r="N135" s="36" t="s">
        <v>227</v>
      </c>
      <c r="O135" s="39">
        <v>729290</v>
      </c>
    </row>
    <row r="136" spans="1:18" ht="18" customHeight="1">
      <c r="A136" s="102" t="s">
        <v>229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1.0930738425968836</v>
      </c>
      <c r="N136" s="40" t="s">
        <v>230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224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226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227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228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227</v>
      </c>
      <c r="O162" s="39">
        <v>697320</v>
      </c>
    </row>
    <row r="163" spans="1:15" ht="18" customHeight="1">
      <c r="A163" s="102" t="s">
        <v>229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230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251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251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226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227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251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251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228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227</v>
      </c>
      <c r="O189" s="39">
        <v>973580</v>
      </c>
    </row>
    <row r="190" spans="1:15" ht="18" customHeight="1">
      <c r="A190" s="102" t="s">
        <v>229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230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251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251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251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226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227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228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227</v>
      </c>
      <c r="O216" s="45">
        <v>1060630</v>
      </c>
    </row>
    <row r="217" spans="1:15" ht="18" customHeight="1">
      <c r="A217" s="102" t="s">
        <v>229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230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251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251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226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227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251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228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227</v>
      </c>
      <c r="O243" s="39">
        <v>982340</v>
      </c>
    </row>
    <row r="244" spans="1:15" ht="18" customHeight="1">
      <c r="A244" s="102" t="s">
        <v>229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230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251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251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226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227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251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228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227</v>
      </c>
      <c r="O270" s="39">
        <v>1208450</v>
      </c>
    </row>
    <row r="271" spans="1:15" ht="18" customHeight="1">
      <c r="A271" s="102" t="s">
        <v>229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230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251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226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227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251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228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227</v>
      </c>
      <c r="O297" s="39">
        <v>1049090</v>
      </c>
    </row>
    <row r="298" spans="1:15" ht="18" customHeight="1">
      <c r="A298" s="102" t="s">
        <v>229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230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334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251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226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227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251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260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251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251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228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227</v>
      </c>
      <c r="O324" s="39">
        <v>1063720</v>
      </c>
    </row>
    <row r="325" spans="1:15" ht="18" customHeight="1">
      <c r="A325" s="102" t="s">
        <v>229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230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251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226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227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251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251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336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228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227</v>
      </c>
      <c r="O351" s="39">
        <v>696140</v>
      </c>
    </row>
    <row r="352" spans="1:15" ht="18" customHeight="1">
      <c r="A352" s="102" t="s">
        <v>229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230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251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226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227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228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227</v>
      </c>
      <c r="O378" s="39">
        <v>704750</v>
      </c>
    </row>
    <row r="379" spans="1:15" ht="18" customHeight="1">
      <c r="A379" s="102" t="s">
        <v>229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230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338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325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251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226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227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251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339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251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251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340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228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227</v>
      </c>
      <c r="O405" s="39">
        <v>958130</v>
      </c>
    </row>
    <row r="406" spans="1:15" ht="18" customHeight="1">
      <c r="A406" s="102" t="s">
        <v>229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230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226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227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251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251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251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341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228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227</v>
      </c>
      <c r="O432" s="39">
        <v>605220</v>
      </c>
    </row>
    <row r="433" spans="1:17" ht="18" customHeight="1">
      <c r="A433" s="102" t="s">
        <v>229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230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251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226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228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227</v>
      </c>
      <c r="O459" s="39"/>
    </row>
    <row r="460" spans="1:15" ht="18" customHeight="1">
      <c r="A460" s="102" t="s">
        <v>229</v>
      </c>
      <c r="B460" s="103"/>
      <c r="C460" s="103"/>
      <c r="D460" s="103"/>
      <c r="E460" s="104">
        <f>E446+E459</f>
        <v>0</v>
      </c>
      <c r="F460" s="40">
        <f>F446+F459</f>
        <v>195</v>
      </c>
      <c r="G460" s="40">
        <f>G446+G459</f>
        <v>819</v>
      </c>
      <c r="H460" s="41"/>
      <c r="I460" s="41"/>
      <c r="J460" s="41"/>
      <c r="K460" s="63"/>
      <c r="L460" s="63"/>
      <c r="M460" s="42">
        <f ca="1">IFERROR(M446+M459,"")</f>
        <v>5.0694444444444597E-2</v>
      </c>
      <c r="N460" s="40" t="s">
        <v>230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226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228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227</v>
      </c>
      <c r="O486" s="39"/>
    </row>
    <row r="487" spans="1:15" ht="18" customHeight="1">
      <c r="A487" s="102" t="s">
        <v>229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226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228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227</v>
      </c>
      <c r="O513" s="39"/>
    </row>
    <row r="514" spans="1:15" ht="18" customHeight="1">
      <c r="A514" s="102" t="s">
        <v>229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226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228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227</v>
      </c>
      <c r="O540" s="39"/>
    </row>
    <row r="541" spans="1:15" ht="18" customHeight="1">
      <c r="A541" s="102" t="s">
        <v>229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226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228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227</v>
      </c>
      <c r="O567" s="39"/>
    </row>
    <row r="568" spans="1:15" ht="18" customHeight="1">
      <c r="A568" s="102" t="s">
        <v>229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226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228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227</v>
      </c>
      <c r="O594" s="39"/>
    </row>
    <row r="595" spans="1:15" ht="18" customHeight="1">
      <c r="A595" s="102" t="s">
        <v>229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226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228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227</v>
      </c>
      <c r="O621" s="39"/>
    </row>
    <row r="622" spans="1:15" ht="18" customHeight="1">
      <c r="A622" s="102" t="s">
        <v>229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226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228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227</v>
      </c>
      <c r="O648" s="39"/>
    </row>
    <row r="649" spans="1:15" ht="18" customHeight="1">
      <c r="A649" s="102" t="s">
        <v>229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226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228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227</v>
      </c>
      <c r="O675" s="39"/>
    </row>
    <row r="676" spans="1:15" ht="18" customHeight="1">
      <c r="A676" s="102" t="s">
        <v>229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226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228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227</v>
      </c>
      <c r="O702" s="39"/>
    </row>
    <row r="703" spans="1:15" ht="18" customHeight="1">
      <c r="A703" s="102" t="s">
        <v>229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226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228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227</v>
      </c>
      <c r="O729" s="39"/>
    </row>
    <row r="730" spans="1:15" ht="18" customHeight="1">
      <c r="A730" s="102" t="s">
        <v>229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226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228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227</v>
      </c>
      <c r="O756" s="39"/>
    </row>
    <row r="757" spans="1:15" ht="18" customHeight="1">
      <c r="A757" s="102" t="s">
        <v>229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226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228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227</v>
      </c>
      <c r="O783" s="39"/>
    </row>
    <row r="784" spans="1:15" ht="18" customHeight="1">
      <c r="A784" s="102" t="s">
        <v>229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226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228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227</v>
      </c>
      <c r="O810" s="39"/>
    </row>
    <row r="811" spans="1:15" ht="18" customHeight="1">
      <c r="A811" s="102" t="s">
        <v>229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230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2026-07-17T22:37:33Z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