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04" documentId="8_{AF585B22-221D-4780-BB9C-493D365A6A02}" xr6:coauthVersionLast="47" xr6:coauthVersionMax="47" xr10:uidLastSave="{649EAA14-307C-4A3D-9831-D0DDEF4F5900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<sst xmlns="http://schemas.openxmlformats.org/spreadsheetml/2006/main" count="10360" uniqueCount="395">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</sst>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58" activePane="bottomLeft" state="frozen"/>
      <selection pane="bottomLeft" activeCell="J678" sqref="J6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/>
      <c r="M678" s="30">
        <f t="shared" ca="1" si="151"/>
        <v>5.3818287036847323E-2</v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44</v>
      </c>
      <c r="G689" s="36">
        <f>SUM(G677:G688)</f>
        <v>220</v>
      </c>
      <c r="H689" s="37"/>
      <c r="I689" s="37"/>
      <c r="J689" s="37"/>
      <c r="K689" s="37"/>
      <c r="L689" s="37"/>
      <c r="M689" s="38">
        <f ca="1">IFERROR(SUM(M677:M688),"")</f>
        <v>0.17465162037018062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44</v>
      </c>
      <c r="G703" s="40">
        <f>G689+G702</f>
        <v>220</v>
      </c>
      <c r="H703" s="41"/>
      <c r="I703" s="41"/>
      <c r="J703" s="41"/>
      <c r="K703" s="41"/>
      <c r="L703" s="41"/>
      <c r="M703" s="42">
        <f ca="1">IFERROR(M689+M702,"")</f>
        <v>0.17465162037018062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9" activePane="bottomLeft" state="frozen"/>
      <selection pane="bottomLeft" activeCell="E688" sqref="E6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0.28645717592007713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0.44409606480896602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0.55381828703118818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0.26492939814488636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0.43576273147821976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0.58090162036710868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15</v>
      </c>
      <c r="G681" s="34">
        <f t="shared" si="150"/>
        <v>63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53</v>
      </c>
      <c r="G689" s="36">
        <f>SUM(G677:G688)</f>
        <v>222.60000000000002</v>
      </c>
      <c r="H689" s="37"/>
      <c r="I689" s="37"/>
      <c r="J689" s="37"/>
      <c r="K689" s="37"/>
      <c r="L689" s="37"/>
      <c r="M689" s="38">
        <f ca="1">IFERROR(SUM(M677:M688),"")</f>
        <v>9.5833333333333326E-2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53</v>
      </c>
      <c r="G703" s="40">
        <f>G689+G702</f>
        <v>222.60000000000002</v>
      </c>
      <c r="H703" s="41"/>
      <c r="I703" s="41"/>
      <c r="J703" s="41"/>
      <c r="K703" s="41"/>
      <c r="L703" s="41"/>
      <c r="M703" s="42">
        <f ca="1">IFERROR(M689+M702,"")</f>
        <v>9.5833333333333326E-2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61" zoomScale="50" zoomScaleNormal="50" workbookViewId="0">
      <selection activeCell="J678" sqref="J6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278</v>
      </c>
      <c r="K141" s="29">
        <v>0.71597222222222223</v>
      </c>
      <c r="L141" s="29" t="s">
        <v>323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325</v>
      </c>
      <c r="N166" s="27" t="s">
        <v>326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48</v>
      </c>
      <c r="G689" s="36">
        <f>SUM(G677:G688)</f>
        <v>201.60000000000002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48</v>
      </c>
      <c r="G703" s="40">
        <f>G689+G702</f>
        <v>201.60000000000002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72" activePane="bottomLeft" state="frozen"/>
      <selection pane="bottomLeft" activeCell="K680" sqref="K68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351</v>
      </c>
      <c r="L58" s="29">
        <v>0.54097222222222219</v>
      </c>
      <c r="M58" s="30" t="str">
        <f t="shared" ca="1" si="13"/>
        <v/>
      </c>
      <c r="N58" s="27" t="s">
        <v>352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0.27673495370254386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0.47604050925809949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0.84340162036921051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391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392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393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394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28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>IF(F682="","",IF(#REF!="PC 17",F682*4.2,IF(#REF!="PC 19",F682*5,"")))</f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79</v>
      </c>
      <c r="G689" s="36">
        <f>SUM(G677:G688)</f>
        <v>331.8</v>
      </c>
      <c r="H689" s="37"/>
      <c r="I689" s="37"/>
      <c r="J689" s="37"/>
      <c r="K689" s="61"/>
      <c r="L689" s="61"/>
      <c r="M689" s="38">
        <f ca="1">IFERROR(SUM(M677:M688),"")</f>
        <v>4.6527777777777835E-2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79</v>
      </c>
      <c r="G703" s="40">
        <f>G689+G702</f>
        <v>331.8</v>
      </c>
      <c r="H703" s="41"/>
      <c r="I703" s="41"/>
      <c r="J703" s="41"/>
      <c r="K703" s="63"/>
      <c r="L703" s="63"/>
      <c r="M703" s="42">
        <f ca="1">IFERROR(M689+M702,"")</f>
        <v>4.6527777777777835E-2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2026-07-26T16:39:30Z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