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468" documentId="8_{AF585B22-221D-4780-BB9C-493D365A6A02}" xr6:coauthVersionLast="47" xr6:coauthVersionMax="47" xr10:uidLastSave="{7387AB59-BDCB-4C72-8FE7-A01990FCC462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<sst xmlns="http://schemas.openxmlformats.org/spreadsheetml/2006/main" count="4177" uniqueCount="279">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</sst>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3" sqref="G13:G34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0" activePane="bottomLeft" state="frozen"/>
      <selection pane="bottomLeft" activeCell="J231" sqref="J23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/>
      <c r="M231" s="35">
        <f t="shared" ref="M231:M242" ca="1" si="52">IFERROR(IF(K231="","",IF(L231="",MOD(NOW()-K231,1),IF(L231&gt;=K231,L231-K231,L231+1-K231))),"")</f>
        <v>1.9790972226473968E-2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144</v>
      </c>
      <c r="G243" s="36">
        <f>SUM(G231:G242)</f>
        <v>720</v>
      </c>
      <c r="H243" s="37"/>
      <c r="I243" s="37"/>
      <c r="J243" s="37"/>
      <c r="K243" s="37"/>
      <c r="L243" s="37"/>
      <c r="M243" s="38">
        <f ca="1">IFERROR(SUM(M231:M242),"")</f>
        <v>1.9790972226473968E-2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382</v>
      </c>
      <c r="G244" s="40">
        <f>G230+G243</f>
        <v>1910</v>
      </c>
      <c r="H244" s="41"/>
      <c r="I244" s="41"/>
      <c r="J244" s="41"/>
      <c r="K244" s="41"/>
      <c r="L244" s="41"/>
      <c r="M244" s="42">
        <f ca="1">IFERROR(M230+M243,"")</f>
        <v>9.8263194448696189E-2</v>
      </c>
      <c r="N244" s="40" t="s">
        <v>216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09" activePane="bottomLeft" state="frozen"/>
      <selection pane="bottomLeft" activeCell="F238" sqref="F23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21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75</v>
      </c>
      <c r="G243" s="36">
        <f>SUM(G231:G242)</f>
        <v>315.00000000000006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213</v>
      </c>
      <c r="O243" s="78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190</v>
      </c>
      <c r="G244" s="40">
        <f>G230+G243</f>
        <v>798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216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F238" sqref="F23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29.400000000000002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4</v>
      </c>
      <c r="G234" s="28">
        <f t="shared" si="51"/>
        <v>16.8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78</v>
      </c>
      <c r="G243" s="36">
        <f>SUM(G231:G242)</f>
        <v>327.60000000000002</v>
      </c>
      <c r="H243" s="37"/>
      <c r="I243" s="37"/>
      <c r="J243" s="37"/>
      <c r="K243" s="37"/>
      <c r="L243" s="37"/>
      <c r="M243" s="38">
        <f ca="1">IFERROR(SUM(M231:M242),"")</f>
        <v>4.2361111111111113E-2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180</v>
      </c>
      <c r="G244" s="40">
        <f>G230+G243</f>
        <v>756</v>
      </c>
      <c r="H244" s="41"/>
      <c r="I244" s="41"/>
      <c r="J244" s="41"/>
      <c r="K244" s="41"/>
      <c r="L244" s="41"/>
      <c r="M244" s="42">
        <f ca="1">IFERROR(M230+M243,"")</f>
        <v>7.7777777777777876E-2</v>
      </c>
      <c r="N244" s="40" t="s">
        <v>216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10" activePane="bottomLeft" state="frozen"/>
      <selection pane="bottomLeft" activeCell="F238" sqref="F23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0.83645763889217051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1.0357631944477261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1.4031243055588372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88.2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27</v>
      </c>
      <c r="G236" s="28">
        <f t="shared" si="51"/>
        <v>113.4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103</v>
      </c>
      <c r="G243" s="36">
        <f>SUM(G231:G242)</f>
        <v>432.59999999999997</v>
      </c>
      <c r="H243" s="37"/>
      <c r="I243" s="37"/>
      <c r="J243" s="37"/>
      <c r="K243" s="61"/>
      <c r="L243" s="61"/>
      <c r="M243" s="38">
        <f ca="1">IFERROR(SUM(M231:M242),"")</f>
        <v>0.13611111111111102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221</v>
      </c>
      <c r="G244" s="40">
        <f>G230+G243</f>
        <v>928.2</v>
      </c>
      <c r="H244" s="41"/>
      <c r="I244" s="41"/>
      <c r="J244" s="41"/>
      <c r="K244" s="63"/>
      <c r="L244" s="63"/>
      <c r="M244" s="42">
        <f ca="1">IFERROR(M230+M243,"")</f>
        <v>0.33263888888888893</v>
      </c>
      <c r="N244" s="40" t="s">
        <v>216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2026-07-10T06:03:56Z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