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727" documentId="13_ncr:1_{0A10D8D4-8450-4366-8075-B53B08E6B7EA}" xr6:coauthVersionLast="47" xr6:coauthVersionMax="47" xr10:uidLastSave="{AFBF389E-31C3-40FC-8A57-F661B9D98C96}"/>
  <bookViews>
    <workbookView xWindow="-28920" yWindow="-60" windowWidth="29040" windowHeight="1572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4" i="6"/>
  <c r="J394" i="6" s="1"/>
  <c r="H395" i="6"/>
  <c r="J395" i="6" s="1"/>
  <c r="H396" i="6"/>
  <c r="J396" i="6" s="1"/>
  <c r="H397" i="6"/>
  <c r="J397" i="6" s="1"/>
  <c r="H398" i="6"/>
  <c r="J398" i="6" s="1"/>
  <c r="H399" i="6"/>
  <c r="J399" i="6" s="1"/>
  <c r="H400" i="6"/>
  <c r="J400" i="6" s="1"/>
  <c r="H401" i="6"/>
  <c r="J401" i="6" s="1"/>
  <c r="H402" i="6"/>
  <c r="J402" i="6" s="1"/>
  <c r="H403" i="6"/>
  <c r="J403" i="6" s="1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4" i="5"/>
  <c r="J394" i="5" s="1"/>
  <c r="H395" i="5"/>
  <c r="J395" i="5" s="1"/>
  <c r="H396" i="5"/>
  <c r="J396" i="5" s="1"/>
  <c r="H397" i="5"/>
  <c r="J397" i="5" s="1"/>
  <c r="H398" i="5"/>
  <c r="J398" i="5" s="1"/>
  <c r="H399" i="5"/>
  <c r="J399" i="5" s="1"/>
  <c r="H400" i="5"/>
  <c r="J400" i="5" s="1"/>
  <c r="H401" i="5"/>
  <c r="J401" i="5" s="1"/>
  <c r="H402" i="5"/>
  <c r="J402" i="5" s="1"/>
  <c r="H403" i="5"/>
  <c r="J403" i="5" s="1"/>
  <c r="H404" i="5"/>
  <c r="J40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4" i="4"/>
  <c r="J394" i="4" s="1"/>
  <c r="H395" i="4"/>
  <c r="J395" i="4" s="1"/>
  <c r="H396" i="4"/>
  <c r="J396" i="4" s="1"/>
  <c r="H397" i="4"/>
  <c r="J397" i="4" s="1"/>
  <c r="H398" i="4"/>
  <c r="J398" i="4" s="1"/>
  <c r="H399" i="4"/>
  <c r="J399" i="4" s="1"/>
  <c r="H400" i="4"/>
  <c r="J400" i="4" s="1"/>
  <c r="H401" i="4"/>
  <c r="J401" i="4" s="1"/>
  <c r="H402" i="4"/>
  <c r="J402" i="4" s="1"/>
  <c r="H403" i="4"/>
  <c r="J403" i="4" s="1"/>
  <c r="H404" i="4"/>
  <c r="J40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H393" i="6" s="1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H393" i="5" s="1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H393" i="4" s="1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393" i="6" l="1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<sst xmlns="http://schemas.openxmlformats.org/spreadsheetml/2006/main" count="6798" uniqueCount="351">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</sst>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76" activePane="bottomLeft" state="frozen"/>
      <selection pane="bottomLeft" activeCell="F394" sqref="F394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243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/>
      <c r="F393" s="27">
        <v>45</v>
      </c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69">
        <f>SUM(E393:E404)</f>
        <v>0</v>
      </c>
      <c r="F405" s="36">
        <f>SUM(F393:F404)</f>
        <v>45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0">
        <f>E392+E405</f>
        <v>0</v>
      </c>
      <c r="F406" s="40">
        <f>F392+F405</f>
        <v>325</v>
      </c>
      <c r="G406" s="40">
        <f>G392+G405</f>
        <v>1415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4" t="s">
        <v>247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75" activePane="bottomLeft" state="frozen"/>
      <selection pane="bottomLeft" activeCell="G394" sqref="G39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0.70851886573655065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0.84740775462543949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0.93212997684766186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243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/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186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697.20000000000016</v>
      </c>
      <c r="L406" s="41"/>
      <c r="M406" s="41"/>
      <c r="N406" s="41"/>
      <c r="O406" s="41"/>
      <c r="P406" s="41"/>
      <c r="Q406" s="42">
        <f ca="1">IFERROR(Q392+Q405,"")</f>
        <v>7.2222222222222188E-2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69" activePane="bottomLeft" state="frozen"/>
      <selection pane="bottomLeft" activeCell="G394" sqref="G39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304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305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306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307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308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310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311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312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313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314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316</v>
      </c>
      <c r="Q222" s="30" t="str">
        <f t="shared" ca="1" si="49"/>
        <v/>
      </c>
      <c r="R222" s="27" t="s">
        <v>317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318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319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320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/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0</v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9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101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357</v>
      </c>
      <c r="L406" s="41"/>
      <c r="M406" s="41"/>
      <c r="N406" s="41"/>
      <c r="O406" s="41"/>
      <c r="P406" s="41"/>
      <c r="Q406" s="42">
        <f ca="1">IFERROR(Q392+Q405,"")</f>
        <v>7.3611111111111183E-2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66" activePane="bottomLeft" state="frozen"/>
      <selection pane="bottomLeft" activeCell="G394" sqref="G39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338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0.20226886573800584</v>
      </c>
      <c r="R385" s="27" t="s">
        <v>350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0.26685219907133911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>
        <v>13</v>
      </c>
      <c r="H393" s="140">
        <f>IFERROR(IF($G393="","",$G393*$S$405/$G$405/Cadastro!$E$33),"")</f>
        <v>0</v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13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153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588</v>
      </c>
      <c r="L406" s="41"/>
      <c r="M406" s="41"/>
      <c r="N406" s="41"/>
      <c r="O406" s="63"/>
      <c r="P406" s="63"/>
      <c r="Q406" s="42">
        <f ca="1">IFERROR(Q392+Q405,"")</f>
        <v>0.26685219907133911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2026-08-15T23:55:17Z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