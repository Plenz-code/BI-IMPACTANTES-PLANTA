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423" documentId="8_{AF585B22-221D-4780-BB9C-493D365A6A02}" xr6:coauthVersionLast="47" xr6:coauthVersionMax="47" xr10:uidLastSave="{264D8242-2678-4649-AD28-352EEC411B26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<sst xmlns="http://schemas.openxmlformats.org/spreadsheetml/2006/main" count="5732" uniqueCount="311">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</sst>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30" activePane="bottomLeft" state="frozen"/>
      <selection pane="bottomLeft" activeCell="J342" sqref="J34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0</v>
      </c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>
        <v>11</v>
      </c>
      <c r="G340" s="28" t="str">
        <f t="shared" si="75"/>
        <v/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>
        <v>0</v>
      </c>
      <c r="G341" s="34" t="str">
        <f t="shared" si="75"/>
        <v/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>
        <v>0</v>
      </c>
      <c r="G342" s="28" t="str">
        <f t="shared" si="75"/>
        <v/>
      </c>
      <c r="H342" s="26" t="s">
        <v>18</v>
      </c>
      <c r="I342" s="26" t="s">
        <v>23</v>
      </c>
      <c r="J342" s="26"/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>
        <v>0</v>
      </c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>
        <v>10</v>
      </c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>
        <v>22</v>
      </c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>
        <v>7</v>
      </c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>
        <v>0</v>
      </c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>
        <v>17</v>
      </c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67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372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20" activePane="bottomLeft" state="frozen"/>
      <selection pane="bottomLeft" activeCell="F349" sqref="F34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10</v>
      </c>
      <c r="G342" s="28">
        <f t="shared" si="75"/>
        <v>42</v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115</v>
      </c>
      <c r="G351" s="36">
        <f>SUM(G339:G350)</f>
        <v>483</v>
      </c>
      <c r="H351" s="37"/>
      <c r="I351" s="37"/>
      <c r="J351" s="37"/>
      <c r="K351" s="37"/>
      <c r="L351" s="37"/>
      <c r="M351" s="38">
        <f ca="1">IFERROR(SUM(M339:M350),"")</f>
        <v>2.2222222222222199E-2</v>
      </c>
      <c r="N351" s="36" t="s">
        <v>219</v>
      </c>
      <c r="O351" s="78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312</v>
      </c>
      <c r="G352" s="40">
        <f>G338+G351</f>
        <v>1320</v>
      </c>
      <c r="H352" s="41"/>
      <c r="I352" s="41"/>
      <c r="J352" s="41"/>
      <c r="K352" s="41"/>
      <c r="L352" s="41"/>
      <c r="M352" s="42">
        <f ca="1">IFERROR(M338+M351,"")</f>
        <v>9.1666666666666674E-2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23" zoomScale="50" zoomScaleNormal="50" workbookViewId="0">
      <selection activeCell="I341" sqref="I3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273</v>
      </c>
      <c r="N166" s="27" t="s">
        <v>274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9</v>
      </c>
      <c r="G341" s="34">
        <f t="shared" si="75"/>
        <v>37.800000000000004</v>
      </c>
      <c r="H341" s="33"/>
      <c r="I341" s="33" t="s">
        <v>47</v>
      </c>
      <c r="J341" s="33"/>
      <c r="K341" s="29">
        <v>0.23333333333333334</v>
      </c>
      <c r="L341" s="29"/>
      <c r="M341" s="35">
        <f t="shared" ca="1" si="76"/>
        <v>8.8369212971883826E-3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93</v>
      </c>
      <c r="G351" s="36">
        <f>SUM(G339:G350)</f>
        <v>390.6</v>
      </c>
      <c r="H351" s="37"/>
      <c r="I351" s="37"/>
      <c r="J351" s="37"/>
      <c r="K351" s="37"/>
      <c r="L351" s="37"/>
      <c r="M351" s="38">
        <f ca="1">IFERROR(SUM(M339:M350),"")</f>
        <v>2.3420254630521664E-2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133</v>
      </c>
      <c r="G352" s="40">
        <f>G338+G351</f>
        <v>558.6</v>
      </c>
      <c r="H352" s="41"/>
      <c r="I352" s="41"/>
      <c r="J352" s="41"/>
      <c r="K352" s="41"/>
      <c r="L352" s="41"/>
      <c r="M352" s="42">
        <f ca="1">IFERROR(M338+M351,"")</f>
        <v>0.25744803240829955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15" activePane="bottomLeft" state="frozen"/>
      <selection pane="bottomLeft" activeCell="L347" sqref="L34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288</v>
      </c>
      <c r="L58" s="29">
        <v>0.54097222222222219</v>
      </c>
      <c r="M58" s="30" t="str">
        <f t="shared" ca="1" si="13"/>
        <v/>
      </c>
      <c r="N58" s="27" t="s">
        <v>289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0.99286469907383434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1.19217025462939</v>
      </c>
      <c r="N135" s="36" t="s">
        <v>219</v>
      </c>
      <c r="O135" s="39">
        <v>729290</v>
      </c>
    </row>
    <row r="136" spans="1:18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1.559531365740501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309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269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5" t="s">
        <v>218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15</v>
      </c>
      <c r="G347" s="34">
        <f t="shared" si="75"/>
        <v>63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145</v>
      </c>
      <c r="G351" s="36">
        <f>SUM(G339:G350)</f>
        <v>609</v>
      </c>
      <c r="H351" s="37"/>
      <c r="I351" s="37"/>
      <c r="J351" s="37"/>
      <c r="K351" s="61"/>
      <c r="L351" s="61"/>
      <c r="M351" s="38">
        <f ca="1">IFERROR(SUM(M339:M350),"")</f>
        <v>7.3611111111111072E-2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328</v>
      </c>
      <c r="G352" s="40">
        <f>G338+G351</f>
        <v>1389.6</v>
      </c>
      <c r="H352" s="41"/>
      <c r="I352" s="41"/>
      <c r="J352" s="41"/>
      <c r="K352" s="63"/>
      <c r="L352" s="63"/>
      <c r="M352" s="42">
        <f ca="1">IFERROR(M338+M351,"")</f>
        <v>0.1826388888888888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2026-07-14T09:49:15Z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