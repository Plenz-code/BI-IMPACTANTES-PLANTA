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8523" documentId="8_{AF585B22-221D-4780-BB9C-493D365A6A02}" xr6:coauthVersionLast="47" xr6:coauthVersionMax="47" xr10:uidLastSave="{F49C990A-445F-48C4-A248-5903E7227E42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12" i="4" l="1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<sst xmlns="http://schemas.openxmlformats.org/spreadsheetml/2006/main" count="7479" uniqueCount="347">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</sst>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0" sqref="G20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52240442</v>
      </c>
      <c r="D35" s="13">
        <f>IFERROR(SUM(D4:D34),"")</f>
        <v>19245750</v>
      </c>
      <c r="E35" s="13">
        <f>IFERROR(SUM(E4:E34),"")</f>
        <v>12246740</v>
      </c>
      <c r="F35" s="13">
        <f>IFERROR(SUM(F4:F34),"")</f>
        <v>23531460</v>
      </c>
      <c r="G35" s="13">
        <f>IFERROR(SUM(G4:G34),"")</f>
        <v>55023950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8" zoomScale="85" zoomScaleNormal="85" workbookViewId="0">
      <selection activeCell="K72" sqref="K72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/>
    </row>
    <row r="56" spans="1:13" ht="15" customHeight="1">
      <c r="H56" s="109"/>
      <c r="I56" s="16"/>
      <c r="J56" s="16"/>
      <c r="K56" s="16" t="s">
        <v>201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202</v>
      </c>
      <c r="L58" s="16"/>
      <c r="M58" s="16"/>
    </row>
    <row r="59" spans="1:13" ht="15" customHeight="1">
      <c r="H59" s="109"/>
      <c r="I59" s="17"/>
      <c r="J59" s="17"/>
      <c r="K59" s="17" t="s">
        <v>203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204</v>
      </c>
      <c r="L61" s="17"/>
      <c r="M61" s="17"/>
    </row>
    <row r="62" spans="1:13" ht="15" customHeight="1">
      <c r="H62" s="109"/>
      <c r="I62" s="16"/>
      <c r="J62" s="16"/>
      <c r="K62" s="16" t="s">
        <v>205</v>
      </c>
      <c r="L62" s="16"/>
      <c r="M62" s="16"/>
    </row>
    <row r="63" spans="1:13" ht="15" customHeight="1">
      <c r="H63" s="109"/>
      <c r="I63" s="17"/>
      <c r="J63" s="17"/>
      <c r="K63" s="17" t="s">
        <v>206</v>
      </c>
      <c r="L63" s="17"/>
      <c r="M63" s="17"/>
    </row>
    <row r="64" spans="1:13" ht="15" customHeight="1">
      <c r="H64" s="109"/>
      <c r="I64" s="16"/>
      <c r="J64" s="16"/>
      <c r="K64" s="16" t="s">
        <v>207</v>
      </c>
      <c r="L64" s="16"/>
      <c r="M64" s="16"/>
    </row>
    <row r="65" spans="8:13" ht="15" customHeight="1">
      <c r="H65" s="109"/>
      <c r="I65" s="17"/>
      <c r="J65" s="17"/>
      <c r="K65" s="17" t="s">
        <v>208</v>
      </c>
      <c r="L65" s="17"/>
      <c r="M65" s="17"/>
    </row>
    <row r="66" spans="8:13" ht="15" customHeight="1">
      <c r="H66" s="109"/>
      <c r="I66" s="16"/>
      <c r="J66" s="16"/>
      <c r="K66" s="16" t="s">
        <v>209</v>
      </c>
      <c r="L66" s="16"/>
      <c r="M66" s="16"/>
    </row>
    <row r="67" spans="8:13" ht="15" customHeight="1">
      <c r="H67" s="109"/>
      <c r="I67" s="17"/>
      <c r="J67" s="17"/>
      <c r="K67" s="17" t="s">
        <v>210</v>
      </c>
      <c r="L67" s="17"/>
      <c r="M67" s="17"/>
    </row>
    <row r="68" spans="8:13" ht="15" customHeight="1">
      <c r="H68" s="109"/>
      <c r="I68" s="16"/>
      <c r="J68" s="16"/>
      <c r="K68" s="16" t="s">
        <v>211</v>
      </c>
      <c r="L68" s="16"/>
      <c r="M68" s="16"/>
    </row>
    <row r="69" spans="8:13" ht="15" customHeight="1">
      <c r="H69" s="109"/>
      <c r="I69" s="17"/>
      <c r="J69" s="17"/>
      <c r="K69" s="17" t="s">
        <v>212</v>
      </c>
      <c r="L69" s="17"/>
      <c r="M69" s="17"/>
    </row>
    <row r="70" spans="8:13" ht="15" customHeight="1">
      <c r="H70" s="109"/>
      <c r="I70" s="16"/>
      <c r="J70" s="16"/>
      <c r="K70" s="16" t="s">
        <v>213</v>
      </c>
      <c r="L70" s="16"/>
      <c r="M70" s="16"/>
    </row>
    <row r="71" spans="8:13" ht="15" customHeight="1">
      <c r="H71" s="109"/>
      <c r="I71" s="17"/>
      <c r="J71" s="17"/>
      <c r="K71" s="17" t="s">
        <v>214</v>
      </c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48" activePane="bottomLeft" state="frozen"/>
      <selection pane="bottomLeft" activeCell="G469" sqref="G469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29.85546875" style="20" customWidth="1"/>
    <col min="15" max="15" width="14" customWidth="1"/>
  </cols>
  <sheetData>
    <row r="1" spans="1:15" ht="37.5" customHeight="1">
      <c r="A1" s="68" t="s">
        <v>7</v>
      </c>
      <c r="B1" s="23" t="s">
        <v>215</v>
      </c>
      <c r="C1" s="23" t="s">
        <v>12</v>
      </c>
      <c r="D1" s="22" t="s">
        <v>13</v>
      </c>
      <c r="E1" s="22" t="s">
        <v>216</v>
      </c>
      <c r="F1" s="23" t="s">
        <v>217</v>
      </c>
      <c r="G1" s="23" t="s">
        <v>218</v>
      </c>
      <c r="H1" s="23" t="s">
        <v>14</v>
      </c>
      <c r="I1" s="23" t="s">
        <v>15</v>
      </c>
      <c r="J1" s="23" t="s">
        <v>219</v>
      </c>
      <c r="K1" s="23" t="s">
        <v>220</v>
      </c>
      <c r="L1" s="23" t="s">
        <v>221</v>
      </c>
      <c r="M1" s="24" t="s">
        <v>222</v>
      </c>
      <c r="N1" s="23" t="s">
        <v>223</v>
      </c>
      <c r="O1" s="23" t="s">
        <v>224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225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230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229</v>
      </c>
      <c r="O27" s="39">
        <v>1183060</v>
      </c>
    </row>
    <row r="28" spans="1:15" ht="18" customHeight="1">
      <c r="A28" s="102" t="s">
        <v>231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230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229</v>
      </c>
      <c r="O54" s="39">
        <v>959290</v>
      </c>
    </row>
    <row r="55" spans="1:15" ht="18" customHeight="1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230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229</v>
      </c>
      <c r="O81" s="39">
        <v>878050</v>
      </c>
    </row>
    <row r="82" spans="1:15" ht="18" customHeight="1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230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>
        <v>1700000</v>
      </c>
    </row>
    <row r="109" spans="1:15" ht="18" customHeight="1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230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229</v>
      </c>
      <c r="O135" s="39">
        <v>862330</v>
      </c>
    </row>
    <row r="136" spans="1:15" ht="18" customHeight="1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230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229</v>
      </c>
      <c r="O162" s="44">
        <v>1546080</v>
      </c>
    </row>
    <row r="163" spans="1:15" ht="18" customHeight="1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230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>
        <v>2355810</v>
      </c>
    </row>
    <row r="190" spans="1:15" ht="18" customHeight="1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230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229</v>
      </c>
      <c r="O216" s="45">
        <v>2013260</v>
      </c>
    </row>
    <row r="217" spans="1:15" ht="18" customHeight="1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230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229</v>
      </c>
      <c r="O243" s="39">
        <v>1545480</v>
      </c>
    </row>
    <row r="244" spans="1:15" ht="18" customHeight="1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230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>
        <v>1182690</v>
      </c>
    </row>
    <row r="271" spans="1:15" ht="18" customHeight="1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240</v>
      </c>
      <c r="O296" s="47"/>
    </row>
    <row r="297" spans="1:15" ht="15.75" customHeight="1">
      <c r="A297" s="99" t="s">
        <v>230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229</v>
      </c>
      <c r="O297" s="39">
        <v>1843460</v>
      </c>
    </row>
    <row r="298" spans="1:15" ht="18" customHeight="1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230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>
        <v>1940000</v>
      </c>
    </row>
    <row r="325" spans="1:15" ht="18" customHeight="1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226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226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226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226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226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229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226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226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226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226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226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226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226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226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226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226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226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226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230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229</v>
      </c>
      <c r="O351" s="39">
        <v>701874</v>
      </c>
    </row>
    <row r="352" spans="1:15" ht="18" customHeight="1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232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245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226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226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226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226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226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226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226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226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226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226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226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229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226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226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226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226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226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226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226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226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226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226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226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226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230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229</v>
      </c>
      <c r="O378" s="39">
        <v>1088710</v>
      </c>
    </row>
    <row r="379" spans="1:15" ht="18" customHeight="1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232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226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208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226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246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226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247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226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226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226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226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226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226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226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226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226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229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226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226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226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248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226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226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226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226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226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226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226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226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226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230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229</v>
      </c>
      <c r="O405" s="39">
        <v>1202270</v>
      </c>
    </row>
    <row r="406" spans="1:15" ht="18" customHeight="1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232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226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249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226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226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250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226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226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226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226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226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226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251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226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251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226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226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229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226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226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226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226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226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226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226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226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226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226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226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226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230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>
        <v>1801910</v>
      </c>
    </row>
    <row r="433" spans="1:15" ht="18" customHeight="1">
      <c r="A433" s="102" t="s">
        <v>231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232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226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212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252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226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226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226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226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226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226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226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226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226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226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226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229</v>
      </c>
      <c r="O446" s="39">
        <v>1241480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253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213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253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253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253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253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253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253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253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253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253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253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253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230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229</v>
      </c>
      <c r="O459" s="39">
        <v>2675000</v>
      </c>
    </row>
    <row r="460" spans="1:15" ht="18" customHeight="1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232</v>
      </c>
      <c r="O460" s="48">
        <f>IFERROR(O446+O459,"")</f>
        <v>3916480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230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230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231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230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230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230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230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230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230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230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230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230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230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230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59" t="s">
        <v>226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445" activePane="bottomLeft" state="frozen"/>
      <selection pane="bottomLeft" activeCell="L463" sqref="L46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215</v>
      </c>
      <c r="C1" s="23" t="s">
        <v>12</v>
      </c>
      <c r="D1" s="22" t="s">
        <v>13</v>
      </c>
      <c r="E1" s="22" t="s">
        <v>216</v>
      </c>
      <c r="F1" s="23" t="s">
        <v>217</v>
      </c>
      <c r="G1" s="23" t="s">
        <v>218</v>
      </c>
      <c r="H1" s="23" t="s">
        <v>14</v>
      </c>
      <c r="I1" s="23" t="s">
        <v>15</v>
      </c>
      <c r="J1" s="23" t="s">
        <v>219</v>
      </c>
      <c r="K1" s="23" t="s">
        <v>220</v>
      </c>
      <c r="L1" s="23" t="s">
        <v>221</v>
      </c>
      <c r="M1" s="24" t="s">
        <v>222</v>
      </c>
      <c r="N1" s="23" t="s">
        <v>223</v>
      </c>
      <c r="O1" s="23" t="s">
        <v>224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253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253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253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253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253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253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253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253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253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253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253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253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253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253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253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253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253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253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253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253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253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253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230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229</v>
      </c>
      <c r="O27" s="78">
        <v>393200</v>
      </c>
    </row>
    <row r="28" spans="1:15" ht="18" customHeight="1">
      <c r="A28" s="102" t="s">
        <v>231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253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253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253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253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253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253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253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253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253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253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253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253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253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255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253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253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253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253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253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253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253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253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253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230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229</v>
      </c>
      <c r="O54" s="85">
        <v>276360</v>
      </c>
    </row>
    <row r="55" spans="1:15" ht="18" customHeight="1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256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257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253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253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253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253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253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253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253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253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253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253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253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230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229</v>
      </c>
      <c r="O81" s="54">
        <v>787860</v>
      </c>
    </row>
    <row r="82" spans="1:15" ht="18" customHeight="1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253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253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253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253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253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253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259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253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260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253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261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253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253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253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253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253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253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253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253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253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230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229</v>
      </c>
      <c r="O108" s="54">
        <v>1087080</v>
      </c>
    </row>
    <row r="109" spans="1:15" ht="18" customHeight="1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253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253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262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253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253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253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253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253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253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263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264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226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230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229</v>
      </c>
      <c r="O135" s="54">
        <v>794480</v>
      </c>
    </row>
    <row r="136" spans="1:15" ht="18" customHeight="1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266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203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253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253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253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253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253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253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253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253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230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229</v>
      </c>
      <c r="O162" s="54">
        <v>882280</v>
      </c>
    </row>
    <row r="163" spans="1:15" ht="18" customHeight="1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253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253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253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253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253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253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253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253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253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230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229</v>
      </c>
      <c r="O189" s="78"/>
    </row>
    <row r="190" spans="1:15" ht="18" customHeight="1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253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253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270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253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271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253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253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253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253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253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253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230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229</v>
      </c>
      <c r="O216" s="78">
        <v>648410</v>
      </c>
    </row>
    <row r="217" spans="1:15" ht="18" customHeight="1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253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272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253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273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253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253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253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253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253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253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253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253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253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253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203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253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253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268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253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253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253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253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253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253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253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230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229</v>
      </c>
      <c r="O243" s="78">
        <v>849060</v>
      </c>
    </row>
    <row r="244" spans="1:15" ht="18" customHeight="1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253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253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253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253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253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253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253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253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253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253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253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253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253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253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253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253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253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253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253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253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230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229</v>
      </c>
      <c r="O270" s="78">
        <v>625070</v>
      </c>
    </row>
    <row r="271" spans="1:15" ht="18" customHeight="1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253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276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253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277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253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253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253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253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253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253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253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253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253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253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253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278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253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253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253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253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253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253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253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253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230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229</v>
      </c>
      <c r="O297" s="78">
        <v>761660</v>
      </c>
    </row>
    <row r="298" spans="1:15" ht="18" customHeight="1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253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253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279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253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279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253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253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253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253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253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253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253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280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253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281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253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253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253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253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253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253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253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253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230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229</v>
      </c>
      <c r="O324" s="78">
        <v>524410</v>
      </c>
    </row>
    <row r="325" spans="1:15" ht="18" customHeight="1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253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253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253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253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282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253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253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253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253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253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253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253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229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253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253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283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253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253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284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253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253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253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253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253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253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253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253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230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229</v>
      </c>
      <c r="O351" s="78">
        <v>598420</v>
      </c>
    </row>
    <row r="352" spans="1:15" ht="18" customHeight="1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232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253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253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253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253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253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253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253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253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253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253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253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253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229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253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253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253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253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253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253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253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253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0.17369039351615356</v>
      </c>
      <c r="N377" s="46"/>
      <c r="O377" s="47"/>
    </row>
    <row r="378" spans="1:15" ht="15.75" customHeight="1">
      <c r="A378" s="99" t="s">
        <v>230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0.33132928240504245</v>
      </c>
      <c r="N378" s="36" t="s">
        <v>229</v>
      </c>
      <c r="O378" s="78">
        <v>511980</v>
      </c>
    </row>
    <row r="379" spans="1:15" ht="18" customHeight="1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0.44105150462726461</v>
      </c>
      <c r="N379" s="40" t="s">
        <v>232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253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253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209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253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253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268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253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285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253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253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253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253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253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253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253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229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253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286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253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244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253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253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253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253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253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253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253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253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253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253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230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229</v>
      </c>
      <c r="O405" s="78">
        <v>552440</v>
      </c>
    </row>
    <row r="406" spans="1:15" ht="18" customHeight="1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232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253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253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253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253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253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253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253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253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226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226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253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253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229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253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253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287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253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253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0.15216261574096279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253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253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253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253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253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253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253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253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230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0.32299594907429618</v>
      </c>
      <c r="N432" s="36" t="s">
        <v>229</v>
      </c>
      <c r="O432" s="78">
        <v>484540</v>
      </c>
    </row>
    <row r="433" spans="1:15" ht="18" customHeight="1">
      <c r="A433" s="94" t="s">
        <v>231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0.46813483796318506</v>
      </c>
      <c r="N433" s="40" t="s">
        <v>232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253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288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253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253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289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253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253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253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253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253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253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253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253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253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229</v>
      </c>
      <c r="O446" s="78">
        <v>849430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226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226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290</v>
      </c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226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226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226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226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226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226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226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226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226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226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230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229</v>
      </c>
      <c r="O459" s="78">
        <v>631190</v>
      </c>
    </row>
    <row r="460" spans="1:15" ht="18" customHeight="1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232</v>
      </c>
      <c r="O460" s="84">
        <f>IFERROR(O446+O459,"")</f>
        <v>1480620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226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291</v>
      </c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226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226</v>
      </c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226</v>
      </c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226</v>
      </c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226</v>
      </c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226</v>
      </c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226</v>
      </c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226</v>
      </c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226</v>
      </c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226</v>
      </c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226</v>
      </c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26</v>
      </c>
      <c r="G473" s="36">
        <f>SUM(G461:G472)</f>
        <v>130</v>
      </c>
      <c r="H473" s="37"/>
      <c r="I473" s="37"/>
      <c r="J473" s="37"/>
      <c r="K473" s="37"/>
      <c r="L473" s="37"/>
      <c r="M473" s="38">
        <f ca="1">IFERROR(SUM(M461:M472),"")</f>
        <v>3.1249999999999944E-2</v>
      </c>
      <c r="N473" s="36" t="s">
        <v>229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230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8"/>
    </row>
    <row r="487" spans="1:15" ht="18" customHeight="1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26</v>
      </c>
      <c r="G487" s="40">
        <f>G473+G486</f>
        <v>130</v>
      </c>
      <c r="H487" s="41"/>
      <c r="I487" s="41"/>
      <c r="J487" s="41"/>
      <c r="K487" s="41"/>
      <c r="L487" s="41"/>
      <c r="M487" s="42">
        <f ca="1">IFERROR(M473+M486,"")</f>
        <v>3.1249999999999944E-2</v>
      </c>
      <c r="N487" s="40" t="s">
        <v>232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230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8"/>
    </row>
    <row r="514" spans="1:15" ht="18" customHeight="1">
      <c r="A514" s="102" t="s">
        <v>231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230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8"/>
    </row>
    <row r="541" spans="1:15" ht="18" customHeight="1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230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8"/>
    </row>
    <row r="568" spans="1:15" ht="18" customHeight="1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230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8"/>
    </row>
    <row r="595" spans="1:15" ht="18" customHeight="1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230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8"/>
    </row>
    <row r="622" spans="1:15" ht="18" customHeight="1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230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8"/>
    </row>
    <row r="649" spans="1:15" ht="18" customHeight="1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230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8"/>
    </row>
    <row r="676" spans="1:15" ht="18" customHeight="1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230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8"/>
    </row>
    <row r="703" spans="1:15" ht="18" customHeight="1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230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8"/>
    </row>
    <row r="730" spans="1:15" ht="18" customHeight="1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230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230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230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231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83">
        <f>IFERROR(O797+O810,"")</f>
        <v>0</v>
      </c>
    </row>
  </sheetData>
  <mergeCells count="87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513:E513"/>
    <mergeCell ref="A514:E514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44" zoomScale="50" zoomScaleNormal="50" workbookViewId="0">
      <selection activeCell="F463" sqref="F46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27.85546875" style="20" customWidth="1"/>
    <col min="15" max="15" width="14" customWidth="1"/>
  </cols>
  <sheetData>
    <row r="1" spans="1:15" ht="37.5" customHeight="1">
      <c r="A1" s="68" t="s">
        <v>7</v>
      </c>
      <c r="B1" s="23" t="s">
        <v>215</v>
      </c>
      <c r="C1" s="23" t="s">
        <v>12</v>
      </c>
      <c r="D1" s="22" t="s">
        <v>13</v>
      </c>
      <c r="E1" s="22" t="s">
        <v>216</v>
      </c>
      <c r="F1" s="23" t="s">
        <v>217</v>
      </c>
      <c r="G1" s="23" t="s">
        <v>218</v>
      </c>
      <c r="H1" s="23" t="s">
        <v>14</v>
      </c>
      <c r="I1" s="23" t="s">
        <v>15</v>
      </c>
      <c r="J1" s="23" t="s">
        <v>219</v>
      </c>
      <c r="K1" s="23" t="s">
        <v>220</v>
      </c>
      <c r="L1" s="23" t="s">
        <v>221</v>
      </c>
      <c r="M1" s="24" t="s">
        <v>222</v>
      </c>
      <c r="N1" s="23" t="s">
        <v>223</v>
      </c>
      <c r="O1" s="23" t="s">
        <v>224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253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253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292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253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253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293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253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253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253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253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253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253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253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253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253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253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253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253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253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253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253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253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230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229</v>
      </c>
      <c r="O27" s="39">
        <v>308500</v>
      </c>
    </row>
    <row r="28" spans="1:15" ht="18" customHeight="1">
      <c r="A28" s="102" t="s">
        <v>231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253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253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253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253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253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253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253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253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253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253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253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253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253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253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253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253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253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253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253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253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253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230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229</v>
      </c>
      <c r="O54" s="39">
        <v>124290</v>
      </c>
    </row>
    <row r="55" spans="1:15" ht="18" customHeight="1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253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253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253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253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295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253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253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253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253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253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253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253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253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253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290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253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253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253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253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253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253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253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253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230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229</v>
      </c>
      <c r="O81" s="39">
        <v>396340</v>
      </c>
    </row>
    <row r="82" spans="1:15" ht="18" customHeight="1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296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253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253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253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253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253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230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229</v>
      </c>
      <c r="O108" s="39">
        <v>41230</v>
      </c>
    </row>
    <row r="109" spans="1:15" ht="18" customHeight="1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253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253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253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230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229</v>
      </c>
      <c r="O135" s="39">
        <v>381250</v>
      </c>
    </row>
    <row r="136" spans="1:15" ht="18" customHeight="1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297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267</v>
      </c>
      <c r="K141" s="29">
        <v>0.71597222222222223</v>
      </c>
      <c r="L141" s="29" t="s">
        <v>298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299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253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253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253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253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253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253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253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253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253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230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229</v>
      </c>
      <c r="O162" s="39">
        <v>337120</v>
      </c>
    </row>
    <row r="163" spans="1:15" ht="18" customHeight="1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253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253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300</v>
      </c>
      <c r="N166" s="27" t="s">
        <v>301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253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253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253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253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253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253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253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253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253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253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253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253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253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253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253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253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253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253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253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253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230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229</v>
      </c>
      <c r="O189" s="39">
        <v>747210</v>
      </c>
    </row>
    <row r="190" spans="1:15" ht="18" customHeight="1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253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253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302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253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253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253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253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253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253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253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253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253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253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253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253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253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253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253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253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253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230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229</v>
      </c>
      <c r="O216" s="39">
        <v>468430</v>
      </c>
    </row>
    <row r="217" spans="1:15" ht="18" customHeight="1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253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253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253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253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253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253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253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253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253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253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253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253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226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253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253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253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253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253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253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253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253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253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230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229</v>
      </c>
      <c r="O243" s="39">
        <v>575930</v>
      </c>
    </row>
    <row r="244" spans="1:15" ht="18" customHeight="1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253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205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253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253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253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253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253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253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253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253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253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253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303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253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253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253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253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304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253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253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253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253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253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253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230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229</v>
      </c>
      <c r="O270" s="39">
        <v>483510</v>
      </c>
    </row>
    <row r="271" spans="1:15" ht="18" customHeight="1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253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253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253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253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253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253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253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253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253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253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253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253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305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253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253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253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306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253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253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253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253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253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253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230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229</v>
      </c>
      <c r="O297" s="39">
        <v>487980</v>
      </c>
    </row>
    <row r="298" spans="1:15" ht="18" customHeight="1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253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253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307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253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253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253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253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253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308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253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253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253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309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253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253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253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253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253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253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253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230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229</v>
      </c>
      <c r="O324" s="39">
        <v>609460</v>
      </c>
    </row>
    <row r="325" spans="1:15" ht="18" customHeight="1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253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310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253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253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253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290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253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297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253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253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253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253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253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253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229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253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253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253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253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253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253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253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253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253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253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253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253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230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229</v>
      </c>
      <c r="O351" s="39">
        <v>437940</v>
      </c>
    </row>
    <row r="352" spans="1:15" ht="18" customHeight="1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232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253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253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253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253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253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253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253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253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253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253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253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229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253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253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253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253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253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253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253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253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253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253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253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253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230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229</v>
      </c>
      <c r="O378" s="39">
        <v>473310</v>
      </c>
    </row>
    <row r="379" spans="1:15" ht="18" customHeight="1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232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253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253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253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253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253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253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253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253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253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253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253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253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229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226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253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253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253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253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253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253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253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253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253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253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253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230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229</v>
      </c>
      <c r="O405" s="39">
        <v>507450</v>
      </c>
    </row>
    <row r="406" spans="1:15" ht="18" customHeight="1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232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253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253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253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253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253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253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253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253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226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226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253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253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229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226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253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287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253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253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253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253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253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253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253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253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253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253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230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229</v>
      </c>
      <c r="O432" s="39">
        <v>229150</v>
      </c>
    </row>
    <row r="433" spans="1:15" ht="18" customHeight="1">
      <c r="A433" s="102" t="s">
        <v>231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232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253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311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253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253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253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253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253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253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253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253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253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253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253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229</v>
      </c>
      <c r="O446" s="39">
        <v>191330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226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226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226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226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226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226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226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226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226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226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226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226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230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229</v>
      </c>
      <c r="O459" s="39">
        <v>409980</v>
      </c>
    </row>
    <row r="460" spans="1:15" ht="18" customHeight="1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232</v>
      </c>
      <c r="O460" s="48">
        <f>IFERROR(O446+O459,"")</f>
        <v>601310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226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226</v>
      </c>
      <c r="F462" s="27">
        <v>7</v>
      </c>
      <c r="G462" s="28">
        <f t="shared" si="102"/>
        <v>35</v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226</v>
      </c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226</v>
      </c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226</v>
      </c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226</v>
      </c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226</v>
      </c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226</v>
      </c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226</v>
      </c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226</v>
      </c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226</v>
      </c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226</v>
      </c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7</v>
      </c>
      <c r="G473" s="36">
        <f>SUM(G461:G472)</f>
        <v>35</v>
      </c>
      <c r="H473" s="37"/>
      <c r="I473" s="37"/>
      <c r="J473" s="37"/>
      <c r="K473" s="37"/>
      <c r="L473" s="37"/>
      <c r="M473" s="38">
        <f ca="1">IFERROR(SUM(M461:M472),"")</f>
        <v>1.8749999999999989E-2</v>
      </c>
      <c r="N473" s="36" t="s">
        <v>229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230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7</v>
      </c>
      <c r="G487" s="40">
        <f>G473+G486</f>
        <v>35</v>
      </c>
      <c r="H487" s="41"/>
      <c r="I487" s="41"/>
      <c r="J487" s="41"/>
      <c r="K487" s="41"/>
      <c r="L487" s="41"/>
      <c r="M487" s="42">
        <f ca="1">IFERROR(M473+M486,"")</f>
        <v>1.8749999999999989E-2</v>
      </c>
      <c r="N487" s="40" t="s">
        <v>232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230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231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230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230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230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230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230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230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230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230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230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230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230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231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445" activePane="bottomLeft" state="frozen"/>
      <selection pane="bottomLeft" activeCell="L462" sqref="L462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50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215</v>
      </c>
      <c r="C1" s="23" t="s">
        <v>12</v>
      </c>
      <c r="D1" s="22" t="s">
        <v>13</v>
      </c>
      <c r="E1" s="22" t="s">
        <v>216</v>
      </c>
      <c r="F1" s="23" t="s">
        <v>217</v>
      </c>
      <c r="G1" s="23" t="s">
        <v>218</v>
      </c>
      <c r="H1" s="23" t="s">
        <v>14</v>
      </c>
      <c r="I1" s="23" t="s">
        <v>15</v>
      </c>
      <c r="J1" s="23" t="s">
        <v>219</v>
      </c>
      <c r="K1" s="23" t="s">
        <v>220</v>
      </c>
      <c r="L1" s="23" t="s">
        <v>221</v>
      </c>
      <c r="M1" s="24" t="s">
        <v>222</v>
      </c>
      <c r="N1" s="23" t="s">
        <v>223</v>
      </c>
      <c r="O1" s="23" t="s">
        <v>224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253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312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253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290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253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253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253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253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253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253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253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253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253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253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253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313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253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253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253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253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253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253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253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253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230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229</v>
      </c>
      <c r="O27" s="39">
        <v>202230</v>
      </c>
    </row>
    <row r="28" spans="1:15" ht="18" customHeight="1">
      <c r="A28" s="102" t="s">
        <v>231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253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314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253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253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253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253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253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315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253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253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253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253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253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253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253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253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253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253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253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253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253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253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253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230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229</v>
      </c>
      <c r="O54" s="39">
        <v>473910</v>
      </c>
    </row>
    <row r="55" spans="1:15" ht="18" customHeight="1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253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253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253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316</v>
      </c>
      <c r="L58" s="29">
        <v>0.54097222222222219</v>
      </c>
      <c r="M58" s="30" t="str">
        <f t="shared" ca="1" si="13"/>
        <v/>
      </c>
      <c r="N58" s="27" t="s">
        <v>317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253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253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253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253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253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253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253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253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253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253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253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292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253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253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318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253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319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253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320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253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321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253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253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253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230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229</v>
      </c>
      <c r="O81" s="39">
        <v>565120</v>
      </c>
    </row>
    <row r="82" spans="1:15" ht="18" customHeight="1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322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253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253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253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253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253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253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253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230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229</v>
      </c>
      <c r="O108" s="39">
        <v>558590</v>
      </c>
    </row>
    <row r="109" spans="1:15" ht="18" customHeight="1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323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253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253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253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253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253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324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226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325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226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0.16396817129862029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265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230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0.36327372685417592</v>
      </c>
      <c r="N135" s="36" t="s">
        <v>229</v>
      </c>
      <c r="O135" s="39">
        <v>729290</v>
      </c>
    </row>
    <row r="136" spans="1:18" ht="18" customHeight="1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0.73063483796528694</v>
      </c>
      <c r="N136" s="40" t="s">
        <v>232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226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326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297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253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327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253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253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253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253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253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253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253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253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253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230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229</v>
      </c>
      <c r="O162" s="39">
        <v>697320</v>
      </c>
    </row>
    <row r="163" spans="1:15" ht="18" customHeight="1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253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253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253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253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328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253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253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253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253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253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253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253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253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253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253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253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253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253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253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253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253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253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230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229</v>
      </c>
      <c r="O189" s="39">
        <v>973580</v>
      </c>
    </row>
    <row r="190" spans="1:15" ht="18" customHeight="1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253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253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253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329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253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330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253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253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253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253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253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253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253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331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253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253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253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253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253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253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253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253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253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230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229</v>
      </c>
      <c r="O216" s="45">
        <v>1060630</v>
      </c>
    </row>
    <row r="217" spans="1:15" ht="18" customHeight="1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253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332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253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253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333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253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253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253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253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253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334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253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253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253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253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335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253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253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253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253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253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253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253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230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229</v>
      </c>
      <c r="O243" s="39">
        <v>982340</v>
      </c>
    </row>
    <row r="244" spans="1:15" ht="18" customHeight="1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253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336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253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204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253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253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253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253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253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253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253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253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253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253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253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253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253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253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253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253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253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253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253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253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230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229</v>
      </c>
      <c r="O270" s="39">
        <v>1208450</v>
      </c>
    </row>
    <row r="271" spans="1:15" ht="18" customHeight="1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253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253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253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253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253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253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253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253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253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253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253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253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253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253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253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253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253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253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253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253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230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229</v>
      </c>
      <c r="O297" s="39">
        <v>1049090</v>
      </c>
    </row>
    <row r="298" spans="1:15" ht="18" customHeight="1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337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253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206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253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207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253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253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253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253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253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253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253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253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253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253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253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253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253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262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253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253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253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253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230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229</v>
      </c>
      <c r="O324" s="39">
        <v>1063720</v>
      </c>
    </row>
    <row r="325" spans="1:15" ht="18" customHeight="1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253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253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290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253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253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253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253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253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253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253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253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253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228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229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253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253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253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253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253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253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338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253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253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253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339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253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253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253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230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229</v>
      </c>
      <c r="O351" s="39">
        <v>696140</v>
      </c>
    </row>
    <row r="352" spans="1:15" ht="18" customHeight="1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232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253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253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297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253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253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253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253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253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253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253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253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253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228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229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253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253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253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340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253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253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253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253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253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253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253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253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253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230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229</v>
      </c>
      <c r="O378" s="39">
        <v>704750</v>
      </c>
    </row>
    <row r="379" spans="1:15" ht="18" customHeight="1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232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253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341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253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253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328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253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253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253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253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253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253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253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253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253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229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226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253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342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253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253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253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253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343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253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253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253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253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253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253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230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229</v>
      </c>
      <c r="O405" s="39">
        <v>958130</v>
      </c>
    </row>
    <row r="406" spans="1:15" ht="18" customHeight="1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232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253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253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253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253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253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253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253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253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226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253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253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226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229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253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253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253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253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253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253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344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253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253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253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253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253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253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230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229</v>
      </c>
      <c r="O432" s="39">
        <v>605220</v>
      </c>
    </row>
    <row r="433" spans="1:17" ht="18" customHeight="1">
      <c r="A433" s="102" t="s">
        <v>231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232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253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211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253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253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253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253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253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253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253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253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253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253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253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229</v>
      </c>
      <c r="O446" s="39">
        <v>878370</v>
      </c>
    </row>
    <row r="447" spans="1:17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226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226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226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345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226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226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226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226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226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214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226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226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226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230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229</v>
      </c>
      <c r="O459" s="39">
        <v>615330</v>
      </c>
    </row>
    <row r="460" spans="1:15" ht="18" customHeight="1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232</v>
      </c>
      <c r="O460" s="48">
        <f>IFERROR(O446+O459,"")</f>
        <v>1493700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226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346</v>
      </c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226</v>
      </c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226</v>
      </c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226</v>
      </c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226</v>
      </c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226</v>
      </c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226</v>
      </c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226</v>
      </c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226</v>
      </c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226</v>
      </c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226</v>
      </c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226</v>
      </c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5</v>
      </c>
      <c r="G473" s="36">
        <f>SUM(G461:G472)</f>
        <v>25</v>
      </c>
      <c r="H473" s="37"/>
      <c r="I473" s="37"/>
      <c r="J473" s="37"/>
      <c r="K473" s="61"/>
      <c r="L473" s="61"/>
      <c r="M473" s="38">
        <f ca="1">IFERROR(SUM(M461:M472),"")</f>
        <v>7.6388888888888895E-2</v>
      </c>
      <c r="N473" s="36" t="s">
        <v>229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230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5</v>
      </c>
      <c r="G487" s="40">
        <f>G473+G486</f>
        <v>25</v>
      </c>
      <c r="H487" s="41"/>
      <c r="I487" s="41"/>
      <c r="J487" s="41"/>
      <c r="K487" s="63"/>
      <c r="L487" s="63"/>
      <c r="M487" s="42">
        <f ca="1">IFERROR(M473+M486,"")</f>
        <v>7.6388888888888895E-2</v>
      </c>
      <c r="N487" s="40" t="s">
        <v>232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230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231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230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230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230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230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230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230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230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230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230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230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230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231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232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2026-07-18T13:55:41Z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