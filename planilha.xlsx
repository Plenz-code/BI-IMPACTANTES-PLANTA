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27" documentId="8_{AF585B22-221D-4780-BB9C-493D365A6A02}" xr6:coauthVersionLast="47" xr6:coauthVersionMax="47" xr10:uidLastSave="{16D45DBC-FDC9-4D0B-8DBE-012D92333C64}"/>
  <bookViews>
    <workbookView xWindow="-108" yWindow="-108" windowWidth="23256" windowHeight="12456" tabRatio="500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<sst xmlns="http://schemas.openxmlformats.org/spreadsheetml/2006/main" count="11893" uniqueCount="430">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</sst>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tabSelected="1" zoomScaleNormal="100" workbookViewId="0">
      <pane ySplit="3" topLeftCell="A21" activePane="bottomLeft" state="frozen"/>
      <selection pane="bottomLeft" activeCell="C32" sqref="C32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 x14ac:dyDescent="0.3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 x14ac:dyDescent="0.3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 x14ac:dyDescent="0.3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 x14ac:dyDescent="0.3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 x14ac:dyDescent="0.3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 x14ac:dyDescent="0.3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 x14ac:dyDescent="0.3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 x14ac:dyDescent="0.3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 x14ac:dyDescent="0.3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 x14ac:dyDescent="0.3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 x14ac:dyDescent="0.3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 x14ac:dyDescent="0.3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 x14ac:dyDescent="0.3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 x14ac:dyDescent="0.3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 x14ac:dyDescent="0.3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 x14ac:dyDescent="0.3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 x14ac:dyDescent="0.3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 x14ac:dyDescent="0.3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 x14ac:dyDescent="0.3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 x14ac:dyDescent="0.3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 x14ac:dyDescent="0.3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 x14ac:dyDescent="0.3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 x14ac:dyDescent="0.3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 x14ac:dyDescent="0.3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 x14ac:dyDescent="0.3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 x14ac:dyDescent="0.3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 x14ac:dyDescent="0.3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 x14ac:dyDescent="0.3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 x14ac:dyDescent="0.3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 x14ac:dyDescent="0.3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14" t="s">
        <v>9</v>
      </c>
      <c r="B35" s="114"/>
      <c r="C35" s="13">
        <f>IFERROR(SUM(C4:C34),"")</f>
        <v>90030618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 x14ac:dyDescent="0.3">
      <c r="H2" s="116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 x14ac:dyDescent="0.3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 x14ac:dyDescent="0.3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 x14ac:dyDescent="0.3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 x14ac:dyDescent="0.3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 x14ac:dyDescent="0.3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 x14ac:dyDescent="0.3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 x14ac:dyDescent="0.3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 x14ac:dyDescent="0.3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 x14ac:dyDescent="0.3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 x14ac:dyDescent="0.3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 x14ac:dyDescent="0.3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 x14ac:dyDescent="0.3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 x14ac:dyDescent="0.3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 x14ac:dyDescent="0.3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 x14ac:dyDescent="0.3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 x14ac:dyDescent="0.3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 x14ac:dyDescent="0.3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 x14ac:dyDescent="0.3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 x14ac:dyDescent="0.3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 x14ac:dyDescent="0.3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 x14ac:dyDescent="0.3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 x14ac:dyDescent="0.3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 x14ac:dyDescent="0.3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 x14ac:dyDescent="0.3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 x14ac:dyDescent="0.3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 x14ac:dyDescent="0.3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 x14ac:dyDescent="0.3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 x14ac:dyDescent="0.3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 x14ac:dyDescent="0.3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 x14ac:dyDescent="0.3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 x14ac:dyDescent="0.3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 x14ac:dyDescent="0.3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 x14ac:dyDescent="0.3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 x14ac:dyDescent="0.3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 x14ac:dyDescent="0.3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 x14ac:dyDescent="0.3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 x14ac:dyDescent="0.3">
      <c r="H58" s="116"/>
      <c r="I58" s="16"/>
      <c r="J58" s="16"/>
      <c r="K58" s="16" t="s">
        <v>206</v>
      </c>
      <c r="L58" s="16"/>
      <c r="M58" s="16"/>
    </row>
    <row r="59" spans="1:13" ht="15" customHeight="1" x14ac:dyDescent="0.3">
      <c r="H59" s="116"/>
      <c r="I59" s="17"/>
      <c r="J59" s="17"/>
      <c r="K59" s="17" t="s">
        <v>207</v>
      </c>
      <c r="L59" s="17"/>
      <c r="M59" s="17"/>
    </row>
    <row r="60" spans="1:13" ht="15" customHeight="1" x14ac:dyDescent="0.3">
      <c r="H60" s="116"/>
      <c r="I60" s="16"/>
      <c r="J60" s="16"/>
      <c r="K60" s="86" t="s">
        <v>105</v>
      </c>
      <c r="L60" s="16"/>
      <c r="M60" s="16"/>
    </row>
    <row r="61" spans="1:13" ht="15" customHeight="1" x14ac:dyDescent="0.3">
      <c r="H61" s="116"/>
      <c r="I61" s="17"/>
      <c r="J61" s="17"/>
      <c r="K61" s="17" t="s">
        <v>208</v>
      </c>
      <c r="L61" s="17"/>
      <c r="M61" s="17"/>
    </row>
    <row r="62" spans="1:13" ht="15" customHeight="1" x14ac:dyDescent="0.3">
      <c r="H62" s="116"/>
      <c r="I62" s="16"/>
      <c r="J62" s="16"/>
      <c r="K62" s="16" t="s">
        <v>209</v>
      </c>
      <c r="L62" s="16"/>
      <c r="M62" s="16"/>
    </row>
    <row r="63" spans="1:13" ht="15" customHeight="1" x14ac:dyDescent="0.3">
      <c r="H63" s="116"/>
      <c r="I63" s="17"/>
      <c r="J63" s="17"/>
      <c r="K63" s="17" t="s">
        <v>210</v>
      </c>
      <c r="L63" s="17"/>
      <c r="M63" s="17"/>
    </row>
    <row r="64" spans="1:13" ht="15" customHeight="1" x14ac:dyDescent="0.3">
      <c r="H64" s="116"/>
      <c r="I64" s="16"/>
      <c r="J64" s="16"/>
      <c r="K64" s="16" t="s">
        <v>211</v>
      </c>
      <c r="L64" s="16"/>
      <c r="M64" s="16"/>
    </row>
    <row r="65" spans="8:13" ht="15" customHeight="1" x14ac:dyDescent="0.3">
      <c r="H65" s="116"/>
      <c r="I65" s="17"/>
      <c r="J65" s="17"/>
      <c r="K65" s="17" t="s">
        <v>212</v>
      </c>
      <c r="L65" s="17"/>
      <c r="M65" s="17"/>
    </row>
    <row r="66" spans="8:13" ht="15" customHeight="1" x14ac:dyDescent="0.3">
      <c r="H66" s="116"/>
      <c r="I66" s="16"/>
      <c r="J66" s="16"/>
      <c r="K66" s="16" t="s">
        <v>213</v>
      </c>
      <c r="L66" s="16"/>
      <c r="M66" s="16"/>
    </row>
    <row r="67" spans="8:13" ht="15" customHeight="1" x14ac:dyDescent="0.3">
      <c r="H67" s="116"/>
      <c r="I67" s="17"/>
      <c r="J67" s="17"/>
      <c r="K67" s="17" t="s">
        <v>214</v>
      </c>
      <c r="L67" s="17"/>
      <c r="M67" s="17"/>
    </row>
    <row r="68" spans="8:13" ht="15" customHeight="1" x14ac:dyDescent="0.3">
      <c r="H68" s="116"/>
      <c r="I68" s="16"/>
      <c r="J68" s="16"/>
      <c r="K68" s="16" t="s">
        <v>215</v>
      </c>
      <c r="L68" s="16"/>
      <c r="M68" s="16"/>
    </row>
    <row r="69" spans="8:13" ht="15" customHeight="1" x14ac:dyDescent="0.3">
      <c r="H69" s="116"/>
      <c r="I69" s="17"/>
      <c r="J69" s="17"/>
      <c r="K69" s="17" t="s">
        <v>216</v>
      </c>
      <c r="L69" s="17"/>
      <c r="M69" s="17"/>
    </row>
    <row r="70" spans="8:13" ht="15" customHeight="1" x14ac:dyDescent="0.3">
      <c r="H70" s="116"/>
      <c r="I70" s="16"/>
      <c r="J70" s="16"/>
      <c r="K70" s="16" t="s">
        <v>217</v>
      </c>
      <c r="L70" s="16"/>
      <c r="M70" s="16"/>
    </row>
    <row r="71" spans="8:13" ht="15" customHeight="1" x14ac:dyDescent="0.3">
      <c r="H71" s="116"/>
      <c r="I71" s="17"/>
      <c r="J71" s="17"/>
      <c r="K71" s="17" t="s">
        <v>218</v>
      </c>
      <c r="L71" s="17"/>
      <c r="M71" s="17"/>
    </row>
    <row r="72" spans="8:13" ht="15" customHeight="1" x14ac:dyDescent="0.3">
      <c r="H72" s="116"/>
      <c r="I72" s="16"/>
      <c r="J72" s="16"/>
      <c r="K72" s="16" t="s">
        <v>219</v>
      </c>
      <c r="L72" s="16"/>
      <c r="M72" s="16"/>
    </row>
    <row r="73" spans="8:13" ht="15" customHeight="1" x14ac:dyDescent="0.3">
      <c r="H73" s="116"/>
      <c r="I73" s="17"/>
      <c r="J73" s="17"/>
      <c r="K73" s="17" t="s">
        <v>220</v>
      </c>
      <c r="L73" s="17"/>
      <c r="M73" s="17"/>
    </row>
    <row r="74" spans="8:13" ht="15" customHeight="1" x14ac:dyDescent="0.3">
      <c r="H74" s="116"/>
      <c r="I74" s="16"/>
      <c r="J74" s="16"/>
      <c r="K74" s="16"/>
      <c r="L74" s="16"/>
      <c r="M74" s="16"/>
    </row>
    <row r="75" spans="8:13" ht="15" customHeight="1" x14ac:dyDescent="0.3">
      <c r="H75" s="116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757" activePane="bottomLeft" state="frozen"/>
      <selection pane="bottomLeft" activeCell="O771" sqref="O771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79.4414062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 x14ac:dyDescent="0.3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3:M13" ca="1" si="2">IFERROR(IF(K3="","",IF(L3="",MOD(NOW()-K3,1),IF(L3&gt;=K3,L3-K3,L3+1-K3))),"")</f>
        <v>4.7916666666666663E-2</v>
      </c>
      <c r="N3" s="27"/>
      <c r="O3" s="31"/>
    </row>
    <row r="4" spans="1:15" ht="15" customHeight="1" x14ac:dyDescent="0.3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 x14ac:dyDescent="0.3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 x14ac:dyDescent="0.3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 x14ac:dyDescent="0.3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 x14ac:dyDescent="0.3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 x14ac:dyDescent="0.3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 x14ac:dyDescent="0.3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 x14ac:dyDescent="0.3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 x14ac:dyDescent="0.3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 x14ac:dyDescent="0.3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 x14ac:dyDescent="0.3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 x14ac:dyDescent="0.3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 x14ac:dyDescent="0.3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 x14ac:dyDescent="0.3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 x14ac:dyDescent="0.3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 x14ac:dyDescent="0.3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 x14ac:dyDescent="0.3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 x14ac:dyDescent="0.3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 x14ac:dyDescent="0.3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 x14ac:dyDescent="0.3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 x14ac:dyDescent="0.3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 x14ac:dyDescent="0.3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9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 x14ac:dyDescent="0.3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 x14ac:dyDescent="0.3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 x14ac:dyDescent="0.3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 x14ac:dyDescent="0.3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 x14ac:dyDescent="0.3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 x14ac:dyDescent="0.3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 x14ac:dyDescent="0.3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 x14ac:dyDescent="0.3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 x14ac:dyDescent="0.3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 x14ac:dyDescent="0.3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2135900</v>
      </c>
    </row>
    <row r="771" spans="1:15" ht="15" customHeight="1" x14ac:dyDescent="0.3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>
        <v>2113690</v>
      </c>
    </row>
    <row r="784" spans="1:15" ht="18" customHeight="1" x14ac:dyDescent="0.3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4249590</v>
      </c>
    </row>
    <row r="785" spans="1:15" ht="15" customHeight="1" x14ac:dyDescent="0.3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100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33" t="s">
        <v>29</v>
      </c>
      <c r="D788" s="100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33" t="s">
        <v>29</v>
      </c>
      <c r="D790" s="100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33" t="s">
        <v>29</v>
      </c>
      <c r="D792" s="100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33" t="s">
        <v>29</v>
      </c>
      <c r="D794" s="100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33" t="s">
        <v>29</v>
      </c>
      <c r="D796" s="100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3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69" activePane="bottomLeft" state="frozen"/>
      <selection pane="bottomLeft" activeCell="R782" sqref="R782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6.1093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53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 x14ac:dyDescent="0.3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 x14ac:dyDescent="0.3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 x14ac:dyDescent="0.3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 x14ac:dyDescent="0.3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 x14ac:dyDescent="0.3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 x14ac:dyDescent="0.3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 x14ac:dyDescent="0.3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 x14ac:dyDescent="0.3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 x14ac:dyDescent="0.3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 x14ac:dyDescent="0.3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 x14ac:dyDescent="0.3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 x14ac:dyDescent="0.3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 x14ac:dyDescent="0.3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 x14ac:dyDescent="0.3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 x14ac:dyDescent="0.4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 x14ac:dyDescent="0.3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 x14ac:dyDescent="0.3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 x14ac:dyDescent="0.3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 x14ac:dyDescent="0.4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 x14ac:dyDescent="0.3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 x14ac:dyDescent="0.3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 x14ac:dyDescent="0.3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 x14ac:dyDescent="0.3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 x14ac:dyDescent="0.3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 x14ac:dyDescent="0.3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 x14ac:dyDescent="0.3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 x14ac:dyDescent="0.3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7.6383796294976491E-2</v>
      </c>
      <c r="N377" s="46"/>
      <c r="O377" s="47"/>
    </row>
    <row r="378" spans="1:15" ht="15.75" customHeight="1" x14ac:dyDescent="0.3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0.23402268518386538</v>
      </c>
      <c r="N378" s="36" t="s">
        <v>235</v>
      </c>
      <c r="O378" s="77">
        <v>511980</v>
      </c>
    </row>
    <row r="379" spans="1:15" ht="18" customHeight="1" x14ac:dyDescent="0.3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0.34374490740608754</v>
      </c>
      <c r="N379" s="40" t="s">
        <v>238</v>
      </c>
      <c r="O379" s="83">
        <f>IFERROR(O365+O378,"")</f>
        <v>1320530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 x14ac:dyDescent="0.3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5.4856018519785721E-2</v>
      </c>
      <c r="N423" s="46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0.22568935185311909</v>
      </c>
      <c r="N432" s="36" t="s">
        <v>235</v>
      </c>
      <c r="O432" s="77">
        <v>484540</v>
      </c>
    </row>
    <row r="433" spans="1:15" ht="18" customHeight="1" x14ac:dyDescent="0.3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0.37082824074200793</v>
      </c>
      <c r="N433" s="40" t="s">
        <v>238</v>
      </c>
      <c r="O433" s="83">
        <f>IFERROR(O419+O432,"")</f>
        <v>1184540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 x14ac:dyDescent="0.3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 x14ac:dyDescent="0.3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 x14ac:dyDescent="0.3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 x14ac:dyDescent="0.3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 x14ac:dyDescent="0.3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 x14ac:dyDescent="0.3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 x14ac:dyDescent="0.3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 x14ac:dyDescent="0.3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 x14ac:dyDescent="0.3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 x14ac:dyDescent="0.3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 x14ac:dyDescent="0.3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 x14ac:dyDescent="0.3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 x14ac:dyDescent="0.3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 x14ac:dyDescent="0.3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 x14ac:dyDescent="0.3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 x14ac:dyDescent="0.3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 x14ac:dyDescent="0.3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 x14ac:dyDescent="0.3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 x14ac:dyDescent="0.3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 x14ac:dyDescent="0.3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 x14ac:dyDescent="0.3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 x14ac:dyDescent="0.3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 x14ac:dyDescent="0.3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 x14ac:dyDescent="0.3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 x14ac:dyDescent="0.3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235</v>
      </c>
      <c r="O783" s="39">
        <v>882130</v>
      </c>
    </row>
    <row r="784" spans="1:15" ht="18" customHeight="1" x14ac:dyDescent="0.3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238</v>
      </c>
      <c r="O784" s="83">
        <f>IFERROR(O770+O783,"")</f>
        <v>1493020</v>
      </c>
    </row>
    <row r="785" spans="1:15" ht="15" customHeight="1" x14ac:dyDescent="0.3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 t="s">
        <v>18</v>
      </c>
      <c r="I785" s="33"/>
      <c r="J785" s="33" t="s">
        <v>218</v>
      </c>
      <c r="K785" s="29">
        <v>0.30763888888888891</v>
      </c>
      <c r="L785" s="29"/>
      <c r="M785" s="35">
        <f t="shared" ref="M785:M796" ca="1" si="174">IFERROR(IF(K785="","",IF(L785="",MOD(NOW()-K785,1),IF(L785&gt;=K785,L785-K785,L785+1-K785))),"")</f>
        <v>8.3282407431397587E-3</v>
      </c>
      <c r="N785" s="46" t="s">
        <v>342</v>
      </c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8.3282407431397587E-3</v>
      </c>
      <c r="N797" s="36" t="s">
        <v>235</v>
      </c>
      <c r="O797" s="77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3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8.3282407431397587E-3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7" zoomScale="50" zoomScaleNormal="50" workbookViewId="0">
      <selection activeCell="N786" sqref="N786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343</v>
      </c>
      <c r="O6" s="31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 x14ac:dyDescent="0.3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 x14ac:dyDescent="0.3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 x14ac:dyDescent="0.3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 x14ac:dyDescent="0.3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 x14ac:dyDescent="0.3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 x14ac:dyDescent="0.3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344</v>
      </c>
      <c r="O29" s="31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 x14ac:dyDescent="0.3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345</v>
      </c>
      <c r="O59" s="31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 x14ac:dyDescent="0.3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346</v>
      </c>
      <c r="O88" s="31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 x14ac:dyDescent="0.3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 x14ac:dyDescent="0.3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348</v>
      </c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349</v>
      </c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 x14ac:dyDescent="0.3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350</v>
      </c>
      <c r="N166" s="27" t="s">
        <v>351</v>
      </c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 x14ac:dyDescent="0.3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352</v>
      </c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 x14ac:dyDescent="0.3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 x14ac:dyDescent="0.3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353</v>
      </c>
      <c r="O259" s="47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354</v>
      </c>
      <c r="O263" s="47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 x14ac:dyDescent="0.3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355</v>
      </c>
      <c r="O286" s="47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356</v>
      </c>
      <c r="O289" s="47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 x14ac:dyDescent="0.3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357</v>
      </c>
      <c r="O302" s="47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358</v>
      </c>
      <c r="O312" s="47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 x14ac:dyDescent="0.3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360</v>
      </c>
      <c r="O326" s="47"/>
    </row>
    <row r="327" spans="1:15" ht="15" customHeight="1" x14ac:dyDescent="0.3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 x14ac:dyDescent="0.3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 x14ac:dyDescent="0.3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 x14ac:dyDescent="0.3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 x14ac:dyDescent="0.3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 x14ac:dyDescent="0.3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 x14ac:dyDescent="0.3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 x14ac:dyDescent="0.3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 x14ac:dyDescent="0.3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 x14ac:dyDescent="0.3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 x14ac:dyDescent="0.3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361</v>
      </c>
      <c r="O434" s="47"/>
    </row>
    <row r="435" spans="1:15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 x14ac:dyDescent="0.3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 x14ac:dyDescent="0.3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362</v>
      </c>
      <c r="O488" s="47"/>
    </row>
    <row r="489" spans="1:15" ht="15" customHeight="1" x14ac:dyDescent="0.3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 x14ac:dyDescent="0.3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363</v>
      </c>
      <c r="O529" s="47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364</v>
      </c>
      <c r="O532" s="47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365</v>
      </c>
      <c r="O533" s="47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 x14ac:dyDescent="0.3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366</v>
      </c>
      <c r="O542" s="47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 x14ac:dyDescent="0.3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 x14ac:dyDescent="0.3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367</v>
      </c>
      <c r="O557" s="47"/>
    </row>
    <row r="558" spans="1:15" ht="15" customHeight="1" x14ac:dyDescent="0.3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 x14ac:dyDescent="0.3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368</v>
      </c>
      <c r="O570" s="47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 x14ac:dyDescent="0.3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 x14ac:dyDescent="0.3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369</v>
      </c>
      <c r="O598" s="47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 x14ac:dyDescent="0.3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 x14ac:dyDescent="0.3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370</v>
      </c>
      <c r="O650" s="47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371</v>
      </c>
      <c r="O664" s="47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 x14ac:dyDescent="0.3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 x14ac:dyDescent="0.3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 x14ac:dyDescent="0.3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372</v>
      </c>
      <c r="O745" s="47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 x14ac:dyDescent="0.3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373</v>
      </c>
      <c r="O747" s="47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 x14ac:dyDescent="0.3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 x14ac:dyDescent="0.3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 x14ac:dyDescent="0.3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374</v>
      </c>
      <c r="O758" s="47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 x14ac:dyDescent="0.3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 x14ac:dyDescent="0.3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 x14ac:dyDescent="0.3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 x14ac:dyDescent="0.3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375</v>
      </c>
      <c r="O767" s="47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 x14ac:dyDescent="0.3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 x14ac:dyDescent="0.3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 x14ac:dyDescent="0.3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 x14ac:dyDescent="0.3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 x14ac:dyDescent="0.3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 x14ac:dyDescent="0.3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235</v>
      </c>
      <c r="O783" s="39">
        <v>265740</v>
      </c>
    </row>
    <row r="784" spans="1:15" ht="18" customHeight="1" x14ac:dyDescent="0.3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238</v>
      </c>
      <c r="O784" s="48">
        <f>IFERROR(O770+O783,"")</f>
        <v>437880</v>
      </c>
    </row>
    <row r="785" spans="1:15" ht="15" customHeight="1" x14ac:dyDescent="0.3">
      <c r="A785" s="69">
        <v>46233</v>
      </c>
      <c r="B785" s="32">
        <v>0.33333333333333298</v>
      </c>
      <c r="C785" s="33" t="s">
        <v>29</v>
      </c>
      <c r="D785" s="62" t="s">
        <v>30</v>
      </c>
      <c r="E785" s="62"/>
      <c r="F785" s="27"/>
      <c r="G785" s="34"/>
      <c r="H785" s="33" t="s">
        <v>18</v>
      </c>
      <c r="I785" s="33"/>
      <c r="J785" s="33" t="s">
        <v>218</v>
      </c>
      <c r="K785" s="29">
        <v>0.30763888888888891</v>
      </c>
      <c r="L785" s="29"/>
      <c r="M785" s="35">
        <f t="shared" ref="M785:M796" ca="1" si="174">IFERROR(IF(K785="","",IF(L785="",MOD(NOW()-K785,1),IF(L785&gt;=K785,L785-K785,L785+1-K785))),"")</f>
        <v>8.3282407431397587E-3</v>
      </c>
      <c r="N785" s="27" t="s">
        <v>342</v>
      </c>
      <c r="O785" s="47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100" t="s">
        <v>30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 t="s">
        <v>29</v>
      </c>
      <c r="D787" s="62" t="s">
        <v>30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46233</v>
      </c>
      <c r="B788" s="25">
        <f t="shared" si="175"/>
        <v>0.45833333333333304</v>
      </c>
      <c r="C788" s="33" t="s">
        <v>29</v>
      </c>
      <c r="D788" s="100" t="s">
        <v>30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 t="s">
        <v>29</v>
      </c>
      <c r="D789" s="62" t="s">
        <v>30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46233</v>
      </c>
      <c r="B790" s="25">
        <f t="shared" si="175"/>
        <v>0.54166666666666641</v>
      </c>
      <c r="C790" s="33" t="s">
        <v>29</v>
      </c>
      <c r="D790" s="100" t="s">
        <v>30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 t="s">
        <v>29</v>
      </c>
      <c r="D791" s="62" t="s">
        <v>30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46233</v>
      </c>
      <c r="B792" s="25">
        <f t="shared" si="175"/>
        <v>0.62499999999999967</v>
      </c>
      <c r="C792" s="33" t="s">
        <v>29</v>
      </c>
      <c r="D792" s="100" t="s">
        <v>30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46233</v>
      </c>
      <c r="B793" s="32">
        <f t="shared" si="175"/>
        <v>0.6666666666666663</v>
      </c>
      <c r="C793" s="33" t="s">
        <v>29</v>
      </c>
      <c r="D793" s="62" t="s">
        <v>30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46233</v>
      </c>
      <c r="B794" s="25">
        <f t="shared" si="175"/>
        <v>0.70833333333333293</v>
      </c>
      <c r="C794" s="33" t="s">
        <v>29</v>
      </c>
      <c r="D794" s="100" t="s">
        <v>30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 t="s">
        <v>29</v>
      </c>
      <c r="D795" s="62" t="s">
        <v>30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46233</v>
      </c>
      <c r="B796" s="25">
        <f t="shared" si="175"/>
        <v>0.79166666666666619</v>
      </c>
      <c r="C796" s="33" t="s">
        <v>29</v>
      </c>
      <c r="D796" s="100" t="s">
        <v>30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8.3282407431397587E-3</v>
      </c>
      <c r="N797" s="36" t="s">
        <v>235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3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8.3282407431397587E-3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64" activePane="bottomLeft" state="frozen"/>
      <selection pane="bottomLeft" activeCell="D790" sqref="D790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48.44140625" style="57" customWidth="1"/>
    <col min="11" max="11" width="18.44140625" style="57" customWidth="1"/>
    <col min="12" max="12" width="14" style="58" customWidth="1"/>
    <col min="13" max="13" width="14" style="57" customWidth="1"/>
    <col min="14" max="14" width="52.55468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 x14ac:dyDescent="0.3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376</v>
      </c>
      <c r="O2" s="60"/>
    </row>
    <row r="3" spans="1:15" ht="15" customHeight="1" x14ac:dyDescent="0.3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 x14ac:dyDescent="0.3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 x14ac:dyDescent="0.3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 x14ac:dyDescent="0.3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 x14ac:dyDescent="0.3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377</v>
      </c>
      <c r="O16" s="60"/>
    </row>
    <row r="17" spans="1:15" ht="15" customHeight="1" x14ac:dyDescent="0.3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 x14ac:dyDescent="0.3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 x14ac:dyDescent="0.3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 x14ac:dyDescent="0.3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 x14ac:dyDescent="0.3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 x14ac:dyDescent="0.3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 x14ac:dyDescent="0.3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 x14ac:dyDescent="0.3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 x14ac:dyDescent="0.3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378</v>
      </c>
      <c r="O29" s="60"/>
    </row>
    <row r="30" spans="1:15" ht="15" customHeight="1" x14ac:dyDescent="0.3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 x14ac:dyDescent="0.3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 x14ac:dyDescent="0.3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 x14ac:dyDescent="0.3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 x14ac:dyDescent="0.3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379</v>
      </c>
      <c r="O34" s="60"/>
    </row>
    <row r="35" spans="1:15" ht="15" customHeight="1" x14ac:dyDescent="0.3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 x14ac:dyDescent="0.3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 x14ac:dyDescent="0.3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 x14ac:dyDescent="0.3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 x14ac:dyDescent="0.3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 x14ac:dyDescent="0.3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 x14ac:dyDescent="0.3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 x14ac:dyDescent="0.3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 x14ac:dyDescent="0.3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 x14ac:dyDescent="0.3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 x14ac:dyDescent="0.3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 x14ac:dyDescent="0.3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 x14ac:dyDescent="0.3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 x14ac:dyDescent="0.3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 x14ac:dyDescent="0.3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380</v>
      </c>
      <c r="L58" s="29">
        <v>0.54097222222222219</v>
      </c>
      <c r="M58" s="30" t="str">
        <f t="shared" ca="1" si="13"/>
        <v/>
      </c>
      <c r="N58" s="27" t="s">
        <v>381</v>
      </c>
      <c r="O58" s="60"/>
    </row>
    <row r="59" spans="1:15" ht="15" customHeight="1" x14ac:dyDescent="0.3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 x14ac:dyDescent="0.3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 x14ac:dyDescent="0.3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 x14ac:dyDescent="0.3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 x14ac:dyDescent="0.3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 x14ac:dyDescent="0.3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 x14ac:dyDescent="0.3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382</v>
      </c>
      <c r="O72" s="60"/>
    </row>
    <row r="73" spans="1:15" ht="15" customHeight="1" x14ac:dyDescent="0.3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383</v>
      </c>
      <c r="O73" s="60"/>
    </row>
    <row r="74" spans="1:15" ht="15" customHeight="1" x14ac:dyDescent="0.3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384</v>
      </c>
      <c r="O74" s="60"/>
    </row>
    <row r="75" spans="1:15" ht="15" customHeight="1" x14ac:dyDescent="0.3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385</v>
      </c>
      <c r="O75" s="60"/>
    </row>
    <row r="76" spans="1:15" ht="15" customHeight="1" x14ac:dyDescent="0.3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 x14ac:dyDescent="0.3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 x14ac:dyDescent="0.3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 x14ac:dyDescent="0.3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 x14ac:dyDescent="0.3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386</v>
      </c>
      <c r="O83" s="60"/>
    </row>
    <row r="84" spans="1:15" ht="15" customHeight="1" x14ac:dyDescent="0.3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 x14ac:dyDescent="0.3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 x14ac:dyDescent="0.3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 x14ac:dyDescent="0.3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 x14ac:dyDescent="0.3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 x14ac:dyDescent="0.3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 x14ac:dyDescent="0.3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 x14ac:dyDescent="0.3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387</v>
      </c>
      <c r="O110" s="60"/>
    </row>
    <row r="111" spans="1:15" ht="15" customHeight="1" x14ac:dyDescent="0.3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 x14ac:dyDescent="0.3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 x14ac:dyDescent="0.3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 x14ac:dyDescent="0.3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 x14ac:dyDescent="0.3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 x14ac:dyDescent="0.3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 x14ac:dyDescent="0.3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388</v>
      </c>
      <c r="O124" s="60"/>
    </row>
    <row r="125" spans="1:15" ht="15" customHeight="1" x14ac:dyDescent="0.3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389</v>
      </c>
      <c r="O125" s="60"/>
    </row>
    <row r="126" spans="1:15" ht="15" customHeight="1" x14ac:dyDescent="0.3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 x14ac:dyDescent="0.3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 x14ac:dyDescent="0.3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6.666157407744322E-2</v>
      </c>
      <c r="N128" s="27"/>
      <c r="O128" s="60"/>
    </row>
    <row r="129" spans="1:18" ht="15" customHeight="1" x14ac:dyDescent="0.3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 x14ac:dyDescent="0.3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 x14ac:dyDescent="0.3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0.26596712963299884</v>
      </c>
      <c r="N135" s="36" t="s">
        <v>235</v>
      </c>
      <c r="O135" s="39">
        <v>729290</v>
      </c>
    </row>
    <row r="136" spans="1:18" ht="18" customHeight="1" x14ac:dyDescent="0.3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0.63332824074410987</v>
      </c>
      <c r="N136" s="40" t="s">
        <v>238</v>
      </c>
      <c r="O136" s="48">
        <f>IFERROR(O122+O135,"")</f>
        <v>1003740</v>
      </c>
    </row>
    <row r="137" spans="1:18" ht="15" customHeight="1" x14ac:dyDescent="0.3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 x14ac:dyDescent="0.3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 x14ac:dyDescent="0.3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390</v>
      </c>
      <c r="O139" s="31"/>
    </row>
    <row r="140" spans="1:18" ht="15" customHeight="1" x14ac:dyDescent="0.3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 x14ac:dyDescent="0.3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 x14ac:dyDescent="0.3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 x14ac:dyDescent="0.3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 x14ac:dyDescent="0.3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 x14ac:dyDescent="0.3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 x14ac:dyDescent="0.3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 x14ac:dyDescent="0.3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391</v>
      </c>
      <c r="O152" s="31"/>
    </row>
    <row r="153" spans="1:15" ht="15" customHeight="1" x14ac:dyDescent="0.3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 x14ac:dyDescent="0.3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 x14ac:dyDescent="0.3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 x14ac:dyDescent="0.3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 x14ac:dyDescent="0.3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 x14ac:dyDescent="0.3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 x14ac:dyDescent="0.3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 x14ac:dyDescent="0.3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392</v>
      </c>
      <c r="O168" s="31"/>
    </row>
    <row r="169" spans="1:15" ht="15" customHeight="1" x14ac:dyDescent="0.3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 x14ac:dyDescent="0.3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 x14ac:dyDescent="0.3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 x14ac:dyDescent="0.3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 x14ac:dyDescent="0.3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 x14ac:dyDescent="0.3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 x14ac:dyDescent="0.3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 x14ac:dyDescent="0.3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 x14ac:dyDescent="0.3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393</v>
      </c>
      <c r="O193" s="31"/>
    </row>
    <row r="194" spans="1:15" ht="15" customHeight="1" x14ac:dyDescent="0.3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394</v>
      </c>
      <c r="O194" s="31"/>
    </row>
    <row r="195" spans="1:15" ht="15" customHeight="1" x14ac:dyDescent="0.3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 x14ac:dyDescent="0.3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 x14ac:dyDescent="0.3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 x14ac:dyDescent="0.3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395</v>
      </c>
      <c r="O206" s="60"/>
    </row>
    <row r="207" spans="1:15" ht="15" customHeight="1" x14ac:dyDescent="0.3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 x14ac:dyDescent="0.3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 x14ac:dyDescent="0.3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 x14ac:dyDescent="0.3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 x14ac:dyDescent="0.3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 x14ac:dyDescent="0.3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396</v>
      </c>
      <c r="O218" s="60"/>
    </row>
    <row r="219" spans="1:15" ht="15" customHeight="1" x14ac:dyDescent="0.3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 x14ac:dyDescent="0.3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397</v>
      </c>
      <c r="O220" s="60"/>
    </row>
    <row r="221" spans="1:15" ht="15" customHeight="1" x14ac:dyDescent="0.3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 x14ac:dyDescent="0.3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 x14ac:dyDescent="0.3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 x14ac:dyDescent="0.3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 x14ac:dyDescent="0.3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 x14ac:dyDescent="0.3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 x14ac:dyDescent="0.3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 x14ac:dyDescent="0.3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399</v>
      </c>
      <c r="O232" s="60"/>
    </row>
    <row r="233" spans="1:15" ht="15" customHeight="1" x14ac:dyDescent="0.3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 x14ac:dyDescent="0.3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 x14ac:dyDescent="0.3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 x14ac:dyDescent="0.3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 x14ac:dyDescent="0.3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 x14ac:dyDescent="0.3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 x14ac:dyDescent="0.3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400</v>
      </c>
      <c r="O245" s="60"/>
    </row>
    <row r="246" spans="1:15" ht="15" customHeight="1" x14ac:dyDescent="0.3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 x14ac:dyDescent="0.3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 x14ac:dyDescent="0.3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 x14ac:dyDescent="0.3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 x14ac:dyDescent="0.3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 x14ac:dyDescent="0.3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 x14ac:dyDescent="0.3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 x14ac:dyDescent="0.3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 x14ac:dyDescent="0.3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 x14ac:dyDescent="0.3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 x14ac:dyDescent="0.3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 x14ac:dyDescent="0.3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 x14ac:dyDescent="0.3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 x14ac:dyDescent="0.3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 x14ac:dyDescent="0.3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 x14ac:dyDescent="0.3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 x14ac:dyDescent="0.3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 x14ac:dyDescent="0.3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 x14ac:dyDescent="0.3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 x14ac:dyDescent="0.3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 x14ac:dyDescent="0.3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 x14ac:dyDescent="0.3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 x14ac:dyDescent="0.3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 x14ac:dyDescent="0.3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 x14ac:dyDescent="0.3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 x14ac:dyDescent="0.3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 x14ac:dyDescent="0.3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 x14ac:dyDescent="0.3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401</v>
      </c>
      <c r="O299" s="60"/>
    </row>
    <row r="300" spans="1:15" ht="15" customHeight="1" x14ac:dyDescent="0.3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 x14ac:dyDescent="0.3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 x14ac:dyDescent="0.3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 x14ac:dyDescent="0.3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 x14ac:dyDescent="0.3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 x14ac:dyDescent="0.3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 x14ac:dyDescent="0.3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 x14ac:dyDescent="0.3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 x14ac:dyDescent="0.3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 x14ac:dyDescent="0.3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 x14ac:dyDescent="0.3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 x14ac:dyDescent="0.3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 x14ac:dyDescent="0.3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 x14ac:dyDescent="0.3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 x14ac:dyDescent="0.3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 x14ac:dyDescent="0.3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 x14ac:dyDescent="0.3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 x14ac:dyDescent="0.3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 x14ac:dyDescent="0.3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 x14ac:dyDescent="0.3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 x14ac:dyDescent="0.3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 x14ac:dyDescent="0.3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 x14ac:dyDescent="0.3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 x14ac:dyDescent="0.3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 x14ac:dyDescent="0.3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 x14ac:dyDescent="0.3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 x14ac:dyDescent="0.3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 x14ac:dyDescent="0.3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403</v>
      </c>
      <c r="O347" s="60"/>
    </row>
    <row r="348" spans="1:15" ht="15" customHeight="1" x14ac:dyDescent="0.3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 x14ac:dyDescent="0.3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 x14ac:dyDescent="0.3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 x14ac:dyDescent="0.3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 x14ac:dyDescent="0.3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 x14ac:dyDescent="0.3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 x14ac:dyDescent="0.3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 x14ac:dyDescent="0.3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 x14ac:dyDescent="0.3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 x14ac:dyDescent="0.3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 x14ac:dyDescent="0.3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 x14ac:dyDescent="0.3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 x14ac:dyDescent="0.3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 x14ac:dyDescent="0.3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 x14ac:dyDescent="0.3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 x14ac:dyDescent="0.3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 x14ac:dyDescent="0.3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 x14ac:dyDescent="0.3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 x14ac:dyDescent="0.3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 x14ac:dyDescent="0.3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 x14ac:dyDescent="0.3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 x14ac:dyDescent="0.3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 x14ac:dyDescent="0.3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405</v>
      </c>
      <c r="O380" s="60"/>
    </row>
    <row r="381" spans="1:15" ht="15" customHeight="1" x14ac:dyDescent="0.3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 x14ac:dyDescent="0.3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392</v>
      </c>
      <c r="O382" s="60"/>
    </row>
    <row r="383" spans="1:15" ht="15" customHeight="1" x14ac:dyDescent="0.3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 x14ac:dyDescent="0.3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 x14ac:dyDescent="0.3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 x14ac:dyDescent="0.3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406</v>
      </c>
      <c r="O394" s="60"/>
    </row>
    <row r="395" spans="1:15" ht="15" customHeight="1" x14ac:dyDescent="0.3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 x14ac:dyDescent="0.3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 x14ac:dyDescent="0.3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 x14ac:dyDescent="0.3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407</v>
      </c>
      <c r="O398" s="60"/>
    </row>
    <row r="399" spans="1:15" ht="15" customHeight="1" x14ac:dyDescent="0.3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 x14ac:dyDescent="0.3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 x14ac:dyDescent="0.3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 x14ac:dyDescent="0.3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 x14ac:dyDescent="0.3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 x14ac:dyDescent="0.3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 x14ac:dyDescent="0.3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 x14ac:dyDescent="0.3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 x14ac:dyDescent="0.3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 x14ac:dyDescent="0.3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 x14ac:dyDescent="0.3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 x14ac:dyDescent="0.3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 x14ac:dyDescent="0.3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 x14ac:dyDescent="0.3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 x14ac:dyDescent="0.3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 x14ac:dyDescent="0.3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408</v>
      </c>
      <c r="O425" s="60"/>
    </row>
    <row r="426" spans="1:15" ht="15" customHeight="1" x14ac:dyDescent="0.3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 x14ac:dyDescent="0.3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 x14ac:dyDescent="0.3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 x14ac:dyDescent="0.3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 x14ac:dyDescent="0.3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 x14ac:dyDescent="0.3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 x14ac:dyDescent="0.3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 x14ac:dyDescent="0.3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 x14ac:dyDescent="0.3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 x14ac:dyDescent="0.3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 x14ac:dyDescent="0.3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 x14ac:dyDescent="0.3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 x14ac:dyDescent="0.3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 x14ac:dyDescent="0.3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 x14ac:dyDescent="0.3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 x14ac:dyDescent="0.3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 x14ac:dyDescent="0.3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 x14ac:dyDescent="0.3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 x14ac:dyDescent="0.3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 x14ac:dyDescent="0.3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409</v>
      </c>
      <c r="O461" s="60"/>
    </row>
    <row r="462" spans="1:15" ht="15" customHeight="1" x14ac:dyDescent="0.3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410</v>
      </c>
      <c r="O462" s="60"/>
    </row>
    <row r="463" spans="1:15" ht="15" customHeight="1" x14ac:dyDescent="0.3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 x14ac:dyDescent="0.3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 x14ac:dyDescent="0.3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385</v>
      </c>
      <c r="O465" s="60"/>
    </row>
    <row r="466" spans="1:15" ht="15" customHeight="1" x14ac:dyDescent="0.3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 x14ac:dyDescent="0.3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 x14ac:dyDescent="0.3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 x14ac:dyDescent="0.3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 x14ac:dyDescent="0.3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 x14ac:dyDescent="0.3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385</v>
      </c>
      <c r="O489" s="60"/>
    </row>
    <row r="490" spans="1:15" ht="15" customHeight="1" x14ac:dyDescent="0.3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 x14ac:dyDescent="0.3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 x14ac:dyDescent="0.3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 x14ac:dyDescent="0.3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 x14ac:dyDescent="0.3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 x14ac:dyDescent="0.3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411</v>
      </c>
      <c r="O503" s="60"/>
    </row>
    <row r="504" spans="1:15" ht="15" customHeight="1" x14ac:dyDescent="0.3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 x14ac:dyDescent="0.3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 x14ac:dyDescent="0.3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412</v>
      </c>
      <c r="O515" s="60"/>
    </row>
    <row r="516" spans="1:15" ht="15" customHeight="1" x14ac:dyDescent="0.3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 x14ac:dyDescent="0.3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413</v>
      </c>
      <c r="O517" s="60"/>
    </row>
    <row r="518" spans="1:15" ht="15" customHeight="1" x14ac:dyDescent="0.3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 x14ac:dyDescent="0.3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 x14ac:dyDescent="0.3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 x14ac:dyDescent="0.3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 x14ac:dyDescent="0.3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 x14ac:dyDescent="0.3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 x14ac:dyDescent="0.3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 x14ac:dyDescent="0.3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 x14ac:dyDescent="0.3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 x14ac:dyDescent="0.3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 x14ac:dyDescent="0.3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414</v>
      </c>
      <c r="O542" s="60"/>
    </row>
    <row r="543" spans="1:15" ht="15" customHeight="1" x14ac:dyDescent="0.3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415</v>
      </c>
      <c r="O543" s="60"/>
    </row>
    <row r="544" spans="1:15" ht="15" customHeight="1" x14ac:dyDescent="0.3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416</v>
      </c>
      <c r="O544" s="60"/>
    </row>
    <row r="545" spans="1:15" ht="15" customHeight="1" x14ac:dyDescent="0.3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 x14ac:dyDescent="0.3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 x14ac:dyDescent="0.3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 x14ac:dyDescent="0.3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6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 x14ac:dyDescent="0.3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417</v>
      </c>
      <c r="O557" s="60"/>
    </row>
    <row r="558" spans="1:15" ht="15" customHeight="1" x14ac:dyDescent="0.3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 x14ac:dyDescent="0.3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 x14ac:dyDescent="0.3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418</v>
      </c>
      <c r="O569" s="60"/>
    </row>
    <row r="570" spans="1:15" ht="15" customHeight="1" x14ac:dyDescent="0.3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 x14ac:dyDescent="0.3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 x14ac:dyDescent="0.3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3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 x14ac:dyDescent="0.3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 x14ac:dyDescent="0.3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 x14ac:dyDescent="0.3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 x14ac:dyDescent="0.3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 x14ac:dyDescent="0.3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 x14ac:dyDescent="0.3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 x14ac:dyDescent="0.3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 x14ac:dyDescent="0.3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 x14ac:dyDescent="0.3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 x14ac:dyDescent="0.3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 x14ac:dyDescent="0.3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 x14ac:dyDescent="0.3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 x14ac:dyDescent="0.3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 x14ac:dyDescent="0.3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 x14ac:dyDescent="0.3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 x14ac:dyDescent="0.3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 x14ac:dyDescent="0.3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 x14ac:dyDescent="0.3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419</v>
      </c>
      <c r="O601" s="60"/>
    </row>
    <row r="602" spans="1:15" ht="15" customHeight="1" x14ac:dyDescent="0.3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 x14ac:dyDescent="0.3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 x14ac:dyDescent="0.3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 x14ac:dyDescent="0.3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 x14ac:dyDescent="0.3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 x14ac:dyDescent="0.3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 x14ac:dyDescent="0.3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 x14ac:dyDescent="0.3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 x14ac:dyDescent="0.3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 x14ac:dyDescent="0.3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 x14ac:dyDescent="0.3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 x14ac:dyDescent="0.3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420</v>
      </c>
      <c r="O627" s="60"/>
    </row>
    <row r="628" spans="1:15" ht="15" customHeight="1" x14ac:dyDescent="0.3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 x14ac:dyDescent="0.3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 x14ac:dyDescent="0.3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421</v>
      </c>
      <c r="O636" s="60"/>
    </row>
    <row r="637" spans="1:15" ht="15" customHeight="1" x14ac:dyDescent="0.3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 x14ac:dyDescent="0.3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 x14ac:dyDescent="0.3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 x14ac:dyDescent="0.3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 x14ac:dyDescent="0.3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422</v>
      </c>
      <c r="O650" s="60"/>
    </row>
    <row r="651" spans="1:15" ht="15" customHeight="1" x14ac:dyDescent="0.3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 x14ac:dyDescent="0.3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 x14ac:dyDescent="0.3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 x14ac:dyDescent="0.3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423</v>
      </c>
      <c r="O666" s="60"/>
    </row>
    <row r="667" spans="1:15" ht="15" customHeight="1" x14ac:dyDescent="0.3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 x14ac:dyDescent="0.3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 x14ac:dyDescent="0.3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 x14ac:dyDescent="0.3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 x14ac:dyDescent="0.3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 x14ac:dyDescent="0.3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 x14ac:dyDescent="0.3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 x14ac:dyDescent="0.3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 x14ac:dyDescent="0.3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 x14ac:dyDescent="0.3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 x14ac:dyDescent="0.3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424</v>
      </c>
      <c r="O691" s="60"/>
    </row>
    <row r="692" spans="1:15" ht="15" customHeight="1" x14ac:dyDescent="0.3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425</v>
      </c>
      <c r="O692" s="60"/>
    </row>
    <row r="693" spans="1:15" ht="15" customHeight="1" x14ac:dyDescent="0.3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 x14ac:dyDescent="0.3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 x14ac:dyDescent="0.3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 x14ac:dyDescent="0.3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 x14ac:dyDescent="0.3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 x14ac:dyDescent="0.3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 x14ac:dyDescent="0.3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 x14ac:dyDescent="0.3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 x14ac:dyDescent="0.3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 x14ac:dyDescent="0.3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 x14ac:dyDescent="0.3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 x14ac:dyDescent="0.3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 x14ac:dyDescent="0.3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 x14ac:dyDescent="0.3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 x14ac:dyDescent="0.3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 x14ac:dyDescent="0.3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426</v>
      </c>
      <c r="O723" s="60"/>
    </row>
    <row r="724" spans="1:15" ht="15" customHeight="1" x14ac:dyDescent="0.3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 x14ac:dyDescent="0.3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 x14ac:dyDescent="0.3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 x14ac:dyDescent="0.3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427</v>
      </c>
      <c r="O732" s="60"/>
    </row>
    <row r="733" spans="1:15" ht="15" customHeight="1" x14ac:dyDescent="0.3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 x14ac:dyDescent="0.3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428</v>
      </c>
      <c r="O734" s="60"/>
    </row>
    <row r="735" spans="1:15" ht="15" customHeight="1" x14ac:dyDescent="0.3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 x14ac:dyDescent="0.3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 x14ac:dyDescent="0.3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 x14ac:dyDescent="0.3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 x14ac:dyDescent="0.3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 x14ac:dyDescent="0.3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 x14ac:dyDescent="0.3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 x14ac:dyDescent="0.3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 x14ac:dyDescent="0.3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 x14ac:dyDescent="0.3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 x14ac:dyDescent="0.3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 x14ac:dyDescent="0.3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 x14ac:dyDescent="0.3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 x14ac:dyDescent="0.3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 x14ac:dyDescent="0.3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 x14ac:dyDescent="0.3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 x14ac:dyDescent="0.3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 x14ac:dyDescent="0.3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 x14ac:dyDescent="0.3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425</v>
      </c>
      <c r="O771" s="60"/>
    </row>
    <row r="772" spans="1:15" ht="15" customHeight="1" x14ac:dyDescent="0.3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 x14ac:dyDescent="0.3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 x14ac:dyDescent="0.3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429</v>
      </c>
      <c r="O774" s="60"/>
    </row>
    <row r="775" spans="1:15" ht="15" customHeight="1" x14ac:dyDescent="0.3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 x14ac:dyDescent="0.3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 x14ac:dyDescent="0.3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100" t="s">
        <v>22</v>
      </c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46233</v>
      </c>
      <c r="B788" s="25">
        <f t="shared" si="175"/>
        <v>0.45833333333333304</v>
      </c>
      <c r="C788" s="33" t="s">
        <v>29</v>
      </c>
      <c r="D788" s="100" t="s">
        <v>22</v>
      </c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46233</v>
      </c>
      <c r="B790" s="25">
        <f t="shared" si="175"/>
        <v>0.54166666666666641</v>
      </c>
      <c r="C790" s="33" t="s">
        <v>29</v>
      </c>
      <c r="D790" s="100" t="s">
        <v>22</v>
      </c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46233</v>
      </c>
      <c r="B792" s="25">
        <f t="shared" si="175"/>
        <v>0.62499999999999967</v>
      </c>
      <c r="C792" s="33" t="s">
        <v>29</v>
      </c>
      <c r="D792" s="100" t="s">
        <v>22</v>
      </c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46233</v>
      </c>
      <c r="B794" s="25">
        <f t="shared" si="175"/>
        <v>0.70833333333333293</v>
      </c>
      <c r="C794" s="33" t="s">
        <v>29</v>
      </c>
      <c r="D794" s="100" t="s">
        <v>22</v>
      </c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46233</v>
      </c>
      <c r="B796" s="25">
        <f t="shared" si="175"/>
        <v>0.79166666666666619</v>
      </c>
      <c r="C796" s="33" t="s">
        <v>29</v>
      </c>
      <c r="D796" s="100" t="s">
        <v>22</v>
      </c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 x14ac:dyDescent="0.3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 x14ac:dyDescent="0.3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2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2026-07-30T11:35:35Z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