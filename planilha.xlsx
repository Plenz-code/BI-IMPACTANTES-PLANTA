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42" documentId="8_{AF585B22-221D-4780-BB9C-493D365A6A02}" xr6:coauthVersionLast="47" xr6:coauthVersionMax="47" xr10:uidLastSave="{A085050B-E287-45ED-AB92-619FBEF1AA2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<sst xmlns="http://schemas.openxmlformats.org/spreadsheetml/2006/main" count="9652" uniqueCount="383">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</sst>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8" sqref="F6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135</v>
      </c>
      <c r="G635" s="36">
        <f>SUM(G623:G634)</f>
        <v>675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135</v>
      </c>
      <c r="G649" s="40">
        <f>G635+G648</f>
        <v>675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8" sqref="F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0.26391203703678912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0.421550925925678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0.53127314814790016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0.24238425926159834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0.41321759259493174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0.55835648148382067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/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M624" s="30" t="str">
        <f ca="1">IFERROR(IF(K624="","",IF(L623="",MOD(NOW()-K624,1),IF(L623&gt;=K624,L623-K624,L623+1-K624))),"")</f>
        <v/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51</v>
      </c>
      <c r="G635" s="36">
        <f>SUM(G623:G634)</f>
        <v>214.2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51</v>
      </c>
      <c r="G649" s="40">
        <f>G635+G648</f>
        <v>214.2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8" sqref="F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70</v>
      </c>
      <c r="G635" s="36">
        <f>SUM(G623:G634)</f>
        <v>294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70</v>
      </c>
      <c r="G649" s="40">
        <f>G635+G648</f>
        <v>294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F628" sqref="F6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0.25418981481925584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0.45349537037481147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0.8208564814859225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18</v>
      </c>
      <c r="I624" s="26" t="s">
        <v>126</v>
      </c>
      <c r="J624" s="26"/>
      <c r="K624" s="29">
        <v>0.49236111111111114</v>
      </c>
      <c r="L624" s="29"/>
      <c r="M624" s="30">
        <f t="shared" ca="1" si="139"/>
        <v>1.1134259264508728E-2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64</v>
      </c>
      <c r="G635" s="36">
        <f>SUM(G623:G634)</f>
        <v>268.8</v>
      </c>
      <c r="H635" s="37"/>
      <c r="I635" s="37"/>
      <c r="J635" s="37"/>
      <c r="K635" s="61"/>
      <c r="L635" s="61"/>
      <c r="M635" s="38">
        <f ca="1">IFERROR(SUM(M623:M634),"")</f>
        <v>1.4606481486730993E-2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</v>
      </c>
      <c r="G649" s="40">
        <f>G635+G648</f>
        <v>268.8</v>
      </c>
      <c r="H649" s="41"/>
      <c r="I649" s="41"/>
      <c r="J649" s="41"/>
      <c r="K649" s="63"/>
      <c r="L649" s="63"/>
      <c r="M649" s="42">
        <f ca="1">IFERROR(M635+M648,"")</f>
        <v>1.4606481486730993E-2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2026-07-24T16:05:57Z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