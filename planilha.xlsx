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10" documentId="8_{AF585B22-221D-4780-BB9C-493D365A6A02}" xr6:coauthVersionLast="47" xr6:coauthVersionMax="47" xr10:uidLastSave="{F02FF399-B3EC-40A8-BA45-76E69E5EB523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<sst xmlns="http://schemas.openxmlformats.org/spreadsheetml/2006/main" count="12560" uniqueCount="445">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</sst>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10" activePane="bottomLeft" state="frozen"/>
      <selection pane="bottomLeft" activeCell="F831" sqref="F8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153</v>
      </c>
      <c r="G837" s="109">
        <f>SUM(G825:G836)</f>
        <v>765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286</v>
      </c>
      <c r="G838" s="111">
        <f>G824+G837</f>
        <v>765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8" activePane="bottomLeft" state="frozen"/>
      <selection pane="bottomLeft" activeCell="F830" sqref="F8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0.80443310184637085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0.96207199073525973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1.071794212957482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0.78290532407118008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0.95373865740451347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1.0988775462934024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112</v>
      </c>
      <c r="G837" s="109">
        <f>SUM(G825:G836)</f>
        <v>483.20000000000005</v>
      </c>
      <c r="H837" s="37"/>
      <c r="I837" s="37"/>
      <c r="J837" s="37"/>
      <c r="K837" s="37"/>
      <c r="L837" s="37"/>
      <c r="M837" s="110">
        <f ca="1">IFERROR(SUM(M825:M836),"")</f>
        <v>2.7777777777777707E-2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281</v>
      </c>
      <c r="G838" s="111">
        <f>G824+G837</f>
        <v>1193</v>
      </c>
      <c r="H838" s="41"/>
      <c r="I838" s="41"/>
      <c r="J838" s="41"/>
      <c r="K838" s="41"/>
      <c r="L838" s="41"/>
      <c r="M838" s="112">
        <f ca="1">IFERROR(M824+M837,"")</f>
        <v>0.13263888888888883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G836" sqref="G8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68</v>
      </c>
      <c r="G837" s="109">
        <f>SUM(G825:G836)</f>
        <v>294.39999999999998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163</v>
      </c>
      <c r="G838" s="111">
        <f>G824+G837</f>
        <v>693.39999999999986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0" sqref="F8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0.79471087962883757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0.9940164351843932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1.3613775462955042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25</v>
      </c>
      <c r="G829" s="104">
        <f>IF(F829="","",IF(E829="PC 17",F829*4.2,IF(E829="PC 19",F829*5,"")))</f>
        <v>105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64</v>
      </c>
      <c r="G837" s="109">
        <f>SUM(G825:G836)</f>
        <v>268.8</v>
      </c>
      <c r="H837" s="37"/>
      <c r="I837" s="37"/>
      <c r="J837" s="37"/>
      <c r="K837" s="37"/>
      <c r="L837" s="37"/>
      <c r="M837" s="110">
        <f ca="1">IFERROR(SUM(M825:M836),"")</f>
        <v>3.0555555555555558E-2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183</v>
      </c>
      <c r="G838" s="111">
        <f>G824+G837</f>
        <v>768.60000000000014</v>
      </c>
      <c r="H838" s="41"/>
      <c r="I838" s="41"/>
      <c r="J838" s="41"/>
      <c r="K838" s="41"/>
      <c r="L838" s="41"/>
      <c r="M838" s="112">
        <f ca="1">IFERROR(M824+M837,"")</f>
        <v>0.1465277777777777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2026-08-01T05:03:57Z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