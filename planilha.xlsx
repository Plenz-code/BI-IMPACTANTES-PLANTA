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830" documentId="13_ncr:1_{0A10D8D4-8450-4366-8075-B53B08E6B7EA}" xr6:coauthVersionLast="47" xr6:coauthVersionMax="47" xr10:uidLastSave="{21A7A559-F889-45A8-A8AB-D60D4A28377B}"/>
  <bookViews>
    <workbookView xWindow="-28920" yWindow="-6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5" i="6"/>
  <c r="J395" i="6" s="1"/>
  <c r="H396" i="6"/>
  <c r="J396" i="6" s="1"/>
  <c r="H397" i="6"/>
  <c r="J397" i="6" s="1"/>
  <c r="H398" i="6"/>
  <c r="J398" i="6" s="1"/>
  <c r="H399" i="6"/>
  <c r="J399" i="6" s="1"/>
  <c r="H400" i="6"/>
  <c r="J400" i="6" s="1"/>
  <c r="H401" i="6"/>
  <c r="J401" i="6" s="1"/>
  <c r="H402" i="6"/>
  <c r="J402" i="6" s="1"/>
  <c r="H403" i="6"/>
  <c r="J403" i="6" s="1"/>
  <c r="H404" i="6"/>
  <c r="J404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5" i="5"/>
  <c r="J395" i="5" s="1"/>
  <c r="H396" i="5"/>
  <c r="J396" i="5" s="1"/>
  <c r="H397" i="5"/>
  <c r="J397" i="5" s="1"/>
  <c r="H398" i="5"/>
  <c r="J398" i="5" s="1"/>
  <c r="H399" i="5"/>
  <c r="J399" i="5" s="1"/>
  <c r="H400" i="5"/>
  <c r="J400" i="5" s="1"/>
  <c r="H401" i="5"/>
  <c r="J401" i="5" s="1"/>
  <c r="H402" i="5"/>
  <c r="J402" i="5" s="1"/>
  <c r="H403" i="5"/>
  <c r="J403" i="5" s="1"/>
  <c r="H404" i="5"/>
  <c r="J404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5" i="4"/>
  <c r="J395" i="4" s="1"/>
  <c r="H396" i="4"/>
  <c r="J396" i="4" s="1"/>
  <c r="H397" i="4"/>
  <c r="J397" i="4" s="1"/>
  <c r="H398" i="4"/>
  <c r="J398" i="4" s="1"/>
  <c r="H399" i="4"/>
  <c r="J399" i="4" s="1"/>
  <c r="H400" i="4"/>
  <c r="J400" i="4" s="1"/>
  <c r="H401" i="4"/>
  <c r="J401" i="4" s="1"/>
  <c r="H402" i="4"/>
  <c r="J402" i="4" s="1"/>
  <c r="H403" i="4"/>
  <c r="J403" i="4" s="1"/>
  <c r="H404" i="4"/>
  <c r="J404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93" i="6" l="1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G406" i="6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380" i="6" l="1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92" i="6" l="1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<sst xmlns="http://schemas.openxmlformats.org/spreadsheetml/2006/main" count="6904" uniqueCount="351">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</sst>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40" sqref="F40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2491620</v>
      </c>
      <c r="D18" s="8">
        <f>IFERROR('Linha 1'!S406,"")</f>
        <v>820320</v>
      </c>
      <c r="E18" s="8">
        <f>IFERROR('Linha 2'!S406,"")</f>
        <v>479620</v>
      </c>
      <c r="F18" s="8">
        <f>IFERROR('Linha 3'!S406,"")</f>
        <v>675670</v>
      </c>
      <c r="G18" s="9">
        <f>IFERROR(D18+E18+F18,"")</f>
        <v>1975610</v>
      </c>
      <c r="H18" s="96">
        <f>IFERROR('Linha 1'!T406+'Linha 2'!T406+'Linha 3'!T406,0)</f>
        <v>405.41971156626499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53780520</v>
      </c>
      <c r="D35" s="13">
        <f t="shared" si="2"/>
        <v>17473480</v>
      </c>
      <c r="E35" s="13">
        <f t="shared" si="2"/>
        <v>8945310</v>
      </c>
      <c r="F35" s="13">
        <f t="shared" si="2"/>
        <v>22519480</v>
      </c>
      <c r="G35" s="13">
        <f t="shared" si="2"/>
        <v>48938270</v>
      </c>
      <c r="H35" s="97">
        <f t="shared" si="2"/>
        <v>2759.0377331065752</v>
      </c>
      <c r="I35" s="97">
        <f>IFERROR(SUM(I4:I34),"")</f>
        <v>2403.2399999999998</v>
      </c>
      <c r="J35" s="130">
        <f>IFERROR(AVERAGE(J4:J34),"-")</f>
        <v>0.71867777186346116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76" activePane="bottomLeft" state="frozen"/>
      <selection pane="bottomLeft" activeCell="F395" sqref="F39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23" t="s">
        <v>234</v>
      </c>
      <c r="G1" s="23" t="s">
        <v>235</v>
      </c>
      <c r="H1" s="23" t="s">
        <v>21</v>
      </c>
      <c r="I1" s="23" t="s">
        <v>22</v>
      </c>
      <c r="J1" s="23" t="s">
        <v>236</v>
      </c>
      <c r="K1" s="23" t="s">
        <v>237</v>
      </c>
      <c r="L1" s="23" t="s">
        <v>238</v>
      </c>
      <c r="M1" s="24" t="s">
        <v>239</v>
      </c>
      <c r="N1" s="23" t="s">
        <v>240</v>
      </c>
      <c r="O1" s="23" t="s">
        <v>241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243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244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242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242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245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246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244</v>
      </c>
      <c r="O27" s="39">
        <v>997910</v>
      </c>
    </row>
    <row r="28" spans="1:15" ht="18" customHeight="1">
      <c r="A28" s="160" t="s">
        <v>247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248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242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249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242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245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243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244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250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242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242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242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242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242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246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244</v>
      </c>
      <c r="O54" s="39">
        <v>981310</v>
      </c>
    </row>
    <row r="55" spans="1:15" ht="18" customHeight="1">
      <c r="A55" s="160" t="s">
        <v>247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248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242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243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244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242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251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246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244</v>
      </c>
      <c r="O81" s="39">
        <v>1547910</v>
      </c>
    </row>
    <row r="82" spans="1:15" ht="18" customHeight="1">
      <c r="A82" s="160" t="s">
        <v>247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248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242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242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252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243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244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253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246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244</v>
      </c>
      <c r="O108" s="39">
        <v>3156240</v>
      </c>
    </row>
    <row r="109" spans="1:15" ht="18" customHeight="1">
      <c r="A109" s="160" t="s">
        <v>247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248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243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244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246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244</v>
      </c>
      <c r="O135" s="39">
        <v>2875180</v>
      </c>
    </row>
    <row r="136" spans="1:15" ht="18" customHeight="1">
      <c r="A136" s="160" t="s">
        <v>247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248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254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242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242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242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243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244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242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255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242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242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242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246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244</v>
      </c>
      <c r="O162" s="44">
        <v>842000</v>
      </c>
    </row>
    <row r="163" spans="1:15" ht="18" customHeight="1">
      <c r="A163" s="160" t="s">
        <v>247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248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256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242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242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242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242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242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242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242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242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242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243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244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242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257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242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242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242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242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242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242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242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258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242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242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242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246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244</v>
      </c>
      <c r="O189" s="39">
        <v>1901630</v>
      </c>
    </row>
    <row r="190" spans="1:15" ht="18" customHeight="1">
      <c r="A190" s="160" t="s">
        <v>247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248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242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242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242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259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242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242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242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242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242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242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242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242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243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244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242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242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242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242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242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242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242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242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242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242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242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242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246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244</v>
      </c>
      <c r="O216" s="45">
        <v>1852295</v>
      </c>
    </row>
    <row r="217" spans="1:15" ht="18" customHeight="1">
      <c r="A217" s="160" t="s">
        <v>247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248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242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242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242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260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242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242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242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242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242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242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242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243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244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242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242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242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261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261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261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261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261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261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261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261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261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246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244</v>
      </c>
      <c r="O243" s="39">
        <v>991010</v>
      </c>
    </row>
    <row r="244" spans="1:15" ht="18" customHeight="1">
      <c r="A244" s="160" t="s">
        <v>247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248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242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242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242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242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242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262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242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242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242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242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242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242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242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243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244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263</v>
      </c>
      <c r="E258" s="62" t="s">
        <v>242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263</v>
      </c>
      <c r="E259" s="62" t="s">
        <v>242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263</v>
      </c>
      <c r="E260" s="62" t="s">
        <v>242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263</v>
      </c>
      <c r="E261" s="62" t="s">
        <v>242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263</v>
      </c>
      <c r="E262" s="62" t="s">
        <v>242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263</v>
      </c>
      <c r="E263" s="62" t="s">
        <v>242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263</v>
      </c>
      <c r="E264" s="62" t="s">
        <v>242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263</v>
      </c>
      <c r="E265" s="62" t="s">
        <v>242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263</v>
      </c>
      <c r="E266" s="62" t="s">
        <v>242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263</v>
      </c>
      <c r="E267" s="62" t="s">
        <v>242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263</v>
      </c>
      <c r="E268" s="62" t="s">
        <v>242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263</v>
      </c>
      <c r="E269" s="62" t="s">
        <v>242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246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244</v>
      </c>
      <c r="O270" s="39">
        <v>1544700</v>
      </c>
    </row>
    <row r="271" spans="1:15" ht="18" customHeight="1">
      <c r="A271" s="160" t="s">
        <v>247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248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263</v>
      </c>
      <c r="E272" s="59" t="s">
        <v>242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263</v>
      </c>
      <c r="E273" s="59" t="s">
        <v>242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263</v>
      </c>
      <c r="E274" s="59" t="s">
        <v>242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263</v>
      </c>
      <c r="E275" s="59" t="s">
        <v>242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263</v>
      </c>
      <c r="E276" s="59" t="s">
        <v>242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263</v>
      </c>
      <c r="E277" s="59" t="s">
        <v>242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264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263</v>
      </c>
      <c r="E278" s="59" t="s">
        <v>242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263</v>
      </c>
      <c r="E279" s="59" t="s">
        <v>242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263</v>
      </c>
      <c r="E280" s="59" t="s">
        <v>242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263</v>
      </c>
      <c r="E281" s="59" t="s">
        <v>242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263</v>
      </c>
      <c r="E282" s="59" t="s">
        <v>242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263</v>
      </c>
      <c r="E283" s="59" t="s">
        <v>242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243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244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263</v>
      </c>
      <c r="E285" s="62" t="s">
        <v>258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263</v>
      </c>
      <c r="E286" s="62" t="s">
        <v>258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263</v>
      </c>
      <c r="E287" s="62" t="s">
        <v>258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263</v>
      </c>
      <c r="E288" s="62" t="s">
        <v>258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263</v>
      </c>
      <c r="E289" s="62" t="s">
        <v>258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263</v>
      </c>
      <c r="E290" s="62" t="s">
        <v>258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263</v>
      </c>
      <c r="E291" s="62" t="s">
        <v>258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263</v>
      </c>
      <c r="E292" s="62" t="s">
        <v>258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263</v>
      </c>
      <c r="E293" s="62" t="s">
        <v>258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263</v>
      </c>
      <c r="E294" s="62" t="s">
        <v>258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263</v>
      </c>
      <c r="E295" s="62" t="s">
        <v>258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263</v>
      </c>
      <c r="E296" s="62" t="s">
        <v>258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246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244</v>
      </c>
      <c r="O297" s="39">
        <v>1715230</v>
      </c>
    </row>
    <row r="298" spans="1:15" ht="18" customHeight="1">
      <c r="A298" s="160" t="s">
        <v>247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248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242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242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242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242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265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242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242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242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242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242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242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242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242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243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244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242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242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242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242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242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242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242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242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242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242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242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242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246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244</v>
      </c>
      <c r="O324" s="39">
        <v>2216340</v>
      </c>
    </row>
    <row r="325" spans="1:15" ht="18" customHeight="1">
      <c r="A325" s="160" t="s">
        <v>247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248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266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242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242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242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267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242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242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242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242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243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244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242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242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242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242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242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242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242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242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242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242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242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242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246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244</v>
      </c>
      <c r="O351" s="39">
        <v>2154990</v>
      </c>
    </row>
    <row r="352" spans="1:15" ht="18" customHeight="1">
      <c r="A352" s="160" t="s">
        <v>247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248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242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242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242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242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242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242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258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242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242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242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242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242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243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244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242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242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242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242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242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242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242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242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242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242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242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242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246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244</v>
      </c>
      <c r="O378" s="39">
        <v>2614830</v>
      </c>
    </row>
    <row r="379" spans="1:15" ht="18" customHeight="1">
      <c r="A379" s="160" t="s">
        <v>247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248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242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242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242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242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242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242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242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242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242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242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242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242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243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244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242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/>
      <c r="M393" s="35">
        <f t="shared" ref="M393:M404" ca="1" si="83">IFERROR(IF(K393="","",IF(L393="",MOD(NOW()-K393,1),IF(L393&gt;=K393,L393-K393,L393+1-K393))),"")</f>
        <v>3.740057870891178E-2</v>
      </c>
      <c r="N393" s="46"/>
      <c r="O393" s="47" t="s">
        <v>268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242</v>
      </c>
      <c r="F394" s="27">
        <v>20</v>
      </c>
      <c r="G394" s="28">
        <f t="shared" si="82"/>
        <v>100</v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242</v>
      </c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242</v>
      </c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242</v>
      </c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242</v>
      </c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242</v>
      </c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29</v>
      </c>
      <c r="E400" s="62" t="s">
        <v>242</v>
      </c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29</v>
      </c>
      <c r="E401" s="62" t="s">
        <v>242</v>
      </c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29</v>
      </c>
      <c r="E402" s="62" t="s">
        <v>242</v>
      </c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29</v>
      </c>
      <c r="E403" s="62" t="s">
        <v>242</v>
      </c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29</v>
      </c>
      <c r="E404" s="62" t="s">
        <v>242</v>
      </c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246</v>
      </c>
      <c r="B405" s="159"/>
      <c r="C405" s="159"/>
      <c r="D405" s="159"/>
      <c r="E405" s="169">
        <f>SUM(E393:E404)</f>
        <v>0</v>
      </c>
      <c r="F405" s="36">
        <f>SUM(F393:F404)</f>
        <v>65</v>
      </c>
      <c r="G405" s="36">
        <f>SUM(G393:G404)</f>
        <v>325</v>
      </c>
      <c r="H405" s="37"/>
      <c r="I405" s="37"/>
      <c r="J405" s="37"/>
      <c r="K405" s="37"/>
      <c r="L405" s="37"/>
      <c r="M405" s="38">
        <f ca="1">IFERROR(SUM(M393:M404),"")</f>
        <v>3.740057870891178E-2</v>
      </c>
      <c r="N405" s="36" t="s">
        <v>244</v>
      </c>
      <c r="O405" s="39"/>
    </row>
    <row r="406" spans="1:15" ht="18" customHeight="1">
      <c r="A406" s="160" t="s">
        <v>247</v>
      </c>
      <c r="B406" s="161"/>
      <c r="C406" s="161"/>
      <c r="D406" s="161"/>
      <c r="E406" s="170">
        <f>E392+E405</f>
        <v>0</v>
      </c>
      <c r="F406" s="40">
        <f>F392+F405</f>
        <v>345</v>
      </c>
      <c r="G406" s="40">
        <f>G392+G405</f>
        <v>1740</v>
      </c>
      <c r="H406" s="41"/>
      <c r="I406" s="41"/>
      <c r="J406" s="41"/>
      <c r="K406" s="41"/>
      <c r="L406" s="41"/>
      <c r="M406" s="42">
        <f ca="1">IFERROR(M392+M405,"")</f>
        <v>3.740057870891178E-2</v>
      </c>
      <c r="N406" s="40" t="s">
        <v>248</v>
      </c>
      <c r="O406" s="48">
        <f>IFERROR(O392+O405,"")</f>
        <v>2491620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243</v>
      </c>
      <c r="B419" s="159"/>
      <c r="C419" s="159"/>
      <c r="D419" s="159"/>
      <c r="E419" s="16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244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246</v>
      </c>
      <c r="B432" s="159"/>
      <c r="C432" s="159"/>
      <c r="D432" s="159"/>
      <c r="E432" s="16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244</v>
      </c>
      <c r="O432" s="39"/>
    </row>
    <row r="433" spans="1:15" ht="18" customHeight="1">
      <c r="A433" s="160" t="s">
        <v>247</v>
      </c>
      <c r="B433" s="161"/>
      <c r="C433" s="161"/>
      <c r="D433" s="161"/>
      <c r="E433" s="17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248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243</v>
      </c>
      <c r="B446" s="159"/>
      <c r="C446" s="159"/>
      <c r="D446" s="159"/>
      <c r="E446" s="16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244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246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244</v>
      </c>
      <c r="O459" s="39"/>
    </row>
    <row r="460" spans="1:15" ht="18" customHeight="1">
      <c r="A460" s="160" t="s">
        <v>247</v>
      </c>
      <c r="B460" s="161"/>
      <c r="C460" s="161"/>
      <c r="D460" s="161"/>
      <c r="E460" s="17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248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243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244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246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244</v>
      </c>
      <c r="O486" s="39"/>
    </row>
    <row r="487" spans="1:15" ht="18" customHeight="1">
      <c r="A487" s="160" t="s">
        <v>247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248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243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244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246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244</v>
      </c>
      <c r="O513" s="39"/>
    </row>
    <row r="514" spans="1:15" ht="18" customHeight="1">
      <c r="A514" s="160" t="s">
        <v>247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248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243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244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246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244</v>
      </c>
      <c r="O540" s="39"/>
    </row>
    <row r="541" spans="1:15" ht="18" customHeight="1">
      <c r="A541" s="160" t="s">
        <v>247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248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243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244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246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244</v>
      </c>
      <c r="O567" s="39"/>
    </row>
    <row r="568" spans="1:15" ht="18" customHeight="1">
      <c r="A568" s="160" t="s">
        <v>247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248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243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244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246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244</v>
      </c>
      <c r="O594" s="39"/>
    </row>
    <row r="595" spans="1:15" ht="18" customHeight="1">
      <c r="A595" s="160" t="s">
        <v>247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248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243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244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246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244</v>
      </c>
      <c r="O621" s="39"/>
    </row>
    <row r="622" spans="1:15" ht="18" customHeight="1">
      <c r="A622" s="160" t="s">
        <v>247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248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243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244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246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244</v>
      </c>
      <c r="O648" s="39"/>
    </row>
    <row r="649" spans="1:15" ht="18" customHeight="1">
      <c r="A649" s="160" t="s">
        <v>247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248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243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244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246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244</v>
      </c>
      <c r="O675" s="39"/>
    </row>
    <row r="676" spans="1:15" ht="18" customHeight="1">
      <c r="A676" s="160" t="s">
        <v>247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248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243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244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246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244</v>
      </c>
      <c r="O702" s="39"/>
    </row>
    <row r="703" spans="1:15" ht="18" customHeight="1">
      <c r="A703" s="160" t="s">
        <v>247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248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243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244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246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244</v>
      </c>
      <c r="O729" s="39"/>
    </row>
    <row r="730" spans="1:15" ht="18" customHeight="1">
      <c r="A730" s="160" t="s">
        <v>247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248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243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244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246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244</v>
      </c>
      <c r="O756" s="39"/>
    </row>
    <row r="757" spans="1:15" ht="18" customHeight="1">
      <c r="A757" s="160" t="s">
        <v>247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248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243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244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246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244</v>
      </c>
      <c r="O783" s="39"/>
    </row>
    <row r="784" spans="1:15" ht="18" customHeight="1">
      <c r="A784" s="160" t="s">
        <v>247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248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243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244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246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244</v>
      </c>
      <c r="O810" s="39"/>
    </row>
    <row r="811" spans="1:15" ht="18" customHeight="1">
      <c r="A811" s="174" t="s">
        <v>247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248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243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244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246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244</v>
      </c>
      <c r="O837" s="39"/>
    </row>
    <row r="838" spans="1:15" ht="18" customHeight="1">
      <c r="A838" s="160" t="s">
        <v>247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248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75" activePane="bottomLeft" state="frozen"/>
      <selection pane="bottomLeft" activeCell="G395" sqref="G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244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258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258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258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258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258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258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258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258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258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258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258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244</v>
      </c>
      <c r="S27" s="45">
        <v>549860</v>
      </c>
      <c r="T27" s="122"/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248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244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0.76309502314688871</v>
      </c>
      <c r="R53" s="46" t="s">
        <v>279</v>
      </c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0.90198391203577755</v>
      </c>
      <c r="R54" s="36" t="s">
        <v>244</v>
      </c>
      <c r="S54" s="75">
        <v>352430</v>
      </c>
      <c r="T54" s="117"/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0.98670613425799991</v>
      </c>
      <c r="R55" s="40" t="s">
        <v>248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244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258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244</v>
      </c>
      <c r="S81" s="54">
        <v>634210</v>
      </c>
      <c r="T81" s="118"/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248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258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244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245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244</v>
      </c>
      <c r="S108" s="54">
        <v>456830</v>
      </c>
      <c r="T108" s="118"/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248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244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244</v>
      </c>
      <c r="S135" s="54">
        <v>756720</v>
      </c>
      <c r="T135" s="118"/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248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244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244</v>
      </c>
      <c r="S162" s="54">
        <v>501750</v>
      </c>
      <c r="T162" s="118"/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248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258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258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258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258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258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258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258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258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258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258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244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258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258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258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258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244</v>
      </c>
      <c r="S189" s="45">
        <v>362530</v>
      </c>
      <c r="T189" s="122"/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248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244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244</v>
      </c>
      <c r="S216" s="45">
        <v>609740</v>
      </c>
      <c r="T216" s="122"/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248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245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243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244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245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244</v>
      </c>
      <c r="S243" s="45">
        <v>825930</v>
      </c>
      <c r="T243" s="122"/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248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244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258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258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258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258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258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258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258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258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258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258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258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258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45">
        <v>732130</v>
      </c>
      <c r="T270" s="122"/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248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258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258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258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258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242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258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242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242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258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258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242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242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242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242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242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45">
        <v>990260</v>
      </c>
      <c r="T297" s="122"/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258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258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258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258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258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258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258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258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258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258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258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258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244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258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258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258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258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258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258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258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258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258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258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244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248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244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244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248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244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244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248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258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258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244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/>
      <c r="Q393" s="35">
        <f t="shared" ref="Q393:Q404" ca="1" si="96">IFERROR(IF(O393="","",IF(P393="",MOD(NOW()-O393,1),IF(P393&gt;=O393,P393-O393,P393+1-O393))),"")</f>
        <v>1.3095023146888707E-2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92.4</v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42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176.4</v>
      </c>
      <c r="L405" s="37"/>
      <c r="M405" s="37"/>
      <c r="N405" s="37"/>
      <c r="O405" s="37"/>
      <c r="P405" s="37"/>
      <c r="Q405" s="38">
        <f ca="1">IFERROR(SUM(Q393:Q404),"")</f>
        <v>1.3095023146888707E-2</v>
      </c>
      <c r="R405" s="36" t="s">
        <v>244</v>
      </c>
      <c r="S405" s="45"/>
      <c r="T405" s="122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208</v>
      </c>
      <c r="H406" s="112">
        <f>IFERROR(H392+H405,"")</f>
        <v>820.31999999999994</v>
      </c>
      <c r="I406" s="116"/>
      <c r="J406" s="125">
        <f>IFERROR(J392+J405,"")</f>
        <v>162.80881156626504</v>
      </c>
      <c r="K406" s="40">
        <f>K392+K405</f>
        <v>873.60000000000014</v>
      </c>
      <c r="L406" s="41"/>
      <c r="M406" s="41"/>
      <c r="N406" s="41"/>
      <c r="O406" s="41"/>
      <c r="P406" s="41"/>
      <c r="Q406" s="42">
        <f ca="1">IFERROR(Q392+Q405,"")</f>
        <v>8.5317245369110895E-2</v>
      </c>
      <c r="R406" s="40" t="s">
        <v>248</v>
      </c>
      <c r="S406" s="143">
        <f>IFERROR(S392+S405,"")</f>
        <v>820320</v>
      </c>
      <c r="T406" s="144">
        <f>IFERROR(J406,"")</f>
        <v>162.80881156626504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246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45"/>
      <c r="T432" s="122">
        <f>IFERROR(J432,"")</f>
        <v>0</v>
      </c>
    </row>
    <row r="433" spans="1:20" ht="18" customHeight="1">
      <c r="A433" s="83" t="s">
        <v>247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45"/>
      <c r="T459" s="122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45"/>
      <c r="T486" s="122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246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45"/>
      <c r="T513" s="122">
        <f>IFERROR(J513,"")</f>
        <v>0</v>
      </c>
    </row>
    <row r="514" spans="1:20" ht="18" customHeight="1">
      <c r="A514" s="83" t="s">
        <v>247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45"/>
      <c r="T540" s="122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45"/>
      <c r="T567" s="122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45"/>
      <c r="T594" s="122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45"/>
      <c r="T621" s="122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45"/>
      <c r="T648" s="122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45"/>
      <c r="T675" s="122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45"/>
      <c r="T702" s="122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45"/>
      <c r="T729" s="122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75"/>
      <c r="T837" s="117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69" activePane="bottomLeft" state="frozen"/>
      <selection pane="bottomLeft" activeCell="G395" sqref="G395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244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258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303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304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258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258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244</v>
      </c>
      <c r="S27" s="39">
        <v>358000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248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258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258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258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258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258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258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258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258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258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258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243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244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303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303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244</v>
      </c>
      <c r="S54" s="39">
        <v>279980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248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258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258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258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258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258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305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258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258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258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258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258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244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306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244</v>
      </c>
      <c r="S81" s="39">
        <v>185920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248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307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308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244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309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244</v>
      </c>
      <c r="S108" s="39">
        <v>434370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248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244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310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244</v>
      </c>
      <c r="S135" s="39">
        <v>416350</v>
      </c>
      <c r="T135" s="119">
        <f>IFERROR(J135,"")</f>
        <v>0</v>
      </c>
    </row>
    <row r="136" spans="1:20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248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311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243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244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244</v>
      </c>
      <c r="S162" s="39">
        <v>169760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248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312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244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313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244</v>
      </c>
      <c r="S189" s="39">
        <v>72220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248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244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314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244</v>
      </c>
      <c r="S216" s="39">
        <v>148720</v>
      </c>
      <c r="T216" s="119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248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316</v>
      </c>
      <c r="Q222" s="30" t="str">
        <f t="shared" ca="1" si="49"/>
        <v/>
      </c>
      <c r="R222" s="27" t="s">
        <v>317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244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244</v>
      </c>
      <c r="S243" s="39">
        <v>352720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248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318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242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242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243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244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258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258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258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258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258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258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258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258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258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258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258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258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244</v>
      </c>
      <c r="S270" s="39">
        <v>327900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248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242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244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244</v>
      </c>
      <c r="S297" s="39">
        <v>462190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248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244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244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248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319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242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258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243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244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244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248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243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244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244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248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320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244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0</v>
      </c>
      <c r="K393" s="34">
        <f t="shared" ref="K393:K404" si="93">IF(G393="","",IF(E393="PC 17",G393*4.2,IF(E393="PC 19",G393*5,IF(E393="CB",G393*24,""))))</f>
        <v>37.800000000000004</v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2"/>
        <v>0</v>
      </c>
      <c r="K394" s="28">
        <f t="shared" si="93"/>
        <v>71.400000000000006</v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26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109.20000000000002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118</v>
      </c>
      <c r="H406" s="112">
        <f>IFERROR(H392+H405,"")</f>
        <v>479.62000000000006</v>
      </c>
      <c r="I406" s="116"/>
      <c r="J406" s="125">
        <f>IFERROR(J392+J405,"")</f>
        <v>100.72019999999998</v>
      </c>
      <c r="K406" s="40">
        <f>K392+K405</f>
        <v>466.20000000000005</v>
      </c>
      <c r="L406" s="41"/>
      <c r="M406" s="41"/>
      <c r="N406" s="41"/>
      <c r="O406" s="41"/>
      <c r="P406" s="41"/>
      <c r="Q406" s="42">
        <f ca="1">IFERROR(Q392+Q405,"")</f>
        <v>7.3611111111111183E-2</v>
      </c>
      <c r="R406" s="40" t="s">
        <v>248</v>
      </c>
      <c r="S406" s="48">
        <f>IFERROR(S392+S405,"")</f>
        <v>479620</v>
      </c>
      <c r="T406" s="121">
        <f>IFERROR(J406,"")</f>
        <v>100.72019999999998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0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248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66" activePane="bottomLeft" state="frozen"/>
      <selection pane="bottomLeft" activeCell="G395" sqref="G39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232</v>
      </c>
      <c r="C1" s="23" t="s">
        <v>17</v>
      </c>
      <c r="D1" s="22" t="s">
        <v>18</v>
      </c>
      <c r="E1" s="22" t="s">
        <v>233</v>
      </c>
      <c r="F1" s="133" t="s">
        <v>19</v>
      </c>
      <c r="G1" s="23" t="s">
        <v>234</v>
      </c>
      <c r="H1" s="133" t="s">
        <v>269</v>
      </c>
      <c r="I1" s="133" t="s">
        <v>20</v>
      </c>
      <c r="J1" s="133" t="s">
        <v>270</v>
      </c>
      <c r="K1" s="23" t="s">
        <v>235</v>
      </c>
      <c r="L1" s="23" t="s">
        <v>21</v>
      </c>
      <c r="M1" s="23" t="s">
        <v>22</v>
      </c>
      <c r="N1" s="23" t="s">
        <v>236</v>
      </c>
      <c r="O1" s="23" t="s">
        <v>237</v>
      </c>
      <c r="P1" s="23" t="s">
        <v>238</v>
      </c>
      <c r="Q1" s="24" t="s">
        <v>239</v>
      </c>
      <c r="R1" s="23" t="s">
        <v>240</v>
      </c>
      <c r="S1" s="23" t="s">
        <v>241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258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258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258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258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258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258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258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258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258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258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258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258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243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244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258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258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321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258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258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303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258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322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258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258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258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323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258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258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258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258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246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244</v>
      </c>
      <c r="S27" s="39">
        <v>491520</v>
      </c>
      <c r="T27" s="119">
        <f>IFERROR(J27,"")</f>
        <v>0</v>
      </c>
    </row>
    <row r="28" spans="1:20" ht="18" customHeight="1">
      <c r="A28" s="160" t="s">
        <v>247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248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258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258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258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258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258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258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258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258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258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258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258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258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243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244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258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258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258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258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324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258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258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258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258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258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258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258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258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246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244</v>
      </c>
      <c r="S54" s="39">
        <v>352430</v>
      </c>
      <c r="T54" s="119">
        <f>IFERROR(J54,"")</f>
        <v>0</v>
      </c>
    </row>
    <row r="55" spans="1:20" ht="18" customHeight="1">
      <c r="A55" s="160" t="s">
        <v>247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248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258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258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258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258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325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258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326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258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258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258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258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258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258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258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243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244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258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327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258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258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258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303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258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258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258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258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258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258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258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246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244</v>
      </c>
      <c r="S81" s="39">
        <v>612410</v>
      </c>
      <c r="T81" s="119">
        <f>IFERROR(J81,"")</f>
        <v>0</v>
      </c>
    </row>
    <row r="82" spans="1:20" ht="18" customHeight="1">
      <c r="A82" s="160" t="s">
        <v>247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248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258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258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258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258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258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258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258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258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258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258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258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258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243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244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258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258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303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258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258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258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258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258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258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258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258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258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258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246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244</v>
      </c>
      <c r="S108" s="39">
        <v>956070</v>
      </c>
      <c r="T108" s="119">
        <f>IFERROR(J108,"")</f>
        <v>0</v>
      </c>
    </row>
    <row r="109" spans="1:20" ht="18" customHeight="1">
      <c r="A109" s="160" t="s">
        <v>247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248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258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258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258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258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258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328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258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258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258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258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258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258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258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243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244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258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258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329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258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258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258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258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258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303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258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258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258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258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258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246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244</v>
      </c>
      <c r="S135" s="39">
        <v>912240</v>
      </c>
      <c r="T135" s="119">
        <f>IFERROR(J135,"")</f>
        <v>0</v>
      </c>
    </row>
    <row r="136" spans="1:22" ht="18" customHeight="1">
      <c r="A136" s="160" t="s">
        <v>247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248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258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258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330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258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331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258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258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258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258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258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258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258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258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258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243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244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258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332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258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333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258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258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258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258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258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258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258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258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258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258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246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244</v>
      </c>
      <c r="S162" s="39">
        <v>573230</v>
      </c>
      <c r="T162" s="119">
        <f>IFERROR(J162,"")</f>
        <v>0</v>
      </c>
    </row>
    <row r="163" spans="1:20" ht="18" customHeight="1">
      <c r="A163" s="160" t="s">
        <v>247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248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258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258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258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258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258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258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258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334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258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258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258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258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258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243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244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258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258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258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258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258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258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258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258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258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258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258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258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246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244</v>
      </c>
      <c r="S189" s="39">
        <v>692750</v>
      </c>
      <c r="T189" s="119">
        <f>IFERROR(J189,"")</f>
        <v>0</v>
      </c>
    </row>
    <row r="190" spans="1:20" ht="18" customHeight="1">
      <c r="A190" s="160" t="s">
        <v>247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248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258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258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336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258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258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258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258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258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258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258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258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258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258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243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244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258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337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258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338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258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339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258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258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258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258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258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258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258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258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258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246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244</v>
      </c>
      <c r="S216" s="45">
        <v>607180</v>
      </c>
      <c r="T216" s="122">
        <f>IFERROR(J216,"")</f>
        <v>0</v>
      </c>
    </row>
    <row r="217" spans="1:20" ht="18" customHeight="1">
      <c r="A217" s="160" t="s">
        <v>247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248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258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258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258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340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258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341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242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258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258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258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258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258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258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258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243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244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258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342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242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343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258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242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242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242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242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242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242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242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242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242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246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244</v>
      </c>
      <c r="S243" s="39">
        <v>795250</v>
      </c>
      <c r="T243" s="119">
        <f>IFERROR(J243,"")</f>
        <v>0</v>
      </c>
    </row>
    <row r="244" spans="1:20" ht="18" customHeight="1">
      <c r="A244" s="160" t="s">
        <v>247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248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242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242</v>
      </c>
      <c r="F246" s="134"/>
      <c r="G246" s="27" t="s">
        <v>268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242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242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258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344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258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258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258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258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258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258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258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243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244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258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258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258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258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258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258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258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258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258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258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258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258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246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244</v>
      </c>
      <c r="S270" s="39">
        <v>683360</v>
      </c>
      <c r="T270" s="119">
        <f>IFERROR(J270,"")</f>
        <v>0</v>
      </c>
    </row>
    <row r="271" spans="1:20" ht="18" customHeight="1">
      <c r="A271" s="160" t="s">
        <v>247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248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258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258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258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258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258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258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258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258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258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258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258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258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243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244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242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242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258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242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242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242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242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242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242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242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242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242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246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244</v>
      </c>
      <c r="S297" s="39">
        <v>904710</v>
      </c>
      <c r="T297" s="119">
        <f>IFERROR(J297,"")</f>
        <v>0</v>
      </c>
    </row>
    <row r="298" spans="1:20" ht="18" customHeight="1">
      <c r="A298" s="160" t="s">
        <v>247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248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258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258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258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258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258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258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258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258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258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258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258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258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243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244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258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258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258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258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258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258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258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258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258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258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258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258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246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244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247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248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242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242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242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242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258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242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258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258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258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258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258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258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243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244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258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258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258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258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258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258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258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258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345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258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346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258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258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258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246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244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247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248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258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258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258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258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347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258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258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348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258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258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258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258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258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258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243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244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258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258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258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258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258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258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258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349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258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258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258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258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258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246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244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247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248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258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258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258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258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258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258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/>
      <c r="Q385" s="35">
        <f t="shared" ca="1" si="92"/>
        <v>0.2568450231483439</v>
      </c>
      <c r="R385" s="27" t="s">
        <v>350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258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258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258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258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258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258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243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0.32142835648167717</v>
      </c>
      <c r="R392" s="36" t="s">
        <v>244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258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0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0</v>
      </c>
      <c r="K393" s="34">
        <f t="shared" ref="K393:K404" si="95">IF(G393="","",IF(E393="PC 17",G393*4.2,IF(E393="PC 19",G393*5,IF(E393="CB",G393*24,""))))</f>
        <v>54.6</v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258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0</v>
      </c>
      <c r="I394" s="135">
        <f>IFERROR(IF($D394="","",VLOOKUP($D394,Cadastro!$C$4:$G$7,5,FALSE)),"")</f>
        <v>0.6</v>
      </c>
      <c r="J394" s="136">
        <f t="shared" si="94"/>
        <v>0</v>
      </c>
      <c r="K394" s="28">
        <f t="shared" si="95"/>
        <v>88.2</v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258</v>
      </c>
      <c r="F395" s="134">
        <f>IFERROR(IF($D395="","",VLOOKUP($D395,Cadastro!$C$4:$E$7,3,FALSE)),"")</f>
        <v>0.35</v>
      </c>
      <c r="G395" s="105"/>
      <c r="H395" s="134" t="str">
        <f>IFERROR(IF($G395="","",$G395*$S$405/$G$405/Cadastro!$E$33),"")</f>
        <v/>
      </c>
      <c r="I395" s="135">
        <f>IFERROR(IF($D395="","",VLOOKUP($D395,Cadastro!$C$4:$G$7,5,FALSE)),"")</f>
        <v>0.6</v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258</v>
      </c>
      <c r="F396" s="134">
        <f>IFERROR(IF($D396="","",VLOOKUP($D396,Cadastro!$C$4:$E$7,3,FALSE)),"")</f>
        <v>0.35</v>
      </c>
      <c r="G396" s="105"/>
      <c r="H396" s="134" t="str">
        <f>IFERROR(IF($G396="","",$G396*$S$405/$G$405/Cadastro!$E$33),"")</f>
        <v/>
      </c>
      <c r="I396" s="135">
        <f>IFERROR(IF($D396="","",VLOOKUP($D396,Cadastro!$C$4:$G$7,5,FALSE)),"")</f>
        <v>0.6</v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258</v>
      </c>
      <c r="F397" s="134">
        <f>IFERROR(IF($D397="","",VLOOKUP($D397,Cadastro!$C$4:$E$7,3,FALSE)),"")</f>
        <v>0.35</v>
      </c>
      <c r="G397" s="105"/>
      <c r="H397" s="134" t="str">
        <f>IFERROR(IF($G397="","",$G397*$S$405/$G$405/Cadastro!$E$33),"")</f>
        <v/>
      </c>
      <c r="I397" s="135">
        <f>IFERROR(IF($D397="","",VLOOKUP($D397,Cadastro!$C$4:$G$7,5,FALSE)),"")</f>
        <v>0.6</v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258</v>
      </c>
      <c r="F398" s="134">
        <f>IFERROR(IF($D398="","",VLOOKUP($D398,Cadastro!$C$4:$E$7,3,FALSE)),"")</f>
        <v>0.35</v>
      </c>
      <c r="G398" s="105"/>
      <c r="H398" s="134" t="str">
        <f>IFERROR(IF($G398="","",$G398*$S$405/$G$405/Cadastro!$E$33),"")</f>
        <v/>
      </c>
      <c r="I398" s="135">
        <f>IFERROR(IF($D398="","",VLOOKUP($D398,Cadastro!$C$4:$G$7,5,FALSE)),"")</f>
        <v>0.6</v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258</v>
      </c>
      <c r="F399" s="134">
        <f>IFERROR(IF($D399="","",VLOOKUP($D399,Cadastro!$C$4:$E$7,3,FALSE)),"")</f>
        <v>0.35</v>
      </c>
      <c r="G399" s="105"/>
      <c r="H399" s="134" t="str">
        <f>IFERROR(IF($G399="","",$G399*$S$405/$G$405/Cadastro!$E$33),"")</f>
        <v/>
      </c>
      <c r="I399" s="135">
        <f>IFERROR(IF($D399="","",VLOOKUP($D399,Cadastro!$C$4:$G$7,5,FALSE)),"")</f>
        <v>0.6</v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258</v>
      </c>
      <c r="F400" s="134">
        <f>IFERROR(IF($D400="","",VLOOKUP($D400,Cadastro!$C$4:$E$7,3,FALSE)),"")</f>
        <v>0.35</v>
      </c>
      <c r="G400" s="105"/>
      <c r="H400" s="134" t="str">
        <f>IFERROR(IF($G400="","",$G400*$S$405/$G$405/Cadastro!$E$33),"")</f>
        <v/>
      </c>
      <c r="I400" s="135">
        <f>IFERROR(IF($D400="","",VLOOKUP($D400,Cadastro!$C$4:$G$7,5,FALSE)),"")</f>
        <v>0.6</v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258</v>
      </c>
      <c r="F401" s="134">
        <f>IFERROR(IF($D401="","",VLOOKUP($D401,Cadastro!$C$4:$E$7,3,FALSE)),"")</f>
        <v>0.35</v>
      </c>
      <c r="G401" s="105"/>
      <c r="H401" s="134" t="str">
        <f>IFERROR(IF($G401="","",$G401*$S$405/$G$405/Cadastro!$E$33),"")</f>
        <v/>
      </c>
      <c r="I401" s="135">
        <f>IFERROR(IF($D401="","",VLOOKUP($D401,Cadastro!$C$4:$G$7,5,FALSE)),"")</f>
        <v>0.6</v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29</v>
      </c>
      <c r="E402" s="109" t="s">
        <v>258</v>
      </c>
      <c r="F402" s="134">
        <f>IFERROR(IF($D402="","",VLOOKUP($D402,Cadastro!$C$4:$E$7,3,FALSE)),"")</f>
        <v>0.35</v>
      </c>
      <c r="G402" s="105"/>
      <c r="H402" s="134" t="str">
        <f>IFERROR(IF($G402="","",$G402*$S$405/$G$405/Cadastro!$E$33),"")</f>
        <v/>
      </c>
      <c r="I402" s="135">
        <f>IFERROR(IF($D402="","",VLOOKUP($D402,Cadastro!$C$4:$G$7,5,FALSE)),"")</f>
        <v>0.6</v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29</v>
      </c>
      <c r="E403" s="109" t="s">
        <v>258</v>
      </c>
      <c r="F403" s="134">
        <f>IFERROR(IF($D403="","",VLOOKUP($D403,Cadastro!$C$4:$E$7,3,FALSE)),"")</f>
        <v>0.35</v>
      </c>
      <c r="G403" s="105"/>
      <c r="H403" s="134" t="str">
        <f>IFERROR(IF($G403="","",$G403*$S$405/$G$405/Cadastro!$E$33),"")</f>
        <v/>
      </c>
      <c r="I403" s="135">
        <f>IFERROR(IF($D403="","",VLOOKUP($D403,Cadastro!$C$4:$G$7,5,FALSE)),"")</f>
        <v>0.6</v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29</v>
      </c>
      <c r="E404" s="109" t="s">
        <v>258</v>
      </c>
      <c r="F404" s="137">
        <f>IFERROR(IF($D404="","",VLOOKUP($D404,Cadastro!$C$4:$E$7,3,FALSE)),"")</f>
        <v>0.35</v>
      </c>
      <c r="G404" s="105"/>
      <c r="H404" s="137" t="str">
        <f>IFERROR(IF($G404="","",$G404*$S$405/$G$405/Cadastro!$E$33),"")</f>
        <v/>
      </c>
      <c r="I404" s="138">
        <f>IFERROR(IF($D404="","",VLOOKUP($D404,Cadastro!$C$4:$G$7,5,FALSE)),"")</f>
        <v>0.6</v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246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34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142.80000000000001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244</v>
      </c>
      <c r="S405" s="39"/>
      <c r="T405" s="119">
        <f>IFERROR(J405,"")</f>
        <v>0</v>
      </c>
    </row>
    <row r="406" spans="1:20" ht="18" customHeight="1">
      <c r="A406" s="160" t="s">
        <v>247</v>
      </c>
      <c r="B406" s="161"/>
      <c r="C406" s="161"/>
      <c r="D406" s="161"/>
      <c r="E406" s="161">
        <f>E392+E405</f>
        <v>0</v>
      </c>
      <c r="F406" s="112"/>
      <c r="G406" s="91">
        <f>G392+G405</f>
        <v>174</v>
      </c>
      <c r="H406" s="112">
        <f>IFERROR(H392+H405,"")</f>
        <v>675.67000000000007</v>
      </c>
      <c r="I406" s="116"/>
      <c r="J406" s="125">
        <f>IFERROR(J392+J405,"")</f>
        <v>141.89069999999998</v>
      </c>
      <c r="K406" s="40">
        <f>K392+K405</f>
        <v>730.8</v>
      </c>
      <c r="L406" s="41"/>
      <c r="M406" s="41"/>
      <c r="N406" s="41"/>
      <c r="O406" s="63"/>
      <c r="P406" s="63"/>
      <c r="Q406" s="42">
        <f ca="1">IFERROR(Q392+Q405,"")</f>
        <v>0.32142835648167717</v>
      </c>
      <c r="R406" s="40" t="s">
        <v>248</v>
      </c>
      <c r="S406" s="48">
        <f>IFERROR(S392+S405,"")</f>
        <v>675670</v>
      </c>
      <c r="T406" s="121">
        <f>IFERROR(J406,"")</f>
        <v>141.89069999999998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243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244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246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244</v>
      </c>
      <c r="S432" s="39"/>
      <c r="T432" s="119">
        <f>IFERROR(J432,"")</f>
        <v>0</v>
      </c>
    </row>
    <row r="433" spans="1:21" ht="18" customHeight="1">
      <c r="A433" s="160" t="s">
        <v>247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248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243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244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246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244</v>
      </c>
      <c r="S459" s="39"/>
      <c r="T459" s="119">
        <f>IFERROR(J459,"")</f>
        <v>0</v>
      </c>
    </row>
    <row r="460" spans="1:20" ht="18" customHeight="1">
      <c r="A460" s="160" t="s">
        <v>247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248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243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244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246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244</v>
      </c>
      <c r="S486" s="39"/>
      <c r="T486" s="119">
        <f>IFERROR(J486,"")</f>
        <v>0</v>
      </c>
    </row>
    <row r="487" spans="1:20" ht="18" customHeight="1">
      <c r="A487" s="160" t="s">
        <v>247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248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243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244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246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244</v>
      </c>
      <c r="S513" s="39"/>
      <c r="T513" s="119">
        <f>IFERROR(J513,"")</f>
        <v>0</v>
      </c>
    </row>
    <row r="514" spans="1:20" ht="18" customHeight="1">
      <c r="A514" s="160" t="s">
        <v>247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248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243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244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246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244</v>
      </c>
      <c r="S540" s="39"/>
      <c r="T540" s="119">
        <f>IFERROR(J540,"")</f>
        <v>0</v>
      </c>
    </row>
    <row r="541" spans="1:20" ht="18" customHeight="1">
      <c r="A541" s="160" t="s">
        <v>247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248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243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244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246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244</v>
      </c>
      <c r="S567" s="39"/>
      <c r="T567" s="119">
        <f>IFERROR(J567,"")</f>
        <v>0</v>
      </c>
    </row>
    <row r="568" spans="1:20" ht="18" customHeight="1">
      <c r="A568" s="160" t="s">
        <v>247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248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243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244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246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244</v>
      </c>
      <c r="S594" s="39"/>
      <c r="T594" s="119">
        <f>IFERROR(J594,"")</f>
        <v>0</v>
      </c>
    </row>
    <row r="595" spans="1:20" ht="18" customHeight="1">
      <c r="A595" s="160" t="s">
        <v>247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248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243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244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246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244</v>
      </c>
      <c r="S621" s="39"/>
      <c r="T621" s="119">
        <f>IFERROR(J621,"")</f>
        <v>0</v>
      </c>
    </row>
    <row r="622" spans="1:20" ht="18" customHeight="1">
      <c r="A622" s="160" t="s">
        <v>247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248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243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244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246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244</v>
      </c>
      <c r="S648" s="39"/>
      <c r="T648" s="119">
        <f>IFERROR(J648,"")</f>
        <v>0</v>
      </c>
    </row>
    <row r="649" spans="1:20" ht="18" customHeight="1">
      <c r="A649" s="160" t="s">
        <v>247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248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243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244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246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244</v>
      </c>
      <c r="S675" s="39"/>
      <c r="T675" s="119">
        <f>IFERROR(J675,"")</f>
        <v>0</v>
      </c>
    </row>
    <row r="676" spans="1:20" ht="18" customHeight="1">
      <c r="A676" s="160" t="s">
        <v>247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248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243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244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246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244</v>
      </c>
      <c r="S702" s="39"/>
      <c r="T702" s="119">
        <f>IFERROR(J702,"")</f>
        <v>0</v>
      </c>
    </row>
    <row r="703" spans="1:20" ht="18" customHeight="1">
      <c r="A703" s="160" t="s">
        <v>247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248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243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244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246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244</v>
      </c>
      <c r="S729" s="39"/>
      <c r="T729" s="119">
        <f>IFERROR(J729,"")</f>
        <v>0</v>
      </c>
    </row>
    <row r="730" spans="1:20" ht="18" customHeight="1">
      <c r="A730" s="160" t="s">
        <v>247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248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243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244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246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244</v>
      </c>
      <c r="S756" s="39"/>
      <c r="T756" s="119">
        <f>IFERROR(J756,"")</f>
        <v>0</v>
      </c>
    </row>
    <row r="757" spans="1:20" ht="18" customHeight="1">
      <c r="A757" s="160" t="s">
        <v>247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248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243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244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246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244</v>
      </c>
      <c r="S783" s="39"/>
      <c r="T783" s="119">
        <f>IFERROR(J783,"")</f>
        <v>0</v>
      </c>
    </row>
    <row r="784" spans="1:20" ht="18" customHeight="1">
      <c r="A784" s="160" t="s">
        <v>247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248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243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244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246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244</v>
      </c>
      <c r="S810" s="39"/>
      <c r="T810" s="119">
        <f>IFERROR(J810,"")</f>
        <v>0</v>
      </c>
    </row>
    <row r="811" spans="1:20" ht="18" customHeight="1">
      <c r="A811" s="160" t="s">
        <v>247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248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243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244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246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244</v>
      </c>
      <c r="S837" s="39"/>
      <c r="T837" s="119">
        <f>IFERROR(J837,"")</f>
        <v>0</v>
      </c>
    </row>
    <row r="838" spans="1:20" ht="18" customHeight="1">
      <c r="A838" s="160" t="s">
        <v>247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248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2026-08-16T01:13:55Z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