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978" documentId="13_ncr:1_{0A10D8D4-8450-4366-8075-B53B08E6B7EA}" xr6:coauthVersionLast="47" xr6:coauthVersionMax="47" xr10:uidLastSave="{14E0C41B-9DC2-478A-9D3D-04D2DA0FA4E1}"/>
  <bookViews>
    <workbookView xWindow="-28920" yWindow="-60" windowWidth="29040" windowHeight="1572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8" i="6"/>
  <c r="J358" i="6" s="1"/>
  <c r="H359" i="6"/>
  <c r="J359" i="6" s="1"/>
  <c r="H360" i="6"/>
  <c r="J360" i="6" s="1"/>
  <c r="H361" i="6"/>
  <c r="J361" i="6" s="1"/>
  <c r="H362" i="6"/>
  <c r="J362" i="6" s="1"/>
  <c r="H363" i="6"/>
  <c r="J363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9" i="5"/>
  <c r="J359" i="5" s="1"/>
  <c r="H360" i="5"/>
  <c r="J360" i="5" s="1"/>
  <c r="H361" i="5"/>
  <c r="J361" i="5" s="1"/>
  <c r="H362" i="5"/>
  <c r="J362" i="5" s="1"/>
  <c r="H363" i="5"/>
  <c r="J363" i="5" s="1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9" i="4"/>
  <c r="J359" i="4" s="1"/>
  <c r="H360" i="4"/>
  <c r="J360" i="4" s="1"/>
  <c r="H361" i="4"/>
  <c r="J361" i="4" s="1"/>
  <c r="H362" i="4"/>
  <c r="J362" i="4" s="1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56" i="6" l="1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<sst xmlns="http://schemas.openxmlformats.org/spreadsheetml/2006/main" count="6317" uniqueCount="345">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</sst>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34" activePane="bottomLeft" state="frozen"/>
      <selection pane="bottomLeft" activeCell="D364" sqref="D36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35</v>
      </c>
      <c r="G354" s="28">
        <f t="shared" si="73"/>
        <v>175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32</v>
      </c>
      <c r="G355" s="34">
        <f t="shared" si="73"/>
        <v>160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35</v>
      </c>
      <c r="G356" s="28">
        <f t="shared" si="73"/>
        <v>175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/>
      <c r="M356" s="30">
        <f t="shared" ca="1" si="74"/>
        <v>1.9247685122536495E-3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30</v>
      </c>
      <c r="G357" s="34">
        <f t="shared" si="73"/>
        <v>150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168</v>
      </c>
      <c r="G365" s="36">
        <f>SUM(G353:G364)</f>
        <v>840</v>
      </c>
      <c r="H365" s="37"/>
      <c r="I365" s="37"/>
      <c r="J365" s="37"/>
      <c r="K365" s="37"/>
      <c r="L365" s="37"/>
      <c r="M365" s="38">
        <f ca="1">IFERROR(SUM(M353:M364),"")</f>
        <v>4.6369212956698047E-2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168</v>
      </c>
      <c r="G379" s="40">
        <f>G365+G378</f>
        <v>840</v>
      </c>
      <c r="H379" s="41"/>
      <c r="I379" s="41"/>
      <c r="J379" s="41"/>
      <c r="K379" s="41"/>
      <c r="L379" s="41"/>
      <c r="M379" s="42">
        <f ca="1">IFERROR(M365+M378,"")</f>
        <v>4.6369212956698047E-2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59" sqref="G35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0.4303969907341525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0.56928587962304134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0.6540081018452637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259</v>
      </c>
      <c r="F353" s="140" t="str">
        <f>IFERROR(IF($D353="","",VLOOKUP($D353,Cadastro!$C$4:$E$7,3,FALSE)),"")</f>
        <v>b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259</v>
      </c>
      <c r="F354" s="134" t="str">
        <f>IFERROR(IF($D354="","",VLOOKUP($D354,Cadastro!$C$4:$E$7,3,FALSE)),"")</f>
        <v>b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2"/>
        <v/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259</v>
      </c>
      <c r="F355" s="134" t="str">
        <f>IFERROR(IF($D355="","",VLOOKUP($D355,Cadastro!$C$4:$E$7,3,FALSE)),"")</f>
        <v>b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2"/>
        <v/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259</v>
      </c>
      <c r="F356" s="134" t="str">
        <f>IFERROR(IF($D356="","",VLOOKUP($D356,Cadastro!$C$4:$E$7,3,FALSE)),"")</f>
        <v>b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2"/>
        <v/>
      </c>
      <c r="K356" s="28">
        <f t="shared" si="83"/>
        <v>79.8</v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259</v>
      </c>
      <c r="F357" s="134" t="str">
        <f>IFERROR(IF($D357="","",VLOOKUP($D357,Cadastro!$C$4:$E$7,3,FALSE)),"")</f>
        <v>b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 t="str">
        <f t="shared" si="82"/>
        <v/>
      </c>
      <c r="K357" s="34">
        <f t="shared" si="83"/>
        <v>58.800000000000004</v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259</v>
      </c>
      <c r="F358" s="134" t="str">
        <f>IFERROR(IF($D358="","",VLOOKUP($D358,Cadastro!$C$4:$E$7,3,FALSE)),"")</f>
        <v>b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 t="str">
        <f t="shared" si="82"/>
        <v/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 t="s">
        <v>259</v>
      </c>
      <c r="F359" s="134" t="str">
        <f>IFERROR(IF($D359="","",VLOOKUP($D359,Cadastro!$C$4:$E$7,3,FALSE)),"")</f>
        <v>b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 t="s">
        <v>259</v>
      </c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37</v>
      </c>
      <c r="E361" s="109" t="s">
        <v>259</v>
      </c>
      <c r="F361" s="134" t="str">
        <f>IFERROR(IF($D361="","",VLOOKUP($D361,Cadastro!$C$4:$E$7,3,FALSE)),"")</f>
        <v>b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37</v>
      </c>
      <c r="E362" s="109" t="s">
        <v>259</v>
      </c>
      <c r="F362" s="134" t="str">
        <f>IFERROR(IF($D362="","",VLOOKUP($D362,Cadastro!$C$4:$E$7,3,FALSE)),"")</f>
        <v>b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37</v>
      </c>
      <c r="E363" s="109" t="s">
        <v>259</v>
      </c>
      <c r="F363" s="134" t="str">
        <f>IFERROR(IF($D363="","",VLOOKUP($D363,Cadastro!$C$4:$E$7,3,FALSE)),"")</f>
        <v>b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37</v>
      </c>
      <c r="E364" s="109" t="s">
        <v>259</v>
      </c>
      <c r="F364" s="137" t="str">
        <f>IFERROR(IF($D364="","",VLOOKUP($D364,Cadastro!$C$4:$E$7,3,FALSE)),"")</f>
        <v>b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70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294</v>
      </c>
      <c r="L365" s="37"/>
      <c r="M365" s="37"/>
      <c r="N365" s="37"/>
      <c r="O365" s="37"/>
      <c r="P365" s="37"/>
      <c r="Q365" s="38">
        <f ca="1">IFERROR(SUM(Q353:Q364),"")</f>
        <v>4.9305555555555491E-2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70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294</v>
      </c>
      <c r="L379" s="41"/>
      <c r="M379" s="41"/>
      <c r="N379" s="41"/>
      <c r="O379" s="41"/>
      <c r="P379" s="41"/>
      <c r="Q379" s="42">
        <f ca="1">IFERROR(Q365+Q378,"")</f>
        <v>4.9305555555555491E-2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E363" sqref="E36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259</v>
      </c>
      <c r="F353" s="140" t="str">
        <f>IFERROR(IF($D353="","",VLOOKUP($D353,Cadastro!$C$4:$E$7,3,FALSE)),"")</f>
        <v>b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0">IFERROR(IF($H353="","",$H353*$F353*$I353),"")</f>
        <v/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37</v>
      </c>
      <c r="E354" s="109" t="s">
        <v>259</v>
      </c>
      <c r="F354" s="134" t="str">
        <f>IFERROR(IF($D354="","",VLOOKUP($D354,Cadastro!$C$4:$E$7,3,FALSE)),"")</f>
        <v>b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0"/>
        <v/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37</v>
      </c>
      <c r="E355" s="109" t="s">
        <v>259</v>
      </c>
      <c r="F355" s="134" t="str">
        <f>IFERROR(IF($D355="","",VLOOKUP($D355,Cadastro!$C$4:$E$7,3,FALSE)),"")</f>
        <v>b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0"/>
        <v/>
      </c>
      <c r="K355" s="34">
        <f t="shared" si="81"/>
        <v>29.400000000000002</v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37</v>
      </c>
      <c r="E356" s="109" t="s">
        <v>259</v>
      </c>
      <c r="F356" s="134" t="str">
        <f>IFERROR(IF($D356="","",VLOOKUP($D356,Cadastro!$C$4:$E$7,3,FALSE)),"")</f>
        <v>b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0"/>
        <v/>
      </c>
      <c r="K356" s="28">
        <f t="shared" si="81"/>
        <v>29.400000000000002</v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37</v>
      </c>
      <c r="E357" s="109" t="s">
        <v>259</v>
      </c>
      <c r="F357" s="134" t="str">
        <f>IFERROR(IF($D357="","",VLOOKUP($D357,Cadastro!$C$4:$E$7,3,FALSE)),"")</f>
        <v>b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 t="str">
        <f t="shared" si="80"/>
        <v/>
      </c>
      <c r="K357" s="34">
        <f t="shared" si="81"/>
        <v>37.800000000000004</v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37</v>
      </c>
      <c r="E358" s="109" t="s">
        <v>259</v>
      </c>
      <c r="F358" s="134" t="str">
        <f>IFERROR(IF($D358="","",VLOOKUP($D358,Cadastro!$C$4:$E$7,3,FALSE)),"")</f>
        <v>b</v>
      </c>
      <c r="G358" s="105">
        <v>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 t="str">
        <f t="shared" si="80"/>
        <v/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37</v>
      </c>
      <c r="E359" s="109" t="s">
        <v>259</v>
      </c>
      <c r="F359" s="134" t="str">
        <f>IFERROR(IF($D359="","",VLOOKUP($D359,Cadastro!$C$4:$E$7,3,FALSE)),"")</f>
        <v>b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37</v>
      </c>
      <c r="E360" s="109" t="s">
        <v>259</v>
      </c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37</v>
      </c>
      <c r="E361" s="109" t="s">
        <v>259</v>
      </c>
      <c r="F361" s="134" t="str">
        <f>IFERROR(IF($D361="","",VLOOKUP($D361,Cadastro!$C$4:$E$7,3,FALSE)),"")</f>
        <v>b</v>
      </c>
      <c r="G361" s="105"/>
      <c r="H361" s="134" t="str">
        <f>IFERROR(IF($G361="","",$G361*$S$365/$G$365/Cadastro!$E$33),"")</f>
        <v/>
      </c>
      <c r="I361" s="135">
        <f>IFERROR(IF($D361="","",VLOOKUP($D361,Cadastro!$C$4:$G$7,5,FALSE)),"")</f>
        <v>0.6</v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37</v>
      </c>
      <c r="E362" s="109" t="s">
        <v>259</v>
      </c>
      <c r="F362" s="134" t="str">
        <f>IFERROR(IF($D362="","",VLOOKUP($D362,Cadastro!$C$4:$E$7,3,FALSE)),"")</f>
        <v>b</v>
      </c>
      <c r="G362" s="105"/>
      <c r="H362" s="134" t="str">
        <f>IFERROR(IF($G362="","",$G362*$S$365/$G$365/Cadastro!$E$33),"")</f>
        <v/>
      </c>
      <c r="I362" s="135">
        <f>IFERROR(IF($D362="","",VLOOKUP($D362,Cadastro!$C$4:$G$7,5,FALSE)),"")</f>
        <v>0.6</v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37</v>
      </c>
      <c r="E363" s="109"/>
      <c r="F363" s="134" t="str">
        <f>IFERROR(IF($D363="","",VLOOKUP($D363,Cadastro!$C$4:$E$7,3,FALSE)),"")</f>
        <v>b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37</v>
      </c>
      <c r="E364" s="109"/>
      <c r="F364" s="137" t="str">
        <f>IFERROR(IF($D364="","",VLOOKUP($D364,Cadastro!$C$4:$E$7,3,FALSE)),"")</f>
        <v>b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38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159.60000000000002</v>
      </c>
      <c r="L365" s="37"/>
      <c r="M365" s="37"/>
      <c r="N365" s="37"/>
      <c r="O365" s="37"/>
      <c r="P365" s="37"/>
      <c r="Q365" s="38">
        <f ca="1">IFERROR(SUM(Q353:Q364),"")</f>
        <v>4.3750000000000011E-2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38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159.60000000000002</v>
      </c>
      <c r="L379" s="41"/>
      <c r="M379" s="41"/>
      <c r="N379" s="41"/>
      <c r="O379" s="41"/>
      <c r="P379" s="41"/>
      <c r="Q379" s="42">
        <f ca="1">IFERROR(Q365+Q378,"")</f>
        <v>4.3750000000000011E-2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G358" sqref="G35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37</v>
      </c>
      <c r="E353" s="109" t="s">
        <v>259</v>
      </c>
      <c r="F353" s="140" t="str">
        <f>IFERROR(IF($D353="","",VLOOKUP($D353,Cadastro!$C$4:$E$7,3,FALSE)),"")</f>
        <v>b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 t="str">
        <f t="shared" ref="J353:J364" si="82">IFERROR(IF($H353="","",$H353*$F353*$I353),"")</f>
        <v/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37</v>
      </c>
      <c r="E354" s="109" t="s">
        <v>259</v>
      </c>
      <c r="F354" s="134" t="str">
        <f>IFERROR(IF($D354="","",VLOOKUP($D354,Cadastro!$C$4:$E$7,3,FALSE)),"")</f>
        <v>b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 t="str">
        <f t="shared" si="82"/>
        <v/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37</v>
      </c>
      <c r="E355" s="109" t="s">
        <v>259</v>
      </c>
      <c r="F355" s="134" t="str">
        <f>IFERROR(IF($D355="","",VLOOKUP($D355,Cadastro!$C$4:$E$7,3,FALSE)),"")</f>
        <v>b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 t="str">
        <f t="shared" si="82"/>
        <v/>
      </c>
      <c r="K355" s="34">
        <f t="shared" si="83"/>
        <v>96.600000000000009</v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37</v>
      </c>
      <c r="E356" s="109" t="s">
        <v>259</v>
      </c>
      <c r="F356" s="134" t="str">
        <f>IFERROR(IF($D356="","",VLOOKUP($D356,Cadastro!$C$4:$E$7,3,FALSE)),"")</f>
        <v>b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 t="str">
        <f t="shared" si="82"/>
        <v/>
      </c>
      <c r="K356" s="28">
        <f t="shared" si="83"/>
        <v>121.80000000000001</v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37</v>
      </c>
      <c r="E357" s="109" t="s">
        <v>259</v>
      </c>
      <c r="F357" s="134" t="str">
        <f>IFERROR(IF($D357="","",VLOOKUP($D357,Cadastro!$C$4:$E$7,3,FALSE)),"")</f>
        <v>b</v>
      </c>
      <c r="G357" s="105">
        <v>21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 t="str">
        <f t="shared" si="82"/>
        <v/>
      </c>
      <c r="K357" s="34">
        <f t="shared" si="83"/>
        <v>88.2</v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37</v>
      </c>
      <c r="E358" s="109" t="s">
        <v>259</v>
      </c>
      <c r="F358" s="134" t="str">
        <f>IFERROR(IF($D358="","",VLOOKUP($D358,Cadastro!$C$4:$E$7,3,FALSE)),"")</f>
        <v>b</v>
      </c>
      <c r="G358" s="105"/>
      <c r="H358" s="134" t="str">
        <f>IFERROR(IF($G358="","",$G358*$S$365/$G$365/Cadastro!$E$33),"")</f>
        <v/>
      </c>
      <c r="I358" s="135">
        <f>IFERROR(IF($D358="","",VLOOKUP($D358,Cadastro!$C$4:$G$7,5,FALSE)),"")</f>
        <v>0.6</v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37</v>
      </c>
      <c r="E359" s="109"/>
      <c r="F359" s="134" t="str">
        <f>IFERROR(IF($D359="","",VLOOKUP($D359,Cadastro!$C$4:$E$7,3,FALSE)),"")</f>
        <v>b</v>
      </c>
      <c r="G359" s="105"/>
      <c r="H359" s="134" t="str">
        <f>IFERROR(IF($G359="","",$G359*$S$365/$G$365/Cadastro!$E$33),"")</f>
        <v/>
      </c>
      <c r="I359" s="135">
        <f>IFERROR(IF($D359="","",VLOOKUP($D359,Cadastro!$C$4:$G$7,5,FALSE)),"")</f>
        <v>0.6</v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37</v>
      </c>
      <c r="E360" s="109"/>
      <c r="F360" s="134" t="str">
        <f>IFERROR(IF($D360="","",VLOOKUP($D360,Cadastro!$C$4:$E$7,3,FALSE)),"")</f>
        <v>b</v>
      </c>
      <c r="G360" s="105"/>
      <c r="H360" s="134" t="str">
        <f>IFERROR(IF($G360="","",$G360*$S$365/$G$365/Cadastro!$E$33),"")</f>
        <v/>
      </c>
      <c r="I360" s="135">
        <f>IFERROR(IF($D360="","",VLOOKUP($D360,Cadastro!$C$4:$G$7,5,FALSE)),"")</f>
        <v>0.6</v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100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420</v>
      </c>
      <c r="L365" s="37"/>
      <c r="M365" s="37"/>
      <c r="N365" s="37"/>
      <c r="O365" s="61"/>
      <c r="P365" s="61"/>
      <c r="Q365" s="38">
        <f ca="1">IFERROR(SUM(Q353:Q364),"")</f>
        <v>8.333333333333337E-2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420</v>
      </c>
      <c r="L379" s="41"/>
      <c r="M379" s="41"/>
      <c r="N379" s="41"/>
      <c r="O379" s="63"/>
      <c r="P379" s="63"/>
      <c r="Q379" s="42">
        <f ca="1">IFERROR(Q365+Q378,"")</f>
        <v>8.333333333333337E-2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2026-08-14T17:14:49Z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