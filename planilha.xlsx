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01" documentId="8_{AF585B22-221D-4780-BB9C-493D365A6A02}" xr6:coauthVersionLast="47" xr6:coauthVersionMax="47" xr10:uidLastSave="{C0DCC2E9-4E78-4C5B-B5F3-8EFE442EF56F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<sst xmlns="http://schemas.openxmlformats.org/spreadsheetml/2006/main" count="6312" uniqueCount="318">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</sst>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6" zoomScale="85" zoomScaleNormal="85" workbookViewId="0">
      <selection activeCell="K66" sqref="K6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/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2" sqref="F38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216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220</v>
      </c>
      <c r="O27" s="39">
        <v>1183060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220</v>
      </c>
      <c r="O54" s="39">
        <v>959290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220</v>
      </c>
      <c r="O81" s="39">
        <v>878050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220</v>
      </c>
      <c r="O108" s="39">
        <v>1700000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220</v>
      </c>
      <c r="O135" s="39">
        <v>862330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220</v>
      </c>
      <c r="O162" s="44">
        <v>1546080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220</v>
      </c>
      <c r="O189" s="39">
        <v>2355810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220</v>
      </c>
      <c r="O216" s="45">
        <v>2013260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220</v>
      </c>
      <c r="O243" s="39">
        <v>1545480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220</v>
      </c>
      <c r="O270" s="39">
        <v>1182690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231</v>
      </c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220</v>
      </c>
      <c r="O297" s="39">
        <v>1843460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220</v>
      </c>
      <c r="O324" s="39">
        <v>1940000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220</v>
      </c>
      <c r="O351" s="39">
        <v>701874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220</v>
      </c>
      <c r="O378" s="39">
        <v>1088710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217</v>
      </c>
      <c r="F381" s="27">
        <v>30</v>
      </c>
      <c r="G381" s="34">
        <f t="shared" si="84"/>
        <v>150</v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217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60</v>
      </c>
      <c r="G392" s="36">
        <f>SUM(G380:G391)</f>
        <v>300</v>
      </c>
      <c r="H392" s="37"/>
      <c r="I392" s="37"/>
      <c r="J392" s="37"/>
      <c r="K392" s="37"/>
      <c r="L392" s="37"/>
      <c r="M392" s="38">
        <f ca="1">IFERROR(SUM(M380:M391),"")</f>
        <v>4.1666666666666519E-3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60</v>
      </c>
      <c r="G406" s="40">
        <f>G392+G405</f>
        <v>300</v>
      </c>
      <c r="H406" s="41"/>
      <c r="I406" s="41"/>
      <c r="J406" s="41"/>
      <c r="K406" s="41"/>
      <c r="L406" s="41"/>
      <c r="M406" s="42">
        <f ca="1">IFERROR(M392+M405,"")</f>
        <v>4.1666666666666519E-3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39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59" t="s">
        <v>217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2" sqref="F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220</v>
      </c>
      <c r="O27" s="78">
        <v>393200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220</v>
      </c>
      <c r="O54" s="85">
        <v>276360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220</v>
      </c>
      <c r="O81" s="54">
        <v>787860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220</v>
      </c>
      <c r="O108" s="54">
        <v>1087080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220</v>
      </c>
      <c r="O135" s="54">
        <v>794480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220</v>
      </c>
      <c r="O162" s="54">
        <v>882280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220</v>
      </c>
      <c r="O189" s="78"/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220</v>
      </c>
      <c r="O216" s="78">
        <v>648410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220</v>
      </c>
      <c r="O243" s="78">
        <v>849060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220</v>
      </c>
      <c r="O270" s="78">
        <v>625070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220</v>
      </c>
      <c r="O297" s="78">
        <v>761660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263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220</v>
      </c>
      <c r="O324" s="78">
        <v>524410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267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268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220</v>
      </c>
      <c r="O351" s="78">
        <v>598420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0.13568078703247011</v>
      </c>
      <c r="N377" s="46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0.29331967592135899</v>
      </c>
      <c r="N378" s="36" t="s">
        <v>220</v>
      </c>
      <c r="O378" s="78">
        <v>511980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0.40304189814358116</v>
      </c>
      <c r="N379" s="40" t="s">
        <v>223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237</v>
      </c>
      <c r="F381" s="27">
        <v>15</v>
      </c>
      <c r="G381" s="34">
        <f t="shared" si="84"/>
        <v>63</v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237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32</v>
      </c>
      <c r="G392" s="36">
        <f>SUM(G380:G391)</f>
        <v>134.4</v>
      </c>
      <c r="H392" s="37"/>
      <c r="I392" s="37"/>
      <c r="J392" s="37"/>
      <c r="K392" s="37"/>
      <c r="L392" s="37"/>
      <c r="M392" s="38">
        <f ca="1">IFERROR(SUM(M380:M391),"")</f>
        <v>3.472222222222221E-2</v>
      </c>
      <c r="N392" s="36" t="s">
        <v>220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78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32</v>
      </c>
      <c r="G406" s="40">
        <f>G392+G405</f>
        <v>134.4</v>
      </c>
      <c r="H406" s="41"/>
      <c r="I406" s="41"/>
      <c r="J406" s="41"/>
      <c r="K406" s="41"/>
      <c r="L406" s="41"/>
      <c r="M406" s="42">
        <f ca="1">IFERROR(M392+M405,"")</f>
        <v>3.472222222222221E-2</v>
      </c>
      <c r="N406" s="40" t="s">
        <v>223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78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78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78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78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78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78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78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78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78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78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78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78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64" zoomScale="50" zoomScaleNormal="50" workbookViewId="0">
      <selection activeCell="F382" sqref="F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220</v>
      </c>
      <c r="O27" s="39">
        <v>308500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220</v>
      </c>
      <c r="O54" s="39">
        <v>124290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220</v>
      </c>
      <c r="O81" s="39">
        <v>396340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220</v>
      </c>
      <c r="O108" s="39">
        <v>41230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220</v>
      </c>
      <c r="O135" s="39">
        <v>381250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251</v>
      </c>
      <c r="K141" s="29">
        <v>0.71597222222222223</v>
      </c>
      <c r="L141" s="29" t="s">
        <v>275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220</v>
      </c>
      <c r="O162" s="39">
        <v>337120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277</v>
      </c>
      <c r="N166" s="27" t="s">
        <v>278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220</v>
      </c>
      <c r="O189" s="39">
        <v>747210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220</v>
      </c>
      <c r="O216" s="39">
        <v>468430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220</v>
      </c>
      <c r="O243" s="39">
        <v>575930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220</v>
      </c>
      <c r="O270" s="39">
        <v>483510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220</v>
      </c>
      <c r="O297" s="39">
        <v>487980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220</v>
      </c>
      <c r="O324" s="39">
        <v>609460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220</v>
      </c>
      <c r="O351" s="39">
        <v>437940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220</v>
      </c>
      <c r="O378" s="39">
        <v>473310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237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237</v>
      </c>
      <c r="F382" s="27"/>
      <c r="G382" s="28" t="str">
        <f>IF(F382="","",IF(#REF!="PC 17",F382*4.2,IF(#REF!="PC 19",F382*5,"")))</f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16</v>
      </c>
      <c r="G392" s="36">
        <f>SUM(G380:G391)</f>
        <v>67.2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16</v>
      </c>
      <c r="G406" s="40">
        <f>G392+G405</f>
        <v>67.2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39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2" sqref="F38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220</v>
      </c>
      <c r="O27" s="39">
        <v>202230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220</v>
      </c>
      <c r="O54" s="39">
        <v>473910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292</v>
      </c>
      <c r="L58" s="29">
        <v>0.54097222222222219</v>
      </c>
      <c r="M58" s="30" t="str">
        <f t="shared" ca="1" si="13"/>
        <v/>
      </c>
      <c r="N58" s="27" t="s">
        <v>293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220</v>
      </c>
      <c r="O81" s="39">
        <v>565120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220</v>
      </c>
      <c r="O108" s="39">
        <v>558590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0.12595856481493684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0.32526412037049246</v>
      </c>
      <c r="N135" s="36" t="s">
        <v>220</v>
      </c>
      <c r="O135" s="39">
        <v>729290</v>
      </c>
    </row>
    <row r="136" spans="1:18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0.69262523148160349</v>
      </c>
      <c r="N136" s="40" t="s">
        <v>223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220</v>
      </c>
      <c r="O162" s="39">
        <v>697320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220</v>
      </c>
      <c r="O189" s="39">
        <v>973580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220</v>
      </c>
      <c r="O216" s="45">
        <v>1060630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220</v>
      </c>
      <c r="O243" s="39">
        <v>982340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220</v>
      </c>
      <c r="O270" s="39">
        <v>1208450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220</v>
      </c>
      <c r="O297" s="39">
        <v>1049090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220</v>
      </c>
      <c r="O324" s="39">
        <v>1063720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219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220</v>
      </c>
      <c r="O351" s="39">
        <v>696140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220</v>
      </c>
      <c r="O378" s="39">
        <v>704750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/>
      <c r="F380" s="27">
        <v>3</v>
      </c>
      <c r="G380" s="28" t="str">
        <f t="shared" ref="G380:G391" si="84">IF(F380="","",IF(E380="PC 17",F380*4.2,IF(E380="PC 19",F380*5,"")))</f>
        <v/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317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/>
      <c r="F381" s="27">
        <v>10</v>
      </c>
      <c r="G381" s="34" t="str">
        <f t="shared" si="84"/>
        <v/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/>
      <c r="M381" s="35">
        <f t="shared" ca="1" si="85"/>
        <v>3.0418981477851048E-3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13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1.6930787036674E-2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13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1.6930787036674E-2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220</v>
      </c>
      <c r="O432" s="39"/>
    </row>
    <row r="433" spans="1:17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2026-07-15T13:02:01Z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