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56" documentId="8_{AF585B22-221D-4780-BB9C-493D365A6A02}" xr6:coauthVersionLast="47" xr6:coauthVersionMax="47" xr10:uidLastSave="{280DB83C-A8D4-4347-889F-5158651D569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<sst xmlns="http://schemas.openxmlformats.org/spreadsheetml/2006/main" count="6057" uniqueCount="314">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</sst>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64" activePane="bottomLeft" state="frozen"/>
      <selection pane="bottomLeft" activeCell="K366" sqref="K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>
        <v>0.8125</v>
      </c>
      <c r="L366" s="29"/>
      <c r="M366" s="30">
        <f t="shared" ref="M366:M377" ca="1" si="82">IFERROR(IF(K366="","",IF(L366="",MOD(NOW()-K366,1),IF(L366&gt;=K366,L366-K366,L366+1-K366))),"")</f>
        <v>2.690555555454921E-2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2.690555555454921E-2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0.11787777777677133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E372" sqref="E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16</v>
      </c>
      <c r="G378" s="36">
        <f>SUM(G366:G377)</f>
        <v>67.2</v>
      </c>
      <c r="H378" s="37"/>
      <c r="I378" s="37"/>
      <c r="J378" s="37"/>
      <c r="K378" s="37"/>
      <c r="L378" s="37"/>
      <c r="M378" s="38">
        <f ca="1">IFERROR(SUM(M366:M377),"")</f>
        <v>1.388888888888884E-3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174</v>
      </c>
      <c r="G379" s="40">
        <f>G365+G378</f>
        <v>730.80000000000007</v>
      </c>
      <c r="H379" s="41"/>
      <c r="I379" s="41"/>
      <c r="J379" s="41"/>
      <c r="K379" s="41"/>
      <c r="L379" s="41"/>
      <c r="M379" s="42">
        <f ca="1">IFERROR(M365+M378,"")</f>
        <v>0.11111111111111105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E377" sqref="E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</v>
      </c>
      <c r="G378" s="36">
        <f>SUM(G366:G377)</f>
        <v>50.400000000000006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21</v>
      </c>
      <c r="G379" s="40">
        <f>G365+G378</f>
        <v>88.200000000000017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58" activePane="bottomLeft" state="frozen"/>
      <selection pane="bottomLeft" activeCell="K367" sqref="K3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0.59010000000125729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0.78940555555681291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1.1567666666679239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/>
      <c r="F366" s="27">
        <v>20</v>
      </c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>
        <v>0.83888888888888891</v>
      </c>
      <c r="L366" s="29"/>
      <c r="M366" s="30">
        <f t="shared" ref="M366:M377" ca="1" si="82">IFERROR(IF(K366="","",IF(L366="",MOD(NOW()-K366,1),IF(L366&gt;=K366,L366-K366,L366+1-K366))),"")</f>
        <v>5.1666666695382446E-4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5.1666666695382446E-4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145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0.10537777777806501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2026-07-15T00:09:18Z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