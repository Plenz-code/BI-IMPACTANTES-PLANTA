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111" documentId="13_ncr:1_{0A10D8D4-8450-4366-8075-B53B08E6B7EA}" xr6:coauthVersionLast="47" xr6:coauthVersionMax="47" xr10:uidLastSave="{434F743F-13D3-4ED3-BCD1-9F9724E9DD73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63" i="5" s="1"/>
  <c r="J363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3" i="4" l="1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<sst xmlns="http://schemas.openxmlformats.org/spreadsheetml/2006/main" count="6363" uniqueCount="347">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</sst>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9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9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9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9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9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9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9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9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9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9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9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9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9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9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9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9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/>
    </row>
    <row r="59" spans="1:18" ht="15" customHeight="1">
      <c r="M59" s="169"/>
      <c r="N59" s="17"/>
      <c r="O59" s="17"/>
      <c r="P59" s="17" t="s">
        <v>218</v>
      </c>
      <c r="Q59" s="17"/>
      <c r="R59" s="17"/>
    </row>
    <row r="60" spans="1:18" ht="15" customHeight="1">
      <c r="M60" s="169"/>
      <c r="N60" s="16"/>
      <c r="O60" s="16"/>
      <c r="P60" s="77" t="s">
        <v>113</v>
      </c>
      <c r="Q60" s="16"/>
      <c r="R60" s="16"/>
    </row>
    <row r="61" spans="1:18" ht="15" customHeight="1">
      <c r="M61" s="169"/>
      <c r="N61" s="17"/>
      <c r="O61" s="17"/>
      <c r="P61" s="17" t="s">
        <v>219</v>
      </c>
      <c r="Q61" s="17"/>
      <c r="R61" s="17"/>
    </row>
    <row r="62" spans="1:18" ht="15" customHeight="1">
      <c r="M62" s="169"/>
      <c r="N62" s="16"/>
      <c r="O62" s="16"/>
      <c r="P62" s="16" t="s">
        <v>220</v>
      </c>
      <c r="Q62" s="16"/>
      <c r="R62" s="16"/>
    </row>
    <row r="63" spans="1:18" ht="15" customHeight="1">
      <c r="M63" s="169"/>
      <c r="N63" s="17"/>
      <c r="O63" s="17"/>
      <c r="P63" s="17" t="s">
        <v>221</v>
      </c>
      <c r="Q63" s="17"/>
      <c r="R63" s="17"/>
    </row>
    <row r="64" spans="1:18" ht="15" customHeight="1">
      <c r="M64" s="169"/>
      <c r="N64" s="16"/>
      <c r="O64" s="16"/>
      <c r="P64" s="16" t="s">
        <v>222</v>
      </c>
      <c r="Q64" s="16"/>
      <c r="R64" s="16"/>
    </row>
    <row r="65" spans="13:18" ht="15" customHeight="1">
      <c r="M65" s="169"/>
      <c r="N65" s="17"/>
      <c r="O65" s="17"/>
      <c r="P65" s="17" t="s">
        <v>223</v>
      </c>
      <c r="Q65" s="17"/>
      <c r="R65" s="17"/>
    </row>
    <row r="66" spans="13:18" ht="15" customHeight="1">
      <c r="M66" s="169"/>
      <c r="N66" s="16"/>
      <c r="O66" s="16"/>
      <c r="P66" s="16" t="s">
        <v>224</v>
      </c>
      <c r="Q66" s="16"/>
      <c r="R66" s="16"/>
    </row>
    <row r="67" spans="13:18" ht="15" customHeight="1">
      <c r="M67" s="169"/>
      <c r="N67" s="17"/>
      <c r="O67" s="17"/>
      <c r="P67" s="17" t="s">
        <v>225</v>
      </c>
      <c r="Q67" s="17"/>
      <c r="R67" s="17"/>
    </row>
    <row r="68" spans="13:18" ht="15" customHeight="1">
      <c r="M68" s="169"/>
      <c r="N68" s="16"/>
      <c r="O68" s="16"/>
      <c r="P68" s="16" t="s">
        <v>226</v>
      </c>
      <c r="Q68" s="16"/>
      <c r="R68" s="16"/>
    </row>
    <row r="69" spans="13:18" ht="15" customHeight="1">
      <c r="M69" s="169"/>
      <c r="N69" s="17"/>
      <c r="O69" s="17"/>
      <c r="P69" s="17" t="s">
        <v>227</v>
      </c>
      <c r="Q69" s="17"/>
      <c r="R69" s="17"/>
    </row>
    <row r="70" spans="13:18" ht="15" customHeight="1">
      <c r="M70" s="169"/>
      <c r="N70" s="16"/>
      <c r="O70" s="16"/>
      <c r="P70" s="16" t="s">
        <v>228</v>
      </c>
      <c r="Q70" s="16"/>
      <c r="R70" s="16"/>
    </row>
    <row r="71" spans="13:18" ht="15" customHeight="1">
      <c r="M71" s="169"/>
      <c r="N71" s="17"/>
      <c r="O71" s="17"/>
      <c r="P71" s="17" t="s">
        <v>229</v>
      </c>
      <c r="Q71" s="17"/>
      <c r="R71" s="17"/>
    </row>
    <row r="72" spans="13:18" ht="15" customHeight="1">
      <c r="M72" s="169"/>
      <c r="N72" s="16"/>
      <c r="O72" s="16"/>
      <c r="P72" s="16" t="s">
        <v>230</v>
      </c>
      <c r="Q72" s="16"/>
      <c r="R72" s="16"/>
    </row>
    <row r="73" spans="13:18" ht="15" customHeight="1">
      <c r="M73" s="169"/>
      <c r="N73" s="17"/>
      <c r="O73" s="17"/>
      <c r="P73" s="17" t="s">
        <v>231</v>
      </c>
      <c r="Q73" s="17"/>
      <c r="R73" s="17"/>
    </row>
    <row r="74" spans="13:18" ht="15" customHeight="1">
      <c r="M74" s="169"/>
      <c r="N74" s="16"/>
      <c r="O74" s="16"/>
      <c r="P74" s="16" t="s">
        <v>232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34" activePane="bottomLeft" state="frozen"/>
      <selection pane="bottomLeft" activeCell="F365" sqref="F36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0</v>
      </c>
      <c r="G364" s="28">
        <f t="shared" si="73"/>
        <v>0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360</v>
      </c>
      <c r="G365" s="36">
        <f>SUM(G353:G364)</f>
        <v>1766.4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360</v>
      </c>
      <c r="G379" s="40">
        <f>G365+G378</f>
        <v>1766.4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65" sqref="G36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0.65678263888548827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0.79567152777437711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0.88039374999659947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0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432.6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432.6</v>
      </c>
      <c r="L379" s="41"/>
      <c r="M379" s="41"/>
      <c r="N379" s="41"/>
      <c r="O379" s="41"/>
      <c r="P379" s="41"/>
      <c r="Q379" s="42">
        <f ca="1">IFERROR(Q365+Q378,"")</f>
        <v>8.3333333333333259E-2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P358" sqref="P35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0"/>
        <v>0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0"/>
        <v>0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327.60000000000008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327.60000000000008</v>
      </c>
      <c r="L379" s="41"/>
      <c r="M379" s="41"/>
      <c r="N379" s="41"/>
      <c r="O379" s="41"/>
      <c r="P379" s="41"/>
      <c r="Q379" s="42">
        <f ca="1">IFERROR(Q365+Q378,"")</f>
        <v>0.19513888888888881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8" activePane="bottomLeft" state="frozen"/>
      <selection pane="bottomLeft" activeCell="R359" sqref="R35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180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756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180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756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2026-08-14T22:41:13Z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