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89" documentId="8_{C51EB6CB-002B-4D6B-B68F-DDEBDB4460C0}" xr6:coauthVersionLast="47" xr6:coauthVersionMax="47" xr10:uidLastSave="{7D8C066A-57C8-4AB8-B108-95E3943DF549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<sst xmlns="http://schemas.openxmlformats.org/spreadsheetml/2006/main" count="2601" uniqueCount="265">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</sst>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E97" sqref="E9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36</v>
      </c>
      <c r="G108" s="36">
        <f>SUM(G96:G107)</f>
        <v>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345</v>
      </c>
      <c r="G109" s="40">
        <f>G95+G108</f>
        <v>1725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5" t="s">
        <v>233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97" sqref="F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0.71959999999671709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0.85848888888560593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0.94321111110782829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>
        <v>3</v>
      </c>
      <c r="G96" s="34" t="str">
        <f t="shared" ref="G96:G107" si="21">IF(F96="","",IF(E96="PC 17",F96*4.2,IF(E96="PC 19",F96*5,IF(E96="CB",F96*24,""))))</f>
        <v/>
      </c>
      <c r="H96" s="26" t="s">
        <v>18</v>
      </c>
      <c r="I96" s="26" t="s">
        <v>138</v>
      </c>
      <c r="J96" s="26"/>
      <c r="K96" s="29">
        <v>0.79166666666666663</v>
      </c>
      <c r="L96" s="29"/>
      <c r="M96" s="30">
        <f t="shared" ref="M96:M107" ca="1" si="22">IFERROR(IF(K96="","",IF(L96="",MOD(NOW()-K96,1),IF(L96&gt;=K96,L96-K96,L96+1-K96))),"")</f>
        <v>4.9461111113487277E-2</v>
      </c>
      <c r="N96" s="46" t="s">
        <v>251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4.9461111113487277E-2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99</v>
      </c>
      <c r="G109" s="40">
        <f>G95+G108</f>
        <v>403.2</v>
      </c>
      <c r="H109" s="41"/>
      <c r="I109" s="41"/>
      <c r="J109" s="41"/>
      <c r="K109" s="41"/>
      <c r="L109" s="41"/>
      <c r="M109" s="42">
        <f ca="1">IFERROR(M95+M108,"")</f>
        <v>0.26612777778015401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78" zoomScale="50" zoomScaleNormal="50" workbookViewId="0">
      <selection activeCell="E97" sqref="E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5</v>
      </c>
      <c r="G108" s="36">
        <f>SUM(G96:G107)</f>
        <v>21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53</v>
      </c>
      <c r="G109" s="40">
        <f>G95+G108</f>
        <v>222.6</v>
      </c>
      <c r="H109" s="41"/>
      <c r="I109" s="41"/>
      <c r="J109" s="41"/>
      <c r="K109" s="41"/>
      <c r="L109" s="41"/>
      <c r="M109" s="42">
        <f ca="1">IFERROR(M95+M108,"")</f>
        <v>0.15625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G101" sqref="G10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20</v>
      </c>
      <c r="G108" s="36">
        <f>SUM(G96:G107)</f>
        <v>84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203</v>
      </c>
      <c r="G109" s="40">
        <f>G95+G108</f>
        <v>852.6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2026-08-05T00:11:47Z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