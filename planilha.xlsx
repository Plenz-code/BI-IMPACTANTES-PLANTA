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655" documentId="8_{AF585B22-221D-4780-BB9C-493D365A6A02}" xr6:coauthVersionLast="47" xr6:coauthVersionMax="47" xr10:uidLastSave="{01B2E5C5-9445-4552-8756-703EC4BC4E3F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<sst xmlns="http://schemas.openxmlformats.org/spreadsheetml/2006/main" count="3574" uniqueCount="262">
  <si>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</si>
  <si>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</si>
  <si>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</si>
  <si>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</si>
  <si>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</si>
  <si>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</si>
  <si>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</si>
  <si>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</si>
  <si>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</si>
  <si>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</si>
  <si>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</si>
  <si>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</si>
  <si>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</si>
  <si>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</si>
  <si>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</si>
  <si>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</si>
  <si>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</si>
  <si>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</si>
  <si>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</si>
  <si>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</si>
  <si>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</si>
  <si>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</si>
  <si>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</si>
  <si>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</si>
  <si>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</si>
  <si>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</si>
  <si>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</si>
  <si>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</si>
  <si>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</si>
  <si>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</si>
  <si>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</si>
  <si>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</si>
  <si>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</si>
  <si>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</si>
  <si>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</si>
  <si>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</si>
  <si>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</si>
  <si>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</si>
  <si>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</si>
  <si>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</si>
  <si>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</si>
  <si>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</si>
  <si>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</si>
  <si>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</si>
  <si>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</si>
  <si>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</si>
  <si>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</si>
  <si>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</si>
  <si>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</si>
  <si>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</si>
  <si>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</si>
  <si>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</si>
  <si>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</si>
  <si>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</si>
  <si>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</si>
  <si>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</si>
  <si>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</si>
  <si>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</si>
  <si>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</si>
  <si>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</si>
  <si>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</si>
  <si>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</si>
  <si>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</si>
  <si>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</si>
  <si>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</si>
  <si>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</si>
  <si>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</si>
  <si>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</si>
  <si>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</si>
  <si>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</si>
  <si>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</si>
  <si>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</si>
  <si>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</si>
  <si>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</si>
  <si>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</si>
  <si>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</si>
  <si>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</si>
  <si>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</si>
  <si>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</si>
  <si>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</si>
  <si>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</si>
  <si>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</si>
  <si>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</si>
  <si>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</si>
  <si>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</si>
  <si>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</si>
  <si>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</si>
  <si>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</si>
  <si>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</si>
  <si>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</si>
  <si>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</si>
  <si>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</si>
  <si>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</si>
  <si>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</si>
  <si>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</si>
  <si>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</si>
  <si>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</si>
  <si>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</si>
  <si>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</si>
  <si>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</si>
  <si>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</si>
  <si>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</si>
  <si>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</si>
  <si>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</si>
  <si>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</si>
  <si>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</si>
  <si>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</si>
  <si>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</si>
  <si>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</si>
  <si>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</si>
  <si>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</si>
  <si>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</si>
  <si>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</si>
  <si>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</si>
  <si>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</si>
  <si>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</si>
  <si>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</si>
  <si>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</si>
  <si>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</si>
  <si>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</si>
  <si>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</si>
  <si>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</si>
  <si>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</si>
  <si>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</si>
  <si>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</si>
  <si>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</si>
  <si>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</si>
  <si>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</si>
  <si>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</si>
  <si>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</si>
  <si>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</si>
  <si>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</si>
  <si>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</si>
  <si>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</si>
  <si>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</si>
  <si>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</si>
  <si>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</si>
  <si>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</si>
  <si>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</si>
  <si>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</si>
  <si>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</si>
  <si>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</si>
  <si>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</si>
  <si>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</si>
  <si>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</si>
  <si>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</si>
  <si>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</si>
  <si>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</si>
  <si>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</si>
  <si>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</si>
  <si>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</si>
  <si>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</si>
  <si>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</si>
  <si>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</si>
  <si>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</si>
  <si>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</si>
  <si>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</si>
  <si>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</si>
  <si>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</si>
  <si>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</si>
  <si>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</si>
  <si>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</si>
  <si>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</si>
  <si>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</si>
  <si>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</si>
  <si>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</si>
  <si>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</si>
  <si>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</si>
  <si>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</si>
  <si>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</si>
  <si>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</si>
  <si>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</si>
  <si>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</si>
  <si>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</si>
  <si>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</si>
  <si>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</si>
  <si>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</si>
  <si>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</si>
  <si>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</si>
  <si>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</si>
  <si>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</si>
  <si>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</si>
  <si>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</si>
  <si>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</si>
  <si>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</si>
  <si>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</si>
  <si>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</si>
  <si>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</si>
  <si>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</si>
  <si>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</si>
  <si>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</si>
  <si>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</si>
  <si>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</si>
  <si>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</si>
  <si>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</si>
  <si>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</si>
  <si>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</si>
  <si>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</si>
  <si>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</si>
  <si>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</si>
  <si>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</si>
  <si>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</si>
  <si>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</si>
  <si>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</si>
  <si>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</si>
  <si>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</si>
  <si>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</si>
  <si>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</si>
  <si>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</si>
  <si>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</si>
  <si>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</si>
  <si>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</si>
  <si>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</si>
  <si>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</si>
  <si>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</si>
  <si>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</si>
  <si>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</si>
  <si>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/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</si>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</sst>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70" activePane="bottomLeft" state="frozen"/>
      <selection pane="bottomLeft" activeCell="F192" sqref="F19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206</v>
      </c>
      <c r="F191" s="27">
        <v>14</v>
      </c>
      <c r="G191" s="34">
        <f t="shared" ref="G191:G202" si="42">IF(F191="","",IF(E191="PC 17",F191*4.2,IF(E191="PC 19",F191*5,"")))</f>
        <v>70</v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206</v>
      </c>
      <c r="F192" s="27" t="s">
        <v>217</v>
      </c>
      <c r="G192" s="28" t="e">
        <f t="shared" si="42"/>
        <v>#VALUE!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206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206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206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206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206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206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14</v>
      </c>
      <c r="G203" s="36" t="e">
        <f>SUM(G191:G202)</f>
        <v>#VALUE!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14</v>
      </c>
      <c r="G217" s="40" t="e">
        <f>G203+G216</f>
        <v>#VALUE!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218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70" activePane="bottomLeft" state="frozen"/>
      <selection pane="bottomLeft" activeCell="L192" sqref="L19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243</v>
      </c>
      <c r="N166" s="27" t="s">
        <v>244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130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99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5</v>
      </c>
      <c r="G203" s="36">
        <f>SUM(G191:G202)</f>
        <v>21</v>
      </c>
      <c r="H203" s="37"/>
      <c r="I203" s="37"/>
      <c r="J203" s="37"/>
      <c r="K203" s="37"/>
      <c r="L203" s="37"/>
      <c r="M203" s="38">
        <f ca="1">IFERROR(SUM(M191:M202),"")</f>
        <v>2.1527777777777812E-2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5</v>
      </c>
      <c r="G217" s="40">
        <f>G203+G216</f>
        <v>21</v>
      </c>
      <c r="H217" s="41"/>
      <c r="I217" s="41"/>
      <c r="J217" s="41"/>
      <c r="K217" s="41"/>
      <c r="L217" s="41"/>
      <c r="M217" s="42">
        <f ca="1">IFERROR(M203+M216,"")</f>
        <v>2.1527777777777812E-2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0" activePane="bottomLeft" state="frozen"/>
      <selection pane="bottomLeft" activeCell="L191" sqref="L19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249</v>
      </c>
      <c r="L58" s="29">
        <v>0.54097222222222219</v>
      </c>
      <c r="M58" s="30" t="str">
        <f t="shared" ca="1" si="13"/>
        <v/>
      </c>
      <c r="N58" s="27" t="s">
        <v>250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0.10470543981500668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0.30401099537056231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0.67137210648167334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218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135</v>
      </c>
      <c r="J191" s="33" t="s">
        <v>122</v>
      </c>
      <c r="K191" s="29">
        <v>0.34722222222222221</v>
      </c>
      <c r="L191" s="29">
        <v>0.33333333333333331</v>
      </c>
      <c r="M191" s="35">
        <f t="shared" ref="M191:M202" ca="1" si="43">IFERROR(IF(K191="","",IF(L191="",MOD(NOW()-K191,1),IF(L191&gt;=K191,L191-K191,L191+1-K191))),"")</f>
        <v>0.98611111111111105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20</v>
      </c>
      <c r="G203" s="36">
        <f>SUM(G191:G202)</f>
        <v>84</v>
      </c>
      <c r="H203" s="37"/>
      <c r="I203" s="37"/>
      <c r="J203" s="37"/>
      <c r="K203" s="61"/>
      <c r="L203" s="61"/>
      <c r="M203" s="38">
        <f ca="1">IFERROR(SUM(M191:M202),"")</f>
        <v>0.98611111111111105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20</v>
      </c>
      <c r="G217" s="40">
        <f>G203+G216</f>
        <v>84</v>
      </c>
      <c r="H217" s="41"/>
      <c r="I217" s="41"/>
      <c r="J217" s="41"/>
      <c r="K217" s="63"/>
      <c r="L217" s="63"/>
      <c r="M217" s="42">
        <f ca="1">IFERROR(M203+M216,"")</f>
        <v>0.98611111111111105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