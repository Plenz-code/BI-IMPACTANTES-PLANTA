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53" documentId="8_{C51EB6CB-002B-4D6B-B68F-DDEBDB4460C0}" xr6:coauthVersionLast="47" xr6:coauthVersionMax="47" xr10:uidLastSave="{5DEE28DD-0BEA-4619-B560-AEC8E3AF46A8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<sst xmlns="http://schemas.openxmlformats.org/spreadsheetml/2006/main" count="3293" uniqueCount="284">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</sst>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3" activePane="bottomLeft" state="frozen"/>
      <selection pane="bottomLeft" activeCell="H154" sqref="H1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289</v>
      </c>
      <c r="G163" s="40">
        <f>G149+G162</f>
        <v>1445</v>
      </c>
      <c r="H163" s="41"/>
      <c r="I163" s="41"/>
      <c r="J163" s="41"/>
      <c r="K163" s="41"/>
      <c r="L163" s="41"/>
      <c r="M163" s="42">
        <f ca="1">IFERROR(M149+M162,"")</f>
        <v>9.8611111111111149E-2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33" activePane="bottomLeft" state="frozen"/>
      <selection pane="bottomLeft" activeCell="N145" sqref="N1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0.65779675925296033</v>
      </c>
      <c r="N53" s="46" t="s">
        <v>253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0.79668564814184917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0.88140787036407153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255</v>
      </c>
      <c r="E83" s="59" t="s">
        <v>244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256</v>
      </c>
      <c r="M96" s="30" t="str">
        <f t="shared" ref="M96:M107" ca="1" si="22">IFERROR(IF(K96="","",IF(L96="",MOD(NOW()-K96,1),IF(L96&gt;=K96,L96-K96,L96+1-K96))),"")</f>
        <v/>
      </c>
      <c r="N96" s="46" t="s">
        <v>257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244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244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244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244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244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244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244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244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244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140</v>
      </c>
      <c r="G163" s="40">
        <f>G149+G162</f>
        <v>588</v>
      </c>
      <c r="H163" s="41"/>
      <c r="I163" s="41"/>
      <c r="J163" s="41"/>
      <c r="K163" s="41"/>
      <c r="L163" s="41"/>
      <c r="M163" s="42">
        <f ca="1">IFERROR(M149+M162,"")</f>
        <v>0.17569444444444443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36" zoomScale="50" zoomScaleNormal="50" workbookViewId="0">
      <selection activeCell="O149" sqref="O1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33</v>
      </c>
      <c r="G163" s="40">
        <f>G149+G162</f>
        <v>138.6</v>
      </c>
      <c r="H163" s="41"/>
      <c r="I163" s="41"/>
      <c r="J163" s="41"/>
      <c r="K163" s="41"/>
      <c r="L163" s="41"/>
      <c r="M163" s="42">
        <f ca="1">IFERROR(M149+M162,"")</f>
        <v>0.15347222222222218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35" activePane="bottomLeft" state="frozen"/>
      <selection pane="bottomLeft" activeCell="J156" sqref="J1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182</v>
      </c>
      <c r="G163" s="40">
        <f>G149+G162</f>
        <v>764.40000000000009</v>
      </c>
      <c r="H163" s="41"/>
      <c r="I163" s="41"/>
      <c r="J163" s="41"/>
      <c r="K163" s="63"/>
      <c r="L163" s="63"/>
      <c r="M163" s="42">
        <f ca="1">IFERROR(M149+M162,"")</f>
        <v>9.4444444444444386E-2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2026-08-06T22:42:38Z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