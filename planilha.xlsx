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156" documentId="8_{AF585B22-221D-4780-BB9C-493D365A6A02}" xr6:coauthVersionLast="47" xr6:coauthVersionMax="47" xr10:uidLastSave="{9A9D2799-C6FF-4E27-A22F-5C9706261E6B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<sst xmlns="http://schemas.openxmlformats.org/spreadsheetml/2006/main" count="5522" uniqueCount="308">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</sst>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10" fillId="3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4" sqref="G4:G15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36763228</v>
      </c>
      <c r="D35" s="13">
        <f>IFERROR(SUM(D4:D34),"")</f>
        <v>12990250</v>
      </c>
      <c r="E35" s="13">
        <f>IFERROR(SUM(E4:E34),"")</f>
        <v>9191510</v>
      </c>
      <c r="F35" s="13">
        <f>IFERROR(SUM(F4:F34),"")</f>
        <v>16638500</v>
      </c>
      <c r="G35" s="13">
        <f>IFERROR(SUM(G4:G34),"")</f>
        <v>38820260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1"/>
      <c r="I54" s="16"/>
      <c r="J54" s="16"/>
      <c r="K54" s="16" t="s">
        <v>196</v>
      </c>
      <c r="L54" s="16"/>
      <c r="M54" s="16"/>
    </row>
    <row r="55" spans="1:13" ht="15" customHeight="1">
      <c r="H55" s="101"/>
      <c r="I55" s="17"/>
      <c r="J55" s="17"/>
      <c r="K55" s="17" t="s">
        <v>197</v>
      </c>
      <c r="L55" s="17"/>
      <c r="M55" s="17"/>
    </row>
    <row r="56" spans="1:13" ht="15" customHeight="1">
      <c r="H56" s="101"/>
      <c r="I56" s="16"/>
      <c r="J56" s="16"/>
      <c r="K56" s="16" t="s">
        <v>198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199</v>
      </c>
      <c r="L58" s="16"/>
      <c r="M58" s="16"/>
    </row>
    <row r="59" spans="1:13" ht="15" customHeight="1">
      <c r="H59" s="101"/>
      <c r="I59" s="17"/>
      <c r="J59" s="17"/>
      <c r="K59" s="17" t="s">
        <v>200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201</v>
      </c>
      <c r="L61" s="17"/>
      <c r="M61" s="17"/>
    </row>
    <row r="62" spans="1:13" ht="15" customHeight="1">
      <c r="H62" s="101"/>
      <c r="I62" s="16"/>
      <c r="J62" s="16"/>
      <c r="K62" s="16" t="s">
        <v>202</v>
      </c>
      <c r="L62" s="16"/>
      <c r="M62" s="16"/>
    </row>
    <row r="63" spans="1:13" ht="15" customHeight="1">
      <c r="H63" s="101"/>
      <c r="I63" s="17"/>
      <c r="J63" s="17"/>
      <c r="K63" s="17" t="s">
        <v>203</v>
      </c>
      <c r="L63" s="17"/>
      <c r="M63" s="17"/>
    </row>
    <row r="64" spans="1:13" ht="15" customHeight="1">
      <c r="H64" s="101"/>
      <c r="I64" s="16"/>
      <c r="J64" s="16"/>
      <c r="K64" s="16" t="s">
        <v>204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304" activePane="bottomLeft" state="frozen"/>
      <selection pane="bottomLeft" activeCell="F332" sqref="F33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103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209</v>
      </c>
      <c r="G338" s="36">
        <f>SUM(G326:G337)</f>
        <v>1045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209</v>
      </c>
      <c r="G352" s="40">
        <f>G338+G351</f>
        <v>1045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295" activePane="bottomLeft" state="frozen"/>
      <selection pane="bottomLeft" activeCell="F332" sqref="F33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234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10</v>
      </c>
      <c r="G328" s="28">
        <f t="shared" si="72"/>
        <v>42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20</v>
      </c>
      <c r="G329" s="34">
        <f t="shared" si="72"/>
        <v>84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234</v>
      </c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234</v>
      </c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234</v>
      </c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234</v>
      </c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234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234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101</v>
      </c>
      <c r="G338" s="36">
        <f>SUM(G326:G337)</f>
        <v>433.8</v>
      </c>
      <c r="H338" s="37"/>
      <c r="I338" s="37"/>
      <c r="J338" s="37"/>
      <c r="K338" s="37"/>
      <c r="L338" s="37"/>
      <c r="M338" s="38">
        <f ca="1">IFERROR(SUM(M326:M337),"")</f>
        <v>2.3611111111111083E-2</v>
      </c>
      <c r="N338" s="36" t="s">
        <v>219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78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101</v>
      </c>
      <c r="G352" s="40">
        <f>G338+G351</f>
        <v>433.8</v>
      </c>
      <c r="H352" s="41"/>
      <c r="I352" s="41"/>
      <c r="J352" s="41"/>
      <c r="K352" s="41"/>
      <c r="L352" s="41"/>
      <c r="M352" s="42">
        <f ca="1">IFERROR(M338+M351,"")</f>
        <v>2.3611111111111083E-2</v>
      </c>
      <c r="N352" s="40" t="s">
        <v>222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05" zoomScale="50" zoomScaleNormal="50" workbookViewId="0">
      <selection activeCell="F332" sqref="F33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269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271</v>
      </c>
      <c r="N166" s="27" t="s">
        <v>272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273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274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275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276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277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279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280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281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/>
      <c r="M329" s="35">
        <f t="shared" ca="1" si="73"/>
        <v>9.0582060183805879E-2</v>
      </c>
      <c r="N329" s="27" t="s">
        <v>267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234</v>
      </c>
      <c r="F331" s="27">
        <v>0</v>
      </c>
      <c r="G331" s="34">
        <f t="shared" si="72"/>
        <v>0</v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234</v>
      </c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234</v>
      </c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234</v>
      </c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234</v>
      </c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234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234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12</v>
      </c>
      <c r="G338" s="36">
        <f>SUM(G326:G337)</f>
        <v>50.400000000000006</v>
      </c>
      <c r="H338" s="37"/>
      <c r="I338" s="37"/>
      <c r="J338" s="37"/>
      <c r="K338" s="37"/>
      <c r="L338" s="37"/>
      <c r="M338" s="38">
        <f ca="1">IFERROR(SUM(M326:M337),"")</f>
        <v>0.14752650462825034</v>
      </c>
      <c r="N338" s="36" t="s">
        <v>219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12</v>
      </c>
      <c r="G352" s="40">
        <f>G338+G351</f>
        <v>50.400000000000006</v>
      </c>
      <c r="H352" s="41"/>
      <c r="I352" s="41"/>
      <c r="J352" s="41"/>
      <c r="K352" s="41"/>
      <c r="L352" s="41"/>
      <c r="M352" s="42">
        <f ca="1">IFERROR(M338+M351,"")</f>
        <v>0.14752650462825034</v>
      </c>
      <c r="N352" s="40" t="s">
        <v>222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02" activePane="bottomLeft" state="frozen"/>
      <selection pane="bottomLeft" activeCell="F332" sqref="F33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282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283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284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285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286</v>
      </c>
      <c r="L58" s="29">
        <v>0.54097222222222219</v>
      </c>
      <c r="M58" s="30" t="str">
        <f t="shared" ca="1" si="13"/>
        <v/>
      </c>
      <c r="N58" s="27" t="s">
        <v>287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288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289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290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291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292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293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294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295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0.29960983796627261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0.49891539352182823</v>
      </c>
      <c r="N135" s="36" t="s">
        <v>219</v>
      </c>
      <c r="O135" s="39">
        <v>729290</v>
      </c>
    </row>
    <row r="136" spans="1:18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0.86627650463293926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296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234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234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298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234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234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299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234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300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301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302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303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305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306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307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234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234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/>
      <c r="M327" s="35">
        <f t="shared" ca="1" si="72"/>
        <v>1.5582060186716262E-2</v>
      </c>
      <c r="N327" s="27"/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234</v>
      </c>
      <c r="F328" s="27">
        <v>20</v>
      </c>
      <c r="G328" s="28">
        <f t="shared" ref="G328:G337" si="74">IF(F328="","",IF(E328="PC 17",F328*4.2,IF(E328="PC 19",F328*5,"")))</f>
        <v>84</v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234</v>
      </c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234</v>
      </c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234</v>
      </c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234</v>
      </c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234</v>
      </c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234</v>
      </c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218</v>
      </c>
      <c r="B338" s="95"/>
      <c r="C338" s="95"/>
      <c r="D338" s="95"/>
      <c r="E338" s="96">
        <f>SUM(E327:E337)</f>
        <v>0</v>
      </c>
      <c r="F338" s="36">
        <f>SUM(F326:F337)</f>
        <v>111</v>
      </c>
      <c r="G338" s="36">
        <f>SUM(G326:G337)</f>
        <v>478.2</v>
      </c>
      <c r="H338" s="37"/>
      <c r="I338" s="37"/>
      <c r="J338" s="37"/>
      <c r="K338" s="61"/>
      <c r="L338" s="61"/>
      <c r="M338" s="38">
        <f ca="1">IFERROR(SUM(M326:M337),"")</f>
        <v>1.835983796449403E-2</v>
      </c>
      <c r="N338" s="36" t="s">
        <v>219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111</v>
      </c>
      <c r="G352" s="40">
        <f>G338+G351</f>
        <v>478.2</v>
      </c>
      <c r="H352" s="41"/>
      <c r="I352" s="41"/>
      <c r="J352" s="41"/>
      <c r="K352" s="63"/>
      <c r="L352" s="63"/>
      <c r="M352" s="42">
        <f ca="1">IFERROR(M338+M351,"")</f>
        <v>1.835983796449403E-2</v>
      </c>
      <c r="N352" s="40" t="s">
        <v>222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2026-07-13T17:10:57Z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