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52" documentId="8_{AF585B22-221D-4780-BB9C-493D365A6A02}" xr6:coauthVersionLast="47" xr6:coauthVersionMax="47" xr10:uidLastSave="{54BE7354-649D-460B-8EF2-82CC61DF742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<sst xmlns="http://schemas.openxmlformats.org/spreadsheetml/2006/main" count="9105" uniqueCount="376">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</sst>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E582" sqref="E5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186</v>
      </c>
      <c r="G595" s="40">
        <f>G581+G594</f>
        <v>930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3" sqref="F5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0.59210127314872807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0.74974016203761695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0.85946238425983912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0.5705734953735373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0.74140682870687069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0.88654571759575962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13</v>
      </c>
      <c r="G582" s="28">
        <f t="shared" ref="G582:G593" si="129">IF(F582="","",IF(E582="PC 17",F582*4.2,IF(E582="PC 19",F582*5,"")))</f>
        <v>54.6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13</v>
      </c>
      <c r="G594" s="36">
        <f>SUM(G582:G593)</f>
        <v>54.6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243</v>
      </c>
      <c r="G595" s="40">
        <f>G581+G594</f>
        <v>1020.6000000000001</v>
      </c>
      <c r="H595" s="41"/>
      <c r="I595" s="41"/>
      <c r="J595" s="41"/>
      <c r="K595" s="41"/>
      <c r="L595" s="41"/>
      <c r="M595" s="42">
        <f ca="1">IFERROR(M581+M594,"")</f>
        <v>3.0555555555555558E-2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49" zoomScale="50" zoomScaleNormal="50" workbookViewId="0">
      <selection activeCell="F583" sqref="F5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3</v>
      </c>
      <c r="G594" s="36">
        <f>SUM(G582:G593)</f>
        <v>12.600000000000001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56</v>
      </c>
      <c r="G595" s="40">
        <f>G581+G594</f>
        <v>235.20000000000002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J582" sqref="J5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0.5823790509311948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0.78168460648675042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1.1490457175978614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/>
      <c r="M582" s="30">
        <f t="shared" ref="M582:M593" ca="1" si="130">IFERROR(IF(K582="","",IF(L582="",MOD(NOW()-K582,1),IF(L582&gt;=K582,L582-K582,L582+1-K582))),"")</f>
        <v>4.0017939820245374E-2</v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7" t="s">
        <v>255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4.0017939820245374E-2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0.54001793982024537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2026-07-22T23:58:08Z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