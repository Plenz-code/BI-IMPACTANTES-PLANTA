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961" documentId="8_{AF585B22-221D-4780-BB9C-493D365A6A02}" xr6:coauthVersionLast="47" xr6:coauthVersionMax="47" xr10:uidLastSave="{138D7E75-1391-4347-B12B-EE42255A6D89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<sst xmlns="http://schemas.openxmlformats.org/spreadsheetml/2006/main" count="8727" uniqueCount="370">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</sst>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726090</v>
      </c>
      <c r="D24" s="8">
        <f>IFERROR('Linha 1'!O568,"")</f>
        <v>1003230</v>
      </c>
      <c r="E24" s="8">
        <f>IFERROR('Linha 2'!O568,"")</f>
        <v>171920</v>
      </c>
      <c r="F24" s="8">
        <f>IFERROR('Linha 3'!O568,"")</f>
        <v>583380</v>
      </c>
      <c r="G24" s="9">
        <f t="shared" si="0"/>
        <v>1758530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63111241</v>
      </c>
      <c r="D35" s="13">
        <f>IFERROR(SUM(D4:D34),"")</f>
        <v>24771590</v>
      </c>
      <c r="E35" s="13">
        <f>IFERROR(SUM(E4:E34),"")</f>
        <v>14012030</v>
      </c>
      <c r="F35" s="13">
        <f>IFERROR(SUM(F4:F34),"")</f>
        <v>28224620</v>
      </c>
      <c r="G35" s="13">
        <f>IFERROR(SUM(G4:G34),"")</f>
        <v>67008240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30" activePane="bottomLeft" state="frozen"/>
      <selection pane="bottomLeft" activeCell="F555" sqref="F55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85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130</v>
      </c>
      <c r="G568" s="40">
        <f>G554+G567</f>
        <v>650</v>
      </c>
      <c r="H568" s="41"/>
      <c r="I568" s="41"/>
      <c r="J568" s="41"/>
      <c r="K568" s="41"/>
      <c r="L568" s="41"/>
      <c r="M568" s="42">
        <f ca="1">IFERROR(M554+M567,"")</f>
        <v>0.32291666666666669</v>
      </c>
      <c r="N568" s="40" t="s">
        <v>234</v>
      </c>
      <c r="O568" s="48">
        <f>IFERROR(O554+O567,"")</f>
        <v>726090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32" activePane="bottomLeft" state="frozen"/>
      <selection pane="bottomLeft" activeCell="F555" sqref="F55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0.55038888888520887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0.70802777777409776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0.81774999999631992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0.5288611111100181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0.69969444444335149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0.84483333333224042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/>
      <c r="E555" s="62" t="s">
        <v>255</v>
      </c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/>
      <c r="E556" s="62" t="s">
        <v>255</v>
      </c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/>
      <c r="E557" s="62" t="s">
        <v>255</v>
      </c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/>
      <c r="E558" s="62" t="s">
        <v>255</v>
      </c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/>
      <c r="E559" s="62" t="s">
        <v>255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/>
      <c r="E560" s="62" t="s">
        <v>255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/>
      <c r="E561" s="62" t="s">
        <v>255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/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/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/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/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/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238</v>
      </c>
      <c r="G568" s="40">
        <f>G554+G567</f>
        <v>999.6</v>
      </c>
      <c r="H568" s="41"/>
      <c r="I568" s="41"/>
      <c r="J568" s="41"/>
      <c r="K568" s="41"/>
      <c r="L568" s="41"/>
      <c r="M568" s="42">
        <f ca="1">IFERROR(M554+M567,"")</f>
        <v>8.4722222222222254E-2</v>
      </c>
      <c r="N568" s="40" t="s">
        <v>234</v>
      </c>
      <c r="O568" s="83">
        <f>IFERROR(O554+O567,"")</f>
        <v>1003230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30" zoomScale="50" zoomScaleNormal="50" workbookViewId="0">
      <selection activeCell="F555" sqref="F55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304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306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307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309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311</v>
      </c>
      <c r="N166" s="27" t="s">
        <v>312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313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314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315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319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323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324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325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326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327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/>
      <c r="E555" s="62" t="s">
        <v>255</v>
      </c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/>
      <c r="E556" s="62" t="s">
        <v>255</v>
      </c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/>
      <c r="E557" s="62" t="s">
        <v>255</v>
      </c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/>
      <c r="E558" s="62" t="s">
        <v>255</v>
      </c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/>
      <c r="E559" s="62" t="s">
        <v>255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/>
      <c r="E560" s="62" t="s">
        <v>255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/>
      <c r="E561" s="62" t="s">
        <v>255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/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/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/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/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/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33</v>
      </c>
      <c r="G568" s="40">
        <f>G554+G567</f>
        <v>138.60000000000002</v>
      </c>
      <c r="H568" s="41"/>
      <c r="I568" s="41"/>
      <c r="J568" s="41"/>
      <c r="K568" s="41"/>
      <c r="L568" s="41"/>
      <c r="M568" s="42">
        <f ca="1">IFERROR(M554+M567,"")</f>
        <v>5.6944444444444464E-2</v>
      </c>
      <c r="N568" s="40" t="s">
        <v>234</v>
      </c>
      <c r="O568" s="48">
        <f>IFERROR(O554+O567,"")</f>
        <v>171920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30" activePane="bottomLeft" state="frozen"/>
      <selection pane="bottomLeft" activeCell="I555" sqref="I55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332</v>
      </c>
      <c r="L58" s="29">
        <v>0.54097222222222219</v>
      </c>
      <c r="M58" s="30" t="str">
        <f t="shared" ca="1" si="13"/>
        <v/>
      </c>
      <c r="N58" s="27" t="s">
        <v>333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0.5406666666676756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0.73997222222323122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1.1073333333343423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368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369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/>
      <c r="E555" s="62" t="s">
        <v>255</v>
      </c>
      <c r="F555" s="27"/>
      <c r="G555" s="34" t="str">
        <f t="shared" ref="G555:G566" si="123">IF(F555="","",IF(E555="PC 17",F555*4.2,IF(E555="PC 19",F555*5,"")))</f>
        <v/>
      </c>
      <c r="H555" s="33" t="s">
        <v>18</v>
      </c>
      <c r="I555" s="33" t="s">
        <v>57</v>
      </c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/>
      <c r="E556" s="62" t="s">
        <v>255</v>
      </c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/>
      <c r="E557" s="62" t="s">
        <v>255</v>
      </c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/>
      <c r="E558" s="62" t="s">
        <v>255</v>
      </c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/>
      <c r="E559" s="62" t="s">
        <v>255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/>
      <c r="E560" s="62" t="s">
        <v>255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/>
      <c r="E561" s="62" t="s">
        <v>255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/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/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/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/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/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150</v>
      </c>
      <c r="G568" s="40">
        <f>G554+G567</f>
        <v>630</v>
      </c>
      <c r="H568" s="41"/>
      <c r="I568" s="41"/>
      <c r="J568" s="41"/>
      <c r="K568" s="63"/>
      <c r="L568" s="63"/>
      <c r="M568" s="42">
        <f ca="1">IFERROR(M554+M567,"")</f>
        <v>0.17916666666666659</v>
      </c>
      <c r="N568" s="40" t="s">
        <v>234</v>
      </c>
      <c r="O568" s="48">
        <f>IFERROR(O554+O567,"")</f>
        <v>583380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2026-07-21T22:57:36Z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