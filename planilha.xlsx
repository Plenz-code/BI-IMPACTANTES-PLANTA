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145" documentId="8_{AF585B22-221D-4780-BB9C-493D365A6A02}" xr6:coauthVersionLast="47" xr6:coauthVersionMax="47" xr10:uidLastSave="{D6C633F7-0471-407A-8B97-BC1CC091ED0F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<sst xmlns="http://schemas.openxmlformats.org/spreadsheetml/2006/main" count="9650" uniqueCount="383">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</sst>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7" sqref="G2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70988998</v>
      </c>
      <c r="D35" s="13">
        <f>IFERROR(SUM(D4:D34),"")</f>
        <v>28216440</v>
      </c>
      <c r="E35" s="13">
        <f>IFERROR(SUM(E4:E34),"")</f>
        <v>16084900</v>
      </c>
      <c r="F35" s="13">
        <f>IFERROR(SUM(F4:F34),"")</f>
        <v>30397740</v>
      </c>
      <c r="G35" s="13">
        <f>IFERROR(SUM(G4:G34),"")</f>
        <v>74699080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13" activePane="bottomLeft" state="frozen"/>
      <selection pane="bottomLeft" activeCell="F628" sqref="F62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135</v>
      </c>
      <c r="G635" s="36">
        <f>SUM(G623:G634)</f>
        <v>675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135</v>
      </c>
      <c r="G649" s="40">
        <f>G635+G648</f>
        <v>675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07" activePane="bottomLeft" state="frozen"/>
      <selection pane="bottomLeft" activeCell="F628" sqref="F62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37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0.26812106481520459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0.42575995370409347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0.53548217592631564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0.24659328704001382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0.41742662037334721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0.56256550926223614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309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/>
      <c r="M623" s="35" t="str">
        <f ca="1">IFERROR(IF(K623="","",IF(#REF!="",MOD(NOW()-K623,1),IF(#REF!&gt;=K623,#REF!-K623,#REF!+1-K623))),"")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/>
      <c r="I624" s="26"/>
      <c r="J624" s="26"/>
      <c r="K624" s="29"/>
      <c r="M624" s="30" t="str">
        <f ca="1">IFERROR(IF(K624="","",IF(L623="",MOD(NOW()-K624,1),IF(L623&gt;=K624,L623-K624,L623+1-K624))),"")</f>
        <v/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/>
      <c r="I625" s="33"/>
      <c r="J625" s="33"/>
      <c r="K625" s="29"/>
      <c r="L625" s="29"/>
      <c r="M625" s="35" t="str">
        <f t="shared" ref="M625:M634" ca="1" si="140">IFERROR(IF(K625="","",IF(L625="",MOD(NOW()-K625,1),IF(L625&gt;=K625,L625-K625,L625+1-K625))),"")</f>
        <v/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51</v>
      </c>
      <c r="G635" s="36">
        <f>SUM(G623:G634)</f>
        <v>214.2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51</v>
      </c>
      <c r="G649" s="40">
        <f>G635+G648</f>
        <v>214.2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07" zoomScale="50" zoomScaleNormal="50" workbookViewId="0">
      <selection activeCell="F628" sqref="F62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275</v>
      </c>
      <c r="K141" s="29">
        <v>0.71597222222222223</v>
      </c>
      <c r="L141" s="29" t="s">
        <v>316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318</v>
      </c>
      <c r="N166" s="27" t="s">
        <v>319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70</v>
      </c>
      <c r="G635" s="36">
        <f>SUM(G623:G634)</f>
        <v>294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70</v>
      </c>
      <c r="G649" s="40">
        <f>G635+G648</f>
        <v>294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07" activePane="bottomLeft" state="frozen"/>
      <selection pane="bottomLeft" activeCell="I631" sqref="I63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343</v>
      </c>
      <c r="L58" s="29">
        <v>0.54097222222222219</v>
      </c>
      <c r="M58" s="30" t="str">
        <f t="shared" ca="1" si="13"/>
        <v/>
      </c>
      <c r="N58" s="27" t="s">
        <v>344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0.25839884259767132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0.45770439815322694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0.82506550926433797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309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64</v>
      </c>
      <c r="G635" s="36">
        <f>SUM(G623:G634)</f>
        <v>268.8</v>
      </c>
      <c r="H635" s="37"/>
      <c r="I635" s="37"/>
      <c r="J635" s="37"/>
      <c r="K635" s="61"/>
      <c r="L635" s="61"/>
      <c r="M635" s="38">
        <f ca="1">IFERROR(SUM(M623:M634),"")</f>
        <v>3.4722222222222654E-3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64</v>
      </c>
      <c r="G649" s="40">
        <f>G635+G648</f>
        <v>268.8</v>
      </c>
      <c r="H649" s="41"/>
      <c r="I649" s="41"/>
      <c r="J649" s="41"/>
      <c r="K649" s="63"/>
      <c r="L649" s="63"/>
      <c r="M649" s="42">
        <f ca="1">IFERROR(M635+M648,"")</f>
        <v>3.4722222222222654E-3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2026-07-24T16:13:02Z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