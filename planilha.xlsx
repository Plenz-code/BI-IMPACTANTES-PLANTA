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729" documentId="13_ncr:1_{A6DBCFB4-28D9-4249-9038-216934055CA6}" xr6:coauthVersionLast="47" xr6:coauthVersionMax="47" xr10:uidLastSave="{332846CE-75AA-49C2-9BE1-CAE5B9F0578A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84" i="6" l="1"/>
  <c r="J585" i="6"/>
  <c r="J586" i="6"/>
  <c r="J587" i="6"/>
  <c r="J588" i="6"/>
  <c r="J589" i="6"/>
  <c r="J590" i="6"/>
  <c r="J591" i="6"/>
  <c r="J592" i="6"/>
  <c r="J593" i="6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<sst xmlns="http://schemas.openxmlformats.org/spreadsheetml/2006/main" count="10078" uniqueCount="428">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</sst>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R17" sqref="R1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79841380</v>
      </c>
      <c r="D35" s="30">
        <f t="shared" si="2"/>
        <v>25386150</v>
      </c>
      <c r="E35" s="30">
        <f t="shared" si="2"/>
        <v>14583440</v>
      </c>
      <c r="F35" s="30">
        <f t="shared" si="2"/>
        <v>34414330</v>
      </c>
      <c r="G35" s="30">
        <f t="shared" si="2"/>
        <v>74383920</v>
      </c>
      <c r="H35" s="31">
        <f t="shared" si="2"/>
        <v>7206.0576326915125</v>
      </c>
      <c r="I35" s="31">
        <f t="shared" si="2"/>
        <v>4967.05</v>
      </c>
      <c r="J35" s="32">
        <f>I35/H35</f>
        <v>0.68928813134467992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225</v>
      </c>
      <c r="Q61" s="40"/>
      <c r="R61" s="40"/>
    </row>
    <row r="62" spans="1:18" ht="15" customHeight="1">
      <c r="M62" s="164"/>
      <c r="N62" s="37"/>
      <c r="O62" s="37"/>
      <c r="P62" s="37" t="s">
        <v>226</v>
      </c>
      <c r="Q62" s="37"/>
      <c r="R62" s="37"/>
    </row>
    <row r="63" spans="1:18" ht="15" customHeight="1">
      <c r="M63" s="164"/>
      <c r="N63" s="40"/>
      <c r="O63" s="40"/>
      <c r="P63" s="40" t="s">
        <v>227</v>
      </c>
      <c r="Q63" s="40"/>
      <c r="R63" s="40"/>
    </row>
    <row r="64" spans="1:18" ht="15" customHeight="1">
      <c r="M64" s="164"/>
      <c r="N64" s="37"/>
      <c r="O64" s="37"/>
      <c r="P64" s="37" t="s">
        <v>228</v>
      </c>
      <c r="Q64" s="37"/>
      <c r="R64" s="37"/>
    </row>
    <row r="65" spans="13:18" ht="15" customHeight="1">
      <c r="M65" s="164"/>
      <c r="N65" s="40"/>
      <c r="O65" s="40"/>
      <c r="P65" s="40" t="s">
        <v>229</v>
      </c>
      <c r="Q65" s="40"/>
      <c r="R65" s="40"/>
    </row>
    <row r="66" spans="13:18" ht="15" customHeight="1">
      <c r="M66" s="164"/>
      <c r="N66" s="37"/>
      <c r="O66" s="37"/>
      <c r="P66" s="37" t="s">
        <v>230</v>
      </c>
      <c r="Q66" s="37"/>
      <c r="R66" s="37"/>
    </row>
    <row r="67" spans="13:18" ht="15" customHeight="1">
      <c r="M67" s="164"/>
      <c r="N67" s="40"/>
      <c r="O67" s="40"/>
      <c r="P67" s="40" t="s">
        <v>231</v>
      </c>
      <c r="Q67" s="40"/>
      <c r="R67" s="40"/>
    </row>
    <row r="68" spans="13:18" ht="15" customHeight="1">
      <c r="M68" s="164"/>
      <c r="N68" s="37"/>
      <c r="O68" s="37"/>
      <c r="P68" s="37" t="s">
        <v>232</v>
      </c>
      <c r="Q68" s="37"/>
      <c r="R68" s="37"/>
    </row>
    <row r="69" spans="13:18" ht="15" customHeight="1">
      <c r="M69" s="164"/>
      <c r="N69" s="40"/>
      <c r="O69" s="40"/>
      <c r="P69" s="40" t="s">
        <v>233</v>
      </c>
      <c r="Q69" s="40"/>
      <c r="R69" s="40"/>
    </row>
    <row r="70" spans="13:18" ht="15" customHeight="1">
      <c r="M70" s="164"/>
      <c r="N70" s="37"/>
      <c r="O70" s="37"/>
      <c r="P70" s="37" t="s">
        <v>234</v>
      </c>
      <c r="Q70" s="37"/>
      <c r="R70" s="37"/>
    </row>
    <row r="71" spans="13:18" ht="15" customHeight="1">
      <c r="M71" s="164"/>
      <c r="N71" s="40"/>
      <c r="O71" s="40"/>
      <c r="P71" s="40" t="s">
        <v>235</v>
      </c>
      <c r="Q71" s="40"/>
      <c r="R71" s="40"/>
    </row>
    <row r="72" spans="13:18" ht="15" customHeight="1">
      <c r="M72" s="164"/>
      <c r="N72" s="37"/>
      <c r="O72" s="37"/>
      <c r="P72" s="37" t="s">
        <v>236</v>
      </c>
      <c r="Q72" s="37"/>
      <c r="R72" s="37"/>
    </row>
    <row r="73" spans="13:18" ht="15" customHeight="1">
      <c r="M73" s="164"/>
      <c r="N73" s="40"/>
      <c r="O73" s="40"/>
      <c r="P73" s="40" t="s">
        <v>237</v>
      </c>
      <c r="Q73" s="40"/>
      <c r="R73" s="40"/>
    </row>
    <row r="74" spans="13:18" ht="15" customHeight="1">
      <c r="M74" s="164"/>
      <c r="N74" s="37"/>
      <c r="O74" s="37"/>
      <c r="P74" s="37" t="s">
        <v>238</v>
      </c>
      <c r="Q74" s="37"/>
      <c r="R74" s="37"/>
    </row>
    <row r="75" spans="13:18" ht="15" customHeight="1">
      <c r="M75" s="164"/>
      <c r="N75" s="40"/>
      <c r="O75" s="40"/>
      <c r="P75" s="40" t="s">
        <v>239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78" activePane="bottomLeft" state="frozen"/>
      <selection pane="bottomLeft" activeCell="D600" sqref="D600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304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263</v>
      </c>
      <c r="O594" s="74">
        <v>2100270</v>
      </c>
    </row>
    <row r="595" spans="1:15" ht="18" customHeight="1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266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261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261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262</v>
      </c>
      <c r="B608" s="167"/>
      <c r="C608" s="167"/>
      <c r="D608" s="167"/>
      <c r="E608" s="167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0.16111111111111109</v>
      </c>
      <c r="N608" s="2" t="s">
        <v>263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>
      <c r="A622" s="168" t="s">
        <v>251</v>
      </c>
      <c r="B622" s="168"/>
      <c r="C622" s="168"/>
      <c r="D622" s="168"/>
      <c r="E622" s="168"/>
      <c r="F622" s="1">
        <f>F608+F621</f>
        <v>43</v>
      </c>
      <c r="G622" s="1">
        <f>G608+G621</f>
        <v>215</v>
      </c>
      <c r="H622" s="76"/>
      <c r="I622" s="76"/>
      <c r="J622" s="76"/>
      <c r="K622" s="76"/>
      <c r="L622" s="76"/>
      <c r="M622" s="77">
        <f ca="1">IFERROR(M608+M621,"")</f>
        <v>0.16111111111111109</v>
      </c>
      <c r="N622" s="1" t="s">
        <v>266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75" activePane="bottomLeft" state="frozen"/>
      <selection pane="bottomLeft" activeCell="L597" sqref="L597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0.38703865740535548</v>
      </c>
      <c r="R53" s="80" t="s">
        <v>315</v>
      </c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0.52592754629424321</v>
      </c>
      <c r="R54" s="2" t="s">
        <v>263</v>
      </c>
      <c r="S54" s="113">
        <v>352430</v>
      </c>
      <c r="T54" s="114"/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0.61064976851646602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317</v>
      </c>
      <c r="Q96" s="66" t="str">
        <f t="shared" ref="Q96:Q107" ca="1" si="22">IFERROR(IF(O96="","",IF(P96="",MOD(NOW()-O96,1),IF(P96&gt;=O96,P96-O96,P96+1-O96))),"")</f>
        <v/>
      </c>
      <c r="R96" s="80" t="s">
        <v>318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347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348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349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23.705806451612901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4.9782193548387088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23.705806451612901</v>
      </c>
      <c r="I583" s="90">
        <f>IFERROR(IF($D583="","",VLOOKUP($D583,Cadastro!$C$4:$G$7,5,FALSE())),"")</f>
        <v>0.6</v>
      </c>
      <c r="J583" s="91">
        <f t="shared" si="150"/>
        <v>4.9782193548387088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136.30838709677417</v>
      </c>
      <c r="I584" s="90">
        <f>IFERROR(IF($D584="","",VLOOKUP($D584,Cadastro!$C$4:$G$7,5,FALSE())),"")</f>
        <v>0.6</v>
      </c>
      <c r="J584" s="91">
        <f t="shared" si="150"/>
        <v>28.624761290322571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53.33806451612903</v>
      </c>
      <c r="I585" s="90">
        <f>IFERROR(IF($D585="","",VLOOKUP($D585,Cadastro!$C$4:$G$7,5,FALSE())),"")</f>
        <v>0.6</v>
      </c>
      <c r="J585" s="91">
        <f t="shared" si="150"/>
        <v>11.200993548387096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350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23.705806451612901</v>
      </c>
      <c r="I586" s="90">
        <f>IFERROR(IF($D586="","",VLOOKUP($D586,Cadastro!$C$4:$G$7,5,FALSE())),"")</f>
        <v>0.6</v>
      </c>
      <c r="J586" s="91">
        <f t="shared" si="150"/>
        <v>4.9782193548387088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23.705806451612901</v>
      </c>
      <c r="I587" s="90">
        <f>IFERROR(IF($D587="","",VLOOKUP($D587,Cadastro!$C$4:$G$7,5,FALSE())),"")</f>
        <v>0.6</v>
      </c>
      <c r="J587" s="91">
        <f t="shared" si="150"/>
        <v>4.9782193548387088</v>
      </c>
      <c r="K587" s="69">
        <f t="shared" si="151"/>
        <v>16.8</v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35.558709677419358</v>
      </c>
      <c r="I588" s="90">
        <f>IFERROR(IF($D588="","",VLOOKUP($D588,Cadastro!$C$4:$G$7,5,FALSE())),"")</f>
        <v>0.6</v>
      </c>
      <c r="J588" s="91">
        <f t="shared" si="150"/>
        <v>7.4673290322580641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118.52903225806452</v>
      </c>
      <c r="I589" s="90">
        <f>IFERROR(IF($D589="","",VLOOKUP($D589,Cadastro!$C$4:$G$7,5,FALSE())),"")</f>
        <v>0.6</v>
      </c>
      <c r="J589" s="91">
        <f t="shared" si="150"/>
        <v>24.891096774193546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59.264516129032259</v>
      </c>
      <c r="I590" s="90">
        <f>IFERROR(IF($D590="","",VLOOKUP($D590,Cadastro!$C$4:$G$7,5,FALSE())),"")</f>
        <v>0.6</v>
      </c>
      <c r="J590" s="91">
        <f t="shared" si="150"/>
        <v>12.445548387096773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35.558709677419358</v>
      </c>
      <c r="I591" s="90">
        <f>IFERROR(IF($D591="","",VLOOKUP($D591,Cadastro!$C$4:$G$7,5,FALSE())),"")</f>
        <v>0.6</v>
      </c>
      <c r="J591" s="91">
        <f t="shared" si="150"/>
        <v>7.4673290322580641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17.779354838709679</v>
      </c>
      <c r="I592" s="90">
        <f>IFERROR(IF($D592="","",VLOOKUP($D592,Cadastro!$C$4:$G$7,5,FALSE())),"")</f>
        <v>0.6</v>
      </c>
      <c r="J592" s="91">
        <f t="shared" si="150"/>
        <v>3.7336645161290321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551.15999999999985</v>
      </c>
      <c r="I594" s="106"/>
      <c r="J594" s="107">
        <f>IFERROR(SUM(J582:J593),"")</f>
        <v>115.74359999999999</v>
      </c>
      <c r="K594" s="2">
        <f>SUM(K582:K593)</f>
        <v>398.60000000000008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263</v>
      </c>
      <c r="S594" s="74">
        <v>551160</v>
      </c>
      <c r="T594" s="99">
        <f>IFERROR(J594,"")</f>
        <v>115.74359999999999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142</v>
      </c>
      <c r="H595" s="108">
        <f>IFERROR(H581+H594,"")</f>
        <v>726.69999999999982</v>
      </c>
      <c r="I595" s="110"/>
      <c r="J595" s="111">
        <f>IFERROR(J581+J594,"")</f>
        <v>152.60699999999997</v>
      </c>
      <c r="K595" s="1">
        <f>K581+K594</f>
        <v>604.40000000000009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266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0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4"/>
        <v>0</v>
      </c>
      <c r="K597" s="69">
        <f t="shared" si="155"/>
        <v>63</v>
      </c>
      <c r="L597" s="70" t="s">
        <v>29</v>
      </c>
      <c r="M597" s="70"/>
      <c r="N597" s="70"/>
      <c r="O597" s="65">
        <v>0.50694444444444442</v>
      </c>
      <c r="P597" s="65"/>
      <c r="Q597" s="71">
        <f t="shared" ca="1" si="156"/>
        <v>1.6219907411141321E-3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0</v>
      </c>
      <c r="I598" s="90">
        <f>IFERROR(IF($D598="","",VLOOKUP($D598,Cadastro!$C$4:$G$7,5,FALSE())),"")</f>
        <v>0.6</v>
      </c>
      <c r="J598" s="91">
        <f t="shared" si="154"/>
        <v>0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0</v>
      </c>
      <c r="I599" s="90">
        <f>IFERROR(IF($D599="","",VLOOKUP($D599,Cadastro!$C$4:$G$7,5,FALSE())),"")</f>
        <v>0.6</v>
      </c>
      <c r="J599" s="91">
        <f t="shared" si="154"/>
        <v>0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0</v>
      </c>
      <c r="I600" s="90">
        <f>IFERROR(IF($D600="","",VLOOKUP($D600,Cadastro!$C$4:$G$7,5,FALSE())),"")</f>
        <v>0.6</v>
      </c>
      <c r="J600" s="91">
        <f t="shared" si="154"/>
        <v>0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56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1.6899768518891911E-2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56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235.2</v>
      </c>
      <c r="L622" s="76"/>
      <c r="M622" s="76"/>
      <c r="N622" s="76"/>
      <c r="O622" s="76"/>
      <c r="P622" s="76"/>
      <c r="Q622" s="77">
        <f ca="1">IFERROR(Q608+Q621,"")</f>
        <v>1.6899768518891911E-2</v>
      </c>
      <c r="R622" s="1" t="s">
        <v>266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G600" sqref="G600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364</v>
      </c>
      <c r="Q222" s="66" t="str">
        <f t="shared" ca="1" si="49"/>
        <v/>
      </c>
      <c r="R222" s="63" t="s">
        <v>365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316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378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316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379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351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316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374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261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263</v>
      </c>
      <c r="S594" s="74">
        <v>456490</v>
      </c>
      <c r="T594" s="99">
        <f>IFERROR(J594,"")</f>
        <v>95.862899999999996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266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0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1"/>
        <v>0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0</v>
      </c>
      <c r="I598" s="90">
        <f>IFERROR(IF($D598="","",VLOOKUP($D598,Cadastro!$C$4:$G$7,5,FALSE())),"")</f>
        <v>0.6</v>
      </c>
      <c r="J598" s="91">
        <f t="shared" si="151"/>
        <v>0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0</v>
      </c>
      <c r="I599" s="90">
        <f>IFERROR(IF($D599="","",VLOOKUP($D599,Cadastro!$C$4:$G$7,5,FALSE())),"")</f>
        <v>0.6</v>
      </c>
      <c r="J599" s="91">
        <f t="shared" si="151"/>
        <v>0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/>
      <c r="Q599" s="71">
        <f t="shared" ca="1" si="153"/>
        <v>3.9816435186367016E-2</v>
      </c>
      <c r="R599" s="63" t="s">
        <v>316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0</v>
      </c>
      <c r="I600" s="90">
        <f>IFERROR(IF($D600="","",VLOOKUP($D600,Cadastro!$C$4:$G$7,5,FALSE())),"")</f>
        <v>0.6</v>
      </c>
      <c r="J600" s="91">
        <f t="shared" si="151"/>
        <v>0</v>
      </c>
      <c r="K600" s="64">
        <f t="shared" si="152"/>
        <v>16.8</v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25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8.7733101853033679E-2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25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105</v>
      </c>
      <c r="L622" s="76"/>
      <c r="M622" s="76"/>
      <c r="N622" s="76"/>
      <c r="O622" s="76"/>
      <c r="P622" s="76"/>
      <c r="Q622" s="77">
        <f ca="1">IFERROR(Q608+Q621,"")</f>
        <v>8.7733101853033679E-2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93" activePane="bottomLeft" state="frozen"/>
      <selection pane="bottomLeft" activeCell="G601" sqref="G601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418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419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420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421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422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423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406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407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424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425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426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373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263</v>
      </c>
      <c r="S594" s="74">
        <v>985680</v>
      </c>
      <c r="T594" s="99">
        <f>IFERROR(J594,"")</f>
        <v>206.99279999999996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266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0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427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4"/>
        <v>0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0</v>
      </c>
      <c r="I598" s="90">
        <f>IFERROR(IF($D598="","",VLOOKUP($D598,Cadastro!$C$4:$G$7,5,FALSE())),"")</f>
        <v>0.6</v>
      </c>
      <c r="J598" s="91">
        <f t="shared" si="154"/>
        <v>0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0</v>
      </c>
      <c r="I599" s="90">
        <f>IFERROR(IF($D599="","",VLOOKUP($D599,Cadastro!$C$4:$G$7,5,FALSE())),"")</f>
        <v>0.6</v>
      </c>
      <c r="J599" s="91">
        <f t="shared" si="154"/>
        <v>0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0</v>
      </c>
      <c r="I600" s="90">
        <f>IFERROR(IF($D600="","",VLOOKUP($D600,Cadastro!$C$4:$G$7,5,FALSE())),"")</f>
        <v>0.6</v>
      </c>
      <c r="J600" s="91">
        <f t="shared" si="154"/>
        <v>0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60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60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252</v>
      </c>
      <c r="L622" s="76"/>
      <c r="M622" s="76"/>
      <c r="N622" s="76"/>
      <c r="O622" s="135"/>
      <c r="P622" s="135"/>
      <c r="Q622" s="77">
        <f ca="1">IFERROR(Q608+Q621,"")</f>
        <v>2.0833333333333315E-2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2026-08-23T16:12:50Z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