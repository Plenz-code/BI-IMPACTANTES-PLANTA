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522" documentId="8_{AF585B22-221D-4780-BB9C-493D365A6A02}" xr6:coauthVersionLast="47" xr6:coauthVersionMax="47" xr10:uidLastSave="{1F364A61-6275-4BB3-A6F3-7C88AD8EE96A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<sst xmlns="http://schemas.openxmlformats.org/spreadsheetml/2006/main" count="8375" uniqueCount="360">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</sst>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96" activePane="bottomLeft" state="frozen"/>
      <selection pane="bottomLeft" activeCell="J528" sqref="J52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/>
      <c r="G528" s="28" t="str">
        <f t="shared" ref="G528:G539" si="117">IF(F528="","",IF(E528="PC 17",F528*4.2,IF(E528="PC 19",F528*5,"")))</f>
        <v/>
      </c>
      <c r="H528" s="26" t="s">
        <v>18</v>
      </c>
      <c r="I528" s="26" t="s">
        <v>23</v>
      </c>
      <c r="J528" s="26" t="s">
        <v>34</v>
      </c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228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228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228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228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228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228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174</v>
      </c>
      <c r="G541" s="40">
        <f>G527+G540</f>
        <v>870</v>
      </c>
      <c r="H541" s="41"/>
      <c r="I541" s="41"/>
      <c r="J541" s="41"/>
      <c r="K541" s="41"/>
      <c r="L541" s="41"/>
      <c r="M541" s="42">
        <f ca="1">IFERROR(M527+M540,"")</f>
        <v>0.19652777777777775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2" activePane="bottomLeft" state="frozen"/>
      <selection pane="bottomLeft" activeCell="F528" sqref="F5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0.58207731481525116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0.73971620370414004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0.84943842592636221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0.56054953704006039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0.73138287037339378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0.87652175926228271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184</v>
      </c>
      <c r="G541" s="40">
        <f>G527+G540</f>
        <v>772.80000000000007</v>
      </c>
      <c r="H541" s="41"/>
      <c r="I541" s="41"/>
      <c r="J541" s="41"/>
      <c r="K541" s="41"/>
      <c r="L541" s="41"/>
      <c r="M541" s="42">
        <f ca="1">IFERROR(M527+M540,"")</f>
        <v>8.7500000000000078E-2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0" zoomScale="50" zoomScaleNormal="50" workbookViewId="0">
      <selection activeCell="J529" sqref="J5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/>
      <c r="G528" s="28" t="str">
        <f t="shared" ref="G528:G539" si="117">IF(F528="","",IF(E528="PC 17",F528*4.2,IF(E528="PC 19",F528*5,"")))</f>
        <v/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/>
      <c r="G529" s="34" t="str">
        <f t="shared" si="117"/>
        <v/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/>
      <c r="M529" s="35">
        <f t="shared" ca="1" si="118"/>
        <v>1.1243981483858079E-2</v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1.9577314817191382E-2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51</v>
      </c>
      <c r="G541" s="40">
        <f>G527+G540</f>
        <v>214.20000000000005</v>
      </c>
      <c r="H541" s="41"/>
      <c r="I541" s="41"/>
      <c r="J541" s="41"/>
      <c r="K541" s="41"/>
      <c r="L541" s="41"/>
      <c r="M541" s="42">
        <f ca="1">IFERROR(M527+M540,"")</f>
        <v>0.12374398148385796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5" activePane="bottomLeft" state="frozen"/>
      <selection pane="bottomLeft" activeCell="F528" sqref="F52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325</v>
      </c>
      <c r="L58" s="29">
        <v>0.54097222222222219</v>
      </c>
      <c r="M58" s="30" t="str">
        <f t="shared" ca="1" si="13"/>
        <v/>
      </c>
      <c r="N58" s="27" t="s">
        <v>326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0.57235509259771788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0.77166064815327351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1.1390217592643845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359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80</v>
      </c>
      <c r="G541" s="40">
        <f>G527+G540</f>
        <v>336.00000000000006</v>
      </c>
      <c r="H541" s="41"/>
      <c r="I541" s="41"/>
      <c r="J541" s="41"/>
      <c r="K541" s="63"/>
      <c r="L541" s="63"/>
      <c r="M541" s="42">
        <f ca="1">IFERROR(M527+M540,"")</f>
        <v>0.3118055555555555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2026-07-20T23:43:35Z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