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27" documentId="8_{AF585B22-221D-4780-BB9C-493D365A6A02}" xr6:coauthVersionLast="47" xr6:coauthVersionMax="47" xr10:uidLastSave="{2EECD5F9-5966-4D1E-8096-0256C3279389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<sst xmlns="http://schemas.openxmlformats.org/spreadsheetml/2006/main" count="7123" uniqueCount="341">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</sst>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8" activePane="bottomLeft" state="frozen"/>
      <selection pane="bottomLeft" activeCell="F441" sqref="F44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5.0000000000000044E-2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5.0000000000000044E-2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F441" sqref="F4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0.3646246527787298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0.52226354166761868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0.63198576388984085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0.34309687500353903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0.51393020833687242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0.65906909722576135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113</v>
      </c>
      <c r="G446" s="36">
        <f>SUM(G434:G445)</f>
        <v>474.6</v>
      </c>
      <c r="H446" s="37"/>
      <c r="I446" s="37"/>
      <c r="J446" s="37"/>
      <c r="K446" s="37"/>
      <c r="L446" s="37"/>
      <c r="M446" s="38">
        <f ca="1">IFERROR(SUM(M434:M445),"")</f>
        <v>5.2083333333333315E-2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113</v>
      </c>
      <c r="G460" s="40">
        <f>G446+G459</f>
        <v>474.6</v>
      </c>
      <c r="H460" s="41"/>
      <c r="I460" s="41"/>
      <c r="J460" s="41"/>
      <c r="K460" s="41"/>
      <c r="L460" s="41"/>
      <c r="M460" s="42">
        <f ca="1">IFERROR(M446+M459,"")</f>
        <v>5.2083333333333315E-2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F441" sqref="F4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/>
      <c r="M434" s="30">
        <f t="shared" ref="M434:M445" ca="1" si="97">IFERROR(IF(K434="","",IF(L434="",MOD(NOW()-K434,1),IF(L434&gt;=K434,L434-K434,L434+1-K434))),"")</f>
        <v>6.2541319450247101E-2</v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32</v>
      </c>
      <c r="G446" s="36">
        <f>SUM(G434:G445)</f>
        <v>134.40000000000003</v>
      </c>
      <c r="H446" s="37"/>
      <c r="I446" s="37"/>
      <c r="J446" s="37"/>
      <c r="K446" s="37"/>
      <c r="L446" s="37"/>
      <c r="M446" s="38">
        <f ca="1">IFERROR(SUM(M434:M445),"")</f>
        <v>6.2541319450247101E-2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32</v>
      </c>
      <c r="G460" s="40">
        <f>G446+G459</f>
        <v>134.40000000000003</v>
      </c>
      <c r="H460" s="41"/>
      <c r="I460" s="41"/>
      <c r="J460" s="41"/>
      <c r="K460" s="41"/>
      <c r="L460" s="41"/>
      <c r="M460" s="42">
        <f ca="1">IFERROR(M446+M459,"")</f>
        <v>6.2541319450247101E-2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18" activePane="bottomLeft" state="frozen"/>
      <selection pane="bottomLeft" activeCell="J435" sqref="J43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312</v>
      </c>
      <c r="L58" s="29">
        <v>0.54097222222222219</v>
      </c>
      <c r="M58" s="30" t="str">
        <f t="shared" ca="1" si="13"/>
        <v/>
      </c>
      <c r="N58" s="27" t="s">
        <v>313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0.35490266203851206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0.55420821759406769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0.92156932870517871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0.60138888888888886</v>
      </c>
      <c r="L435" s="29"/>
      <c r="M435" s="35">
        <f t="shared" ca="1" si="97"/>
        <v>2.8193286998430267E-3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128</v>
      </c>
      <c r="G446" s="36">
        <f>SUM(G434:G445)</f>
        <v>537.6</v>
      </c>
      <c r="H446" s="37"/>
      <c r="I446" s="37"/>
      <c r="J446" s="37"/>
      <c r="K446" s="61"/>
      <c r="L446" s="61"/>
      <c r="M446" s="38">
        <f ca="1">IFERROR(SUM(M434:M445),"")</f>
        <v>2.3652662033176397E-2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128</v>
      </c>
      <c r="G460" s="40">
        <f>G446+G459</f>
        <v>537.6</v>
      </c>
      <c r="H460" s="41"/>
      <c r="I460" s="41"/>
      <c r="J460" s="41"/>
      <c r="K460" s="63"/>
      <c r="L460" s="63"/>
      <c r="M460" s="42">
        <f ca="1">IFERROR(M446+M459,"")</f>
        <v>2.3652662033176397E-2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2026-07-17T18:32:01Z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