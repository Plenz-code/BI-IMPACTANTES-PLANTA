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39" documentId="8_{AF585B22-221D-4780-BB9C-493D365A6A02}" xr6:coauthVersionLast="47" xr6:coauthVersionMax="47" xr10:uidLastSave="{DCD17325-057B-4C27-A363-0B2C22C3538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<sst xmlns="http://schemas.openxmlformats.org/spreadsheetml/2006/main" count="10914" uniqueCount="408">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</sst>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18" sqref="F7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2.6471180550288409E-2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</v>
      </c>
      <c r="G729" s="36">
        <f>SUM(G717:G728)</f>
        <v>75</v>
      </c>
      <c r="H729" s="37"/>
      <c r="I729" s="37"/>
      <c r="J729" s="37"/>
      <c r="K729" s="37"/>
      <c r="L729" s="37"/>
      <c r="M729" s="38">
        <f ca="1">IFERROR(SUM(M717:M728),"")</f>
        <v>2.6471180550288409E-2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318</v>
      </c>
      <c r="G730" s="40">
        <f>G716+G729</f>
        <v>1590</v>
      </c>
      <c r="H730" s="41"/>
      <c r="I730" s="41"/>
      <c r="J730" s="41"/>
      <c r="K730" s="41"/>
      <c r="L730" s="41"/>
      <c r="M730" s="42">
        <f ca="1">IFERROR(M716+M729,"")</f>
        <v>0.11605451388362165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03" activePane="bottomLeft" state="frozen"/>
      <selection pane="bottomLeft" activeCell="J718" sqref="J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0.62022118055028841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0.77786006943917729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0.88758229166139946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0.59869340277509764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0.76952673610843103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0.91466562499731996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 t="s">
        <v>20</v>
      </c>
      <c r="I718" s="26" t="s">
        <v>31</v>
      </c>
      <c r="J718" s="26" t="s">
        <v>28</v>
      </c>
      <c r="K718" s="29">
        <v>0.85763888888888884</v>
      </c>
      <c r="L718" s="29"/>
      <c r="M718" s="30">
        <f t="shared" ca="1" si="160"/>
        <v>2.1656249955412932E-3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</v>
      </c>
      <c r="G729" s="36">
        <f>SUM(G717:G728)</f>
        <v>71.400000000000006</v>
      </c>
      <c r="H729" s="37"/>
      <c r="I729" s="37"/>
      <c r="J729" s="37"/>
      <c r="K729" s="37"/>
      <c r="L729" s="37"/>
      <c r="M729" s="38">
        <f ca="1">IFERROR(SUM(M717:M728),"")</f>
        <v>2.6471180551096873E-2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134</v>
      </c>
      <c r="G730" s="40">
        <f>G716+G729</f>
        <v>562.80000000000007</v>
      </c>
      <c r="H730" s="41"/>
      <c r="I730" s="41"/>
      <c r="J730" s="41"/>
      <c r="K730" s="41"/>
      <c r="L730" s="41"/>
      <c r="M730" s="42">
        <f ca="1">IFERROR(M716+M729,"")</f>
        <v>0.32022118055109677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K718" sqref="K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</v>
      </c>
      <c r="G729" s="36">
        <f>SUM(G717:G728)</f>
        <v>16.8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80</v>
      </c>
      <c r="G730" s="40">
        <f>G716+G729</f>
        <v>336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J717" sqref="J7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0.61049895833275514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0.80980451388831076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1.1771656249994218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/>
      <c r="M717" s="35">
        <f t="shared" ref="M717:M728" ca="1" si="160">IFERROR(IF(K717="","",IF(L717="",MOD(NOW()-K717,1),IF(L717&gt;=K717,L717-K717,L717+1-K717))),"")</f>
        <v>1.6748958332755137E-2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20</v>
      </c>
      <c r="G729" s="36">
        <f>SUM(G717:G728)</f>
        <v>84</v>
      </c>
      <c r="H729" s="37"/>
      <c r="I729" s="37"/>
      <c r="J729" s="37"/>
      <c r="K729" s="61"/>
      <c r="L729" s="61"/>
      <c r="M729" s="38">
        <f ca="1">IFERROR(SUM(M717:M728),"")</f>
        <v>1.6748958332755137E-2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152</v>
      </c>
      <c r="G730" s="40">
        <f>G716+G729</f>
        <v>638.40000000000009</v>
      </c>
      <c r="H730" s="41"/>
      <c r="I730" s="41"/>
      <c r="J730" s="41"/>
      <c r="K730" s="63"/>
      <c r="L730" s="63"/>
      <c r="M730" s="42">
        <f ca="1">IFERROR(M716+M729,"")</f>
        <v>0.22299895833275513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2026-07-28T00:38:23Z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