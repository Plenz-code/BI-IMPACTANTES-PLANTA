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6671" documentId="8_{AF585B22-221D-4780-BB9C-493D365A6A02}" xr6:coauthVersionLast="47" xr6:coauthVersionMax="47" xr10:uidLastSave="{EF235787-A05C-4D25-BFC3-E814612B3995}"/>
  <bookViews>
    <workbookView xWindow="-110" yWindow="-110" windowWidth="25820" windowHeight="15500" tabRatio="500" firstSheet="5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13" i="3" l="1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<sst xmlns="http://schemas.openxmlformats.org/spreadsheetml/2006/main" count="5938" uniqueCount="314">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</sst>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4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N9" sqref="N9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98" t="s">
        <v>0</v>
      </c>
      <c r="B1" s="98"/>
      <c r="C1" s="98"/>
      <c r="D1" s="98"/>
      <c r="E1" s="98"/>
      <c r="F1" s="98"/>
      <c r="G1" s="98"/>
    </row>
    <row r="2" spans="1:7" ht="24.75" customHeight="1">
      <c r="A2" s="99"/>
      <c r="B2" s="99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0" t="s">
        <v>9</v>
      </c>
      <c r="B35" s="100"/>
      <c r="C35" s="13">
        <f>IFERROR(SUM(C4:C34),"")</f>
        <v>38990102</v>
      </c>
      <c r="D35" s="13">
        <f>IFERROR(SUM(D4:D34),"")</f>
        <v>14425670</v>
      </c>
      <c r="E35" s="13">
        <f>IFERROR(SUM(E4:E34),"")</f>
        <v>9797450</v>
      </c>
      <c r="F35" s="13">
        <f>IFERROR(SUM(F4:F34),"")</f>
        <v>18114640</v>
      </c>
      <c r="G35" s="13">
        <f>IFERROR(SUM(G4:G34),"")</f>
        <v>42337760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1" zoomScale="85" zoomScaleNormal="85" workbookViewId="0">
      <selection activeCell="M54" sqref="M5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1" t="s">
        <v>10</v>
      </c>
      <c r="B1" s="101"/>
      <c r="C1" s="101"/>
      <c r="D1" s="101"/>
      <c r="E1" s="101"/>
      <c r="F1" s="101"/>
      <c r="G1" s="101"/>
      <c r="H1" s="102"/>
      <c r="I1" s="103" t="s">
        <v>11</v>
      </c>
      <c r="J1" s="103"/>
      <c r="K1" s="103"/>
      <c r="L1" s="103"/>
      <c r="M1" s="103"/>
    </row>
    <row r="2" spans="1:13" ht="4.5" customHeight="1">
      <c r="H2" s="102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2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2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2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2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2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2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2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2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2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2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2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2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2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2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2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2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2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2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2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2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2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2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2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2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2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2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2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2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2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2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2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2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2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2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2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2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2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2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2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2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2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2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2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2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2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2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2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2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2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2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2"/>
      <c r="I53" s="17"/>
      <c r="J53" s="17"/>
      <c r="K53" s="17" t="s">
        <v>194</v>
      </c>
      <c r="L53" s="17"/>
      <c r="M53" s="17" t="s">
        <v>195</v>
      </c>
    </row>
    <row r="54" spans="1:13" ht="15" customHeight="1">
      <c r="H54" s="102"/>
      <c r="I54" s="16"/>
      <c r="J54" s="16"/>
      <c r="K54" s="16" t="s">
        <v>196</v>
      </c>
      <c r="L54" s="16"/>
      <c r="M54" s="16"/>
    </row>
    <row r="55" spans="1:13" ht="15" customHeight="1">
      <c r="H55" s="102"/>
      <c r="I55" s="17"/>
      <c r="J55" s="17"/>
      <c r="K55" s="17" t="s">
        <v>197</v>
      </c>
      <c r="L55" s="17"/>
      <c r="M55" s="17"/>
    </row>
    <row r="56" spans="1:13" ht="15" customHeight="1">
      <c r="H56" s="102"/>
      <c r="I56" s="16"/>
      <c r="J56" s="16"/>
      <c r="K56" s="16" t="s">
        <v>198</v>
      </c>
      <c r="L56" s="16"/>
      <c r="M56" s="16"/>
    </row>
    <row r="57" spans="1:13" ht="15" customHeight="1">
      <c r="H57" s="102"/>
      <c r="I57" s="17"/>
      <c r="J57" s="17"/>
      <c r="K57" s="17" t="s">
        <v>50</v>
      </c>
      <c r="L57" s="17"/>
      <c r="M57" s="17"/>
    </row>
    <row r="58" spans="1:13" ht="15" customHeight="1">
      <c r="H58" s="102"/>
      <c r="I58" s="16"/>
      <c r="J58" s="16"/>
      <c r="K58" s="16" t="s">
        <v>199</v>
      </c>
      <c r="L58" s="16"/>
      <c r="M58" s="16"/>
    </row>
    <row r="59" spans="1:13" ht="15" customHeight="1">
      <c r="H59" s="102"/>
      <c r="I59" s="17"/>
      <c r="J59" s="17"/>
      <c r="K59" s="17" t="s">
        <v>200</v>
      </c>
      <c r="L59" s="17"/>
      <c r="M59" s="17"/>
    </row>
    <row r="60" spans="1:13" ht="15" customHeight="1">
      <c r="H60" s="102"/>
      <c r="I60" s="16"/>
      <c r="J60" s="16"/>
      <c r="K60" s="87" t="s">
        <v>105</v>
      </c>
      <c r="L60" s="16"/>
      <c r="M60" s="16"/>
    </row>
    <row r="61" spans="1:13" ht="15" customHeight="1">
      <c r="H61" s="102"/>
      <c r="I61" s="17"/>
      <c r="J61" s="17"/>
      <c r="K61" s="17" t="s">
        <v>201</v>
      </c>
      <c r="L61" s="17"/>
      <c r="M61" s="17"/>
    </row>
    <row r="62" spans="1:13" ht="15" customHeight="1">
      <c r="H62" s="102"/>
      <c r="I62" s="16"/>
      <c r="J62" s="16"/>
      <c r="K62" s="16" t="s">
        <v>202</v>
      </c>
      <c r="L62" s="16"/>
      <c r="M62" s="16"/>
    </row>
    <row r="63" spans="1:13" ht="15" customHeight="1">
      <c r="H63" s="102"/>
      <c r="I63" s="17"/>
      <c r="J63" s="17"/>
      <c r="K63" s="17" t="s">
        <v>203</v>
      </c>
      <c r="L63" s="17"/>
      <c r="M63" s="17"/>
    </row>
    <row r="64" spans="1:13" ht="15" customHeight="1">
      <c r="H64" s="102"/>
      <c r="I64" s="16"/>
      <c r="J64" s="16"/>
      <c r="K64" s="16" t="s">
        <v>204</v>
      </c>
      <c r="L64" s="16"/>
      <c r="M64" s="16"/>
    </row>
    <row r="65" spans="8:13" ht="15" customHeight="1">
      <c r="H65" s="102"/>
      <c r="I65" s="17"/>
      <c r="J65" s="17"/>
      <c r="K65" s="17"/>
      <c r="L65" s="17"/>
      <c r="M65" s="17"/>
    </row>
    <row r="66" spans="8:13" ht="15" customHeight="1">
      <c r="H66" s="102"/>
      <c r="I66" s="16"/>
      <c r="J66" s="16"/>
      <c r="K66" s="16"/>
      <c r="L66" s="16"/>
      <c r="M66" s="16"/>
    </row>
    <row r="67" spans="8:13" ht="15" customHeight="1">
      <c r="H67" s="102"/>
      <c r="I67" s="17"/>
      <c r="J67" s="17"/>
      <c r="K67" s="17"/>
      <c r="L67" s="17"/>
      <c r="M67" s="17"/>
    </row>
    <row r="68" spans="8:13" ht="15" customHeight="1">
      <c r="H68" s="102"/>
      <c r="I68" s="16"/>
      <c r="J68" s="16"/>
      <c r="K68" s="16"/>
      <c r="L68" s="16"/>
      <c r="M68" s="16"/>
    </row>
    <row r="69" spans="8:13" ht="15" customHeight="1">
      <c r="H69" s="102"/>
      <c r="I69" s="17"/>
      <c r="J69" s="17"/>
      <c r="K69" s="17"/>
      <c r="L69" s="17"/>
      <c r="M69" s="17"/>
    </row>
    <row r="70" spans="8:13" ht="15" customHeight="1">
      <c r="H70" s="102"/>
      <c r="I70" s="16"/>
      <c r="J70" s="16"/>
      <c r="K70" s="16"/>
      <c r="L70" s="16"/>
      <c r="M70" s="16"/>
    </row>
    <row r="71" spans="8:13" ht="15" customHeight="1">
      <c r="H71" s="102"/>
      <c r="I71" s="17"/>
      <c r="J71" s="17"/>
      <c r="K71" s="17"/>
      <c r="L71" s="17"/>
      <c r="M71" s="17"/>
    </row>
    <row r="72" spans="8:13" ht="15" customHeight="1">
      <c r="H72" s="102"/>
      <c r="I72" s="16"/>
      <c r="J72" s="16"/>
      <c r="K72" s="16"/>
      <c r="L72" s="16"/>
      <c r="M72" s="16"/>
    </row>
    <row r="73" spans="8:13" ht="15" customHeight="1">
      <c r="H73" s="102"/>
      <c r="I73" s="17"/>
      <c r="J73" s="17"/>
      <c r="K73" s="17"/>
      <c r="L73" s="17"/>
      <c r="M73" s="17"/>
    </row>
    <row r="74" spans="8:13" ht="15" customHeight="1">
      <c r="H74" s="102"/>
      <c r="I74" s="16"/>
      <c r="J74" s="16"/>
      <c r="K74" s="16"/>
      <c r="L74" s="16"/>
      <c r="M74" s="16"/>
    </row>
    <row r="75" spans="8:13" ht="15" customHeight="1">
      <c r="H75" s="102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340" activePane="bottomLeft" state="frozen"/>
      <selection pane="bottomLeft" activeCell="F362" sqref="F362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215</v>
      </c>
      <c r="E2" s="59" t="s">
        <v>216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217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216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216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216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216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216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216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216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216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216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216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216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219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216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216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216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216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216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216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216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216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216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216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216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216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219</v>
      </c>
      <c r="O27" s="39">
        <v>1183060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222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216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216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223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216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216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216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216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216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216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216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219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216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216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216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216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216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216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216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216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216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216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216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219</v>
      </c>
      <c r="O54" s="39">
        <v>959290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222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216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216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216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216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216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216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216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216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216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216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216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216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219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216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216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224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216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216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216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216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216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216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216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216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219</v>
      </c>
      <c r="O81" s="39">
        <v>878050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222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216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216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219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219</v>
      </c>
      <c r="O108" s="39">
        <v>1700000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222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216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197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216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216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216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216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216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216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216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216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216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216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216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219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219</v>
      </c>
      <c r="O135" s="39">
        <v>862330</v>
      </c>
    </row>
    <row r="136" spans="1:15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222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219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216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216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216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216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216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216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216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216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216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216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219</v>
      </c>
      <c r="O162" s="44">
        <v>1546080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222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216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216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216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216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216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216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216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216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216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216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219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216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216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216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216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216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216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216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216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216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216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216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216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219</v>
      </c>
      <c r="O189" s="39">
        <v>2355810</v>
      </c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222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216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216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216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216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216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216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216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216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216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216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216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216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219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216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216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216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216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216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216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216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216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216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216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216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219</v>
      </c>
      <c r="O216" s="45">
        <v>2013260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222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216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227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216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216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216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216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216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216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216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216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216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216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2" t="s">
        <v>218</v>
      </c>
      <c r="B230" s="93"/>
      <c r="C230" s="93"/>
      <c r="D230" s="93"/>
      <c r="E230" s="94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219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216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216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216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216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216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216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216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216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216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219</v>
      </c>
      <c r="O243" s="39">
        <v>1545480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222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216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228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216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216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216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216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216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216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216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216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216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216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216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219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216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216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216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216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216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216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216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216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216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216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216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219</v>
      </c>
      <c r="O270" s="39">
        <v>1182690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222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216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216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216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216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216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216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216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216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216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216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216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216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219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216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229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216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216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216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230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216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230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216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230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216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230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216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230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216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230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216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230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216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230</v>
      </c>
      <c r="O296" s="47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219</v>
      </c>
      <c r="O297" s="39">
        <v>1843460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222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216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126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231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216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111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216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130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232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216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216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216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216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216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216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216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216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219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233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233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216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233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233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233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216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233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219</v>
      </c>
      <c r="O324" s="39">
        <v>1940000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222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216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130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234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216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216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216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216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216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216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216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216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216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216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2" t="s">
        <v>218</v>
      </c>
      <c r="B338" s="93"/>
      <c r="C338" s="93"/>
      <c r="D338" s="93"/>
      <c r="E338" s="94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219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216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216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216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174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216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174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216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216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216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216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216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216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216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216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219</v>
      </c>
      <c r="O351" s="39">
        <v>701874</v>
      </c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222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216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178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235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216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184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216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216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216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216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216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216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216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216</v>
      </c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216</v>
      </c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216</v>
      </c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2" t="s">
        <v>218</v>
      </c>
      <c r="B365" s="93"/>
      <c r="C365" s="93"/>
      <c r="D365" s="93"/>
      <c r="E365" s="94">
        <f>SUM(E353:E364)</f>
        <v>0</v>
      </c>
      <c r="F365" s="36">
        <f>SUM(F353:F364)</f>
        <v>199</v>
      </c>
      <c r="G365" s="36">
        <f>SUM(G353:G364)</f>
        <v>995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219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199</v>
      </c>
      <c r="G379" s="40">
        <f>G365+G378</f>
        <v>995</v>
      </c>
      <c r="H379" s="41"/>
      <c r="I379" s="41"/>
      <c r="J379" s="41"/>
      <c r="K379" s="41"/>
      <c r="L379" s="41"/>
      <c r="M379" s="42">
        <f ca="1">IFERROR(M365+M378,"")</f>
        <v>9.0972222222222121E-2</v>
      </c>
      <c r="N379" s="40" t="s">
        <v>222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B339" activePane="bottomLeft" state="frozen"/>
      <selection pane="bottomLeft" activeCell="F362" sqref="F362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236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236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236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236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236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236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236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236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236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236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236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219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236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236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236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236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236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236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236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236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236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236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236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219</v>
      </c>
      <c r="O27" s="78">
        <v>393200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222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236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237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236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236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236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236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236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236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236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236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236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219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236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236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236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238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236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236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236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236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236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236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236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236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236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85">
        <v>276360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222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239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240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219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236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236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236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236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236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236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236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236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236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236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236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219</v>
      </c>
      <c r="O81" s="54">
        <v>787860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222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236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241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236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236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236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236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219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236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242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236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243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236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244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236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236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236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236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236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236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236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236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236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219</v>
      </c>
      <c r="O108" s="54">
        <v>1087080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222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236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236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245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236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236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236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236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236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236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219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246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234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247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196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248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196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219</v>
      </c>
      <c r="O135" s="54">
        <v>794480</v>
      </c>
    </row>
    <row r="136" spans="1:15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222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196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249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219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250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200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236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236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236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236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236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236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236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236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236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219</v>
      </c>
      <c r="O162" s="54">
        <v>882280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222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236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236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236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236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236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236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236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236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236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236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236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219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219</v>
      </c>
      <c r="O189" s="78"/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222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219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236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236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252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236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253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236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236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236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236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236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236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219</v>
      </c>
      <c r="O216" s="78">
        <v>648410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222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236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254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236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255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236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236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236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236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236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236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236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236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236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218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219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236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200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256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236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236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250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236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236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236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236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236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236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236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219</v>
      </c>
      <c r="O243" s="78">
        <v>849060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222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236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257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236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236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236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236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236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236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236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236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236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219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236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236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236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236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236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236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236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236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236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236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236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219</v>
      </c>
      <c r="O270" s="78">
        <v>625070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222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236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258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236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259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236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236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236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236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236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236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236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236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236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236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219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236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236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260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236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236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236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152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236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236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236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236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236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236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219</v>
      </c>
      <c r="O297" s="78">
        <v>761660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222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236</v>
      </c>
      <c r="F300" s="27">
        <v>6</v>
      </c>
      <c r="G300" s="28">
        <f t="shared" si="66"/>
        <v>25.200000000000003</v>
      </c>
      <c r="H300" s="26" t="s">
        <v>17</v>
      </c>
      <c r="I300" s="26" t="s">
        <v>134</v>
      </c>
      <c r="J300" s="26" t="s">
        <v>88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236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236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261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236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261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236</v>
      </c>
      <c r="F304" s="27">
        <v>8</v>
      </c>
      <c r="G304" s="28">
        <f t="shared" si="66"/>
        <v>33.6</v>
      </c>
      <c r="H304" s="26" t="s">
        <v>19</v>
      </c>
      <c r="I304" s="26" t="s">
        <v>155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236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236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236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236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236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236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219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236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153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236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262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236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110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263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236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236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236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236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236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236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236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236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219</v>
      </c>
      <c r="O324" s="78">
        <v>524410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222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236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155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236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236</v>
      </c>
      <c r="F328" s="27">
        <v>10</v>
      </c>
      <c r="G328" s="28">
        <f t="shared" si="72"/>
        <v>42</v>
      </c>
      <c r="H328" s="26" t="s">
        <v>20</v>
      </c>
      <c r="I328" s="26" t="s">
        <v>119</v>
      </c>
      <c r="J328" s="26" t="s">
        <v>112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236</v>
      </c>
      <c r="F329" s="27">
        <v>20</v>
      </c>
      <c r="G329" s="34">
        <f t="shared" si="72"/>
        <v>84</v>
      </c>
      <c r="H329" s="33" t="s">
        <v>17</v>
      </c>
      <c r="I329" s="33" t="s">
        <v>113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264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236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236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236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236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236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236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236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2" t="s">
        <v>218</v>
      </c>
      <c r="B338" s="93"/>
      <c r="C338" s="93"/>
      <c r="D338" s="93"/>
      <c r="E338" s="94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219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236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119</v>
      </c>
      <c r="J339" s="33" t="s">
        <v>112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236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265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236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236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266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236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236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236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236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236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236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236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236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219</v>
      </c>
      <c r="O351" s="78">
        <v>598420</v>
      </c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222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236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155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236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236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155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236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127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236</v>
      </c>
      <c r="F357" s="27">
        <v>10</v>
      </c>
      <c r="G357" s="34">
        <f t="shared" si="78"/>
        <v>42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236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236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236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236</v>
      </c>
      <c r="F361" s="27">
        <v>8</v>
      </c>
      <c r="G361" s="34">
        <f t="shared" si="78"/>
        <v>33.6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236</v>
      </c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236</v>
      </c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236</v>
      </c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2" t="s">
        <v>218</v>
      </c>
      <c r="B365" s="93"/>
      <c r="C365" s="93"/>
      <c r="D365" s="93"/>
      <c r="E365" s="94">
        <f>SUM(E353:E364)</f>
        <v>0</v>
      </c>
      <c r="F365" s="36">
        <f>SUM(F353:F364)</f>
        <v>128</v>
      </c>
      <c r="G365" s="36">
        <f>SUM(G353:G364)</f>
        <v>537.6</v>
      </c>
      <c r="H365" s="37"/>
      <c r="I365" s="37"/>
      <c r="J365" s="37"/>
      <c r="K365" s="37"/>
      <c r="L365" s="37"/>
      <c r="M365" s="38">
        <f ca="1">IFERROR(SUM(M353:M364),"")</f>
        <v>6.1111111111111116E-2</v>
      </c>
      <c r="N365" s="36" t="s">
        <v>219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78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128</v>
      </c>
      <c r="G379" s="40">
        <f>G365+G378</f>
        <v>537.6</v>
      </c>
      <c r="H379" s="41"/>
      <c r="I379" s="41"/>
      <c r="J379" s="41"/>
      <c r="K379" s="41"/>
      <c r="L379" s="41"/>
      <c r="M379" s="42">
        <f ca="1">IFERROR(M365+M378,"")</f>
        <v>6.1111111111111116E-2</v>
      </c>
      <c r="N379" s="40" t="s">
        <v>222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78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78"/>
    </row>
    <row r="433" spans="1:15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78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78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78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78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78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78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78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78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78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78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78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A339" zoomScale="50" zoomScaleNormal="50" workbookViewId="0">
      <selection activeCell="F362" sqref="F362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236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236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267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236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236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268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236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236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236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236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236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236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236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219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236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236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236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236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236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236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236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236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236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236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236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236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219</v>
      </c>
      <c r="O27" s="39">
        <v>308500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222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236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269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236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236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236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236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236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236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236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236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236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236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236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219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236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236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236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236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236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236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236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236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236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236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236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236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39">
        <v>124290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222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236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236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236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236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270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236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236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236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236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236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236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236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236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219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236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271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236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236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236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236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236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236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236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236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236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219</v>
      </c>
      <c r="O81" s="39">
        <v>396340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222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272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219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236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236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236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236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236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219</v>
      </c>
      <c r="O108" s="39">
        <v>41230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222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236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236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236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219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248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219</v>
      </c>
      <c r="O135" s="39">
        <v>381250</v>
      </c>
    </row>
    <row r="136" spans="1:15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222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273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216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216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219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274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236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236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236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236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236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236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236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236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236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219</v>
      </c>
      <c r="O162" s="39">
        <v>337120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222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236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236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275</v>
      </c>
      <c r="N166" s="27" t="s">
        <v>276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236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236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236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236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236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236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236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236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236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219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236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236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236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236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236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236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236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236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236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236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236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236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219</v>
      </c>
      <c r="O189" s="39">
        <v>747210</v>
      </c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222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236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236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277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236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236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236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236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236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236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236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236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219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236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236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236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236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236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236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236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236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236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219</v>
      </c>
      <c r="O216" s="39">
        <v>468430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222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236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236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236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236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236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236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236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236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236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236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236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236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2" t="s">
        <v>218</v>
      </c>
      <c r="B230" s="93"/>
      <c r="C230" s="93"/>
      <c r="D230" s="93"/>
      <c r="E230" s="94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219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236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236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236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236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236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236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236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236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236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236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219</v>
      </c>
      <c r="O243" s="39">
        <v>575930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222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236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202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236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236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236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236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236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236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236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236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236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236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236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219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236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236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278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236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236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236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236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279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236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236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236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236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236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236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219</v>
      </c>
      <c r="O270" s="39">
        <v>483510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222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236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236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236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236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236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236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236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236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236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236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236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236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219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236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236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280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236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236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236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281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236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236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112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236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236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236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236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236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219</v>
      </c>
      <c r="O297" s="39">
        <v>487980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222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236</v>
      </c>
      <c r="F300" s="27">
        <v>7</v>
      </c>
      <c r="G300" s="28">
        <f t="shared" si="66"/>
        <v>29.400000000000002</v>
      </c>
      <c r="H300" s="26" t="s">
        <v>20</v>
      </c>
      <c r="I300" s="26" t="s">
        <v>131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236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236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282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236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236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236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236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236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236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236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219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236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283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236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236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236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284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236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236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236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236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236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236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236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219</v>
      </c>
      <c r="O324" s="39">
        <v>609460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222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236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285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236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236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236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195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271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216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236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191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236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126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236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236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236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236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236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2" t="s">
        <v>218</v>
      </c>
      <c r="B338" s="93"/>
      <c r="C338" s="93"/>
      <c r="D338" s="93"/>
      <c r="E338" s="94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219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236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236</v>
      </c>
      <c r="F340" s="27">
        <v>8</v>
      </c>
      <c r="G340" s="28">
        <f t="shared" si="75"/>
        <v>33.6</v>
      </c>
      <c r="H340" s="26" t="s">
        <v>20</v>
      </c>
      <c r="I340" s="26" t="s">
        <v>119</v>
      </c>
      <c r="J340" s="26" t="s">
        <v>112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236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236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236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236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236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236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236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236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236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236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219</v>
      </c>
      <c r="O351" s="39">
        <v>437940</v>
      </c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222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236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/>
      <c r="M353" s="35">
        <f t="shared" ref="M353:M364" ca="1" si="79">IFERROR(IF(K353="","",IF(L353="",MOD(NOW()-K353,1),IF(L353&gt;=K353,L353-K353,L353+1-K353))),"")</f>
        <v>0.37719571759225801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236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236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236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236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236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236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236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236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236</v>
      </c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236</v>
      </c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236</v>
      </c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2" t="s">
        <v>218</v>
      </c>
      <c r="B365" s="93"/>
      <c r="C365" s="93"/>
      <c r="D365" s="93"/>
      <c r="E365" s="94">
        <f>SUM(E353:E364)</f>
        <v>0</v>
      </c>
      <c r="F365" s="36">
        <f>SUM(F353:F364)</f>
        <v>2</v>
      </c>
      <c r="G365" s="36">
        <f>SUM(G353:G364)</f>
        <v>8.4</v>
      </c>
      <c r="H365" s="37"/>
      <c r="I365" s="37"/>
      <c r="J365" s="37"/>
      <c r="K365" s="37"/>
      <c r="L365" s="37"/>
      <c r="M365" s="38">
        <f ca="1">IFERROR(SUM(M353:M364),"")</f>
        <v>0.37719571759225801</v>
      </c>
      <c r="N365" s="36" t="s">
        <v>219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2</v>
      </c>
      <c r="G379" s="40">
        <f>G365+G378</f>
        <v>8.4</v>
      </c>
      <c r="H379" s="41"/>
      <c r="I379" s="41"/>
      <c r="J379" s="41"/>
      <c r="K379" s="41"/>
      <c r="L379" s="41"/>
      <c r="M379" s="42">
        <f ca="1">IFERROR(M365+M378,"")</f>
        <v>0.37719571759225801</v>
      </c>
      <c r="N379" s="40" t="s">
        <v>222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340" activePane="bottomLeft" state="frozen"/>
      <selection pane="bottomLeft" activeCell="K358" sqref="K358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236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286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236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271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236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236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236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236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236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236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236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236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236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236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219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236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236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287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236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236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236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236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236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236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236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236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236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219</v>
      </c>
      <c r="O27" s="39">
        <v>202230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222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236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288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236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236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236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236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236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289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236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236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236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236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236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219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236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236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236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236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236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236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236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236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236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236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236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219</v>
      </c>
      <c r="O54" s="39">
        <v>473910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222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236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236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236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290</v>
      </c>
      <c r="L58" s="29">
        <v>0.54097222222222219</v>
      </c>
      <c r="M58" s="30" t="str">
        <f t="shared" ca="1" si="13"/>
        <v/>
      </c>
      <c r="N58" s="27" t="s">
        <v>291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236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236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236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236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236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236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236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236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236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219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236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236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267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236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236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292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236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293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236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294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236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295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236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236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236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219</v>
      </c>
      <c r="O81" s="39">
        <v>565120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222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236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296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236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236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216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219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236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236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236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196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236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236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219</v>
      </c>
      <c r="O108" s="39">
        <v>558590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222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196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297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236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236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236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236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236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219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298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198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299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0.41955682870320743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248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0.61886238425876305</v>
      </c>
      <c r="N135" s="36" t="s">
        <v>219</v>
      </c>
      <c r="O135" s="39">
        <v>729290</v>
      </c>
    </row>
    <row r="136" spans="1:18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0.98622349536987408</v>
      </c>
      <c r="N136" s="40" t="s">
        <v>222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300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219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236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301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236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236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236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236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236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236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236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236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236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219</v>
      </c>
      <c r="O162" s="39">
        <v>697320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222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236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236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236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236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302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236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236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236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236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236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219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236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236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236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236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236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236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236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236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236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236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236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236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219</v>
      </c>
      <c r="O189" s="39">
        <v>973580</v>
      </c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222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236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236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236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303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236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304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236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236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236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236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236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236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219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236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236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305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236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236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236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236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236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236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236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236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236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219</v>
      </c>
      <c r="O216" s="45">
        <v>1060630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222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236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306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236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236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307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236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236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236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236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236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308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236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236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236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2" t="s">
        <v>218</v>
      </c>
      <c r="B230" s="93"/>
      <c r="C230" s="93"/>
      <c r="D230" s="93"/>
      <c r="E230" s="94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219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236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309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236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236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236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236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236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236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236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219</v>
      </c>
      <c r="O243" s="39">
        <v>982340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222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236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310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236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201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236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236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236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236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236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236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236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236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236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219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236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236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236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236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236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236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236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236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236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236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236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236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219</v>
      </c>
      <c r="O270" s="39">
        <v>1208450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222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236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236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236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236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236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236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236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236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236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236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236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236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219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236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236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236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236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236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112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236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236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236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236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236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236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219</v>
      </c>
      <c r="O297" s="39">
        <v>1049090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222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311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236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203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236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204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236</v>
      </c>
      <c r="F302" s="27">
        <v>0</v>
      </c>
      <c r="G302" s="28">
        <f t="shared" si="66"/>
        <v>0</v>
      </c>
      <c r="H302" s="26" t="s">
        <v>18</v>
      </c>
      <c r="I302" s="26" t="s">
        <v>136</v>
      </c>
      <c r="J302" s="26" t="s">
        <v>126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236</v>
      </c>
      <c r="F303" s="27">
        <v>0</v>
      </c>
      <c r="G303" s="34">
        <f t="shared" si="66"/>
        <v>0</v>
      </c>
      <c r="H303" s="33"/>
      <c r="I303" s="33"/>
      <c r="J303" s="33" t="s">
        <v>97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236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236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236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236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236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236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236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219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136</v>
      </c>
      <c r="J312" s="26" t="s">
        <v>97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236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167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236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112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236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112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236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112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236</v>
      </c>
      <c r="F317" s="27">
        <v>20</v>
      </c>
      <c r="G317" s="34">
        <f t="shared" si="69"/>
        <v>84</v>
      </c>
      <c r="H317" s="33" t="s">
        <v>20</v>
      </c>
      <c r="I317" s="33" t="s">
        <v>128</v>
      </c>
      <c r="J317" s="33" t="s">
        <v>112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236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245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236</v>
      </c>
      <c r="F319" s="27">
        <v>26</v>
      </c>
      <c r="G319" s="34">
        <f t="shared" si="69"/>
        <v>109.2</v>
      </c>
      <c r="H319" s="33" t="s">
        <v>20</v>
      </c>
      <c r="I319" s="33" t="s">
        <v>153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236</v>
      </c>
      <c r="F320" s="27">
        <v>30</v>
      </c>
      <c r="G320" s="28">
        <f t="shared" si="69"/>
        <v>126</v>
      </c>
      <c r="H320" s="26" t="s">
        <v>19</v>
      </c>
      <c r="I320" s="26" t="s">
        <v>158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236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236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219</v>
      </c>
      <c r="O324" s="39">
        <v>1063720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222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236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236</v>
      </c>
      <c r="F327" s="27">
        <v>20</v>
      </c>
      <c r="G327" s="34">
        <v>84</v>
      </c>
      <c r="H327" s="33" t="s">
        <v>18</v>
      </c>
      <c r="I327" s="33" t="s">
        <v>158</v>
      </c>
      <c r="J327" s="33" t="s">
        <v>117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271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236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128</v>
      </c>
      <c r="J328" s="26" t="s">
        <v>112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236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216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236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236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236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236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236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236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236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2" t="s">
        <v>218</v>
      </c>
      <c r="B338" s="93"/>
      <c r="C338" s="93"/>
      <c r="D338" s="93"/>
      <c r="E338" s="94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219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236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236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236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236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236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236</v>
      </c>
      <c r="F344" s="27">
        <v>20</v>
      </c>
      <c r="G344" s="28">
        <f t="shared" si="75"/>
        <v>84</v>
      </c>
      <c r="H344" s="26" t="s">
        <v>20</v>
      </c>
      <c r="I344" s="26" t="s">
        <v>153</v>
      </c>
      <c r="J344" s="26" t="s">
        <v>74</v>
      </c>
      <c r="K344" s="29" t="s">
        <v>312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236</v>
      </c>
      <c r="F345" s="27">
        <v>5</v>
      </c>
      <c r="G345" s="34">
        <f t="shared" si="75"/>
        <v>21</v>
      </c>
      <c r="H345" s="33" t="s">
        <v>20</v>
      </c>
      <c r="I345" s="33" t="s">
        <v>153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236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96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236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313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236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236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236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219</v>
      </c>
      <c r="O351" s="39">
        <v>696140</v>
      </c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222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236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236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236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191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236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236</v>
      </c>
      <c r="F357" s="27">
        <v>10</v>
      </c>
      <c r="G357" s="34">
        <f t="shared" si="78"/>
        <v>42</v>
      </c>
      <c r="H357" s="33" t="s">
        <v>18</v>
      </c>
      <c r="I357" s="33" t="s">
        <v>136</v>
      </c>
      <c r="J357" s="33" t="s">
        <v>126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236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/>
      <c r="M358" s="30">
        <f t="shared" ca="1" si="79"/>
        <v>4.2790509251062758E-3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236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236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236</v>
      </c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236</v>
      </c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236</v>
      </c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236</v>
      </c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218</v>
      </c>
      <c r="B365" s="89"/>
      <c r="C365" s="89"/>
      <c r="D365" s="89"/>
      <c r="E365" s="90">
        <f>SUM(E353:E364)</f>
        <v>0</v>
      </c>
      <c r="F365" s="36">
        <f>SUM(F353:F364)</f>
        <v>78</v>
      </c>
      <c r="G365" s="36">
        <f>SUM(G353:G364)</f>
        <v>327.59999999999997</v>
      </c>
      <c r="H365" s="37"/>
      <c r="I365" s="37"/>
      <c r="J365" s="37"/>
      <c r="K365" s="61"/>
      <c r="L365" s="61"/>
      <c r="M365" s="38">
        <f ca="1">IFERROR(SUM(M353:M364),"")</f>
        <v>0.10705682870288413</v>
      </c>
      <c r="N365" s="36" t="s">
        <v>219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78</v>
      </c>
      <c r="G379" s="40">
        <f>G365+G378</f>
        <v>327.59999999999997</v>
      </c>
      <c r="H379" s="41"/>
      <c r="I379" s="41"/>
      <c r="J379" s="41"/>
      <c r="K379" s="63"/>
      <c r="L379" s="63"/>
      <c r="M379" s="42">
        <f ca="1">IFERROR(M365+M378,"")</f>
        <v>0.10705682870288413</v>
      </c>
      <c r="N379" s="40" t="s">
        <v>222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219</v>
      </c>
      <c r="O432" s="39"/>
    </row>
    <row r="433" spans="1:17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219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2026-07-14T20:03:10Z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