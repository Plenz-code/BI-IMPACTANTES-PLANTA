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064" documentId="13_ncr:1_{A6DBCFB4-28D9-4249-9038-216934055CA6}" xr6:coauthVersionLast="47" xr6:coauthVersionMax="47" xr10:uidLastSave="{8FD04CD8-8382-42B4-B35C-23F1F7E5C348}"/>
  <bookViews>
    <workbookView xWindow="-110" yWindow="-110" windowWidth="25820" windowHeight="15500" tabRatio="500" firstSheet="6" activeTab="3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F557" i="6"/>
  <c r="Q556" i="6"/>
  <c r="Q567" i="6" s="1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H559" i="5"/>
  <c r="F559" i="5"/>
  <c r="Q558" i="5"/>
  <c r="K558" i="5"/>
  <c r="I558" i="5"/>
  <c r="H558" i="5"/>
  <c r="F558" i="5"/>
  <c r="Q557" i="5"/>
  <c r="K557" i="5"/>
  <c r="I557" i="5"/>
  <c r="H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61" i="6" l="1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<sst xmlns="http://schemas.openxmlformats.org/spreadsheetml/2006/main" count="9686" uniqueCount="419">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</sst>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4" sqref="G4:G2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59" t="s">
        <v>0</v>
      </c>
      <c r="B1" s="159"/>
      <c r="C1" s="159"/>
      <c r="D1" s="159"/>
      <c r="E1" s="159"/>
      <c r="F1" s="159"/>
      <c r="G1" s="159"/>
      <c r="H1" s="159"/>
      <c r="I1" s="159"/>
      <c r="J1" s="159"/>
      <c r="K1" s="159"/>
      <c r="L1" s="159"/>
    </row>
    <row r="2" spans="1:12" ht="30" customHeight="1">
      <c r="A2" s="160"/>
      <c r="B2" s="16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1" t="s">
        <v>16</v>
      </c>
      <c r="B35" s="161"/>
      <c r="C35" s="30">
        <f t="shared" ref="C35:I35" si="2">IFERROR(SUM(C4:C34),"")</f>
        <v>75100940</v>
      </c>
      <c r="D35" s="30">
        <f t="shared" si="2"/>
        <v>24659450</v>
      </c>
      <c r="E35" s="30">
        <f t="shared" si="2"/>
        <v>13495620</v>
      </c>
      <c r="F35" s="30">
        <f t="shared" si="2"/>
        <v>32668850</v>
      </c>
      <c r="G35" s="30">
        <f t="shared" si="2"/>
        <v>70823920</v>
      </c>
      <c r="H35" s="31">
        <f t="shared" si="2"/>
        <v>6458.4576326915121</v>
      </c>
      <c r="I35" s="31">
        <f t="shared" si="2"/>
        <v>4967.05</v>
      </c>
      <c r="J35" s="32">
        <f>I35/H35</f>
        <v>0.76907681098002656</v>
      </c>
      <c r="K35" s="33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6" zoomScale="85" zoomScaleNormal="85" workbookViewId="0">
      <selection activeCell="P28" sqref="P28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2" t="s">
        <v>17</v>
      </c>
      <c r="B1" s="162"/>
      <c r="C1" s="162"/>
      <c r="D1" s="162"/>
      <c r="E1" s="162"/>
      <c r="F1" s="162"/>
      <c r="G1" s="162"/>
      <c r="H1" s="162"/>
      <c r="I1" s="162"/>
      <c r="J1" s="162"/>
      <c r="K1" s="162"/>
      <c r="L1" s="162"/>
      <c r="M1" s="163"/>
      <c r="N1" s="164" t="s">
        <v>18</v>
      </c>
      <c r="O1" s="164"/>
      <c r="P1" s="164"/>
      <c r="Q1" s="164"/>
      <c r="R1" s="164"/>
    </row>
    <row r="2" spans="1:18" ht="4.5" customHeight="1">
      <c r="M2" s="16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3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3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3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3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3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3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3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3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3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3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3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3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3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3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3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3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3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3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3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3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3"/>
      <c r="N28" s="37"/>
      <c r="O28" s="37"/>
      <c r="P28" s="37" t="s">
        <v>121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3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3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3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3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3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3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3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3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3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3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3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3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3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3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3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3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3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3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3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3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3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3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3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3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3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3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3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3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3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3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3"/>
      <c r="N59" s="40"/>
      <c r="O59" s="40"/>
      <c r="P59" s="40" t="s">
        <v>222</v>
      </c>
      <c r="Q59" s="40"/>
      <c r="R59" s="40" t="s">
        <v>223</v>
      </c>
    </row>
    <row r="60" spans="1:18" ht="15" customHeight="1">
      <c r="M60" s="163"/>
      <c r="N60" s="37"/>
      <c r="O60" s="37"/>
      <c r="P60" s="53" t="s">
        <v>114</v>
      </c>
      <c r="Q60" s="37"/>
      <c r="R60" s="37"/>
    </row>
    <row r="61" spans="1:18" ht="15" customHeight="1">
      <c r="M61" s="163"/>
      <c r="N61" s="40"/>
      <c r="O61" s="40"/>
      <c r="P61" s="40" t="s">
        <v>224</v>
      </c>
      <c r="Q61" s="40"/>
      <c r="R61" s="40"/>
    </row>
    <row r="62" spans="1:18" ht="15" customHeight="1">
      <c r="M62" s="163"/>
      <c r="N62" s="37"/>
      <c r="O62" s="37"/>
      <c r="P62" s="37" t="s">
        <v>225</v>
      </c>
      <c r="Q62" s="37"/>
      <c r="R62" s="37"/>
    </row>
    <row r="63" spans="1:18" ht="15" customHeight="1">
      <c r="M63" s="163"/>
      <c r="N63" s="40"/>
      <c r="O63" s="40"/>
      <c r="P63" s="40" t="s">
        <v>226</v>
      </c>
      <c r="Q63" s="40"/>
      <c r="R63" s="40"/>
    </row>
    <row r="64" spans="1:18" ht="15" customHeight="1">
      <c r="M64" s="163"/>
      <c r="N64" s="37"/>
      <c r="O64" s="37"/>
      <c r="P64" s="37" t="s">
        <v>227</v>
      </c>
      <c r="Q64" s="37"/>
      <c r="R64" s="37"/>
    </row>
    <row r="65" spans="13:18" ht="15" customHeight="1">
      <c r="M65" s="163"/>
      <c r="N65" s="40"/>
      <c r="O65" s="40"/>
      <c r="P65" s="40" t="s">
        <v>228</v>
      </c>
      <c r="Q65" s="40"/>
      <c r="R65" s="40"/>
    </row>
    <row r="66" spans="13:18" ht="15" customHeight="1">
      <c r="M66" s="163"/>
      <c r="N66" s="37"/>
      <c r="O66" s="37"/>
      <c r="P66" s="37" t="s">
        <v>229</v>
      </c>
      <c r="Q66" s="37"/>
      <c r="R66" s="37"/>
    </row>
    <row r="67" spans="13:18" ht="15" customHeight="1">
      <c r="M67" s="163"/>
      <c r="N67" s="40"/>
      <c r="O67" s="40"/>
      <c r="P67" s="40" t="s">
        <v>230</v>
      </c>
      <c r="Q67" s="40"/>
      <c r="R67" s="40"/>
    </row>
    <row r="68" spans="13:18" ht="15" customHeight="1">
      <c r="M68" s="163"/>
      <c r="N68" s="37"/>
      <c r="O68" s="37"/>
      <c r="P68" s="37" t="s">
        <v>231</v>
      </c>
      <c r="Q68" s="37"/>
      <c r="R68" s="37"/>
    </row>
    <row r="69" spans="13:18" ht="15" customHeight="1">
      <c r="M69" s="163"/>
      <c r="N69" s="40"/>
      <c r="O69" s="40"/>
      <c r="P69" s="40" t="s">
        <v>232</v>
      </c>
      <c r="Q69" s="40"/>
      <c r="R69" s="40"/>
    </row>
    <row r="70" spans="13:18" ht="15" customHeight="1">
      <c r="M70" s="163"/>
      <c r="N70" s="37"/>
      <c r="O70" s="37"/>
      <c r="P70" s="37" t="s">
        <v>233</v>
      </c>
      <c r="Q70" s="37"/>
      <c r="R70" s="37"/>
    </row>
    <row r="71" spans="13:18" ht="15" customHeight="1">
      <c r="M71" s="163"/>
      <c r="N71" s="40"/>
      <c r="O71" s="40"/>
      <c r="P71" s="40" t="s">
        <v>234</v>
      </c>
      <c r="Q71" s="40"/>
      <c r="R71" s="40"/>
    </row>
    <row r="72" spans="13:18" ht="15" customHeight="1">
      <c r="M72" s="163"/>
      <c r="N72" s="37"/>
      <c r="O72" s="37"/>
      <c r="P72" s="37" t="s">
        <v>235</v>
      </c>
      <c r="Q72" s="37"/>
      <c r="R72" s="37"/>
    </row>
    <row r="73" spans="13:18" ht="15" customHeight="1">
      <c r="M73" s="163"/>
      <c r="N73" s="40"/>
      <c r="O73" s="40"/>
      <c r="P73" s="40" t="s">
        <v>236</v>
      </c>
      <c r="Q73" s="40"/>
      <c r="R73" s="40"/>
    </row>
    <row r="74" spans="13:18" ht="15" customHeight="1">
      <c r="M74" s="163"/>
      <c r="N74" s="37"/>
      <c r="O74" s="37"/>
      <c r="P74" s="37" t="s">
        <v>237</v>
      </c>
      <c r="Q74" s="37"/>
      <c r="R74" s="37"/>
    </row>
    <row r="75" spans="13:18" ht="15" customHeight="1">
      <c r="M75" s="163"/>
      <c r="N75" s="40"/>
      <c r="O75" s="40"/>
      <c r="P75" s="40" t="s">
        <v>238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239</v>
      </c>
      <c r="C1" s="138" t="s">
        <v>240</v>
      </c>
      <c r="D1" s="138" t="s">
        <v>19</v>
      </c>
      <c r="E1" s="138" t="s">
        <v>241</v>
      </c>
      <c r="F1" s="138" t="s">
        <v>242</v>
      </c>
      <c r="G1" s="138" t="s">
        <v>243</v>
      </c>
      <c r="H1" s="138" t="s">
        <v>244</v>
      </c>
      <c r="I1" s="138" t="s">
        <v>245</v>
      </c>
      <c r="J1" s="138" t="s">
        <v>246</v>
      </c>
      <c r="K1" s="138" t="s">
        <v>247</v>
      </c>
    </row>
    <row r="2" spans="1:11" ht="15.75" customHeight="1">
      <c r="A2" s="139">
        <v>46235</v>
      </c>
      <c r="B2" s="140" t="s">
        <v>248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249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5" t="s">
        <v>250</v>
      </c>
      <c r="B4" s="165"/>
      <c r="C4" s="165"/>
      <c r="D4" s="165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248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249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5" t="s">
        <v>250</v>
      </c>
      <c r="B7" s="165"/>
      <c r="C7" s="165"/>
      <c r="D7" s="165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248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249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5" t="s">
        <v>250</v>
      </c>
      <c r="B10" s="165"/>
      <c r="C10" s="165"/>
      <c r="D10" s="165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248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249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5" t="s">
        <v>250</v>
      </c>
      <c r="B13" s="165"/>
      <c r="C13" s="165"/>
      <c r="D13" s="165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248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249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5" t="s">
        <v>250</v>
      </c>
      <c r="B16" s="165"/>
      <c r="C16" s="165"/>
      <c r="D16" s="165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248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249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5" t="s">
        <v>250</v>
      </c>
      <c r="B19" s="165"/>
      <c r="C19" s="165"/>
      <c r="D19" s="165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248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249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5" t="s">
        <v>250</v>
      </c>
      <c r="B22" s="165"/>
      <c r="C22" s="165"/>
      <c r="D22" s="165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248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249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5" t="s">
        <v>250</v>
      </c>
      <c r="B25" s="165"/>
      <c r="C25" s="165"/>
      <c r="D25" s="165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248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249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5" t="s">
        <v>250</v>
      </c>
      <c r="B28" s="165"/>
      <c r="C28" s="165"/>
      <c r="D28" s="165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248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249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5" t="s">
        <v>250</v>
      </c>
      <c r="B31" s="165"/>
      <c r="C31" s="165"/>
      <c r="D31" s="165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248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249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5" t="s">
        <v>250</v>
      </c>
      <c r="B34" s="165"/>
      <c r="C34" s="165"/>
      <c r="D34" s="165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248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249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5" t="s">
        <v>250</v>
      </c>
      <c r="B37" s="165"/>
      <c r="C37" s="165"/>
      <c r="D37" s="165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248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249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5" t="s">
        <v>250</v>
      </c>
      <c r="B40" s="165"/>
      <c r="C40" s="165"/>
      <c r="D40" s="165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248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249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5" t="s">
        <v>250</v>
      </c>
      <c r="B43" s="165"/>
      <c r="C43" s="165"/>
      <c r="D43" s="165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248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249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5" t="s">
        <v>250</v>
      </c>
      <c r="B46" s="165"/>
      <c r="C46" s="165"/>
      <c r="D46" s="165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248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249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5" t="s">
        <v>250</v>
      </c>
      <c r="B49" s="165"/>
      <c r="C49" s="165"/>
      <c r="D49" s="165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248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249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5" t="s">
        <v>250</v>
      </c>
      <c r="B52" s="165"/>
      <c r="C52" s="165"/>
      <c r="D52" s="165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248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249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5" t="s">
        <v>250</v>
      </c>
      <c r="B55" s="165"/>
      <c r="C55" s="165"/>
      <c r="D55" s="165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248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249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5" t="s">
        <v>250</v>
      </c>
      <c r="B58" s="165"/>
      <c r="C58" s="165"/>
      <c r="D58" s="165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248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249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5" t="s">
        <v>250</v>
      </c>
      <c r="B61" s="165"/>
      <c r="C61" s="165"/>
      <c r="D61" s="165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248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>
        <v>1</v>
      </c>
      <c r="H62" s="140">
        <v>10</v>
      </c>
      <c r="I62" s="143">
        <f>IFERROR(IF(G62="","",F62/G62),"")</f>
        <v>135</v>
      </c>
      <c r="J62" s="140"/>
      <c r="K62" s="140"/>
    </row>
    <row r="63" spans="1:11" ht="15.75" customHeight="1">
      <c r="A63" s="144">
        <v>46255</v>
      </c>
      <c r="B63" s="145" t="s">
        <v>249</v>
      </c>
      <c r="C63" s="146">
        <v>0.29166666666666702</v>
      </c>
      <c r="D63" s="145"/>
      <c r="E63" s="145">
        <v>0</v>
      </c>
      <c r="F63" s="147">
        <f>IF(E63="","",E63*1.5*1.8)</f>
        <v>0</v>
      </c>
      <c r="G63" s="145">
        <v>0</v>
      </c>
      <c r="H63" s="145">
        <v>10</v>
      </c>
      <c r="I63" s="148" t="str">
        <f>IFERROR(IF(G63="","",F63/G63),"")</f>
        <v/>
      </c>
      <c r="J63" s="145"/>
      <c r="K63" s="145"/>
    </row>
    <row r="64" spans="1:11" ht="18" customHeight="1">
      <c r="A64" s="165" t="s">
        <v>250</v>
      </c>
      <c r="B64" s="165"/>
      <c r="C64" s="165"/>
      <c r="D64" s="165"/>
      <c r="E64" s="149">
        <f>SUM(E62:E63)</f>
        <v>50</v>
      </c>
      <c r="F64" s="150">
        <f>IFERROR(SUM(F62:F63),"")</f>
        <v>135</v>
      </c>
      <c r="G64" s="150">
        <f>SUM(G62:G63)</f>
        <v>1</v>
      </c>
      <c r="H64" s="150">
        <f>SUM(H62:H63)</f>
        <v>20</v>
      </c>
      <c r="I64" s="151">
        <f>IFERROR(IF(G64=0,"",F64/G64),"")</f>
        <v>135</v>
      </c>
      <c r="J64" s="152"/>
      <c r="K64" s="152"/>
    </row>
    <row r="65" spans="1:11" ht="15.75" customHeight="1">
      <c r="A65" s="139">
        <v>46256</v>
      </c>
      <c r="B65" s="140" t="s">
        <v>248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249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5" t="s">
        <v>250</v>
      </c>
      <c r="B67" s="165"/>
      <c r="C67" s="165"/>
      <c r="D67" s="165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248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249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5" t="s">
        <v>250</v>
      </c>
      <c r="B70" s="165"/>
      <c r="C70" s="165"/>
      <c r="D70" s="165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248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249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5" t="s">
        <v>250</v>
      </c>
      <c r="B73" s="165"/>
      <c r="C73" s="165"/>
      <c r="D73" s="165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248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249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5" t="s">
        <v>250</v>
      </c>
      <c r="B76" s="165"/>
      <c r="C76" s="165"/>
      <c r="D76" s="165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248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249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5" t="s">
        <v>250</v>
      </c>
      <c r="B79" s="165"/>
      <c r="C79" s="165"/>
      <c r="D79" s="165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248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249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5" t="s">
        <v>250</v>
      </c>
      <c r="B82" s="165"/>
      <c r="C82" s="165"/>
      <c r="D82" s="165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248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249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5" t="s">
        <v>250</v>
      </c>
      <c r="B85" s="165"/>
      <c r="C85" s="165"/>
      <c r="D85" s="165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248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249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5" t="s">
        <v>250</v>
      </c>
      <c r="B88" s="165"/>
      <c r="C88" s="165"/>
      <c r="D88" s="165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248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249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5" t="s">
        <v>250</v>
      </c>
      <c r="B91" s="165"/>
      <c r="C91" s="165"/>
      <c r="D91" s="165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248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249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5" t="s">
        <v>250</v>
      </c>
      <c r="B94" s="165"/>
      <c r="C94" s="165"/>
      <c r="D94" s="165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540" activePane="bottomLeft" state="frozen"/>
      <selection pane="bottomLeft" activeCell="F573" sqref="F573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57" t="s">
        <v>253</v>
      </c>
      <c r="G1" s="57" t="s">
        <v>254</v>
      </c>
      <c r="H1" s="57" t="s">
        <v>23</v>
      </c>
      <c r="I1" s="57" t="s">
        <v>24</v>
      </c>
      <c r="J1" s="57" t="s">
        <v>255</v>
      </c>
      <c r="K1" s="57" t="s">
        <v>256</v>
      </c>
      <c r="L1" s="57" t="s">
        <v>257</v>
      </c>
      <c r="M1" s="58" t="s">
        <v>258</v>
      </c>
      <c r="N1" s="57" t="s">
        <v>247</v>
      </c>
      <c r="O1" s="57" t="s">
        <v>259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260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260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260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260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260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260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260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260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260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260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260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260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6" t="s">
        <v>261</v>
      </c>
      <c r="B14" s="166"/>
      <c r="C14" s="166"/>
      <c r="D14" s="166"/>
      <c r="E14" s="166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262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260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260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260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263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260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260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260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260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260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260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260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260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260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6" t="s">
        <v>264</v>
      </c>
      <c r="B27" s="166"/>
      <c r="C27" s="166"/>
      <c r="D27" s="166"/>
      <c r="E27" s="166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262</v>
      </c>
      <c r="O27" s="74">
        <v>997910</v>
      </c>
    </row>
    <row r="28" spans="1:15" ht="18" customHeight="1">
      <c r="A28" s="167" t="s">
        <v>250</v>
      </c>
      <c r="B28" s="167"/>
      <c r="C28" s="167"/>
      <c r="D28" s="167"/>
      <c r="E28" s="167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265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260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260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266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260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263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260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260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260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260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260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260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260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260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260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6" t="s">
        <v>261</v>
      </c>
      <c r="B41" s="166"/>
      <c r="C41" s="166"/>
      <c r="D41" s="166"/>
      <c r="E41" s="166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262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260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267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260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260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260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260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260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260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260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260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260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260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6" t="s">
        <v>264</v>
      </c>
      <c r="B54" s="166"/>
      <c r="C54" s="166"/>
      <c r="D54" s="166"/>
      <c r="E54" s="166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262</v>
      </c>
      <c r="O54" s="74">
        <v>981310</v>
      </c>
    </row>
    <row r="55" spans="1:15" ht="18" customHeight="1">
      <c r="A55" s="167" t="s">
        <v>250</v>
      </c>
      <c r="B55" s="167"/>
      <c r="C55" s="167"/>
      <c r="D55" s="167"/>
      <c r="E55" s="167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265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260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260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260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260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260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260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260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260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260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260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260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260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6" t="s">
        <v>261</v>
      </c>
      <c r="B68" s="166"/>
      <c r="C68" s="166"/>
      <c r="D68" s="166"/>
      <c r="E68" s="166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262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260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260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268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260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260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260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260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260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260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260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260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260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260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6" t="s">
        <v>264</v>
      </c>
      <c r="B81" s="166"/>
      <c r="C81" s="166"/>
      <c r="D81" s="166"/>
      <c r="E81" s="166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262</v>
      </c>
      <c r="O81" s="74">
        <v>1547910</v>
      </c>
    </row>
    <row r="82" spans="1:15" ht="18" customHeight="1">
      <c r="A82" s="167" t="s">
        <v>250</v>
      </c>
      <c r="B82" s="167"/>
      <c r="C82" s="167"/>
      <c r="D82" s="167"/>
      <c r="E82" s="167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265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260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260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260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269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260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260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260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260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260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260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260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260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260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6" t="s">
        <v>261</v>
      </c>
      <c r="B95" s="166"/>
      <c r="C95" s="166"/>
      <c r="D95" s="166"/>
      <c r="E95" s="166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262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260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260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260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260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260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260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270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260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260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260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260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260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260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6" t="s">
        <v>264</v>
      </c>
      <c r="B108" s="166"/>
      <c r="C108" s="166"/>
      <c r="D108" s="166"/>
      <c r="E108" s="166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262</v>
      </c>
      <c r="O108" s="74">
        <v>3156240</v>
      </c>
    </row>
    <row r="109" spans="1:15" ht="18" customHeight="1">
      <c r="A109" s="167" t="s">
        <v>250</v>
      </c>
      <c r="B109" s="167"/>
      <c r="C109" s="167"/>
      <c r="D109" s="167"/>
      <c r="E109" s="167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265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260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260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260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260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260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260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260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260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260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260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260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260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6" t="s">
        <v>261</v>
      </c>
      <c r="B122" s="166"/>
      <c r="C122" s="166"/>
      <c r="D122" s="166"/>
      <c r="E122" s="166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262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260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260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260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260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260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260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260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260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260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260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260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260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6" t="s">
        <v>264</v>
      </c>
      <c r="B135" s="166"/>
      <c r="C135" s="166"/>
      <c r="D135" s="166"/>
      <c r="E135" s="166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262</v>
      </c>
      <c r="O135" s="74">
        <v>2875180</v>
      </c>
    </row>
    <row r="136" spans="1:15" ht="18" customHeight="1">
      <c r="A136" s="167" t="s">
        <v>250</v>
      </c>
      <c r="B136" s="167"/>
      <c r="C136" s="167"/>
      <c r="D136" s="167"/>
      <c r="E136" s="167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265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260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271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260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260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260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260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260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260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260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260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260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260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260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6" t="s">
        <v>261</v>
      </c>
      <c r="B149" s="166"/>
      <c r="C149" s="166"/>
      <c r="D149" s="166"/>
      <c r="E149" s="166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262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260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260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272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260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260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260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260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260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260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260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260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260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260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6" t="s">
        <v>264</v>
      </c>
      <c r="B162" s="166"/>
      <c r="C162" s="166"/>
      <c r="D162" s="166"/>
      <c r="E162" s="166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262</v>
      </c>
      <c r="O162" s="79">
        <v>842000</v>
      </c>
    </row>
    <row r="163" spans="1:15" ht="18" customHeight="1">
      <c r="A163" s="167" t="s">
        <v>250</v>
      </c>
      <c r="B163" s="167"/>
      <c r="C163" s="167"/>
      <c r="D163" s="167"/>
      <c r="E163" s="167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265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260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237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273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260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260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260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260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260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260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260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260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260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260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260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6" t="s">
        <v>261</v>
      </c>
      <c r="B176" s="166"/>
      <c r="C176" s="166"/>
      <c r="D176" s="166"/>
      <c r="E176" s="166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262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260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274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260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260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260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260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260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260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260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275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260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260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260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6" t="s">
        <v>264</v>
      </c>
      <c r="B189" s="166"/>
      <c r="C189" s="166"/>
      <c r="D189" s="166"/>
      <c r="E189" s="166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262</v>
      </c>
      <c r="O189" s="74">
        <v>1901630</v>
      </c>
    </row>
    <row r="190" spans="1:15" ht="18" customHeight="1">
      <c r="A190" s="167" t="s">
        <v>250</v>
      </c>
      <c r="B190" s="167"/>
      <c r="C190" s="167"/>
      <c r="D190" s="167"/>
      <c r="E190" s="167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265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260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260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260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276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260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260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260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260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260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260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260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260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260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6" t="s">
        <v>261</v>
      </c>
      <c r="B203" s="166"/>
      <c r="C203" s="166"/>
      <c r="D203" s="166"/>
      <c r="E203" s="166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262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260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260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260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260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260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260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260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260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260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260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260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260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6" t="s">
        <v>264</v>
      </c>
      <c r="B216" s="166"/>
      <c r="C216" s="166"/>
      <c r="D216" s="166"/>
      <c r="E216" s="166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262</v>
      </c>
      <c r="O216" s="74">
        <v>1852295</v>
      </c>
    </row>
    <row r="217" spans="1:15" ht="18" customHeight="1">
      <c r="A217" s="167" t="s">
        <v>250</v>
      </c>
      <c r="B217" s="167"/>
      <c r="C217" s="167"/>
      <c r="D217" s="167"/>
      <c r="E217" s="167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265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260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260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260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277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260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260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260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260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260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260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260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260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260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6" t="s">
        <v>261</v>
      </c>
      <c r="B230" s="166"/>
      <c r="C230" s="166"/>
      <c r="D230" s="166"/>
      <c r="E230" s="166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262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260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260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260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278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278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278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278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278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278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278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278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278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6" t="s">
        <v>264</v>
      </c>
      <c r="B243" s="166"/>
      <c r="C243" s="166"/>
      <c r="D243" s="166"/>
      <c r="E243" s="166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262</v>
      </c>
      <c r="O243" s="74">
        <v>991010</v>
      </c>
    </row>
    <row r="244" spans="1:15" ht="18" customHeight="1">
      <c r="A244" s="167" t="s">
        <v>250</v>
      </c>
      <c r="B244" s="167"/>
      <c r="C244" s="167"/>
      <c r="D244" s="167"/>
      <c r="E244" s="167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265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260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260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260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260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260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279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260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260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260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260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260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260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260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6" t="s">
        <v>261</v>
      </c>
      <c r="B257" s="166"/>
      <c r="C257" s="166"/>
      <c r="D257" s="166"/>
      <c r="E257" s="166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262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280</v>
      </c>
      <c r="E258" s="75" t="s">
        <v>260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280</v>
      </c>
      <c r="E259" s="75" t="s">
        <v>260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280</v>
      </c>
      <c r="E260" s="75" t="s">
        <v>260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280</v>
      </c>
      <c r="E261" s="75" t="s">
        <v>260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280</v>
      </c>
      <c r="E262" s="75" t="s">
        <v>260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280</v>
      </c>
      <c r="E263" s="75" t="s">
        <v>260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280</v>
      </c>
      <c r="E264" s="75" t="s">
        <v>260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280</v>
      </c>
      <c r="E265" s="75" t="s">
        <v>260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280</v>
      </c>
      <c r="E266" s="75" t="s">
        <v>260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280</v>
      </c>
      <c r="E267" s="75" t="s">
        <v>260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280</v>
      </c>
      <c r="E268" s="75" t="s">
        <v>260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280</v>
      </c>
      <c r="E269" s="75" t="s">
        <v>260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6" t="s">
        <v>264</v>
      </c>
      <c r="B270" s="166"/>
      <c r="C270" s="166"/>
      <c r="D270" s="166"/>
      <c r="E270" s="166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262</v>
      </c>
      <c r="O270" s="74">
        <v>1544700</v>
      </c>
    </row>
    <row r="271" spans="1:15" ht="18" customHeight="1">
      <c r="A271" s="167" t="s">
        <v>250</v>
      </c>
      <c r="B271" s="167"/>
      <c r="C271" s="167"/>
      <c r="D271" s="167"/>
      <c r="E271" s="167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265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280</v>
      </c>
      <c r="E272" s="62" t="s">
        <v>260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280</v>
      </c>
      <c r="E273" s="62" t="s">
        <v>260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280</v>
      </c>
      <c r="E274" s="62" t="s">
        <v>260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280</v>
      </c>
      <c r="E275" s="62" t="s">
        <v>260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280</v>
      </c>
      <c r="E276" s="62" t="s">
        <v>260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280</v>
      </c>
      <c r="E277" s="62" t="s">
        <v>260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281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280</v>
      </c>
      <c r="E278" s="62" t="s">
        <v>260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280</v>
      </c>
      <c r="E279" s="62" t="s">
        <v>260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280</v>
      </c>
      <c r="E280" s="62" t="s">
        <v>260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280</v>
      </c>
      <c r="E281" s="62" t="s">
        <v>260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280</v>
      </c>
      <c r="E282" s="62" t="s">
        <v>260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280</v>
      </c>
      <c r="E283" s="62" t="s">
        <v>260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6" t="s">
        <v>261</v>
      </c>
      <c r="B284" s="166"/>
      <c r="C284" s="166"/>
      <c r="D284" s="166"/>
      <c r="E284" s="166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262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280</v>
      </c>
      <c r="E285" s="75" t="s">
        <v>275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280</v>
      </c>
      <c r="E286" s="75" t="s">
        <v>275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280</v>
      </c>
      <c r="E287" s="75" t="s">
        <v>275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280</v>
      </c>
      <c r="E288" s="75" t="s">
        <v>275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280</v>
      </c>
      <c r="E289" s="75" t="s">
        <v>275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280</v>
      </c>
      <c r="E290" s="75" t="s">
        <v>275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280</v>
      </c>
      <c r="E291" s="75" t="s">
        <v>275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280</v>
      </c>
      <c r="E292" s="75" t="s">
        <v>275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280</v>
      </c>
      <c r="E293" s="75" t="s">
        <v>275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280</v>
      </c>
      <c r="E294" s="75" t="s">
        <v>275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280</v>
      </c>
      <c r="E295" s="75" t="s">
        <v>275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280</v>
      </c>
      <c r="E296" s="75" t="s">
        <v>275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6" t="s">
        <v>264</v>
      </c>
      <c r="B297" s="166"/>
      <c r="C297" s="166"/>
      <c r="D297" s="166"/>
      <c r="E297" s="166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262</v>
      </c>
      <c r="O297" s="74">
        <v>1715230</v>
      </c>
    </row>
    <row r="298" spans="1:15" ht="18" customHeight="1">
      <c r="A298" s="167" t="s">
        <v>250</v>
      </c>
      <c r="B298" s="167"/>
      <c r="C298" s="167"/>
      <c r="D298" s="167"/>
      <c r="E298" s="167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265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260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237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260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260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260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282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260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260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260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260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260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260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260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260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6" t="s">
        <v>261</v>
      </c>
      <c r="B311" s="166"/>
      <c r="C311" s="166"/>
      <c r="D311" s="166"/>
      <c r="E311" s="166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262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260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260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260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260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260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260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260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260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260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260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260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260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6" t="s">
        <v>264</v>
      </c>
      <c r="B324" s="166"/>
      <c r="C324" s="166"/>
      <c r="D324" s="166"/>
      <c r="E324" s="166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262</v>
      </c>
      <c r="O324" s="74">
        <v>2216340</v>
      </c>
    </row>
    <row r="325" spans="1:15" ht="18" customHeight="1">
      <c r="A325" s="167" t="s">
        <v>250</v>
      </c>
      <c r="B325" s="167"/>
      <c r="C325" s="167"/>
      <c r="D325" s="167"/>
      <c r="E325" s="167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265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283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260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260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260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284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260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260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260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260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6" t="s">
        <v>261</v>
      </c>
      <c r="B338" s="166"/>
      <c r="C338" s="166"/>
      <c r="D338" s="166"/>
      <c r="E338" s="166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262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260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260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260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260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260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260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260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260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260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260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260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260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6" t="s">
        <v>264</v>
      </c>
      <c r="B351" s="166"/>
      <c r="C351" s="166"/>
      <c r="D351" s="166"/>
      <c r="E351" s="166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262</v>
      </c>
      <c r="O351" s="74">
        <v>2154990</v>
      </c>
    </row>
    <row r="352" spans="1:15" ht="18" customHeight="1">
      <c r="A352" s="167" t="s">
        <v>250</v>
      </c>
      <c r="B352" s="167"/>
      <c r="C352" s="167"/>
      <c r="D352" s="167"/>
      <c r="E352" s="167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265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260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260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260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260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260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260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275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260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260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260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260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260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6" t="s">
        <v>261</v>
      </c>
      <c r="B365" s="166"/>
      <c r="C365" s="166"/>
      <c r="D365" s="166"/>
      <c r="E365" s="166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262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260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260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260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260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260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260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260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260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260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260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260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260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6" t="s">
        <v>264</v>
      </c>
      <c r="B378" s="166"/>
      <c r="C378" s="166"/>
      <c r="D378" s="166"/>
      <c r="E378" s="166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262</v>
      </c>
      <c r="O378" s="74">
        <v>2614830</v>
      </c>
    </row>
    <row r="379" spans="1:15" ht="18" customHeight="1">
      <c r="A379" s="167" t="s">
        <v>250</v>
      </c>
      <c r="B379" s="167"/>
      <c r="C379" s="167"/>
      <c r="D379" s="167"/>
      <c r="E379" s="167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265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260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260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260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260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260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260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260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260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260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260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260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260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6" t="s">
        <v>261</v>
      </c>
      <c r="B392" s="166"/>
      <c r="C392" s="166"/>
      <c r="D392" s="166"/>
      <c r="E392" s="166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262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260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285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260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260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260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260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260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260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260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260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260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260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260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6" t="s">
        <v>264</v>
      </c>
      <c r="B405" s="166"/>
      <c r="C405" s="166"/>
      <c r="D405" s="166"/>
      <c r="E405" s="166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262</v>
      </c>
      <c r="O405" s="74">
        <v>2612000</v>
      </c>
    </row>
    <row r="406" spans="1:15" ht="18" customHeight="1">
      <c r="A406" s="167" t="s">
        <v>250</v>
      </c>
      <c r="B406" s="167"/>
      <c r="C406" s="167"/>
      <c r="D406" s="167"/>
      <c r="E406" s="167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265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260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260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260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260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260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260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260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260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260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260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260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260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6" t="s">
        <v>261</v>
      </c>
      <c r="B419" s="166"/>
      <c r="C419" s="166"/>
      <c r="D419" s="166"/>
      <c r="E419" s="166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262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260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231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260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286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260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286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260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260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260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260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260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260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260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260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260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6" t="s">
        <v>264</v>
      </c>
      <c r="B432" s="166"/>
      <c r="C432" s="166"/>
      <c r="D432" s="166"/>
      <c r="E432" s="166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262</v>
      </c>
      <c r="O432" s="74">
        <v>2266710</v>
      </c>
    </row>
    <row r="433" spans="1:15" ht="18" customHeight="1">
      <c r="A433" s="167" t="s">
        <v>250</v>
      </c>
      <c r="B433" s="167"/>
      <c r="C433" s="167"/>
      <c r="D433" s="167"/>
      <c r="E433" s="167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265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260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260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260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260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260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260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260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260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260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260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260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260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6" t="s">
        <v>261</v>
      </c>
      <c r="B446" s="166"/>
      <c r="C446" s="166"/>
      <c r="D446" s="166"/>
      <c r="E446" s="166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262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260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287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260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288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260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260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260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260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289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260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290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260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291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260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260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260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260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6" t="s">
        <v>264</v>
      </c>
      <c r="B459" s="166"/>
      <c r="C459" s="166"/>
      <c r="D459" s="166"/>
      <c r="E459" s="166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262</v>
      </c>
      <c r="O459" s="74">
        <v>2361680</v>
      </c>
    </row>
    <row r="460" spans="1:15" ht="18" customHeight="1">
      <c r="A460" s="167" t="s">
        <v>250</v>
      </c>
      <c r="B460" s="167"/>
      <c r="C460" s="167"/>
      <c r="D460" s="167"/>
      <c r="E460" s="167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265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260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292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260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260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260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260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260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260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260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260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260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260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260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6" t="s">
        <v>261</v>
      </c>
      <c r="B473" s="166"/>
      <c r="C473" s="166"/>
      <c r="D473" s="166"/>
      <c r="E473" s="166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262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260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260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260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293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260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260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260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260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260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260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260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260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260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6" t="s">
        <v>264</v>
      </c>
      <c r="B486" s="166"/>
      <c r="C486" s="166"/>
      <c r="D486" s="166"/>
      <c r="E486" s="166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262</v>
      </c>
      <c r="O486" s="74">
        <v>1798670</v>
      </c>
    </row>
    <row r="487" spans="1:15" ht="18" customHeight="1">
      <c r="A487" s="167" t="s">
        <v>250</v>
      </c>
      <c r="B487" s="167"/>
      <c r="C487" s="167"/>
      <c r="D487" s="167"/>
      <c r="E487" s="167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265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260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260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294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260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260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260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260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260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260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260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260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260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260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6" t="s">
        <v>261</v>
      </c>
      <c r="B500" s="166"/>
      <c r="C500" s="166"/>
      <c r="D500" s="166"/>
      <c r="E500" s="166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262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260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260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295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260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260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260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260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260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260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260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260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260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275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6" t="s">
        <v>264</v>
      </c>
      <c r="B513" s="166"/>
      <c r="C513" s="166"/>
      <c r="D513" s="166"/>
      <c r="E513" s="166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262</v>
      </c>
      <c r="O513" s="74">
        <v>2435830</v>
      </c>
    </row>
    <row r="514" spans="1:15" ht="18" customHeight="1">
      <c r="A514" s="167" t="s">
        <v>250</v>
      </c>
      <c r="B514" s="167"/>
      <c r="C514" s="167"/>
      <c r="D514" s="167"/>
      <c r="E514" s="167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265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260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260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260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260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260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275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275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275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275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275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275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275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6" t="s">
        <v>261</v>
      </c>
      <c r="B527" s="166"/>
      <c r="C527" s="166"/>
      <c r="D527" s="166"/>
      <c r="E527" s="166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262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260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296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260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260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177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260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260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260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260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260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260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260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260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260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6" t="s">
        <v>264</v>
      </c>
      <c r="B540" s="166"/>
      <c r="C540" s="166"/>
      <c r="D540" s="166"/>
      <c r="E540" s="166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262</v>
      </c>
      <c r="O540" s="74">
        <v>667100</v>
      </c>
    </row>
    <row r="541" spans="1:15" ht="18" customHeight="1">
      <c r="A541" s="167" t="s">
        <v>250</v>
      </c>
      <c r="B541" s="167"/>
      <c r="C541" s="167"/>
      <c r="D541" s="167"/>
      <c r="E541" s="167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265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 t="s">
        <v>297</v>
      </c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6" t="s">
        <v>261</v>
      </c>
      <c r="B554" s="166"/>
      <c r="C554" s="166"/>
      <c r="D554" s="166"/>
      <c r="E554" s="166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262</v>
      </c>
      <c r="O554" s="74">
        <v>0</v>
      </c>
    </row>
    <row r="555" spans="1:15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75" t="s">
        <v>260</v>
      </c>
      <c r="F555" s="63">
        <v>0</v>
      </c>
      <c r="G555" s="69">
        <f t="shared" ref="G555:G566" si="119">IF(F555="","",IF(E555="PC 17",F555*4.2,IF(E555="PC 19",F555*5,IF(E555="CB",F555*35,""))))</f>
        <v>0</v>
      </c>
      <c r="H555" s="70" t="s">
        <v>28</v>
      </c>
      <c r="I555" s="70" t="s">
        <v>32</v>
      </c>
      <c r="J555" s="70" t="s">
        <v>76</v>
      </c>
      <c r="K555" s="65">
        <v>0.79166666666666663</v>
      </c>
      <c r="L555" s="65">
        <v>0.91249999999999998</v>
      </c>
      <c r="M555" s="71">
        <f t="shared" ref="M555:M566" ca="1" si="120">IFERROR(IF(K555="","",IF(L555="",MOD(NOW()-K555,1),IF(L555&gt;=K555,L555-K555,L555+1-K555))),"")</f>
        <v>0.12083333333333335</v>
      </c>
      <c r="N555" s="156" t="s">
        <v>297</v>
      </c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 t="s">
        <v>38</v>
      </c>
      <c r="D556" s="75" t="s">
        <v>39</v>
      </c>
      <c r="E556" s="75" t="s">
        <v>260</v>
      </c>
      <c r="F556" s="63">
        <v>0</v>
      </c>
      <c r="G556" s="64">
        <f t="shared" si="119"/>
        <v>0</v>
      </c>
      <c r="H556" s="61" t="s">
        <v>27</v>
      </c>
      <c r="I556" s="61" t="s">
        <v>32</v>
      </c>
      <c r="J556" s="61" t="s">
        <v>167</v>
      </c>
      <c r="K556" s="65">
        <v>0.94513888888888886</v>
      </c>
      <c r="L556" s="65">
        <v>0.98472222222222228</v>
      </c>
      <c r="M556" s="66">
        <f t="shared" ca="1" si="120"/>
        <v>3.9583333333333415E-2</v>
      </c>
      <c r="N556" s="80" t="s">
        <v>263</v>
      </c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 t="s">
        <v>38</v>
      </c>
      <c r="D557" s="75" t="s">
        <v>39</v>
      </c>
      <c r="E557" s="75" t="s">
        <v>260</v>
      </c>
      <c r="F557" s="63">
        <v>16</v>
      </c>
      <c r="G557" s="69">
        <f t="shared" si="119"/>
        <v>80</v>
      </c>
      <c r="H557" s="70" t="s">
        <v>28</v>
      </c>
      <c r="I557" s="70" t="s">
        <v>32</v>
      </c>
      <c r="J557" s="70" t="s">
        <v>52</v>
      </c>
      <c r="K557" s="65">
        <v>2.5694444444444443E-2</v>
      </c>
      <c r="L557" s="65">
        <v>5.6250000000000001E-2</v>
      </c>
      <c r="M557" s="71">
        <f t="shared" ca="1" si="120"/>
        <v>3.0555555555555558E-2</v>
      </c>
      <c r="N557" s="80" t="s">
        <v>298</v>
      </c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 t="s">
        <v>38</v>
      </c>
      <c r="D558" s="75" t="s">
        <v>39</v>
      </c>
      <c r="E558" s="75" t="s">
        <v>260</v>
      </c>
      <c r="F558" s="63">
        <v>12</v>
      </c>
      <c r="G558" s="64">
        <f t="shared" si="119"/>
        <v>60</v>
      </c>
      <c r="H558" s="61" t="s">
        <v>27</v>
      </c>
      <c r="I558" s="61" t="s">
        <v>32</v>
      </c>
      <c r="J558" s="61" t="s">
        <v>177</v>
      </c>
      <c r="K558" s="65">
        <v>5.9722222222222225E-2</v>
      </c>
      <c r="L558" s="65">
        <v>8.2638888888888887E-2</v>
      </c>
      <c r="M558" s="66">
        <f t="shared" ca="1" si="120"/>
        <v>2.2916666666666662E-2</v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 t="s">
        <v>38</v>
      </c>
      <c r="D559" s="75" t="s">
        <v>39</v>
      </c>
      <c r="E559" s="75" t="s">
        <v>260</v>
      </c>
      <c r="F559" s="63">
        <v>0</v>
      </c>
      <c r="G559" s="69">
        <f t="shared" si="119"/>
        <v>0</v>
      </c>
      <c r="H559" s="70" t="s">
        <v>27</v>
      </c>
      <c r="I559" s="70" t="s">
        <v>32</v>
      </c>
      <c r="J559" s="70"/>
      <c r="K559" s="65">
        <v>8.3333333333333329E-2</v>
      </c>
      <c r="L559" s="65">
        <v>9.3055555555555558E-2</v>
      </c>
      <c r="M559" s="71">
        <f t="shared" ca="1" si="120"/>
        <v>9.7222222222222293E-3</v>
      </c>
      <c r="N559" s="80" t="s">
        <v>299</v>
      </c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 t="s">
        <v>38</v>
      </c>
      <c r="D560" s="75" t="s">
        <v>39</v>
      </c>
      <c r="E560" s="75" t="s">
        <v>260</v>
      </c>
      <c r="F560" s="63">
        <v>13</v>
      </c>
      <c r="G560" s="64">
        <f t="shared" si="119"/>
        <v>65</v>
      </c>
      <c r="H560" s="61" t="s">
        <v>29</v>
      </c>
      <c r="I560" s="61" t="s">
        <v>32</v>
      </c>
      <c r="J560" s="61" t="s">
        <v>53</v>
      </c>
      <c r="K560" s="65">
        <v>0.2013888888888889</v>
      </c>
      <c r="L560" s="65">
        <v>0.22083333333333333</v>
      </c>
      <c r="M560" s="66">
        <f t="shared" ca="1" si="120"/>
        <v>1.9444444444444431E-2</v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 t="s">
        <v>38</v>
      </c>
      <c r="D561" s="75" t="s">
        <v>39</v>
      </c>
      <c r="E561" s="75" t="s">
        <v>260</v>
      </c>
      <c r="F561" s="63">
        <v>0</v>
      </c>
      <c r="G561" s="69">
        <f t="shared" si="119"/>
        <v>0</v>
      </c>
      <c r="H561" s="70" t="s">
        <v>29</v>
      </c>
      <c r="I561" s="70" t="s">
        <v>32</v>
      </c>
      <c r="J561" s="70"/>
      <c r="K561" s="65">
        <v>0.23194444444444445</v>
      </c>
      <c r="L561" s="65">
        <v>0.24374999999999999</v>
      </c>
      <c r="M561" s="71">
        <f t="shared" ca="1" si="120"/>
        <v>1.1805555555555541E-2</v>
      </c>
      <c r="N561" s="80" t="s">
        <v>300</v>
      </c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 t="s">
        <v>38</v>
      </c>
      <c r="D562" s="75" t="s">
        <v>39</v>
      </c>
      <c r="E562" s="75" t="s">
        <v>260</v>
      </c>
      <c r="F562" s="63">
        <v>24</v>
      </c>
      <c r="G562" s="64">
        <f t="shared" si="119"/>
        <v>120</v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 t="s">
        <v>38</v>
      </c>
      <c r="D563" s="75" t="s">
        <v>39</v>
      </c>
      <c r="E563" s="75" t="s">
        <v>260</v>
      </c>
      <c r="F563" s="63">
        <v>38</v>
      </c>
      <c r="G563" s="69">
        <f t="shared" si="119"/>
        <v>190</v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 t="s">
        <v>38</v>
      </c>
      <c r="D564" s="75" t="s">
        <v>39</v>
      </c>
      <c r="E564" s="75" t="s">
        <v>260</v>
      </c>
      <c r="F564" s="63">
        <v>15</v>
      </c>
      <c r="G564" s="64">
        <f t="shared" si="119"/>
        <v>75</v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 t="s">
        <v>38</v>
      </c>
      <c r="D565" s="75" t="s">
        <v>39</v>
      </c>
      <c r="E565" s="75" t="s">
        <v>260</v>
      </c>
      <c r="F565" s="63">
        <v>20</v>
      </c>
      <c r="G565" s="69">
        <f t="shared" si="119"/>
        <v>100</v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 t="s">
        <v>38</v>
      </c>
      <c r="D566" s="75" t="s">
        <v>39</v>
      </c>
      <c r="E566" s="75" t="s">
        <v>260</v>
      </c>
      <c r="F566" s="63">
        <v>35</v>
      </c>
      <c r="G566" s="64">
        <f t="shared" si="119"/>
        <v>175</v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6" t="s">
        <v>264</v>
      </c>
      <c r="B567" s="166"/>
      <c r="C567" s="166"/>
      <c r="D567" s="166"/>
      <c r="E567" s="166"/>
      <c r="F567" s="2">
        <f>SUM(F555:F566)</f>
        <v>173</v>
      </c>
      <c r="G567" s="2">
        <f>SUM(G555:G566)</f>
        <v>865</v>
      </c>
      <c r="H567" s="72"/>
      <c r="I567" s="72"/>
      <c r="J567" s="72"/>
      <c r="K567" s="72"/>
      <c r="L567" s="72"/>
      <c r="M567" s="73">
        <f ca="1">IFERROR(SUM(M555:M566),"")</f>
        <v>0.2548611111111112</v>
      </c>
      <c r="N567" s="2" t="s">
        <v>262</v>
      </c>
      <c r="O567" s="74">
        <v>1031030</v>
      </c>
    </row>
    <row r="568" spans="1:15" ht="18" customHeight="1">
      <c r="A568" s="167" t="s">
        <v>250</v>
      </c>
      <c r="B568" s="167"/>
      <c r="C568" s="167"/>
      <c r="D568" s="167"/>
      <c r="E568" s="167"/>
      <c r="F568" s="1">
        <f>F554+F567</f>
        <v>173</v>
      </c>
      <c r="G568" s="1">
        <f>G554+G567</f>
        <v>865</v>
      </c>
      <c r="H568" s="76"/>
      <c r="I568" s="76"/>
      <c r="J568" s="76"/>
      <c r="K568" s="76"/>
      <c r="L568" s="76"/>
      <c r="M568" s="77">
        <f ca="1">IFERROR(M554+M567,"")</f>
        <v>0.7548611111111112</v>
      </c>
      <c r="N568" s="1" t="s">
        <v>265</v>
      </c>
      <c r="O568" s="82">
        <f>IFERROR(O554+O567,"")</f>
        <v>1031030</v>
      </c>
    </row>
    <row r="569" spans="1:15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75" t="s">
        <v>260</v>
      </c>
      <c r="F569" s="63">
        <v>40</v>
      </c>
      <c r="G569" s="69">
        <f t="shared" ref="G569:G580" si="122">IF(F569="","",IF(E569="PC 17",F569*4.2,IF(E569="PC 19",F569*5,IF(E569="CB",F569*35,""))))</f>
        <v>200</v>
      </c>
      <c r="H569" s="70" t="s">
        <v>27</v>
      </c>
      <c r="I569" s="70" t="s">
        <v>32</v>
      </c>
      <c r="J569" s="70" t="s">
        <v>177</v>
      </c>
      <c r="K569" s="65">
        <v>0.30555555555555558</v>
      </c>
      <c r="L569" s="65">
        <v>0.31597222222222221</v>
      </c>
      <c r="M569" s="71">
        <f t="shared" ref="M569:M580" ca="1" si="123">IFERROR(IF(K569="","",IF(L569="",MOD(NOW()-K569,1),IF(L569&gt;=K569,L569-K569,L569+1-K569))),"")</f>
        <v>1.041666666666663E-2</v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 t="s">
        <v>30</v>
      </c>
      <c r="D570" s="75" t="s">
        <v>31</v>
      </c>
      <c r="E570" s="75" t="s">
        <v>260</v>
      </c>
      <c r="F570" s="63">
        <v>55</v>
      </c>
      <c r="G570" s="69">
        <f t="shared" si="122"/>
        <v>275</v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 t="s">
        <v>30</v>
      </c>
      <c r="D571" s="75" t="s">
        <v>31</v>
      </c>
      <c r="E571" s="75" t="s">
        <v>260</v>
      </c>
      <c r="F571" s="63">
        <v>40</v>
      </c>
      <c r="G571" s="69">
        <f t="shared" si="122"/>
        <v>200</v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 t="s">
        <v>30</v>
      </c>
      <c r="D572" s="75" t="s">
        <v>31</v>
      </c>
      <c r="E572" s="75" t="s">
        <v>260</v>
      </c>
      <c r="F572" s="63">
        <v>31</v>
      </c>
      <c r="G572" s="69">
        <f t="shared" si="122"/>
        <v>155</v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 t="s">
        <v>30</v>
      </c>
      <c r="D573" s="75" t="s">
        <v>31</v>
      </c>
      <c r="E573" s="75" t="s">
        <v>260</v>
      </c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 t="s">
        <v>30</v>
      </c>
      <c r="D574" s="75" t="s">
        <v>31</v>
      </c>
      <c r="E574" s="75" t="s">
        <v>260</v>
      </c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 t="s">
        <v>30</v>
      </c>
      <c r="D575" s="75" t="s">
        <v>31</v>
      </c>
      <c r="E575" s="75" t="s">
        <v>260</v>
      </c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 t="s">
        <v>30</v>
      </c>
      <c r="D576" s="75" t="s">
        <v>31</v>
      </c>
      <c r="E576" s="75" t="s">
        <v>260</v>
      </c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 t="s">
        <v>30</v>
      </c>
      <c r="D577" s="75" t="s">
        <v>31</v>
      </c>
      <c r="E577" s="75" t="s">
        <v>260</v>
      </c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 t="s">
        <v>30</v>
      </c>
      <c r="D578" s="75" t="s">
        <v>31</v>
      </c>
      <c r="E578" s="75" t="s">
        <v>260</v>
      </c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 t="s">
        <v>30</v>
      </c>
      <c r="D579" s="75" t="s">
        <v>31</v>
      </c>
      <c r="E579" s="75" t="s">
        <v>260</v>
      </c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 t="s">
        <v>30</v>
      </c>
      <c r="D580" s="75" t="s">
        <v>31</v>
      </c>
      <c r="E580" s="75" t="s">
        <v>260</v>
      </c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6" t="s">
        <v>261</v>
      </c>
      <c r="B581" s="166"/>
      <c r="C581" s="166"/>
      <c r="D581" s="166"/>
      <c r="E581" s="166"/>
      <c r="F581" s="2">
        <f>SUM(F569:F580)</f>
        <v>166</v>
      </c>
      <c r="G581" s="2">
        <f>SUM(G569:G580)</f>
        <v>830</v>
      </c>
      <c r="H581" s="72"/>
      <c r="I581" s="72"/>
      <c r="J581" s="72"/>
      <c r="K581" s="72"/>
      <c r="L581" s="72"/>
      <c r="M581" s="73">
        <f ca="1">IFERROR(SUM(M569:M580),"")</f>
        <v>1.041666666666663E-2</v>
      </c>
      <c r="N581" s="2" t="s">
        <v>262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6" t="s">
        <v>264</v>
      </c>
      <c r="B594" s="166"/>
      <c r="C594" s="166"/>
      <c r="D594" s="166"/>
      <c r="E594" s="166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262</v>
      </c>
      <c r="O594" s="74"/>
    </row>
    <row r="595" spans="1:15" ht="18" customHeight="1">
      <c r="A595" s="167" t="s">
        <v>250</v>
      </c>
      <c r="B595" s="167"/>
      <c r="C595" s="167"/>
      <c r="D595" s="167"/>
      <c r="E595" s="167"/>
      <c r="F595" s="1">
        <f>F581+F594</f>
        <v>166</v>
      </c>
      <c r="G595" s="1">
        <f>G581+G594</f>
        <v>830</v>
      </c>
      <c r="H595" s="76"/>
      <c r="I595" s="76"/>
      <c r="J595" s="76"/>
      <c r="K595" s="76"/>
      <c r="L595" s="76"/>
      <c r="M595" s="77">
        <f ca="1">IFERROR(M581+M594,"")</f>
        <v>1.041666666666663E-2</v>
      </c>
      <c r="N595" s="1" t="s">
        <v>265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6" t="s">
        <v>261</v>
      </c>
      <c r="B608" s="166"/>
      <c r="C608" s="166"/>
      <c r="D608" s="166"/>
      <c r="E608" s="166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262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6" t="s">
        <v>264</v>
      </c>
      <c r="B621" s="166"/>
      <c r="C621" s="166"/>
      <c r="D621" s="166"/>
      <c r="E621" s="166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262</v>
      </c>
      <c r="O621" s="74"/>
    </row>
    <row r="622" spans="1:15" ht="18" customHeight="1">
      <c r="A622" s="167" t="s">
        <v>250</v>
      </c>
      <c r="B622" s="167"/>
      <c r="C622" s="167"/>
      <c r="D622" s="167"/>
      <c r="E622" s="167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265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6" t="s">
        <v>261</v>
      </c>
      <c r="B635" s="166"/>
      <c r="C635" s="166"/>
      <c r="D635" s="166"/>
      <c r="E635" s="166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262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6" t="s">
        <v>264</v>
      </c>
      <c r="B648" s="166"/>
      <c r="C648" s="166"/>
      <c r="D648" s="166"/>
      <c r="E648" s="166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262</v>
      </c>
      <c r="O648" s="74"/>
    </row>
    <row r="649" spans="1:15" ht="18" customHeight="1">
      <c r="A649" s="167" t="s">
        <v>250</v>
      </c>
      <c r="B649" s="167"/>
      <c r="C649" s="167"/>
      <c r="D649" s="167"/>
      <c r="E649" s="167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265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6" t="s">
        <v>261</v>
      </c>
      <c r="B662" s="166"/>
      <c r="C662" s="166"/>
      <c r="D662" s="166"/>
      <c r="E662" s="166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262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6" t="s">
        <v>264</v>
      </c>
      <c r="B675" s="166"/>
      <c r="C675" s="166"/>
      <c r="D675" s="166"/>
      <c r="E675" s="166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262</v>
      </c>
      <c r="O675" s="74"/>
    </row>
    <row r="676" spans="1:15" ht="18" customHeight="1">
      <c r="A676" s="167" t="s">
        <v>250</v>
      </c>
      <c r="B676" s="167"/>
      <c r="C676" s="167"/>
      <c r="D676" s="167"/>
      <c r="E676" s="167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265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6" t="s">
        <v>261</v>
      </c>
      <c r="B689" s="166"/>
      <c r="C689" s="166"/>
      <c r="D689" s="166"/>
      <c r="E689" s="166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262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6" t="s">
        <v>264</v>
      </c>
      <c r="B702" s="166"/>
      <c r="C702" s="166"/>
      <c r="D702" s="166"/>
      <c r="E702" s="166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262</v>
      </c>
      <c r="O702" s="74"/>
    </row>
    <row r="703" spans="1:15" ht="18" customHeight="1">
      <c r="A703" s="167" t="s">
        <v>250</v>
      </c>
      <c r="B703" s="167"/>
      <c r="C703" s="167"/>
      <c r="D703" s="167"/>
      <c r="E703" s="167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265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6" t="s">
        <v>261</v>
      </c>
      <c r="B716" s="166"/>
      <c r="C716" s="166"/>
      <c r="D716" s="166"/>
      <c r="E716" s="166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262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6" t="s">
        <v>264</v>
      </c>
      <c r="B729" s="166"/>
      <c r="C729" s="166"/>
      <c r="D729" s="166"/>
      <c r="E729" s="166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262</v>
      </c>
      <c r="O729" s="74"/>
    </row>
    <row r="730" spans="1:15" ht="18" customHeight="1">
      <c r="A730" s="167" t="s">
        <v>250</v>
      </c>
      <c r="B730" s="167"/>
      <c r="C730" s="167"/>
      <c r="D730" s="167"/>
      <c r="E730" s="167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265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6" t="s">
        <v>261</v>
      </c>
      <c r="B743" s="166"/>
      <c r="C743" s="166"/>
      <c r="D743" s="166"/>
      <c r="E743" s="166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262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6" t="s">
        <v>264</v>
      </c>
      <c r="B756" s="166"/>
      <c r="C756" s="166"/>
      <c r="D756" s="166"/>
      <c r="E756" s="166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262</v>
      </c>
      <c r="O756" s="74"/>
    </row>
    <row r="757" spans="1:15" ht="18" customHeight="1">
      <c r="A757" s="167" t="s">
        <v>250</v>
      </c>
      <c r="B757" s="167"/>
      <c r="C757" s="167"/>
      <c r="D757" s="167"/>
      <c r="E757" s="167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265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6" t="s">
        <v>261</v>
      </c>
      <c r="B770" s="166"/>
      <c r="C770" s="166"/>
      <c r="D770" s="166"/>
      <c r="E770" s="166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262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6" t="s">
        <v>264</v>
      </c>
      <c r="B783" s="166"/>
      <c r="C783" s="166"/>
      <c r="D783" s="166"/>
      <c r="E783" s="166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262</v>
      </c>
      <c r="O783" s="74"/>
    </row>
    <row r="784" spans="1:15" ht="18" customHeight="1">
      <c r="A784" s="167" t="s">
        <v>250</v>
      </c>
      <c r="B784" s="167"/>
      <c r="C784" s="167"/>
      <c r="D784" s="167"/>
      <c r="E784" s="167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265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6" t="s">
        <v>261</v>
      </c>
      <c r="B797" s="166"/>
      <c r="C797" s="166"/>
      <c r="D797" s="166"/>
      <c r="E797" s="166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262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6" t="s">
        <v>264</v>
      </c>
      <c r="B810" s="166"/>
      <c r="C810" s="166"/>
      <c r="D810" s="166"/>
      <c r="E810" s="166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262</v>
      </c>
      <c r="O810" s="74"/>
    </row>
    <row r="811" spans="1:15" ht="18" customHeight="1">
      <c r="A811" s="167" t="s">
        <v>250</v>
      </c>
      <c r="B811" s="167"/>
      <c r="C811" s="167"/>
      <c r="D811" s="167"/>
      <c r="E811" s="167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265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6" t="s">
        <v>261</v>
      </c>
      <c r="B824" s="166"/>
      <c r="C824" s="166"/>
      <c r="D824" s="166"/>
      <c r="E824" s="166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262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6" t="s">
        <v>264</v>
      </c>
      <c r="B837" s="166"/>
      <c r="C837" s="166"/>
      <c r="D837" s="166"/>
      <c r="E837" s="166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262</v>
      </c>
      <c r="O837" s="74"/>
    </row>
    <row r="838" spans="1:15" ht="18" customHeight="1">
      <c r="A838" s="167" t="s">
        <v>250</v>
      </c>
      <c r="B838" s="167"/>
      <c r="C838" s="167"/>
      <c r="D838" s="167"/>
      <c r="E838" s="167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265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547" activePane="bottomLeft" state="frozen"/>
      <selection pane="bottomLeft" activeCell="N569" sqref="N569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301</v>
      </c>
      <c r="I1" s="86" t="s">
        <v>22</v>
      </c>
      <c r="J1" s="86" t="s">
        <v>302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302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303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304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305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262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275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275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275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275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306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275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307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275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275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275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275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275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275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262</v>
      </c>
      <c r="S27" s="74">
        <v>549860</v>
      </c>
      <c r="T27" s="99"/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265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262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308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309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310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0.33840868055267492</v>
      </c>
      <c r="R53" s="80" t="s">
        <v>311</v>
      </c>
      <c r="S53" s="67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0.47729756944156265</v>
      </c>
      <c r="R54" s="2" t="s">
        <v>262</v>
      </c>
      <c r="S54" s="113">
        <v>352430</v>
      </c>
      <c r="T54" s="114"/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0.56201979166378546</v>
      </c>
      <c r="R55" s="1" t="s">
        <v>265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303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262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312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275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262</v>
      </c>
      <c r="S81" s="115">
        <v>634210</v>
      </c>
      <c r="T81" s="116"/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265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275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224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262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313</v>
      </c>
      <c r="Q96" s="66" t="str">
        <f t="shared" ref="Q96:Q107" ca="1" si="22">IFERROR(IF(O96="","",IF(P96="",MOD(NOW()-O96,1),IF(P96&gt;=O96,P96-O96,P96+1-O96))),"")</f>
        <v/>
      </c>
      <c r="R96" s="80" t="s">
        <v>314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315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316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263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262</v>
      </c>
      <c r="S108" s="115">
        <v>456830</v>
      </c>
      <c r="T108" s="116"/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265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317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262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262</v>
      </c>
      <c r="S135" s="115">
        <v>756720</v>
      </c>
      <c r="T135" s="116"/>
    </row>
    <row r="136" spans="1:20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265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318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319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320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7" t="s">
        <v>261</v>
      </c>
      <c r="B149" s="157"/>
      <c r="C149" s="157"/>
      <c r="D149" s="157"/>
      <c r="E149" s="157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262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321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262</v>
      </c>
      <c r="S162" s="115">
        <v>501750</v>
      </c>
      <c r="T162" s="116"/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265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275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275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275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275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275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275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275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275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275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275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262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275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275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322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275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319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323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275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262</v>
      </c>
      <c r="S189" s="74">
        <v>362530</v>
      </c>
      <c r="T189" s="99"/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265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324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317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262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262</v>
      </c>
      <c r="S216" s="74">
        <v>609740</v>
      </c>
      <c r="T216" s="99"/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265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312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263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325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326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327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262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263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262</v>
      </c>
      <c r="S243" s="74">
        <v>825930</v>
      </c>
      <c r="T243" s="99"/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265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262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275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275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275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275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275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275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275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275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275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275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275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275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732130</v>
      </c>
      <c r="T270" s="99"/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265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275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275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275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275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260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275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260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260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275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275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260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260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260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260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260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990260</v>
      </c>
      <c r="T297" s="99"/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275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275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275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275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275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275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275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275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275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275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275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275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262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275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275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275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275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275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275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275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275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275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275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262</v>
      </c>
      <c r="S324" s="74">
        <v>725030</v>
      </c>
      <c r="T324" s="99">
        <f>IFERROR(J324,"")</f>
        <v>104.40432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265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328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329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330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331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332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262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324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319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262</v>
      </c>
      <c r="S351" s="74">
        <v>712170</v>
      </c>
      <c r="T351" s="99">
        <f>IFERROR(J351,"")</f>
        <v>149.5557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265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312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7" t="s">
        <v>261</v>
      </c>
      <c r="B365" s="157"/>
      <c r="C365" s="157"/>
      <c r="D365" s="157"/>
      <c r="E365" s="157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262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333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262</v>
      </c>
      <c r="S378" s="74">
        <v>806300</v>
      </c>
      <c r="T378" s="99">
        <f>IFERROR(J378,"")</f>
        <v>169.32299999999998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265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275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275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334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262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335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262</v>
      </c>
      <c r="S405" s="74">
        <v>774540</v>
      </c>
      <c r="T405" s="99">
        <f>IFERROR(J405,"")</f>
        <v>156.22852721311477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265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262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336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264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262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250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265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337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275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262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260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338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339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262</v>
      </c>
      <c r="S459" s="74">
        <v>738730</v>
      </c>
      <c r="T459" s="99">
        <f>IFERROR(J459,"")</f>
        <v>144.10511642857142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265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340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262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341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342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262</v>
      </c>
      <c r="S486" s="74">
        <v>617620</v>
      </c>
      <c r="T486" s="99">
        <f>IFERROR(J486,"")</f>
        <v>88.937280000000001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265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319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292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262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264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262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250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265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262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168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140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343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344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262</v>
      </c>
      <c r="S540" s="74">
        <v>399600</v>
      </c>
      <c r="T540" s="99">
        <f>IFERROR(J540,"")</f>
        <v>64.532992771084338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265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177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262</v>
      </c>
      <c r="S554" s="74">
        <v>216930</v>
      </c>
      <c r="T554" s="99">
        <f>IFERROR(J554,"")</f>
        <v>31.237919999999999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42">IFERROR(IF($H555="","",$H555*$F555*$I555),"")</f>
        <v/>
      </c>
      <c r="K555" s="69">
        <f t="shared" ref="K555:K566" si="143">IF(G555="","",IF(E555="PC 17",G555*4.2,IF(E555="PC 19",G555*5,IF(E555="CB",G555*24,""))))</f>
        <v>0</v>
      </c>
      <c r="L555" s="70" t="s">
        <v>26</v>
      </c>
      <c r="M555" s="70"/>
      <c r="N555" s="70" t="s">
        <v>58</v>
      </c>
      <c r="O555" s="65">
        <v>0.79166666666666663</v>
      </c>
      <c r="P555" s="65">
        <v>0.29166666666666669</v>
      </c>
      <c r="Q555" s="71">
        <f t="shared" ref="Q555:Q566" ca="1" si="144">IFERROR(IF(O555="","",IF(P555="",MOD(NOW()-O555,1),IF(P555&gt;=O555,P555-O555,P555+1-O555))),"")</f>
        <v>0.50000000000000011</v>
      </c>
      <c r="R555" s="80" t="s">
        <v>345</v>
      </c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 t="s">
        <v>38</v>
      </c>
      <c r="D556" s="75" t="s">
        <v>39</v>
      </c>
      <c r="E556" s="100" t="s">
        <v>275</v>
      </c>
      <c r="F556" s="88">
        <f>IFERROR(IF($D556="","",VLOOKUP($D556,Cadastro!$C$4:$E$7,3,FALSE())),"")</f>
        <v>0.24</v>
      </c>
      <c r="G556" s="89">
        <v>0</v>
      </c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>
        <f t="shared" si="143"/>
        <v>0</v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0</v>
      </c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42"/>
        <v/>
      </c>
      <c r="K557" s="69">
        <f t="shared" si="143"/>
        <v>0</v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0</v>
      </c>
      <c r="H558" s="88" t="str">
        <f>IFERROR(IF($G558="","",$G558*$S$567/$G$567/Cadastro!$E$33),"")</f>
        <v/>
      </c>
      <c r="I558" s="90">
        <f>IFERROR(IF($D558="","",VLOOKUP($D558,Cadastro!$C$4:$G$7,5,FALSE())),"")</f>
        <v>0.6</v>
      </c>
      <c r="J558" s="91" t="str">
        <f t="shared" si="142"/>
        <v/>
      </c>
      <c r="K558" s="64">
        <f t="shared" si="143"/>
        <v>0</v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0</v>
      </c>
      <c r="H559" s="88" t="str">
        <f>IFERROR(IF($G559="","",$G559*$S$567/$G$567/Cadastro!$E$33),"")</f>
        <v/>
      </c>
      <c r="I559" s="90">
        <f>IFERROR(IF($D559="","",VLOOKUP($D559,Cadastro!$C$4:$G$7,5,FALSE())),"")</f>
        <v>0.6</v>
      </c>
      <c r="J559" s="91" t="str">
        <f t="shared" si="142"/>
        <v/>
      </c>
      <c r="K559" s="69">
        <f t="shared" si="143"/>
        <v>0</v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0</v>
      </c>
      <c r="H560" s="88" t="str">
        <f>IFERROR(IF($G560="","",$G560*$S$567/$G$567/Cadastro!$E$33),"")</f>
        <v/>
      </c>
      <c r="I560" s="90">
        <f>IFERROR(IF($D560="","",VLOOKUP($D560,Cadastro!$C$4:$G$7,5,FALSE())),"")</f>
        <v>0.6</v>
      </c>
      <c r="J560" s="91" t="str">
        <f t="shared" si="142"/>
        <v/>
      </c>
      <c r="K560" s="64">
        <f t="shared" si="143"/>
        <v>0</v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0</v>
      </c>
      <c r="H561" s="88" t="str">
        <f>IFERROR(IF($G561="","",$G561*$S$567/$G$567/Cadastro!$E$33),"")</f>
        <v/>
      </c>
      <c r="I561" s="90">
        <f>IFERROR(IF($D561="","",VLOOKUP($D561,Cadastro!$C$4:$G$7,5,FALSE())),"")</f>
        <v>0.6</v>
      </c>
      <c r="J561" s="91" t="str">
        <f t="shared" si="142"/>
        <v/>
      </c>
      <c r="K561" s="69">
        <f t="shared" si="143"/>
        <v>0</v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0</v>
      </c>
      <c r="H562" s="88" t="str">
        <f>IFERROR(IF($G562="","",$G562*$S$567/$G$567/Cadastro!$E$33),"")</f>
        <v/>
      </c>
      <c r="I562" s="90">
        <f>IFERROR(IF($D562="","",VLOOKUP($D562,Cadastro!$C$4:$G$7,5,FALSE())),"")</f>
        <v>0.6</v>
      </c>
      <c r="J562" s="91" t="str">
        <f t="shared" si="142"/>
        <v/>
      </c>
      <c r="K562" s="64">
        <f t="shared" si="143"/>
        <v>0</v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0</v>
      </c>
      <c r="H563" s="88" t="str">
        <f>IFERROR(IF($G563="","",$G563*$S$567/$G$567/Cadastro!$E$33),"")</f>
        <v/>
      </c>
      <c r="I563" s="90">
        <f>IFERROR(IF($D563="","",VLOOKUP($D563,Cadastro!$C$4:$G$7,5,FALSE())),"")</f>
        <v>0.6</v>
      </c>
      <c r="J563" s="91" t="str">
        <f t="shared" si="142"/>
        <v/>
      </c>
      <c r="K563" s="69">
        <f t="shared" si="143"/>
        <v>0</v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0</v>
      </c>
      <c r="H564" s="88" t="str">
        <f>IFERROR(IF($G564="","",$G564*$S$567/$G$567/Cadastro!$E$33),"")</f>
        <v/>
      </c>
      <c r="I564" s="90">
        <f>IFERROR(IF($D564="","",VLOOKUP($D564,Cadastro!$C$4:$G$7,5,FALSE())),"")</f>
        <v>0.6</v>
      </c>
      <c r="J564" s="91" t="str">
        <f t="shared" si="142"/>
        <v/>
      </c>
      <c r="K564" s="64">
        <f t="shared" si="143"/>
        <v>0</v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 t="s">
        <v>38</v>
      </c>
      <c r="D565" s="75" t="s">
        <v>39</v>
      </c>
      <c r="E565" s="100" t="s">
        <v>275</v>
      </c>
      <c r="F565" s="88">
        <f>IFERROR(IF($D565="","",VLOOKUP($D565,Cadastro!$C$4:$E$7,3,FALSE())),"")</f>
        <v>0.24</v>
      </c>
      <c r="G565" s="89">
        <v>0</v>
      </c>
      <c r="H565" s="88" t="str">
        <f>IFERROR(IF($G565="","",$G565*$S$567/$G$567/Cadastro!$E$33),"")</f>
        <v/>
      </c>
      <c r="I565" s="90">
        <f>IFERROR(IF($D565="","",VLOOKUP($D565,Cadastro!$C$4:$G$7,5,FALSE())),"")</f>
        <v>0.6</v>
      </c>
      <c r="J565" s="91" t="str">
        <f t="shared" si="142"/>
        <v/>
      </c>
      <c r="K565" s="69">
        <f t="shared" si="143"/>
        <v>0</v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 t="s">
        <v>38</v>
      </c>
      <c r="D566" s="75" t="s">
        <v>39</v>
      </c>
      <c r="E566" s="100" t="s">
        <v>275</v>
      </c>
      <c r="F566" s="92">
        <f>IFERROR(IF($D566="","",VLOOKUP($D566,Cadastro!$C$4:$E$7,3,FALSE())),"")</f>
        <v>0.24</v>
      </c>
      <c r="G566" s="89">
        <v>0</v>
      </c>
      <c r="H566" s="92" t="str">
        <f>IFERROR(IF($G566="","",$G566*$S$567/$G$567/Cadastro!$E$33),"")</f>
        <v/>
      </c>
      <c r="I566" s="93">
        <f>IFERROR(IF($D566="","",VLOOKUP($D566,Cadastro!$C$4:$G$7,5,FALSE())),"")</f>
        <v>0.6</v>
      </c>
      <c r="J566" s="94" t="str">
        <f t="shared" si="142"/>
        <v/>
      </c>
      <c r="K566" s="64">
        <f t="shared" si="143"/>
        <v>0</v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0.50000000000000011</v>
      </c>
      <c r="R567" s="2" t="s">
        <v>262</v>
      </c>
      <c r="S567" s="74">
        <v>0</v>
      </c>
      <c r="T567" s="99">
        <f>IFERROR(J567,"")</f>
        <v>0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45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0.82152777777777775</v>
      </c>
      <c r="R568" s="1" t="s">
        <v>265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/>
      <c r="H569" s="101" t="str">
        <f>IFERROR(IF($G569="","",$G569*$S$581/$G$581/Cadastro!$E$33),"")</f>
        <v/>
      </c>
      <c r="I569" s="102">
        <f>IFERROR(IF($D569="","",VLOOKUP($D569,Cadastro!$C$4:$G$7,5,FALSE())),"")</f>
        <v>0.6</v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 t="s">
        <v>27</v>
      </c>
      <c r="M569" s="70" t="s">
        <v>72</v>
      </c>
      <c r="N569" s="70" t="s">
        <v>121</v>
      </c>
      <c r="O569" s="65">
        <v>0.29166666666666669</v>
      </c>
      <c r="P569" s="65"/>
      <c r="Q569" s="71">
        <f t="shared" ref="Q569:Q580" ca="1" si="148">IFERROR(IF(O569="","",IF(P569="",MOD(NOW()-O569,1),IF(P569&gt;=O569,P569-O569,P569+1-O569))),"")</f>
        <v>0.16826979166944511</v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/>
      <c r="H570" s="88" t="str">
        <f>IFERROR(IF($G570="","",$G570*$S$581/$G$581/Cadastro!$E$33),"")</f>
        <v/>
      </c>
      <c r="I570" s="90">
        <f>IFERROR(IF($D570="","",VLOOKUP($D570,Cadastro!$C$4:$G$7,5,FALSE())),"")</f>
        <v>0.6</v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/>
      <c r="H571" s="88" t="str">
        <f>IFERROR(IF($G571="","",$G571*$S$581/$G$581/Cadastro!$E$33),"")</f>
        <v/>
      </c>
      <c r="I571" s="90">
        <f>IFERROR(IF($D571="","",VLOOKUP($D571,Cadastro!$C$4:$G$7,5,FALSE())),"")</f>
        <v>0.6</v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/>
      <c r="H572" s="88" t="str">
        <f>IFERROR(IF($G572="","",$G572*$S$581/$G$581/Cadastro!$E$33),"")</f>
        <v/>
      </c>
      <c r="I572" s="90">
        <f>IFERROR(IF($D572="","",VLOOKUP($D572,Cadastro!$C$4:$G$7,5,FALSE())),"")</f>
        <v>0.6</v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275</v>
      </c>
      <c r="F573" s="88">
        <f>IFERROR(IF($D573="","",VLOOKUP($D573,Cadastro!$C$4:$E$7,3,FALSE())),"")</f>
        <v>0.35</v>
      </c>
      <c r="G573" s="89"/>
      <c r="H573" s="88" t="str">
        <f>IFERROR(IF($G573="","",$G573*$S$581/$G$581/Cadastro!$E$33),"")</f>
        <v/>
      </c>
      <c r="I573" s="90">
        <f>IFERROR(IF($D573="","",VLOOKUP($D573,Cadastro!$C$4:$G$7,5,FALSE())),"")</f>
        <v>0.6</v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/>
      <c r="H574" s="88" t="str">
        <f>IFERROR(IF($G574="","",$G574*$S$581/$G$581/Cadastro!$E$33),"")</f>
        <v/>
      </c>
      <c r="I574" s="90">
        <f>IFERROR(IF($D574="","",VLOOKUP($D574,Cadastro!$C$4:$G$7,5,FALSE())),"")</f>
        <v>0.6</v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/>
      <c r="H575" s="88" t="str">
        <f>IFERROR(IF($G575="","",$G575*$S$581/$G$581/Cadastro!$E$33),"")</f>
        <v/>
      </c>
      <c r="I575" s="90">
        <f>IFERROR(IF($D575="","",VLOOKUP($D575,Cadastro!$C$4:$G$7,5,FALSE())),"")</f>
        <v>0.6</v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/>
      <c r="H576" s="88" t="str">
        <f>IFERROR(IF($G576="","",$G576*$S$581/$G$581/Cadastro!$E$33),"")</f>
        <v/>
      </c>
      <c r="I576" s="90">
        <f>IFERROR(IF($D576="","",VLOOKUP($D576,Cadastro!$C$4:$G$7,5,FALSE())),"")</f>
        <v>0.6</v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/>
      <c r="H577" s="88" t="str">
        <f>IFERROR(IF($G577="","",$G577*$S$581/$G$581/Cadastro!$E$33),"")</f>
        <v/>
      </c>
      <c r="I577" s="90">
        <f>IFERROR(IF($D577="","",VLOOKUP($D577,Cadastro!$C$4:$G$7,5,FALSE())),"")</f>
        <v>0.6</v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/>
      <c r="H578" s="88" t="str">
        <f>IFERROR(IF($G578="","",$G578*$S$581/$G$581/Cadastro!$E$33),"")</f>
        <v/>
      </c>
      <c r="I578" s="90">
        <f>IFERROR(IF($D578="","",VLOOKUP($D578,Cadastro!$C$4:$G$7,5,FALSE())),"")</f>
        <v>0.6</v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/>
      <c r="H579" s="88" t="str">
        <f>IFERROR(IF($G579="","",$G579*$S$581/$G$581/Cadastro!$E$33),"")</f>
        <v/>
      </c>
      <c r="I579" s="90">
        <f>IFERROR(IF($D579="","",VLOOKUP($D579,Cadastro!$C$4:$G$7,5,FALSE())),"")</f>
        <v>0.6</v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/>
      <c r="H580" s="92" t="str">
        <f>IFERROR(IF($G580="","",$G580*$S$581/$G$581/Cadastro!$E$33),"")</f>
        <v/>
      </c>
      <c r="I580" s="93">
        <f>IFERROR(IF($D580="","",VLOOKUP($D580,Cadastro!$C$4:$G$7,5,FALSE())),"")</f>
        <v>0.6</v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0.16826979166944511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0.16826979166944511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113"/>
      <c r="T837" s="114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548" activePane="bottomLeft" state="frozen"/>
      <selection pane="bottomLeft" activeCell="G573" sqref="G573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301</v>
      </c>
      <c r="I1" s="86" t="s">
        <v>22</v>
      </c>
      <c r="J1" s="86" t="s">
        <v>302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302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262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346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306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347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275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275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262</v>
      </c>
      <c r="S27" s="74">
        <v>358000</v>
      </c>
      <c r="T27" s="99">
        <f>IFERROR(J27,"")</f>
        <v>0</v>
      </c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265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262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312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346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346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262</v>
      </c>
      <c r="S54" s="74">
        <v>279980</v>
      </c>
      <c r="T54" s="99">
        <f>IFERROR(J54,"")</f>
        <v>0</v>
      </c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265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275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275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275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275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275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348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275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275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275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275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262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349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262</v>
      </c>
      <c r="S81" s="74">
        <v>185920</v>
      </c>
      <c r="T81" s="99">
        <f>IFERROR(J81,"")</f>
        <v>0</v>
      </c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265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350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351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262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352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262</v>
      </c>
      <c r="S108" s="74">
        <v>434370</v>
      </c>
      <c r="T108" s="99">
        <f>IFERROR(J108,"")</f>
        <v>0</v>
      </c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265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262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353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262</v>
      </c>
      <c r="S135" s="74">
        <v>416350</v>
      </c>
      <c r="T135" s="99">
        <f>IFERROR(J135,"")</f>
        <v>0</v>
      </c>
    </row>
    <row r="136" spans="1:20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265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354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320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7" t="s">
        <v>261</v>
      </c>
      <c r="B149" s="157"/>
      <c r="C149" s="157"/>
      <c r="D149" s="157"/>
      <c r="E149" s="157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262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312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262</v>
      </c>
      <c r="S162" s="74">
        <v>169760</v>
      </c>
      <c r="T162" s="99">
        <f>IFERROR(J162,"")</f>
        <v>0</v>
      </c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265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355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262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356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323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323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262</v>
      </c>
      <c r="S189" s="74">
        <v>72220</v>
      </c>
      <c r="T189" s="99">
        <f>IFERROR(J189,"")</f>
        <v>0</v>
      </c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265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262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357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262</v>
      </c>
      <c r="S216" s="74">
        <v>148720</v>
      </c>
      <c r="T216" s="99">
        <f>IFERROR(J216,"")</f>
        <v>0</v>
      </c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265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358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359</v>
      </c>
      <c r="Q222" s="66" t="str">
        <f t="shared" ca="1" si="49"/>
        <v/>
      </c>
      <c r="R222" s="63" t="s">
        <v>360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262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262</v>
      </c>
      <c r="S243" s="74">
        <v>352720</v>
      </c>
      <c r="T243" s="99">
        <f>IFERROR(J243,"")</f>
        <v>0</v>
      </c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265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361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260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260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262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275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275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275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275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275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275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275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275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275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275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275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275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327900</v>
      </c>
      <c r="T270" s="99">
        <f>IFERROR(J270,"")</f>
        <v>0</v>
      </c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265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260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462190</v>
      </c>
      <c r="T297" s="99">
        <f>IFERROR(J297,"")</f>
        <v>0</v>
      </c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262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262</v>
      </c>
      <c r="S324" s="74">
        <v>289490</v>
      </c>
      <c r="T324" s="99">
        <f>IFERROR(J324,"")</f>
        <v>41.68656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265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330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362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331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275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262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262</v>
      </c>
      <c r="S351" s="74">
        <v>256170</v>
      </c>
      <c r="T351" s="99">
        <f>IFERROR(J351,"")</f>
        <v>53.795699999999997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265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312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7" t="s">
        <v>261</v>
      </c>
      <c r="B365" s="157"/>
      <c r="C365" s="157"/>
      <c r="D365" s="157"/>
      <c r="E365" s="157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262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262</v>
      </c>
      <c r="S378" s="74">
        <v>360560</v>
      </c>
      <c r="T378" s="99">
        <f>IFERROR(J378,"")</f>
        <v>75.71759999999999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265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363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334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262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262</v>
      </c>
      <c r="S405" s="74">
        <v>489360</v>
      </c>
      <c r="T405" s="99">
        <f>IFERROR(J405,"")</f>
        <v>99.305125714285708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265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364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262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365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7" t="s">
        <v>264</v>
      </c>
      <c r="B432" s="157"/>
      <c r="C432" s="157"/>
      <c r="D432" s="157"/>
      <c r="E432" s="157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262</v>
      </c>
      <c r="S432" s="74">
        <v>180150</v>
      </c>
      <c r="T432" s="99">
        <f>IFERROR(J432,"")</f>
        <v>25.941599999999998</v>
      </c>
    </row>
    <row r="433" spans="1:20" ht="18" customHeight="1">
      <c r="A433" s="158" t="s">
        <v>250</v>
      </c>
      <c r="B433" s="158"/>
      <c r="C433" s="158"/>
      <c r="D433" s="158"/>
      <c r="E433" s="158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265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366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366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262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367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262</v>
      </c>
      <c r="S459" s="74">
        <v>471910</v>
      </c>
      <c r="T459" s="99">
        <f>IFERROR(J459,"")</f>
        <v>92.928007027027007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265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262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312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368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262</v>
      </c>
      <c r="S486" s="74">
        <v>261400</v>
      </c>
      <c r="T486" s="99">
        <f>IFERROR(J486,"")</f>
        <v>37.641599999999997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265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275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353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262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369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370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7" t="s">
        <v>264</v>
      </c>
      <c r="B513" s="157"/>
      <c r="C513" s="157"/>
      <c r="D513" s="157"/>
      <c r="E513" s="157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262</v>
      </c>
      <c r="S513" s="74">
        <v>357140</v>
      </c>
      <c r="T513" s="99">
        <f>IFERROR(J513,"")</f>
        <v>61.810729999999992</v>
      </c>
    </row>
    <row r="514" spans="1:20" ht="18" customHeight="1">
      <c r="A514" s="158" t="s">
        <v>250</v>
      </c>
      <c r="B514" s="158"/>
      <c r="C514" s="158"/>
      <c r="D514" s="158"/>
      <c r="E514" s="158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265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371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262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168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312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372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262</v>
      </c>
      <c r="S540" s="74">
        <v>270460</v>
      </c>
      <c r="T540" s="99">
        <f>IFERROR(J540,"")</f>
        <v>46.847219016393439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265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373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223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262</v>
      </c>
      <c r="S554" s="74">
        <v>39890</v>
      </c>
      <c r="T554" s="99">
        <f>IFERROR(J554,"")</f>
        <v>5.7441599999999999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39">IFERROR(IF($H555="","",$H555*$F555*$I555),"")</f>
        <v>0</v>
      </c>
      <c r="K555" s="69">
        <f t="shared" ref="K555:K566" si="140">IF(G555="","",IF(E555="PC 17",G555*4.2,IF(E555="PC 19",G555*5,IF(E555="CB",G555*24,""))))</f>
        <v>0</v>
      </c>
      <c r="L555" s="70" t="s">
        <v>29</v>
      </c>
      <c r="M555" s="70" t="s">
        <v>136</v>
      </c>
      <c r="N555" s="70" t="s">
        <v>123</v>
      </c>
      <c r="O555" s="65">
        <v>0.82291666666666663</v>
      </c>
      <c r="P555" s="65">
        <v>0.84027777777777779</v>
      </c>
      <c r="Q555" s="71">
        <f t="shared" ref="Q555:Q566" ca="1" si="141">IFERROR(IF(O555="","",IF(P555="",MOD(NOW()-O555,1),IF(P555&gt;=O555,P555-O555,P555+1-O555))),"")</f>
        <v>1.736111111111116E-2</v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19</v>
      </c>
      <c r="H556" s="88">
        <f>IFERROR(IF($G556="","",$G556*$S$567/$G$567/Cadastro!$E$33),"")</f>
        <v>88.119646017699111</v>
      </c>
      <c r="I556" s="90">
        <f>IFERROR(IF($D556="","",VLOOKUP($D556,Cadastro!$C$4:$G$7,5,FALSE())),"")</f>
        <v>0.6</v>
      </c>
      <c r="J556" s="91">
        <f t="shared" si="139"/>
        <v>12.689229026548672</v>
      </c>
      <c r="K556" s="64">
        <f t="shared" si="140"/>
        <v>95</v>
      </c>
      <c r="L556" s="61" t="s">
        <v>29</v>
      </c>
      <c r="M556" s="61" t="s">
        <v>56</v>
      </c>
      <c r="N556" s="61" t="s">
        <v>210</v>
      </c>
      <c r="O556" s="65">
        <v>0.89166666666666672</v>
      </c>
      <c r="P556" s="65">
        <v>0.8930555555555556</v>
      </c>
      <c r="Q556" s="66">
        <f t="shared" ca="1" si="141"/>
        <v>1.388888888888884E-3</v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15</v>
      </c>
      <c r="H557" s="88">
        <f>IFERROR(IF($G557="","",$G557*$S$567/$G$567/Cadastro!$E$33),"")</f>
        <v>69.568141592920355</v>
      </c>
      <c r="I557" s="90">
        <f>IFERROR(IF($D557="","",VLOOKUP($D557,Cadastro!$C$4:$G$7,5,FALSE())),"")</f>
        <v>0.6</v>
      </c>
      <c r="J557" s="91">
        <f t="shared" si="139"/>
        <v>10.017812389380531</v>
      </c>
      <c r="K557" s="69">
        <f t="shared" si="140"/>
        <v>63</v>
      </c>
      <c r="L557" s="70" t="s">
        <v>29</v>
      </c>
      <c r="M557" s="70" t="s">
        <v>56</v>
      </c>
      <c r="N557" s="70" t="s">
        <v>210</v>
      </c>
      <c r="O557" s="65">
        <v>0.92847222222222225</v>
      </c>
      <c r="P557" s="65">
        <v>0.9291666666666667</v>
      </c>
      <c r="Q557" s="71">
        <f t="shared" ca="1" si="141"/>
        <v>6.9444444444444198E-4</v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8</v>
      </c>
      <c r="H558" s="88">
        <f>IFERROR(IF($G558="","",$G558*$S$567/$G$567/Cadastro!$E$33),"")</f>
        <v>37.103008849557526</v>
      </c>
      <c r="I558" s="90">
        <f>IFERROR(IF($D558="","",VLOOKUP($D558,Cadastro!$C$4:$G$7,5,FALSE())),"")</f>
        <v>0.6</v>
      </c>
      <c r="J558" s="91">
        <f t="shared" si="139"/>
        <v>5.3428332743362832</v>
      </c>
      <c r="K558" s="64">
        <f t="shared" si="140"/>
        <v>33.6</v>
      </c>
      <c r="L558" s="61" t="s">
        <v>29</v>
      </c>
      <c r="M558" s="61" t="s">
        <v>56</v>
      </c>
      <c r="N558" s="61" t="s">
        <v>60</v>
      </c>
      <c r="O558" s="65">
        <v>0.94930555555555551</v>
      </c>
      <c r="P558" s="65">
        <v>0.95694444444444449</v>
      </c>
      <c r="Q558" s="66">
        <f t="shared" ca="1" si="141"/>
        <v>7.6388888888889728E-3</v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15</v>
      </c>
      <c r="H559" s="88">
        <f>IFERROR(IF($G559="","",$G559*$S$567/$G$567/Cadastro!$E$33),"")</f>
        <v>69.568141592920355</v>
      </c>
      <c r="I559" s="90">
        <f>IFERROR(IF($D559="","",VLOOKUP($D559,Cadastro!$C$4:$G$7,5,FALSE())),"")</f>
        <v>0.6</v>
      </c>
      <c r="J559" s="91">
        <f t="shared" si="139"/>
        <v>10.017812389380531</v>
      </c>
      <c r="K559" s="69">
        <f t="shared" si="140"/>
        <v>63</v>
      </c>
      <c r="L559" s="70" t="s">
        <v>29</v>
      </c>
      <c r="M559" s="70" t="s">
        <v>56</v>
      </c>
      <c r="N559" s="70" t="s">
        <v>218</v>
      </c>
      <c r="O559" s="65">
        <v>5.6250000000000001E-2</v>
      </c>
      <c r="P559" s="65">
        <v>7.2222222222222215E-2</v>
      </c>
      <c r="Q559" s="71">
        <f t="shared" ca="1" si="141"/>
        <v>1.5972222222222214E-2</v>
      </c>
      <c r="R559" s="63" t="s">
        <v>312</v>
      </c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12</v>
      </c>
      <c r="H560" s="88">
        <f>IFERROR(IF($G560="","",$G560*$S$567/$G$567/Cadastro!$E$33),"")</f>
        <v>55.654513274336281</v>
      </c>
      <c r="I560" s="90">
        <f>IFERROR(IF($D560="","",VLOOKUP($D560,Cadastro!$C$4:$G$7,5,FALSE())),"")</f>
        <v>0.6</v>
      </c>
      <c r="J560" s="91">
        <f t="shared" si="139"/>
        <v>8.0142499115044235</v>
      </c>
      <c r="K560" s="64">
        <f t="shared" si="140"/>
        <v>50.400000000000006</v>
      </c>
      <c r="L560" s="61" t="s">
        <v>29</v>
      </c>
      <c r="M560" s="61" t="s">
        <v>56</v>
      </c>
      <c r="N560" s="61" t="s">
        <v>208</v>
      </c>
      <c r="O560" s="65">
        <v>7.5694444444444439E-2</v>
      </c>
      <c r="P560" s="65">
        <v>7.7777777777777779E-2</v>
      </c>
      <c r="Q560" s="66">
        <f t="shared" ca="1" si="141"/>
        <v>2.0833333333333398E-3</v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3</v>
      </c>
      <c r="H561" s="88">
        <f>IFERROR(IF($G561="","",$G561*$S$567/$G$567/Cadastro!$E$33),"")</f>
        <v>13.91362831858407</v>
      </c>
      <c r="I561" s="90">
        <f>IFERROR(IF($D561="","",VLOOKUP($D561,Cadastro!$C$4:$G$7,5,FALSE())),"")</f>
        <v>0.6</v>
      </c>
      <c r="J561" s="91">
        <f t="shared" si="139"/>
        <v>2.0035624778761059</v>
      </c>
      <c r="K561" s="69">
        <f t="shared" si="140"/>
        <v>12.600000000000001</v>
      </c>
      <c r="L561" s="70" t="s">
        <v>29</v>
      </c>
      <c r="M561" s="70" t="s">
        <v>56</v>
      </c>
      <c r="N561" s="61" t="s">
        <v>60</v>
      </c>
      <c r="O561" s="65">
        <v>8.1250000000000003E-2</v>
      </c>
      <c r="P561" s="65">
        <v>8.611111111111111E-2</v>
      </c>
      <c r="Q561" s="71">
        <f t="shared" ca="1" si="141"/>
        <v>4.8611111111111077E-3</v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7</v>
      </c>
      <c r="H562" s="88">
        <f>IFERROR(IF($G562="","",$G562*$S$567/$G$567/Cadastro!$E$33),"")</f>
        <v>32.46513274336283</v>
      </c>
      <c r="I562" s="90">
        <f>IFERROR(IF($D562="","",VLOOKUP($D562,Cadastro!$C$4:$G$7,5,FALSE())),"")</f>
        <v>0.6</v>
      </c>
      <c r="J562" s="91">
        <f t="shared" si="139"/>
        <v>4.6749791150442466</v>
      </c>
      <c r="K562" s="64">
        <f t="shared" si="140"/>
        <v>29.400000000000002</v>
      </c>
      <c r="L562" s="61" t="s">
        <v>29</v>
      </c>
      <c r="M562" s="61" t="s">
        <v>56</v>
      </c>
      <c r="N562" s="61" t="s">
        <v>210</v>
      </c>
      <c r="O562" s="65">
        <v>9.930555555555555E-2</v>
      </c>
      <c r="P562" s="65">
        <v>0.10069444444444445</v>
      </c>
      <c r="Q562" s="66">
        <f t="shared" ca="1" si="141"/>
        <v>1.3888888888888978E-3</v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12</v>
      </c>
      <c r="H563" s="88">
        <f>IFERROR(IF($G563="","",$G563*$S$567/$G$567/Cadastro!$E$33),"")</f>
        <v>55.654513274336281</v>
      </c>
      <c r="I563" s="90">
        <f>IFERROR(IF($D563="","",VLOOKUP($D563,Cadastro!$C$4:$G$7,5,FALSE())),"")</f>
        <v>0.6</v>
      </c>
      <c r="J563" s="91">
        <f t="shared" si="139"/>
        <v>8.0142499115044235</v>
      </c>
      <c r="K563" s="69">
        <f t="shared" si="140"/>
        <v>50.400000000000006</v>
      </c>
      <c r="L563" s="70" t="s">
        <v>29</v>
      </c>
      <c r="M563" s="70" t="s">
        <v>56</v>
      </c>
      <c r="N563" s="70" t="s">
        <v>60</v>
      </c>
      <c r="O563" s="65">
        <v>0.10625</v>
      </c>
      <c r="P563" s="65">
        <v>0.1111111111111111</v>
      </c>
      <c r="Q563" s="71">
        <f t="shared" ca="1" si="141"/>
        <v>4.8611111111111077E-3</v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15</v>
      </c>
      <c r="H564" s="88">
        <f>IFERROR(IF($G564="","",$G564*$S$567/$G$567/Cadastro!$E$33),"")</f>
        <v>69.568141592920355</v>
      </c>
      <c r="I564" s="90">
        <f>IFERROR(IF($D564="","",VLOOKUP($D564,Cadastro!$C$4:$G$7,5,FALSE())),"")</f>
        <v>0.6</v>
      </c>
      <c r="J564" s="91">
        <f t="shared" si="139"/>
        <v>10.017812389380531</v>
      </c>
      <c r="K564" s="64">
        <f t="shared" si="140"/>
        <v>63</v>
      </c>
      <c r="L564" s="61" t="s">
        <v>29</v>
      </c>
      <c r="M564" s="61" t="s">
        <v>56</v>
      </c>
      <c r="N564" s="61" t="s">
        <v>60</v>
      </c>
      <c r="O564" s="65">
        <v>0.11874999999999999</v>
      </c>
      <c r="P564" s="65">
        <v>0.13055555555555556</v>
      </c>
      <c r="Q564" s="66">
        <f t="shared" ca="1" si="141"/>
        <v>1.1805555555555569E-2</v>
      </c>
      <c r="R564" s="63" t="s">
        <v>374</v>
      </c>
      <c r="S564" s="81"/>
    </row>
    <row r="565" spans="1:20" ht="15" customHeight="1">
      <c r="A565" s="18">
        <v>46255</v>
      </c>
      <c r="B565" s="68">
        <f t="shared" si="142"/>
        <v>1.25</v>
      </c>
      <c r="C565" s="70" t="s">
        <v>38</v>
      </c>
      <c r="D565" s="75" t="s">
        <v>39</v>
      </c>
      <c r="E565" s="100" t="s">
        <v>260</v>
      </c>
      <c r="F565" s="88">
        <f>IFERROR(IF($D565="","",VLOOKUP($D565,Cadastro!$C$4:$E$7,3,FALSE())),"")</f>
        <v>0.24</v>
      </c>
      <c r="G565" s="89">
        <v>2</v>
      </c>
      <c r="H565" s="88">
        <f>IFERROR(IF($G565="","",$G565*$S$567/$G$567/Cadastro!$E$33),"")</f>
        <v>9.2757522123893814</v>
      </c>
      <c r="I565" s="90">
        <f>IFERROR(IF($D565="","",VLOOKUP($D565,Cadastro!$C$4:$G$7,5,FALSE())),"")</f>
        <v>0.6</v>
      </c>
      <c r="J565" s="91">
        <f t="shared" si="139"/>
        <v>1.3357083185840708</v>
      </c>
      <c r="K565" s="69">
        <f t="shared" si="140"/>
        <v>10</v>
      </c>
      <c r="L565" s="70" t="s">
        <v>29</v>
      </c>
      <c r="M565" s="70" t="s">
        <v>56</v>
      </c>
      <c r="N565" s="70" t="s">
        <v>65</v>
      </c>
      <c r="O565" s="65">
        <v>0.17291666666666666</v>
      </c>
      <c r="P565" s="65">
        <v>0.18402777777777779</v>
      </c>
      <c r="Q565" s="71">
        <f t="shared" ca="1" si="141"/>
        <v>1.1111111111111127E-2</v>
      </c>
      <c r="R565" s="63" t="s">
        <v>346</v>
      </c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 t="s">
        <v>38</v>
      </c>
      <c r="D566" s="75" t="s">
        <v>39</v>
      </c>
      <c r="E566" s="100" t="s">
        <v>260</v>
      </c>
      <c r="F566" s="92">
        <f>IFERROR(IF($D566="","",VLOOKUP($D566,Cadastro!$C$4:$E$7,3,FALSE())),"")</f>
        <v>0.24</v>
      </c>
      <c r="G566" s="89">
        <v>5</v>
      </c>
      <c r="H566" s="92">
        <f>IFERROR(IF($G566="","",$G566*$S$567/$G$567/Cadastro!$E$33),"")</f>
        <v>23.189380530973452</v>
      </c>
      <c r="I566" s="93">
        <f>IFERROR(IF($D566="","",VLOOKUP($D566,Cadastro!$C$4:$G$7,5,FALSE())),"")</f>
        <v>0.6</v>
      </c>
      <c r="J566" s="94">
        <f t="shared" si="139"/>
        <v>3.3392707964601769</v>
      </c>
      <c r="K566" s="64">
        <f t="shared" si="140"/>
        <v>25</v>
      </c>
      <c r="L566" s="61" t="s">
        <v>29</v>
      </c>
      <c r="M566" s="61" t="s">
        <v>56</v>
      </c>
      <c r="N566" s="61" t="s">
        <v>71</v>
      </c>
      <c r="O566" s="65">
        <v>0.23749999999999999</v>
      </c>
      <c r="P566" s="65">
        <v>0.26041666666666669</v>
      </c>
      <c r="Q566" s="66">
        <f t="shared" ca="1" si="141"/>
        <v>2.2916666666666696E-2</v>
      </c>
      <c r="R566" s="63"/>
      <c r="S566" s="81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113</v>
      </c>
      <c r="H567" s="105">
        <f>IFERROR(SUM(H555:H566),"")</f>
        <v>524.08000000000004</v>
      </c>
      <c r="I567" s="106"/>
      <c r="J567" s="107">
        <f>IFERROR(SUM(J555:J566),"")</f>
        <v>75.467519999999979</v>
      </c>
      <c r="K567" s="2">
        <f>SUM(K555:K566)</f>
        <v>495.4</v>
      </c>
      <c r="L567" s="72"/>
      <c r="M567" s="72"/>
      <c r="N567" s="72"/>
      <c r="O567" s="72"/>
      <c r="P567" s="72"/>
      <c r="Q567" s="73">
        <f ca="1">IFERROR(SUM(Q555:Q566),"")</f>
        <v>0.10208333333333353</v>
      </c>
      <c r="R567" s="2" t="s">
        <v>262</v>
      </c>
      <c r="S567" s="74">
        <v>524080</v>
      </c>
      <c r="T567" s="99">
        <f>IFERROR(J567,"")</f>
        <v>75.467519999999979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122</v>
      </c>
      <c r="H568" s="108">
        <f>IFERROR(H554+H567,"")</f>
        <v>563.97</v>
      </c>
      <c r="I568" s="110"/>
      <c r="J568" s="111">
        <f>IFERROR(J554+J567,"")</f>
        <v>81.211679999999973</v>
      </c>
      <c r="K568" s="1">
        <f>K554+K567</f>
        <v>533.19999999999993</v>
      </c>
      <c r="L568" s="76"/>
      <c r="M568" s="76"/>
      <c r="N568" s="76"/>
      <c r="O568" s="76"/>
      <c r="P568" s="76"/>
      <c r="Q568" s="77">
        <f ca="1">IFERROR(Q554+Q567,"")</f>
        <v>0.51250000000000018</v>
      </c>
      <c r="R568" s="1" t="s">
        <v>265</v>
      </c>
      <c r="S568" s="82">
        <f>IFERROR(S554+S567,"")</f>
        <v>563970</v>
      </c>
      <c r="T568" s="118">
        <f>IFERROR(J568,"")</f>
        <v>81.211679999999973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>
        <v>18</v>
      </c>
      <c r="H569" s="101">
        <f>IFERROR(IF($G569="","",$G569*$S$581/$G$581/Cadastro!$E$33),"")</f>
        <v>0</v>
      </c>
      <c r="I569" s="102">
        <f>IFERROR(IF($D569="","",VLOOKUP($D569,Cadastro!$C$4:$G$7,5,FALSE())),"")</f>
        <v>0.6</v>
      </c>
      <c r="J569" s="103">
        <f t="shared" ref="J569:J580" si="143">IFERROR(IF($H569="","",$H569*$F569*$I569),"")</f>
        <v>0</v>
      </c>
      <c r="K569" s="69">
        <f t="shared" ref="K569:K580" si="144">IF(G569="","",IF(E569="PC 17",G569*4.2,IF(E569="PC 19",G569*5,IF(E569="CB",G569*24,""))))</f>
        <v>75.600000000000009</v>
      </c>
      <c r="L569" s="70" t="s">
        <v>27</v>
      </c>
      <c r="M569" s="70" t="s">
        <v>56</v>
      </c>
      <c r="N569" s="70" t="s">
        <v>140</v>
      </c>
      <c r="O569" s="65">
        <v>0.37152777777777779</v>
      </c>
      <c r="P569" s="65">
        <v>0.41180555555555554</v>
      </c>
      <c r="Q569" s="71">
        <f t="shared" ref="Q569:Q580" ca="1" si="145">IFERROR(IF(O569="","",IF(P569="",MOD(NOW()-O569,1),IF(P569&gt;=O569,P569-O569,P569+1-O569))),"")</f>
        <v>4.0277777777777746E-2</v>
      </c>
      <c r="R569" s="63" t="s">
        <v>312</v>
      </c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>
        <v>10</v>
      </c>
      <c r="H570" s="88">
        <f>IFERROR(IF($G570="","",$G570*$S$581/$G$581/Cadastro!$E$33),"")</f>
        <v>0</v>
      </c>
      <c r="I570" s="90">
        <f>IFERROR(IF($D570="","",VLOOKUP($D570,Cadastro!$C$4:$G$7,5,FALSE())),"")</f>
        <v>0.6</v>
      </c>
      <c r="J570" s="91">
        <f t="shared" si="143"/>
        <v>0</v>
      </c>
      <c r="K570" s="69">
        <f t="shared" si="144"/>
        <v>42</v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>
        <v>12</v>
      </c>
      <c r="H571" s="88">
        <f>IFERROR(IF($G571="","",$G571*$S$581/$G$581/Cadastro!$E$33),"")</f>
        <v>0</v>
      </c>
      <c r="I571" s="90">
        <f>IFERROR(IF($D571="","",VLOOKUP($D571,Cadastro!$C$4:$G$7,5,FALSE())),"")</f>
        <v>0.6</v>
      </c>
      <c r="J571" s="91">
        <f t="shared" si="143"/>
        <v>0</v>
      </c>
      <c r="K571" s="69">
        <f t="shared" si="144"/>
        <v>50.400000000000006</v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>
        <v>16</v>
      </c>
      <c r="H572" s="88">
        <f>IFERROR(IF($G572="","",$G572*$S$581/$G$581/Cadastro!$E$33),"")</f>
        <v>0</v>
      </c>
      <c r="I572" s="90">
        <f>IFERROR(IF($D572="","",VLOOKUP($D572,Cadastro!$C$4:$G$7,5,FALSE())),"")</f>
        <v>0.6</v>
      </c>
      <c r="J572" s="91">
        <f t="shared" si="143"/>
        <v>0</v>
      </c>
      <c r="K572" s="69">
        <f t="shared" si="144"/>
        <v>67.2</v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 t="s">
        <v>30</v>
      </c>
      <c r="D573" s="75" t="s">
        <v>31</v>
      </c>
      <c r="E573" s="100" t="s">
        <v>275</v>
      </c>
      <c r="F573" s="88">
        <f>IFERROR(IF($D573="","",VLOOKUP($D573,Cadastro!$C$4:$E$7,3,FALSE())),"")</f>
        <v>0.35</v>
      </c>
      <c r="G573" s="89"/>
      <c r="H573" s="88" t="str">
        <f>IFERROR(IF($G573="","",$G573*$S$581/$G$581/Cadastro!$E$33),"")</f>
        <v/>
      </c>
      <c r="I573" s="90">
        <f>IFERROR(IF($D573="","",VLOOKUP($D573,Cadastro!$C$4:$G$7,5,FALSE())),"")</f>
        <v>0.6</v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/>
      <c r="H574" s="88" t="str">
        <f>IFERROR(IF($G574="","",$G574*$S$581/$G$581/Cadastro!$E$33),"")</f>
        <v/>
      </c>
      <c r="I574" s="90">
        <f>IFERROR(IF($D574="","",VLOOKUP($D574,Cadastro!$C$4:$G$7,5,FALSE())),"")</f>
        <v>0.6</v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/>
      <c r="H575" s="88" t="str">
        <f>IFERROR(IF($G575="","",$G575*$S$581/$G$581/Cadastro!$E$33),"")</f>
        <v/>
      </c>
      <c r="I575" s="90">
        <f>IFERROR(IF($D575="","",VLOOKUP($D575,Cadastro!$C$4:$G$7,5,FALSE())),"")</f>
        <v>0.6</v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/>
      <c r="H576" s="88" t="str">
        <f>IFERROR(IF($G576="","",$G576*$S$581/$G$581/Cadastro!$E$33),"")</f>
        <v/>
      </c>
      <c r="I576" s="90">
        <f>IFERROR(IF($D576="","",VLOOKUP($D576,Cadastro!$C$4:$G$7,5,FALSE())),"")</f>
        <v>0.6</v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/>
      <c r="H577" s="88" t="str">
        <f>IFERROR(IF($G577="","",$G577*$S$581/$G$581/Cadastro!$E$33),"")</f>
        <v/>
      </c>
      <c r="I577" s="90">
        <f>IFERROR(IF($D577="","",VLOOKUP($D577,Cadastro!$C$4:$G$7,5,FALSE())),"")</f>
        <v>0.6</v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/>
      <c r="H578" s="88" t="str">
        <f>IFERROR(IF($G578="","",$G578*$S$581/$G$581/Cadastro!$E$33),"")</f>
        <v/>
      </c>
      <c r="I578" s="90">
        <f>IFERROR(IF($D578="","",VLOOKUP($D578,Cadastro!$C$4:$G$7,5,FALSE())),"")</f>
        <v>0.6</v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/>
      <c r="H579" s="88" t="str">
        <f>IFERROR(IF($G579="","",$G579*$S$581/$G$581/Cadastro!$E$33),"")</f>
        <v/>
      </c>
      <c r="I579" s="90">
        <f>IFERROR(IF($D579="","",VLOOKUP($D579,Cadastro!$C$4:$G$7,5,FALSE())),"")</f>
        <v>0.6</v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/>
      <c r="H580" s="92" t="str">
        <f>IFERROR(IF($G580="","",$G580*$S$581/$G$581/Cadastro!$E$33),"")</f>
        <v/>
      </c>
      <c r="I580" s="93">
        <f>IFERROR(IF($D580="","",VLOOKUP($D580,Cadastro!$C$4:$G$7,5,FALSE())),"")</f>
        <v>0.6</v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56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235.2</v>
      </c>
      <c r="L581" s="72"/>
      <c r="M581" s="72"/>
      <c r="N581" s="72"/>
      <c r="O581" s="72"/>
      <c r="P581" s="72"/>
      <c r="Q581" s="73">
        <f ca="1">IFERROR(SUM(Q569:Q580),"")</f>
        <v>4.0277777777777746E-2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56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235.2</v>
      </c>
      <c r="L595" s="76"/>
      <c r="M595" s="76"/>
      <c r="N595" s="76"/>
      <c r="O595" s="76"/>
      <c r="P595" s="76"/>
      <c r="Q595" s="77">
        <f ca="1">IFERROR(Q581+Q594,"")</f>
        <v>4.0277777777777746E-2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5" zoomScaleNormal="85" workbookViewId="0">
      <pane ySplit="1" topLeftCell="A550" activePane="bottomLeft" state="frozen"/>
      <selection pane="bottomLeft" activeCell="G573" sqref="G573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301</v>
      </c>
      <c r="I1" s="86" t="s">
        <v>22</v>
      </c>
      <c r="J1" s="86" t="s">
        <v>302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302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262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275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375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309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346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376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377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275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275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262</v>
      </c>
      <c r="S27" s="74">
        <v>491520</v>
      </c>
      <c r="T27" s="99">
        <f>IFERROR(J27,"")</f>
        <v>0</v>
      </c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265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275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275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275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275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275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275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275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275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275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275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275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262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378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262</v>
      </c>
      <c r="S54" s="74">
        <v>352430</v>
      </c>
      <c r="T54" s="99">
        <f>IFERROR(J54,"")</f>
        <v>0</v>
      </c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265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379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380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262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231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381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346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262</v>
      </c>
      <c r="S81" s="74">
        <v>612410</v>
      </c>
      <c r="T81" s="99">
        <f>IFERROR(J81,"")</f>
        <v>0</v>
      </c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265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262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346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262</v>
      </c>
      <c r="S108" s="74">
        <v>956070</v>
      </c>
      <c r="T108" s="99">
        <f>IFERROR(J108,"")</f>
        <v>0</v>
      </c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265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231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236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236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382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262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383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312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346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262</v>
      </c>
      <c r="S135" s="74">
        <v>912240</v>
      </c>
      <c r="T135" s="99">
        <f>IFERROR(J135,"")</f>
        <v>0</v>
      </c>
    </row>
    <row r="136" spans="1:22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265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384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385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320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261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262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386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387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262</v>
      </c>
      <c r="S162" s="74">
        <v>573230</v>
      </c>
      <c r="T162" s="99">
        <f>IFERROR(J162,"")</f>
        <v>0</v>
      </c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265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388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262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389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262</v>
      </c>
      <c r="S189" s="74">
        <v>692750</v>
      </c>
      <c r="T189" s="99">
        <f>IFERROR(J189,"")</f>
        <v>0</v>
      </c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265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390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262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391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392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393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262</v>
      </c>
      <c r="S216" s="74">
        <v>607180</v>
      </c>
      <c r="T216" s="99">
        <f>IFERROR(J216,"")</f>
        <v>0</v>
      </c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265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394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395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262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396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397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262</v>
      </c>
      <c r="S243" s="74">
        <v>795250</v>
      </c>
      <c r="T243" s="99">
        <f>IFERROR(J243,"")</f>
        <v>0</v>
      </c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265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 t="s">
        <v>285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398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262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275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275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275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275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275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275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275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275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275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275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275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275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262</v>
      </c>
      <c r="S270" s="74">
        <v>683360</v>
      </c>
      <c r="T270" s="99">
        <f>IFERROR(J270,"")</f>
        <v>0</v>
      </c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265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275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262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262</v>
      </c>
      <c r="S297" s="74">
        <v>904710</v>
      </c>
      <c r="T297" s="99">
        <f>IFERROR(J297,"")</f>
        <v>0</v>
      </c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265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262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262</v>
      </c>
      <c r="S324" s="74">
        <v>1049720</v>
      </c>
      <c r="T324" s="99">
        <f>IFERROR(J324,"")</f>
        <v>151.15967999999998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265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275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262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399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400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262</v>
      </c>
      <c r="S351" s="74">
        <v>1058130</v>
      </c>
      <c r="T351" s="99">
        <f>IFERROR(J351,"")</f>
        <v>222.20729999999995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265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401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402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261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262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403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262</v>
      </c>
      <c r="S378" s="74">
        <v>1137080</v>
      </c>
      <c r="T378" s="99">
        <f>IFERROR(J378,"")</f>
        <v>238.78679999999994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265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275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334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404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262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231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405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262</v>
      </c>
      <c r="S405" s="74">
        <v>989450</v>
      </c>
      <c r="T405" s="99">
        <f>IFERROR(J405,"")</f>
        <v>195.72390675675675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265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238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406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262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407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7" t="s">
        <v>264</v>
      </c>
      <c r="B432" s="157"/>
      <c r="C432" s="157"/>
      <c r="D432" s="157"/>
      <c r="E432" s="157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262</v>
      </c>
      <c r="S432" s="74">
        <v>766030</v>
      </c>
      <c r="T432" s="99">
        <f>IFERROR(J432,"")</f>
        <v>110.30832000000001</v>
      </c>
    </row>
    <row r="433" spans="1:21" ht="18" customHeight="1">
      <c r="A433" s="158" t="s">
        <v>250</v>
      </c>
      <c r="B433" s="158"/>
      <c r="C433" s="158"/>
      <c r="D433" s="158"/>
      <c r="E433" s="158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265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275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262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408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402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262</v>
      </c>
      <c r="S459" s="74">
        <v>1024280</v>
      </c>
      <c r="T459" s="99">
        <f>IFERROR(J459,"")</f>
        <v>202.88866044052861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265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262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409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368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262</v>
      </c>
      <c r="S486" s="74">
        <v>616050</v>
      </c>
      <c r="T486" s="99">
        <f>IFERROR(J486,"")</f>
        <v>88.711199999999977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265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262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410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275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7" t="s">
        <v>264</v>
      </c>
      <c r="B513" s="157"/>
      <c r="C513" s="157"/>
      <c r="D513" s="157"/>
      <c r="E513" s="157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262</v>
      </c>
      <c r="S513" s="74">
        <v>727700</v>
      </c>
      <c r="T513" s="99">
        <f>IFERROR(J513,"")</f>
        <v>123.69990375</v>
      </c>
    </row>
    <row r="514" spans="1:20" ht="18" customHeight="1">
      <c r="A514" s="158" t="s">
        <v>250</v>
      </c>
      <c r="B514" s="158"/>
      <c r="C514" s="158"/>
      <c r="D514" s="158"/>
      <c r="E514" s="158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265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262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260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275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173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262</v>
      </c>
      <c r="S540" s="74">
        <v>746110</v>
      </c>
      <c r="T540" s="99">
        <f>IFERROR(J540,"")</f>
        <v>126.60637832335328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265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168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178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411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412</v>
      </c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262</v>
      </c>
      <c r="S554" s="74">
        <v>766150</v>
      </c>
      <c r="T554" s="99">
        <f>IFERROR(J554,"")</f>
        <v>110.32559999999999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22</v>
      </c>
      <c r="H555" s="101">
        <f>IFERROR(IF($G555="","",$G555*$S$567/$G$567/Cadastro!$E$33),"")</f>
        <v>100.88660377358491</v>
      </c>
      <c r="I555" s="102">
        <f>IFERROR(IF($D555="","",VLOOKUP($D555,Cadastro!$C$4:$G$7,5,FALSE())),"")</f>
        <v>0.6</v>
      </c>
      <c r="J555" s="103">
        <f t="shared" ref="J555:J566" si="142">IFERROR(IF($H555="","",$H555*$F555*$I555),"")</f>
        <v>14.527670943396226</v>
      </c>
      <c r="K555" s="69">
        <f t="shared" ref="K555:K566" si="143">IF(G555="","",IF(E555="PC 17",G555*4.2,IF(E555="PC 19",G555*5,IF(E555="CB",G555*24,""))))</f>
        <v>92.4</v>
      </c>
      <c r="L555" s="70" t="s">
        <v>29</v>
      </c>
      <c r="M555" s="70" t="s">
        <v>61</v>
      </c>
      <c r="N555" s="70" t="s">
        <v>60</v>
      </c>
      <c r="O555" s="65">
        <v>0.83819444444444446</v>
      </c>
      <c r="P555" s="65">
        <v>0.84861111111111109</v>
      </c>
      <c r="Q555" s="71"/>
      <c r="R555" s="63" t="s">
        <v>413</v>
      </c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3</v>
      </c>
      <c r="H556" s="88">
        <f>IFERROR(IF($G556="","",$G556*$S$567/$G$567/Cadastro!$E$33),"")</f>
        <v>13.757264150943396</v>
      </c>
      <c r="I556" s="90">
        <f>IFERROR(IF($D556="","",VLOOKUP($D556,Cadastro!$C$4:$G$7,5,FALSE())),"")</f>
        <v>0.6</v>
      </c>
      <c r="J556" s="91">
        <f t="shared" si="142"/>
        <v>1.9810460377358488</v>
      </c>
      <c r="K556" s="64">
        <f t="shared" si="143"/>
        <v>15</v>
      </c>
      <c r="L556" s="61" t="s">
        <v>29</v>
      </c>
      <c r="M556" s="61" t="s">
        <v>173</v>
      </c>
      <c r="N556" s="61" t="s">
        <v>60</v>
      </c>
      <c r="O556" s="65">
        <v>0.90208333333333335</v>
      </c>
      <c r="P556" s="65">
        <v>0.91736111111111107</v>
      </c>
      <c r="Q556" s="66">
        <f t="shared" ref="Q556:Q566" ca="1" si="145">IFERROR(IF(O556="","",IF(P556="",MOD(NOW()-O556,1),IF(P556&gt;=O556,P556-O556,P556+1-O556))),"")</f>
        <v>1.5277777777777724E-2</v>
      </c>
      <c r="R556" s="63" t="s">
        <v>414</v>
      </c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</v>
      </c>
      <c r="H557" s="88">
        <f>IFERROR(IF($G557="","",$G557*$S$567/$G$567/Cadastro!$E$33),"")</f>
        <v>4.5857547169811319</v>
      </c>
      <c r="I557" s="90">
        <f>IFERROR(IF($D557="","",VLOOKUP($D557,Cadastro!$C$4:$G$7,5,FALSE())),"")</f>
        <v>0.6</v>
      </c>
      <c r="J557" s="91">
        <f t="shared" si="142"/>
        <v>0.66034867924528295</v>
      </c>
      <c r="K557" s="69">
        <f t="shared" si="143"/>
        <v>4.2</v>
      </c>
      <c r="L557" s="70" t="s">
        <v>29</v>
      </c>
      <c r="M557" s="70" t="s">
        <v>61</v>
      </c>
      <c r="N557" s="70" t="s">
        <v>71</v>
      </c>
      <c r="O557" s="65">
        <v>0.93402777777777779</v>
      </c>
      <c r="P557" s="65">
        <v>0.94027777777777777</v>
      </c>
      <c r="Q557" s="71">
        <f t="shared" ca="1" si="145"/>
        <v>6.2499999999999778E-3</v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15</v>
      </c>
      <c r="H558" s="88">
        <f>IFERROR(IF($G558="","",$G558*$S$567/$G$567/Cadastro!$E$33),"")</f>
        <v>68.786320754716982</v>
      </c>
      <c r="I558" s="90">
        <f>IFERROR(IF($D558="","",VLOOKUP($D558,Cadastro!$C$4:$G$7,5,FALSE())),"")</f>
        <v>0.6</v>
      </c>
      <c r="J558" s="91">
        <f t="shared" si="142"/>
        <v>9.9052301886792442</v>
      </c>
      <c r="K558" s="64">
        <f t="shared" si="143"/>
        <v>63</v>
      </c>
      <c r="L558" s="61" t="s">
        <v>29</v>
      </c>
      <c r="M558" s="61" t="s">
        <v>61</v>
      </c>
      <c r="N558" s="61" t="s">
        <v>60</v>
      </c>
      <c r="O558" s="65">
        <v>0.94930555555555551</v>
      </c>
      <c r="P558" s="65">
        <v>0.95208333333333328</v>
      </c>
      <c r="Q558" s="66">
        <f t="shared" ca="1" si="145"/>
        <v>2.7777777777777679E-3</v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7</v>
      </c>
      <c r="H559" s="88">
        <f>IFERROR(IF($G559="","",$G559*$S$567/$G$567/Cadastro!$E$33),"")</f>
        <v>32.100283018867927</v>
      </c>
      <c r="I559" s="90">
        <f>IFERROR(IF($D559="","",VLOOKUP($D559,Cadastro!$C$4:$G$7,5,FALSE())),"")</f>
        <v>0.6</v>
      </c>
      <c r="J559" s="91">
        <f t="shared" si="142"/>
        <v>4.6224407547169815</v>
      </c>
      <c r="K559" s="69">
        <f t="shared" si="143"/>
        <v>29.400000000000002</v>
      </c>
      <c r="L559" s="61" t="s">
        <v>29</v>
      </c>
      <c r="M559" s="70" t="s">
        <v>61</v>
      </c>
      <c r="N559" s="70" t="s">
        <v>60</v>
      </c>
      <c r="O559" s="65">
        <v>0.95694444444444449</v>
      </c>
      <c r="P559" s="65">
        <v>0.95972222222222225</v>
      </c>
      <c r="Q559" s="71">
        <f t="shared" ca="1" si="145"/>
        <v>2.7777777777777679E-3</v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</v>
      </c>
      <c r="H560" s="88">
        <f>IFERROR(IF($G560="","",$G560*$S$567/$G$567/Cadastro!$E$33),"")</f>
        <v>4.5857547169811319</v>
      </c>
      <c r="I560" s="90">
        <f>IFERROR(IF($D560="","",VLOOKUP($D560,Cadastro!$C$4:$G$7,5,FALSE())),"")</f>
        <v>0.6</v>
      </c>
      <c r="J560" s="91">
        <f t="shared" si="142"/>
        <v>0.66034867924528295</v>
      </c>
      <c r="K560" s="64">
        <f t="shared" si="143"/>
        <v>4.2</v>
      </c>
      <c r="L560" s="154" t="s">
        <v>29</v>
      </c>
      <c r="M560" s="61" t="s">
        <v>173</v>
      </c>
      <c r="N560" s="61" t="s">
        <v>210</v>
      </c>
      <c r="O560" s="65">
        <v>0.96527777777777779</v>
      </c>
      <c r="P560" s="65">
        <v>0.97222222222222221</v>
      </c>
      <c r="Q560" s="66">
        <f t="shared" ca="1" si="145"/>
        <v>6.9444444444444198E-3</v>
      </c>
      <c r="R560" s="63" t="s">
        <v>415</v>
      </c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12</v>
      </c>
      <c r="H561" s="88">
        <f>IFERROR(IF($G561="","",$G561*$S$567/$G$567/Cadastro!$E$33),"")</f>
        <v>55.029056603773583</v>
      </c>
      <c r="I561" s="90">
        <f>IFERROR(IF($D561="","",VLOOKUP($D561,Cadastro!$C$4:$G$7,5,FALSE())),"")</f>
        <v>0.6</v>
      </c>
      <c r="J561" s="91">
        <f t="shared" si="142"/>
        <v>7.924184150943395</v>
      </c>
      <c r="K561" s="69">
        <f t="shared" si="143"/>
        <v>50.400000000000006</v>
      </c>
      <c r="L561" s="70" t="s">
        <v>29</v>
      </c>
      <c r="M561" s="70" t="s">
        <v>66</v>
      </c>
      <c r="N561" s="70" t="s">
        <v>60</v>
      </c>
      <c r="O561" s="65">
        <v>0.98333333333333328</v>
      </c>
      <c r="P561" s="65">
        <v>0.99236111111111114</v>
      </c>
      <c r="Q561" s="71">
        <f t="shared" ca="1" si="145"/>
        <v>9.0277777777778567E-3</v>
      </c>
      <c r="R561" s="63" t="s">
        <v>416</v>
      </c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16</v>
      </c>
      <c r="H562" s="88">
        <f>IFERROR(IF($G562="","",$G562*$S$567/$G$567/Cadastro!$E$33),"")</f>
        <v>73.372075471698111</v>
      </c>
      <c r="I562" s="90">
        <f>IFERROR(IF($D562="","",VLOOKUP($D562,Cadastro!$C$4:$G$7,5,FALSE())),"")</f>
        <v>0.6</v>
      </c>
      <c r="J562" s="91">
        <f t="shared" si="142"/>
        <v>10.565578867924527</v>
      </c>
      <c r="K562" s="64">
        <f t="shared" si="143"/>
        <v>67.2</v>
      </c>
      <c r="L562" s="61" t="s">
        <v>29</v>
      </c>
      <c r="M562" s="61" t="s">
        <v>66</v>
      </c>
      <c r="N562" s="61" t="s">
        <v>60</v>
      </c>
      <c r="O562" s="65">
        <v>0.99722222222222223</v>
      </c>
      <c r="P562" s="65">
        <v>5.2083333333333336E-2</v>
      </c>
      <c r="Q562" s="66">
        <f t="shared" ca="1" si="145"/>
        <v>5.4861111111111027E-2</v>
      </c>
      <c r="R562" s="63" t="s">
        <v>417</v>
      </c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9</v>
      </c>
      <c r="H563" s="88">
        <f>IFERROR(IF($G563="","",$G563*$S$567/$G$567/Cadastro!$E$33),"")</f>
        <v>41.271792452830191</v>
      </c>
      <c r="I563" s="90">
        <f>IFERROR(IF($D563="","",VLOOKUP($D563,Cadastro!$C$4:$G$7,5,FALSE())),"")</f>
        <v>0.6</v>
      </c>
      <c r="J563" s="91">
        <f t="shared" si="142"/>
        <v>5.9431381132075476</v>
      </c>
      <c r="K563" s="69">
        <f t="shared" si="143"/>
        <v>37.800000000000004</v>
      </c>
      <c r="L563" s="70" t="s">
        <v>29</v>
      </c>
      <c r="M563" s="70" t="s">
        <v>61</v>
      </c>
      <c r="N563" s="70" t="s">
        <v>60</v>
      </c>
      <c r="O563" s="65">
        <v>0.11527777777777778</v>
      </c>
      <c r="P563" s="65">
        <v>0.12083333333333333</v>
      </c>
      <c r="Q563" s="71">
        <f t="shared" ca="1" si="145"/>
        <v>5.5555555555555497E-3</v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13</v>
      </c>
      <c r="H564" s="88">
        <f>IFERROR(IF($G564="","",$G564*$S$567/$G$567/Cadastro!$E$33),"")</f>
        <v>59.614811320754711</v>
      </c>
      <c r="I564" s="90">
        <f>IFERROR(IF($D564="","",VLOOKUP($D564,Cadastro!$C$4:$G$7,5,FALSE())),"")</f>
        <v>0.6</v>
      </c>
      <c r="J564" s="91">
        <f t="shared" si="142"/>
        <v>8.5845328301886781</v>
      </c>
      <c r="K564" s="64">
        <f t="shared" si="143"/>
        <v>54.6</v>
      </c>
      <c r="L564" s="61" t="s">
        <v>29</v>
      </c>
      <c r="M564" s="61" t="s">
        <v>173</v>
      </c>
      <c r="N564" s="61" t="s">
        <v>65</v>
      </c>
      <c r="O564" s="65">
        <v>0.1423611111111111</v>
      </c>
      <c r="P564" s="65">
        <v>0.1701388888888889</v>
      </c>
      <c r="Q564" s="66">
        <f t="shared" ca="1" si="145"/>
        <v>2.777777777777779E-2</v>
      </c>
      <c r="R564" s="63" t="s">
        <v>418</v>
      </c>
      <c r="S564" s="133"/>
    </row>
    <row r="565" spans="1:20" ht="15" customHeight="1">
      <c r="A565" s="18">
        <v>46255</v>
      </c>
      <c r="B565" s="68">
        <f t="shared" si="144"/>
        <v>1.25</v>
      </c>
      <c r="C565" s="70" t="s">
        <v>38</v>
      </c>
      <c r="D565" s="75" t="s">
        <v>39</v>
      </c>
      <c r="E565" s="100" t="s">
        <v>275</v>
      </c>
      <c r="F565" s="88">
        <f>IFERROR(IF($D565="","",VLOOKUP($D565,Cadastro!$C$4:$E$7,3,FALSE())),"")</f>
        <v>0.24</v>
      </c>
      <c r="G565" s="89">
        <v>5</v>
      </c>
      <c r="H565" s="88">
        <f>IFERROR(IF($G565="","",$G565*$S$567/$G$567/Cadastro!$E$33),"")</f>
        <v>22.92877358490566</v>
      </c>
      <c r="I565" s="90">
        <f>IFERROR(IF($D565="","",VLOOKUP($D565,Cadastro!$C$4:$G$7,5,FALSE())),"")</f>
        <v>0.6</v>
      </c>
      <c r="J565" s="91">
        <f t="shared" si="142"/>
        <v>3.3017433962264149</v>
      </c>
      <c r="K565" s="69">
        <f t="shared" si="143"/>
        <v>21</v>
      </c>
      <c r="L565" s="70" t="s">
        <v>28</v>
      </c>
      <c r="M565" s="70" t="s">
        <v>61</v>
      </c>
      <c r="N565" s="70" t="s">
        <v>36</v>
      </c>
      <c r="O565" s="65">
        <v>0.18819444444444444</v>
      </c>
      <c r="P565" s="65">
        <v>0.23333333333333334</v>
      </c>
      <c r="Q565" s="71">
        <f t="shared" ca="1" si="145"/>
        <v>4.5138888888888895E-2</v>
      </c>
      <c r="R565" s="63" t="s">
        <v>401</v>
      </c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 t="s">
        <v>38</v>
      </c>
      <c r="D566" s="75" t="s">
        <v>39</v>
      </c>
      <c r="E566" s="100" t="s">
        <v>275</v>
      </c>
      <c r="F566" s="92">
        <f>IFERROR(IF($D566="","",VLOOKUP($D566,Cadastro!$C$4:$E$7,3,FALSE())),"")</f>
        <v>0.24</v>
      </c>
      <c r="G566" s="89">
        <v>2</v>
      </c>
      <c r="H566" s="92">
        <f>IFERROR(IF($G566="","",$G566*$S$567/$G$567/Cadastro!$E$33),"")</f>
        <v>9.1715094339622638</v>
      </c>
      <c r="I566" s="93">
        <f>IFERROR(IF($D566="","",VLOOKUP($D566,Cadastro!$C$4:$G$7,5,FALSE())),"")</f>
        <v>0.6</v>
      </c>
      <c r="J566" s="94">
        <f t="shared" si="142"/>
        <v>1.3206973584905659</v>
      </c>
      <c r="K566" s="64">
        <f t="shared" si="143"/>
        <v>8.4</v>
      </c>
      <c r="L566" s="61" t="s">
        <v>27</v>
      </c>
      <c r="M566" s="61" t="s">
        <v>61</v>
      </c>
      <c r="N566" s="61" t="s">
        <v>134</v>
      </c>
      <c r="O566" s="65">
        <v>0.2388888888888889</v>
      </c>
      <c r="P566" s="65">
        <v>0.25833333333333336</v>
      </c>
      <c r="Q566" s="66">
        <f t="shared" ca="1" si="145"/>
        <v>1.9444444444444459E-2</v>
      </c>
      <c r="R566" s="63"/>
      <c r="S566" s="133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106</v>
      </c>
      <c r="H567" s="105">
        <f>IFERROR(SUM(H555:H566),"")</f>
        <v>486.09000000000003</v>
      </c>
      <c r="I567" s="106"/>
      <c r="J567" s="107">
        <f>IFERROR(SUM(J555:J566),"")</f>
        <v>69.996959999999987</v>
      </c>
      <c r="K567" s="2">
        <f>SUM(K555:K566)</f>
        <v>447.6</v>
      </c>
      <c r="L567" s="72"/>
      <c r="M567" s="72"/>
      <c r="N567" s="72"/>
      <c r="O567" s="134"/>
      <c r="P567" s="134"/>
      <c r="Q567" s="73">
        <f ca="1">IFERROR(SUM(Q555:Q566),"")</f>
        <v>0.19583333333333322</v>
      </c>
      <c r="R567" s="2" t="s">
        <v>262</v>
      </c>
      <c r="S567" s="74">
        <v>486090</v>
      </c>
      <c r="T567" s="99">
        <f>IFERROR(J567,"")</f>
        <v>69.996959999999987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237</v>
      </c>
      <c r="H568" s="108">
        <f>IFERROR(H554+H567,"")</f>
        <v>1252.24</v>
      </c>
      <c r="I568" s="110"/>
      <c r="J568" s="111">
        <f>IFERROR(J554+J567,"")</f>
        <v>180.32255999999998</v>
      </c>
      <c r="K568" s="1">
        <f>K554+K567</f>
        <v>997.80000000000007</v>
      </c>
      <c r="L568" s="76"/>
      <c r="M568" s="76"/>
      <c r="N568" s="76"/>
      <c r="O568" s="135"/>
      <c r="P568" s="135"/>
      <c r="Q568" s="77">
        <f ca="1">IFERROR(Q554+Q567,"")</f>
        <v>0.3520833333333333</v>
      </c>
      <c r="R568" s="1" t="s">
        <v>265</v>
      </c>
      <c r="S568" s="82">
        <f>IFERROR(S554+S567,"")</f>
        <v>1252240</v>
      </c>
      <c r="T568" s="118">
        <f>IFERROR(J568,"")</f>
        <v>180.32255999999998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>
        <v>17</v>
      </c>
      <c r="H569" s="101">
        <f>IFERROR(IF($G569="","",$G569*$S$581/$G$581/Cadastro!$E$33),"")</f>
        <v>0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0</v>
      </c>
      <c r="K569" s="69">
        <f t="shared" ref="K569:K580" si="147">IF(G569="","",IF(E569="PC 17",G569*4.2,IF(E569="PC 19",G569*5,IF(E569="CB",G569*24,""))))</f>
        <v>71.400000000000006</v>
      </c>
      <c r="L569" s="70" t="s">
        <v>29</v>
      </c>
      <c r="M569" s="70" t="s">
        <v>168</v>
      </c>
      <c r="N569" s="70" t="s">
        <v>83</v>
      </c>
      <c r="O569" s="65">
        <v>0.2986111111111111</v>
      </c>
      <c r="P569" s="65">
        <v>0.30555555555555558</v>
      </c>
      <c r="Q569" s="71">
        <f t="shared" ref="Q569:Q574" ca="1" si="148">IFERROR(IF(O569="","",IF(P569="",MOD(NOW()-O569,1),IF(P569&gt;=O569,P569-O569,P569+1-O569))),"")</f>
        <v>6.9444444444444753E-3</v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>
        <v>7</v>
      </c>
      <c r="H570" s="88">
        <f>IFERROR(IF($G570="","",$G570*$S$581/$G$581/Cadastro!$E$33),"")</f>
        <v>0</v>
      </c>
      <c r="I570" s="90">
        <f>IFERROR(IF($D570="","",VLOOKUP($D570,Cadastro!$C$4:$G$7,5,FALSE())),"")</f>
        <v>0.6</v>
      </c>
      <c r="J570" s="91">
        <f t="shared" si="146"/>
        <v>0</v>
      </c>
      <c r="K570" s="69">
        <f t="shared" si="147"/>
        <v>29.400000000000002</v>
      </c>
      <c r="L570" s="61" t="s">
        <v>28</v>
      </c>
      <c r="M570" s="61" t="s">
        <v>61</v>
      </c>
      <c r="N570" s="61" t="s">
        <v>87</v>
      </c>
      <c r="O570" s="65">
        <v>0.31597222222222221</v>
      </c>
      <c r="P570" s="65">
        <v>0.32777777777777778</v>
      </c>
      <c r="Q570" s="66">
        <f t="shared" ca="1" si="148"/>
        <v>1.1805555555555569E-2</v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>
        <v>21</v>
      </c>
      <c r="H571" s="88">
        <f>IFERROR(IF($G571="","",$G571*$S$581/$G$581/Cadastro!$E$33),"")</f>
        <v>0</v>
      </c>
      <c r="I571" s="90">
        <f>IFERROR(IF($D571="","",VLOOKUP($D571,Cadastro!$C$4:$G$7,5,FALSE())),"")</f>
        <v>0.6</v>
      </c>
      <c r="J571" s="91">
        <f t="shared" si="146"/>
        <v>0</v>
      </c>
      <c r="K571" s="69">
        <f t="shared" si="147"/>
        <v>88.2</v>
      </c>
      <c r="L571" s="70" t="s">
        <v>27</v>
      </c>
      <c r="M571" s="70" t="s">
        <v>66</v>
      </c>
      <c r="N571" s="70" t="s">
        <v>167</v>
      </c>
      <c r="O571" s="65">
        <v>0.34236111111111112</v>
      </c>
      <c r="P571" s="65">
        <v>0.375</v>
      </c>
      <c r="Q571" s="71">
        <f t="shared" ca="1" si="148"/>
        <v>3.2638888888888884E-2</v>
      </c>
      <c r="R571" s="63" t="s">
        <v>402</v>
      </c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>
        <v>26</v>
      </c>
      <c r="H572" s="88">
        <f>IFERROR(IF($G572="","",$G572*$S$581/$G$581/Cadastro!$E$33),"")</f>
        <v>0</v>
      </c>
      <c r="I572" s="90">
        <f>IFERROR(IF($D572="","",VLOOKUP($D572,Cadastro!$C$4:$G$7,5,FALSE())),"")</f>
        <v>0.6</v>
      </c>
      <c r="J572" s="91">
        <f t="shared" si="146"/>
        <v>0</v>
      </c>
      <c r="K572" s="69">
        <f t="shared" si="147"/>
        <v>109.2</v>
      </c>
      <c r="L572" s="61" t="s">
        <v>29</v>
      </c>
      <c r="M572" s="61" t="s">
        <v>168</v>
      </c>
      <c r="N572" s="61" t="s">
        <v>83</v>
      </c>
      <c r="O572" s="65">
        <v>0.45694444444444443</v>
      </c>
      <c r="P572" s="65"/>
      <c r="Q572" s="66">
        <f t="shared" ca="1" si="148"/>
        <v>2.9920138913439587E-3</v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275</v>
      </c>
      <c r="F573" s="88">
        <f>IFERROR(IF($D573="","",VLOOKUP($D573,Cadastro!$C$4:$E$7,3,FALSE())),"")</f>
        <v>0.35</v>
      </c>
      <c r="G573" s="89"/>
      <c r="H573" s="88" t="str">
        <f>IFERROR(IF($G573="","",$G573*$S$581/$G$581/Cadastro!$E$33),"")</f>
        <v/>
      </c>
      <c r="I573" s="90">
        <f>IFERROR(IF($D573="","",VLOOKUP($D573,Cadastro!$C$4:$G$7,5,FALSE())),"")</f>
        <v>0.6</v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/>
      <c r="H574" s="88" t="str">
        <f>IFERROR(IF($G574="","",$G574*$S$581/$G$581/Cadastro!$E$33),"")</f>
        <v/>
      </c>
      <c r="I574" s="90">
        <f>IFERROR(IF($D574="","",VLOOKUP($D574,Cadastro!$C$4:$G$7,5,FALSE())),"")</f>
        <v>0.6</v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/>
      <c r="H575" s="88" t="str">
        <f>IFERROR(IF($G575="","",$G575*$S$581/$G$581/Cadastro!$E$33),"")</f>
        <v/>
      </c>
      <c r="I575" s="90">
        <f>IFERROR(IF($D575="","",VLOOKUP($D575,Cadastro!$C$4:$G$7,5,FALSE())),"")</f>
        <v>0.6</v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/>
      <c r="H576" s="88" t="str">
        <f>IFERROR(IF($G576="","",$G576*$S$581/$G$581/Cadastro!$E$33),"")</f>
        <v/>
      </c>
      <c r="I576" s="90">
        <f>IFERROR(IF($D576="","",VLOOKUP($D576,Cadastro!$C$4:$G$7,5,FALSE())),"")</f>
        <v>0.6</v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/>
      <c r="H577" s="88" t="str">
        <f>IFERROR(IF($G577="","",$G577*$S$581/$G$581/Cadastro!$E$33),"")</f>
        <v/>
      </c>
      <c r="I577" s="90">
        <f>IFERROR(IF($D577="","",VLOOKUP($D577,Cadastro!$C$4:$G$7,5,FALSE())),"")</f>
        <v>0.6</v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/>
      <c r="H578" s="88" t="str">
        <f>IFERROR(IF($G578="","",$G578*$S$581/$G$581/Cadastro!$E$33),"")</f>
        <v/>
      </c>
      <c r="I578" s="90">
        <f>IFERROR(IF($D578="","",VLOOKUP($D578,Cadastro!$C$4:$G$7,5,FALSE())),"")</f>
        <v>0.6</v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/>
      <c r="H579" s="88" t="str">
        <f>IFERROR(IF($G579="","",$G579*$S$581/$G$581/Cadastro!$E$33),"")</f>
        <v/>
      </c>
      <c r="I579" s="90">
        <f>IFERROR(IF($D579="","",VLOOKUP($D579,Cadastro!$C$4:$G$7,5,FALSE())),"")</f>
        <v>0.6</v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/>
      <c r="H580" s="92" t="str">
        <f>IFERROR(IF($G580="","",$G580*$S$581/$G$581/Cadastro!$E$33),"")</f>
        <v/>
      </c>
      <c r="I580" s="93">
        <f>IFERROR(IF($D580="","",VLOOKUP($D580,Cadastro!$C$4:$G$7,5,FALSE())),"")</f>
        <v>0.6</v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71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298.2</v>
      </c>
      <c r="L581" s="72"/>
      <c r="M581" s="72"/>
      <c r="N581" s="72"/>
      <c r="O581" s="134"/>
      <c r="P581" s="134"/>
      <c r="Q581" s="73">
        <f ca="1">IFERROR(SUM(Q569:Q580),"")</f>
        <v>5.4380902780232887E-2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71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298.2</v>
      </c>
      <c r="L595" s="76"/>
      <c r="M595" s="76"/>
      <c r="N595" s="76"/>
      <c r="O595" s="135"/>
      <c r="P595" s="135"/>
      <c r="Q595" s="77">
        <f ca="1">IFERROR(Q581+Q594,"")</f>
        <v>5.4380902780232887E-2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265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L561:L900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2026-08-22T15:04:18Z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