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25" documentId="8_{AF585B22-221D-4780-BB9C-493D365A6A02}" xr6:coauthVersionLast="47" xr6:coauthVersionMax="47" xr10:uidLastSave="{419987A1-C35C-40B6-8B86-778A864A1EC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<sst xmlns="http://schemas.openxmlformats.org/spreadsheetml/2006/main" count="2375" uniqueCount="231">
  <si>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</si>
  <si>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</si>
  <si>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</si>
  <si>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</si>
  <si>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</si>
  <si>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</si>
  <si>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</si>
  <si>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</si>
  <si>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</si>
  <si>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</si>
  <si>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</si>
  <si>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</si>
  <si>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</si>
  <si>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</si>
  <si>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</si>
  <si>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</si>
  <si>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</si>
  <si>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</si>
  <si>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</si>
  <si>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</si>
  <si>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</si>
  <si>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</si>
  <si>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</si>
  <si>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</si>
  <si>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</si>
  <si>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</si>
  <si>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</si>
  <si>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</si>
  <si>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</si>
  <si>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</si>
  <si>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</si>
  <si>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</si>
  <si>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</si>
  <si>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</si>
  <si>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</si>
  <si>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</si>
  <si>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</si>
  <si>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</si>
  <si>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</si>
  <si>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</si>
  <si>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</si>
  <si>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</si>
  <si>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</si>
  <si>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</si>
  <si>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</si>
  <si>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</si>
  <si>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</si>
  <si>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</si>
  <si>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</si>
  <si>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</si>
  <si>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</si>
  <si>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</si>
  <si>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</si>
  <si>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</si>
  <si>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</si>
  <si>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</si>
  <si>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</si>
  <si>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</si>
  <si>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</si>
  <si>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</si>
  <si>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</si>
  <si>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</si>
  <si>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</si>
  <si>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</si>
  <si>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</si>
  <si>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</si>
  <si>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</si>
  <si>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</si>
  <si>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</si>
  <si>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</si>
  <si>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</si>
  <si>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</si>
  <si>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</si>
  <si>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</si>
  <si>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</si>
  <si>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</si>
  <si>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</si>
  <si>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</si>
  <si>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</si>
  <si>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</si>
  <si>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</si>
  <si>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</si>
  <si>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</si>
  <si>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</si>
  <si>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</si>
  <si>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</si>
  <si>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</si>
  <si>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</si>
  <si>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</si>
  <si>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</si>
  <si>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</si>
  <si>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</si>
  <si>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</si>
  <si>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</si>
  <si>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</si>
  <si>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</si>
  <si>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</si>
  <si>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</si>
  <si>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</si>
  <si>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</si>
  <si>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</si>
  <si>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</si>
  <si>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</si>
  <si>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</si>
  <si>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</si>
  <si>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</si>
  <si>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</si>
  <si>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</si>
  <si>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</si>
  <si>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</si>
  <si>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</si>
  <si>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</si>
  <si>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</si>
  <si>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</si>
  <si>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</si>
  <si>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</si>
  <si>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</si>
  <si>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</si>
  <si>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</si>
  <si>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</si>
  <si>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</si>
  <si>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</si>
  <si>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</si>
  <si>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</si>
  <si>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</si>
  <si>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</si>
  <si>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</si>
  <si>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</si>
  <si>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</si>
  <si>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</si>
  <si>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</si>
  <si>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</si>
  <si>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</si>
  <si>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</si>
  <si>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</si>
  <si>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</si>
  <si>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</si>
  <si>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</si>
  <si>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</si>
  <si>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</si>
  <si>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</si>
  <si>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</si>
  <si>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</si>
  <si>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</si>
  <si>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</si>
  <si>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</si>
  <si>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</si>
  <si>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</si>
  <si>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</si>
  <si>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</si>
  <si>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</si>
  <si>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</si>
  <si>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</si>
  <si>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</si>
  <si>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</si>
  <si>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</si>
  <si>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</si>
  <si>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</si>
  <si>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</si>
  <si>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</si>
  <si>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</si>
  <si>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</si>
  <si>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</si>
  <si>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</si>
  <si>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</si>
  <si>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</si>
  <si>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</si>
  <si>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</si>
  <si>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</si>
  <si>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</si>
  <si>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</si>
  <si>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</si>
  <si>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</si>
  <si>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</si>
  <si>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</si>
  <si>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</si>
  <si>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</si>
  <si>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</si>
  <si>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</si>
  <si>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</si>
  <si>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</si>
  <si>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</si>
  <si>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</si>
  <si>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</si>
  <si>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</si>
  <si>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</si>
  <si>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</si>
  <si>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</si>
  <si>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</si>
  <si>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</si>
  <si>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</si>
  <si>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</si>
  <si>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</si>
  <si>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</si>
  <si>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</si>
  <si>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</si>
  <si>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</si>
  <si>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</si>
  <si>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</si>
  <si>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</si>
  <si>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</si>
  <si>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</si>
  <si>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</si>
  <si>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</si>
  <si>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</si>
  <si>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</si>
  <si>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</si>
  <si>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</si>
  <si>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</si>
  <si>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</si>
  <si>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</si>
  <si>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</si>
  <si>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</si>
  <si>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</si>
  <si>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</si>
  <si>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</si>
  <si>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</si>
  <si>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</si>
  <si>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</si>
  <si>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</si>
  <si>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</si>
  <si>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</si>
  <si>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</si>
  <si>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</si>
  <si>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</si>
  <si>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</si>
  <si>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</si>
  <si>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</si>
  <si>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</si>
  <si>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</si>
  <si>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borracha sain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</si>
</sst>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134</v>
      </c>
      <c r="K96" s="29">
        <v>0.98263888888888884</v>
      </c>
      <c r="L96" s="29"/>
      <c r="M96" s="30">
        <f t="shared" ref="M96:M107" ca="1" si="22">IFERROR(IF(K96="","",IF(L96="",MOD(NOW()-K96,1),IF(L96&gt;=K96,L96-K96,L96+1-K96))),"")</f>
        <v>3.1170717593340669E-2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76</v>
      </c>
      <c r="G108" s="36">
        <f>SUM(G96:G107)</f>
        <v>319.2</v>
      </c>
      <c r="H108" s="37"/>
      <c r="I108" s="37"/>
      <c r="J108" s="37"/>
      <c r="K108" s="37"/>
      <c r="L108" s="37"/>
      <c r="M108" s="38">
        <f ca="1">IFERROR(SUM(M96:M107),"")</f>
        <v>3.1170717593340669E-2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188</v>
      </c>
      <c r="G109" s="40">
        <f>G95+G108</f>
        <v>838.40000000000009</v>
      </c>
      <c r="H109" s="41"/>
      <c r="I109" s="41"/>
      <c r="J109" s="41"/>
      <c r="K109" s="41"/>
      <c r="L109" s="41"/>
      <c r="M109" s="42">
        <f ca="1">IFERROR(M95+M108,"")</f>
        <v>0.29297627314889624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0.13811516203713836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0.13811516203713836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0.33950405092602726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J101" sqref="J1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1.5892939816694707E-2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5.0615162038917028E-2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0.23880960648336153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2026-07-05T04:20:26Z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