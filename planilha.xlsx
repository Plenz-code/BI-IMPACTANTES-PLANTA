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230" documentId="8_{AF585B22-221D-4780-BB9C-493D365A6A02}" xr6:coauthVersionLast="47" xr6:coauthVersionMax="47" xr10:uidLastSave="{FE51C8D0-535F-442E-B7A6-5A51572F5749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<sst xmlns="http://schemas.openxmlformats.org/spreadsheetml/2006/main" count="11189" uniqueCount="415">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</sst>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4" sqref="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1888710</v>
      </c>
      <c r="D31" s="11">
        <f>IFERROR('Linha 1'!O757,"")</f>
        <v>658990</v>
      </c>
      <c r="E31" s="11">
        <f>IFERROR('Linha 2'!O757,"")</f>
        <v>176540</v>
      </c>
      <c r="F31" s="11">
        <f>IFERROR('Linha 3'!O757,"")</f>
        <v>635080</v>
      </c>
      <c r="G31" s="12">
        <f t="shared" si="0"/>
        <v>1470610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84131518</v>
      </c>
      <c r="D35" s="13">
        <f>IFERROR(SUM(D4:D34),"")</f>
        <v>33994380</v>
      </c>
      <c r="E35" s="13">
        <f>IFERROR(SUM(E4:E34),"")</f>
        <v>19455040</v>
      </c>
      <c r="F35" s="13">
        <f>IFERROR(SUM(F4:F34),"")</f>
        <v>35457290</v>
      </c>
      <c r="G35" s="13">
        <f>IFERROR(SUM(G4:G34),"")</f>
        <v>88906710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27" activePane="bottomLeft" state="frozen"/>
      <selection pane="bottomLeft" activeCell="O744" sqref="O74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>
        <v>1145450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269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231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231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231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231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231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231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231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231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231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231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231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36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413</v>
      </c>
      <c r="G757" s="40">
        <f>G743+G756</f>
        <v>2040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1888710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24" activePane="bottomLeft" state="frozen"/>
      <selection pane="bottomLeft" activeCell="O744" sqref="O74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271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272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273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274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275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276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277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278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279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280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281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282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286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287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288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289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290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284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291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292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293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295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296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299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300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0.54180682870355668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0.69944571759244556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0.80916793981466772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284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301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302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303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0.5202790509283659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0.6911123842616993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0.83625127315058823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305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306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307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308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309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310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311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312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313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314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315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317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320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321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322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323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324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325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326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327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328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330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>
        <v>766420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331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332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234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135</v>
      </c>
      <c r="G757" s="40">
        <f>G743+G756</f>
        <v>567</v>
      </c>
      <c r="H757" s="41"/>
      <c r="I757" s="41"/>
      <c r="J757" s="41"/>
      <c r="K757" s="41"/>
      <c r="L757" s="41"/>
      <c r="M757" s="42">
        <f ca="1">IFERROR(M743+M756,"")</f>
        <v>7.0138888888888862E-2</v>
      </c>
      <c r="N757" s="40" t="s">
        <v>237</v>
      </c>
      <c r="O757" s="83">
        <f>IFERROR(O743+O756,"")</f>
        <v>658990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28" zoomScale="50" zoomScaleNormal="50" workbookViewId="0">
      <selection activeCell="O744" sqref="O74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333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335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306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336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281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283</v>
      </c>
      <c r="K141" s="29">
        <v>0.71597222222222223</v>
      </c>
      <c r="L141" s="29" t="s">
        <v>338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340</v>
      </c>
      <c r="N166" s="27" t="s">
        <v>341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342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343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344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348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303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352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353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354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355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356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357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358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322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360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361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306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>
        <v>175420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258</v>
      </c>
      <c r="F731" s="27">
        <v>1</v>
      </c>
      <c r="G731" s="34">
        <f t="shared" ref="G731:G740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258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258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258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258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320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258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258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258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258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258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258</v>
      </c>
      <c r="F741" s="27">
        <v>6</v>
      </c>
      <c r="G741" s="34">
        <f>IF(F741="","",IF(E742="PC 17",F741*4.2,IF(E742="PC 19",F741*5,"")))</f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258</v>
      </c>
      <c r="F742" s="27">
        <v>6</v>
      </c>
      <c r="G742" s="28" t="e">
        <f>IF(F742="","",IF(#REF!="PC 17",F742*4.2,IF(#REF!="PC 19",F742*5,"")))</f>
        <v>#REF!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 t="e">
        <f>SUM(G731:G742)</f>
        <v>#REF!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234</v>
      </c>
      <c r="O743" s="39">
        <v>176540</v>
      </c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65</v>
      </c>
      <c r="G757" s="40" t="e">
        <f>G743+G756</f>
        <v>#REF!</v>
      </c>
      <c r="H757" s="41"/>
      <c r="I757" s="41"/>
      <c r="J757" s="41"/>
      <c r="K757" s="41"/>
      <c r="L757" s="41"/>
      <c r="M757" s="42">
        <f ca="1">IFERROR(M743+M756,"")</f>
        <v>6.458333333333327E-2</v>
      </c>
      <c r="N757" s="40" t="s">
        <v>237</v>
      </c>
      <c r="O757" s="48">
        <f>IFERROR(O743+O756,"")</f>
        <v>176540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728" activePane="bottomLeft" state="frozen"/>
      <selection pane="bottomLeft" activeCell="O744" sqref="O74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362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306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363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364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365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366</v>
      </c>
      <c r="L58" s="29">
        <v>0.54097222222222219</v>
      </c>
      <c r="M58" s="30" t="str">
        <f t="shared" ca="1" si="13"/>
        <v/>
      </c>
      <c r="N58" s="27" t="s">
        <v>367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368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369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370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371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372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373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374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375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0.5320846064860234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281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0.73139016204157903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1.0987512731526901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376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378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379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380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381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382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383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385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386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387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278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306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389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391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378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392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393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394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317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371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371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399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400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401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402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403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404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405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406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407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408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409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410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411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278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320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412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>
        <v>852470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413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414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234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157</v>
      </c>
      <c r="G757" s="40">
        <f>G743+G756</f>
        <v>659.4</v>
      </c>
      <c r="H757" s="41"/>
      <c r="I757" s="41"/>
      <c r="J757" s="41"/>
      <c r="K757" s="63"/>
      <c r="L757" s="63"/>
      <c r="M757" s="42">
        <f ca="1">IFERROR(M743+M756,"")</f>
        <v>1.1083333333333334</v>
      </c>
      <c r="N757" s="40" t="s">
        <v>237</v>
      </c>
      <c r="O757" s="48">
        <f>IFERROR(O743+O756,"")</f>
        <v>635080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2026-07-28T22:45:46Z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