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41" documentId="13_ncr:1_{A6DBCFB4-28D9-4249-9038-216934055CA6}" xr6:coauthVersionLast="47" xr6:coauthVersionMax="47" xr10:uidLastSave="{3654B44F-64B3-42A6-AD2A-C754D730EE8F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<sst xmlns="http://schemas.openxmlformats.org/spreadsheetml/2006/main" count="11065" uniqueCount="448">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</sst>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74" sqref="F67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396</v>
      </c>
      <c r="G675" s="2">
        <f>SUM(G663:G674)</f>
        <v>1971.2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723</v>
      </c>
      <c r="G676" s="1">
        <f>G662+G675</f>
        <v>3606.2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75" sqref="G67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0.15768101851426763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0.29656990740315536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0.38129212962537817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/>
      <c r="Q669" s="70">
        <f t="shared" ca="1" si="176"/>
        <v>2.2264351850026287E-2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4"/>
        <v>0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0</v>
      </c>
      <c r="I673" s="89">
        <f>IFERROR(IF($D673="","",VLOOKUP($D673,Cadastro!$C$4:$G$7,5,FALSE())),"")</f>
        <v>0.6</v>
      </c>
      <c r="J673" s="90">
        <f t="shared" si="174"/>
        <v>0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0</v>
      </c>
      <c r="I674" s="92">
        <f>IFERROR(IF($D674="","",VLOOKUP($D674,Cadastro!$C$4:$G$7,5,FALSE())),"")</f>
        <v>0.6</v>
      </c>
      <c r="J674" s="93">
        <f t="shared" si="174"/>
        <v>0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0.29101435185002611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0.65559768518335937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75" sqref="G67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1"/>
        <v>0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1"/>
        <v>0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1"/>
        <v>0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1"/>
        <v>0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1"/>
        <v>0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0</v>
      </c>
      <c r="I673" s="89">
        <f>IFERROR(IF($D673="","",VLOOKUP($D673,Cadastro!$C$4:$G$7,5,FALSE())),"")</f>
        <v>0.6</v>
      </c>
      <c r="J673" s="90">
        <f t="shared" si="171"/>
        <v>0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0</v>
      </c>
      <c r="I674" s="92">
        <f>IFERROR(IF($D674="","",VLOOKUP($D674,Cadastro!$C$4:$G$7,5,FALSE())),"")</f>
        <v>0.6</v>
      </c>
      <c r="J674" s="93">
        <f t="shared" si="171"/>
        <v>0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5" activePane="bottomLeft" state="frozen"/>
      <selection pane="bottomLeft" activeCell="L666" sqref="L666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/>
      <c r="Q665" s="70">
        <f t="shared" ca="1" si="176"/>
        <v>7.3657407483551651E-4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4"/>
        <v>0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0</v>
      </c>
      <c r="I673" s="89">
        <f>IFERROR(IF($D673="","",VLOOKUP($D673,Cadastro!$C$4:$G$7,5,FALSE())),"")</f>
        <v>0.6</v>
      </c>
      <c r="J673" s="90">
        <f t="shared" si="174"/>
        <v>0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0</v>
      </c>
      <c r="I674" s="92">
        <f>IFERROR(IF($D674="","",VLOOKUP($D674,Cadastro!$C$4:$G$7,5,FALSE())),"")</f>
        <v>0.6</v>
      </c>
      <c r="J674" s="93">
        <f t="shared" si="174"/>
        <v>0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4.1014351852613345E-2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0.30559768518594654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2026-08-26T10:42:20Z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