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068" documentId="8_{1D11E9C4-FEA4-4128-910F-91CB6BBF9255}" xr6:coauthVersionLast="47" xr6:coauthVersionMax="47" xr10:uidLastSave="{0CBCCE09-8EE1-412B-8E56-62939B4AFBCE}"/>
  <bookViews>
    <workbookView xWindow="-108" yWindow="-108" windowWidth="23256" windowHeight="12456" tabRatio="500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809" i="4" l="1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F800" i="4"/>
  <c r="L799" i="4"/>
  <c r="F799" i="4"/>
  <c r="L798" i="4"/>
  <c r="F798" i="4"/>
  <c r="L796" i="4"/>
  <c r="F796" i="4"/>
  <c r="L795" i="4"/>
  <c r="F795" i="4"/>
  <c r="L794" i="4"/>
  <c r="F794" i="4"/>
  <c r="L793" i="4"/>
  <c r="F793" i="4"/>
  <c r="L792" i="4"/>
  <c r="F792" i="4"/>
  <c r="L791" i="4"/>
  <c r="F791" i="4"/>
  <c r="L790" i="4"/>
  <c r="F790" i="4"/>
  <c r="L789" i="4"/>
  <c r="F789" i="4"/>
  <c r="L788" i="4"/>
  <c r="F788" i="4"/>
  <c r="L787" i="4"/>
  <c r="F787" i="4"/>
  <c r="L786" i="4"/>
  <c r="F786" i="4"/>
  <c r="L785" i="4"/>
  <c r="F785" i="4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F801" i="3"/>
  <c r="L800" i="3"/>
  <c r="F800" i="3"/>
  <c r="L799" i="3"/>
  <c r="F799" i="3"/>
  <c r="L798" i="3"/>
  <c r="F798" i="3"/>
  <c r="L796" i="3"/>
  <c r="F796" i="3"/>
  <c r="L795" i="3"/>
  <c r="F795" i="3"/>
  <c r="L794" i="3"/>
  <c r="F794" i="3"/>
  <c r="L793" i="3"/>
  <c r="F793" i="3"/>
  <c r="L792" i="3"/>
  <c r="F792" i="3"/>
  <c r="L791" i="3"/>
  <c r="F791" i="3"/>
  <c r="L790" i="3"/>
  <c r="F790" i="3"/>
  <c r="L789" i="3"/>
  <c r="F789" i="3"/>
  <c r="L788" i="3"/>
  <c r="F788" i="3"/>
  <c r="L787" i="3"/>
  <c r="F787" i="3"/>
  <c r="L786" i="3"/>
  <c r="F786" i="3"/>
  <c r="L785" i="3"/>
  <c r="F785" i="3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F800" i="5"/>
  <c r="L799" i="5"/>
  <c r="F799" i="5"/>
  <c r="L798" i="5"/>
  <c r="F798" i="5"/>
  <c r="L796" i="5"/>
  <c r="F796" i="5"/>
  <c r="L795" i="5"/>
  <c r="F795" i="5"/>
  <c r="L794" i="5"/>
  <c r="F794" i="5"/>
  <c r="L793" i="5"/>
  <c r="F793" i="5"/>
  <c r="L792" i="5"/>
  <c r="F792" i="5"/>
  <c r="L791" i="5"/>
  <c r="F791" i="5"/>
  <c r="L790" i="5"/>
  <c r="F790" i="5"/>
  <c r="L789" i="5"/>
  <c r="F789" i="5"/>
  <c r="L788" i="5"/>
  <c r="F788" i="5"/>
  <c r="L787" i="5"/>
  <c r="F787" i="5"/>
  <c r="L786" i="5"/>
  <c r="F786" i="5"/>
  <c r="L785" i="5"/>
  <c r="F785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E797" i="2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716" i="5" l="1"/>
  <c r="E811" i="5"/>
  <c r="F810" i="4"/>
  <c r="E811" i="3"/>
  <c r="F810" i="2"/>
  <c r="E811" i="2"/>
  <c r="F797" i="4"/>
  <c r="L14" i="2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730" i="4" l="1"/>
  <c r="F730" i="3"/>
  <c r="F811" i="2"/>
  <c r="F811" i="4"/>
  <c r="F811" i="3"/>
  <c r="L811" i="4"/>
  <c r="L811" i="3"/>
  <c r="F811" i="5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<sst xmlns="http://schemas.openxmlformats.org/spreadsheetml/2006/main" count="7778" uniqueCount="354">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</sst>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2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0" fillId="17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31" activePane="bottomLeft" state="frozen"/>
      <selection pane="bottomLeft" activeCell="G33" sqref="G33"/>
    </sheetView>
  </sheetViews>
  <sheetFormatPr defaultColWidth="8.5546875" defaultRowHeight="14.4" x14ac:dyDescent="0.3"/>
  <cols>
    <col min="1" max="1" width="8.5546875" customWidth="1"/>
    <col min="2" max="2" width="17.44140625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92" t="s">
        <v>0</v>
      </c>
      <c r="B1" s="92"/>
      <c r="C1" s="92"/>
      <c r="D1" s="92"/>
      <c r="E1" s="92"/>
      <c r="F1" s="92"/>
      <c r="G1" s="92"/>
    </row>
    <row r="2" spans="1:7" ht="25.35" customHeight="1" x14ac:dyDescent="0.3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 x14ac:dyDescent="0.3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 x14ac:dyDescent="0.3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 x14ac:dyDescent="0.3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 x14ac:dyDescent="0.3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 x14ac:dyDescent="0.3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 x14ac:dyDescent="0.3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 x14ac:dyDescent="0.3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 x14ac:dyDescent="0.3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 x14ac:dyDescent="0.3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 x14ac:dyDescent="0.3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 x14ac:dyDescent="0.3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 x14ac:dyDescent="0.3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 x14ac:dyDescent="0.3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 x14ac:dyDescent="0.3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 x14ac:dyDescent="0.3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 x14ac:dyDescent="0.3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 x14ac:dyDescent="0.3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 x14ac:dyDescent="0.3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 x14ac:dyDescent="0.3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 x14ac:dyDescent="0.3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 x14ac:dyDescent="0.3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 x14ac:dyDescent="0.3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 x14ac:dyDescent="0.3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 x14ac:dyDescent="0.3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 x14ac:dyDescent="0.3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 x14ac:dyDescent="0.3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 x14ac:dyDescent="0.3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 x14ac:dyDescent="0.3">
      <c r="A30" s="47">
        <v>27</v>
      </c>
      <c r="B30" s="48">
        <v>46200</v>
      </c>
      <c r="C30" s="49">
        <f>IFERROR(Britador!N730,"")</f>
        <v>1350000</v>
      </c>
      <c r="D30" s="49">
        <f>IFERROR('Linha 1'!N730,"")</f>
        <v>680000</v>
      </c>
      <c r="E30" s="49">
        <f>IFERROR('Linha 2'!N730,"")</f>
        <v>980000</v>
      </c>
      <c r="F30" s="49">
        <f>IFERROR('Linha 3'!N730,"")</f>
        <v>1000000</v>
      </c>
      <c r="G30" s="50">
        <f t="shared" si="0"/>
        <v>2660000</v>
      </c>
    </row>
    <row r="31" spans="1:7" ht="15.75" customHeight="1" x14ac:dyDescent="0.3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 x14ac:dyDescent="0.3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 x14ac:dyDescent="0.3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 x14ac:dyDescent="0.3">
      <c r="A34" s="94" t="s">
        <v>9</v>
      </c>
      <c r="B34" s="94"/>
      <c r="C34" s="55">
        <f t="shared" ref="C34:G34" si="1">IFERROR(SUM(C4:C33),"")</f>
        <v>45965590</v>
      </c>
      <c r="D34" s="55">
        <f t="shared" si="1"/>
        <v>22922420</v>
      </c>
      <c r="E34" s="55">
        <f t="shared" si="1"/>
        <v>9552600</v>
      </c>
      <c r="F34" s="55">
        <f t="shared" si="1"/>
        <v>25933925</v>
      </c>
      <c r="G34" s="55">
        <f t="shared" si="1"/>
        <v>58408945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332031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 x14ac:dyDescent="0.3">
      <c r="H2" s="96"/>
    </row>
    <row r="3" spans="1:13" ht="21.75" customHeight="1" x14ac:dyDescent="0.3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 x14ac:dyDescent="0.3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 x14ac:dyDescent="0.3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 x14ac:dyDescent="0.3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 x14ac:dyDescent="0.3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 x14ac:dyDescent="0.3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 x14ac:dyDescent="0.3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 x14ac:dyDescent="0.3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 x14ac:dyDescent="0.3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 x14ac:dyDescent="0.3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 x14ac:dyDescent="0.3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 x14ac:dyDescent="0.3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 x14ac:dyDescent="0.3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 x14ac:dyDescent="0.3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 x14ac:dyDescent="0.3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 x14ac:dyDescent="0.3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 x14ac:dyDescent="0.3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 x14ac:dyDescent="0.3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 x14ac:dyDescent="0.3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 x14ac:dyDescent="0.3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 x14ac:dyDescent="0.3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 x14ac:dyDescent="0.3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 x14ac:dyDescent="0.3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 x14ac:dyDescent="0.3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 x14ac:dyDescent="0.3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 x14ac:dyDescent="0.3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 x14ac:dyDescent="0.3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 x14ac:dyDescent="0.3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 x14ac:dyDescent="0.3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 x14ac:dyDescent="0.3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 x14ac:dyDescent="0.3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 x14ac:dyDescent="0.3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 x14ac:dyDescent="0.3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 x14ac:dyDescent="0.3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 x14ac:dyDescent="0.3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 x14ac:dyDescent="0.3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 x14ac:dyDescent="0.3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 x14ac:dyDescent="0.3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 x14ac:dyDescent="0.3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 x14ac:dyDescent="0.3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 x14ac:dyDescent="0.3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/>
    </row>
    <row r="44" spans="1:13" ht="15.75" customHeight="1" x14ac:dyDescent="0.3">
      <c r="A44" s="3"/>
      <c r="C44" s="3"/>
      <c r="E44" s="3"/>
      <c r="G44" s="3"/>
      <c r="H44" s="96"/>
      <c r="I44" s="3"/>
      <c r="J44" s="3"/>
      <c r="K44" s="3" t="s">
        <v>169</v>
      </c>
      <c r="L44" s="3"/>
      <c r="M44" s="3"/>
    </row>
    <row r="45" spans="1:13" ht="15.75" customHeight="1" x14ac:dyDescent="0.3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 x14ac:dyDescent="0.3">
      <c r="A46" s="3"/>
      <c r="C46" s="3"/>
      <c r="E46" s="3"/>
      <c r="G46" s="3"/>
      <c r="H46" s="96"/>
      <c r="I46" s="3"/>
      <c r="J46" s="3"/>
      <c r="K46" s="3" t="s">
        <v>170</v>
      </c>
      <c r="L46" s="3"/>
      <c r="M46" s="3"/>
    </row>
    <row r="47" spans="1:13" ht="15.75" customHeight="1" x14ac:dyDescent="0.3">
      <c r="A47" s="4"/>
      <c r="C47" s="4"/>
      <c r="E47" s="4"/>
      <c r="G47" s="4"/>
      <c r="H47" s="96"/>
      <c r="I47" s="4"/>
      <c r="J47" s="4"/>
      <c r="K47" s="4" t="s">
        <v>171</v>
      </c>
      <c r="L47" s="4"/>
      <c r="M47" s="4"/>
    </row>
    <row r="48" spans="1:13" ht="15.75" customHeight="1" x14ac:dyDescent="0.3">
      <c r="A48" s="3"/>
      <c r="C48" s="3"/>
      <c r="E48" s="3"/>
      <c r="G48" s="3"/>
      <c r="H48" s="96"/>
      <c r="I48" s="3"/>
      <c r="J48" s="3"/>
      <c r="K48" s="3" t="s">
        <v>172</v>
      </c>
      <c r="L48" s="3"/>
      <c r="M48" s="3"/>
    </row>
    <row r="49" spans="1:13" ht="18" customHeight="1" x14ac:dyDescent="0.3">
      <c r="H49" s="96"/>
      <c r="I49" s="4"/>
      <c r="J49" s="4"/>
      <c r="K49" s="4" t="s">
        <v>173</v>
      </c>
      <c r="L49" s="4"/>
      <c r="M49" s="4"/>
    </row>
    <row r="50" spans="1:13" ht="21" customHeight="1" x14ac:dyDescent="0.3">
      <c r="A50" s="6" t="s">
        <v>174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 x14ac:dyDescent="0.3">
      <c r="H51" s="96"/>
      <c r="I51" s="4"/>
      <c r="J51" s="4"/>
      <c r="K51" s="4"/>
      <c r="L51" s="4"/>
      <c r="M51" s="4"/>
    </row>
    <row r="52" spans="1:13" ht="24" customHeight="1" x14ac:dyDescent="0.3">
      <c r="H52" s="96"/>
      <c r="I52" s="3"/>
      <c r="J52" s="3"/>
      <c r="K52" s="3"/>
      <c r="L52" s="3"/>
      <c r="M52" s="3"/>
    </row>
    <row r="53" spans="1:13" ht="36" customHeight="1" x14ac:dyDescent="0.3">
      <c r="H53" s="96"/>
      <c r="I53" s="4"/>
      <c r="J53" s="4"/>
      <c r="K53" s="4"/>
      <c r="L53" s="4"/>
      <c r="M53" s="4"/>
    </row>
    <row r="54" spans="1:13" ht="15" customHeight="1" x14ac:dyDescent="0.3">
      <c r="H54" s="96"/>
      <c r="I54" s="3"/>
      <c r="J54" s="3"/>
      <c r="K54" s="3"/>
      <c r="L54" s="3"/>
      <c r="M54" s="3"/>
    </row>
    <row r="55" spans="1:13" ht="15" customHeight="1" x14ac:dyDescent="0.3">
      <c r="H55" s="96"/>
      <c r="I55" s="4"/>
      <c r="J55" s="4"/>
      <c r="K55" s="4"/>
      <c r="L55" s="4"/>
      <c r="M55" s="4"/>
    </row>
    <row r="56" spans="1:13" ht="15" customHeight="1" x14ac:dyDescent="0.3">
      <c r="H56" s="96"/>
      <c r="I56" s="3"/>
      <c r="J56" s="3"/>
      <c r="K56" s="3"/>
      <c r="L56" s="3"/>
      <c r="M56" s="3"/>
    </row>
    <row r="57" spans="1:13" ht="15" customHeight="1" x14ac:dyDescent="0.3">
      <c r="H57" s="96"/>
      <c r="I57" s="4"/>
      <c r="J57" s="4"/>
      <c r="K57" s="4"/>
      <c r="L57" s="4"/>
      <c r="M57" s="4"/>
    </row>
    <row r="58" spans="1:13" ht="15" customHeight="1" x14ac:dyDescent="0.3">
      <c r="H58" s="96"/>
      <c r="I58" s="3"/>
      <c r="J58" s="3"/>
      <c r="K58" s="3"/>
      <c r="L58" s="3"/>
      <c r="M58" s="3"/>
    </row>
    <row r="59" spans="1:13" ht="15" customHeight="1" x14ac:dyDescent="0.3">
      <c r="H59" s="96"/>
      <c r="I59" s="4"/>
      <c r="J59" s="4"/>
      <c r="K59" s="4"/>
      <c r="L59" s="4"/>
      <c r="M59" s="4"/>
    </row>
    <row r="60" spans="1:13" ht="15" customHeight="1" x14ac:dyDescent="0.3">
      <c r="H60" s="96"/>
      <c r="I60" s="3"/>
      <c r="J60" s="3"/>
      <c r="K60" s="3"/>
      <c r="L60" s="3"/>
      <c r="M60" s="3"/>
    </row>
    <row r="61" spans="1:13" ht="15" customHeight="1" x14ac:dyDescent="0.3">
      <c r="H61" s="96"/>
      <c r="I61" s="4"/>
      <c r="J61" s="4"/>
      <c r="K61" s="4"/>
      <c r="L61" s="4"/>
      <c r="M61" s="4"/>
    </row>
    <row r="62" spans="1:13" ht="15" customHeight="1" x14ac:dyDescent="0.3">
      <c r="H62" s="96"/>
      <c r="I62" s="3"/>
      <c r="J62" s="3"/>
      <c r="K62" s="3"/>
      <c r="L62" s="3"/>
      <c r="M62" s="3"/>
    </row>
    <row r="63" spans="1:13" ht="15" customHeight="1" x14ac:dyDescent="0.3">
      <c r="H63" s="96"/>
      <c r="I63" s="4"/>
      <c r="J63" s="4"/>
      <c r="K63" s="4"/>
      <c r="L63" s="4"/>
      <c r="M63" s="4"/>
    </row>
    <row r="64" spans="1:13" ht="15" customHeight="1" x14ac:dyDescent="0.3">
      <c r="H64" s="96"/>
      <c r="I64" s="3"/>
      <c r="J64" s="3"/>
      <c r="K64" s="3"/>
      <c r="L64" s="3"/>
      <c r="M64" s="3"/>
    </row>
    <row r="65" spans="8:13" ht="15" customHeight="1" x14ac:dyDescent="0.3">
      <c r="H65" s="96"/>
      <c r="I65" s="4"/>
      <c r="J65" s="4"/>
      <c r="K65" s="4"/>
      <c r="L65" s="4"/>
      <c r="M65" s="4"/>
    </row>
    <row r="66" spans="8:13" ht="15" customHeight="1" x14ac:dyDescent="0.3">
      <c r="H66" s="96"/>
      <c r="I66" s="3"/>
      <c r="J66" s="3"/>
      <c r="K66" s="3"/>
      <c r="L66" s="3"/>
      <c r="M66" s="3"/>
    </row>
    <row r="67" spans="8:13" ht="15" customHeight="1" x14ac:dyDescent="0.3">
      <c r="H67" s="96"/>
      <c r="I67" s="4"/>
      <c r="J67" s="4"/>
      <c r="K67" s="4"/>
      <c r="L67" s="4"/>
      <c r="M67" s="4"/>
    </row>
    <row r="68" spans="8:13" ht="15" customHeight="1" x14ac:dyDescent="0.3">
      <c r="H68" s="96"/>
      <c r="I68" s="3"/>
      <c r="J68" s="3"/>
      <c r="K68" s="3"/>
      <c r="L68" s="3"/>
      <c r="M68" s="3"/>
    </row>
    <row r="69" spans="8:13" ht="15" customHeight="1" x14ac:dyDescent="0.3">
      <c r="H69" s="96"/>
      <c r="I69" s="4"/>
      <c r="J69" s="4"/>
      <c r="K69" s="4"/>
      <c r="L69" s="4"/>
      <c r="M69" s="4"/>
    </row>
    <row r="70" spans="8:13" ht="15" customHeight="1" x14ac:dyDescent="0.3">
      <c r="H70" s="96"/>
      <c r="I70" s="3"/>
      <c r="J70" s="3"/>
      <c r="K70" s="3"/>
      <c r="L70" s="3"/>
      <c r="M70" s="3"/>
    </row>
    <row r="71" spans="8:13" ht="15" customHeight="1" x14ac:dyDescent="0.3">
      <c r="H71" s="96"/>
      <c r="I71" s="4"/>
      <c r="J71" s="4"/>
      <c r="K71" s="4"/>
      <c r="L71" s="4"/>
      <c r="M71" s="4"/>
    </row>
    <row r="72" spans="8:13" ht="15" customHeight="1" x14ac:dyDescent="0.3">
      <c r="H72" s="96"/>
      <c r="I72" s="3"/>
      <c r="J72" s="3"/>
      <c r="K72" s="3"/>
      <c r="L72" s="3"/>
      <c r="M72" s="3"/>
    </row>
    <row r="73" spans="8:13" ht="15" customHeight="1" x14ac:dyDescent="0.3">
      <c r="H73" s="96"/>
      <c r="I73" s="4"/>
      <c r="J73" s="4"/>
      <c r="K73" s="4"/>
      <c r="L73" s="4"/>
      <c r="M73" s="4"/>
    </row>
    <row r="74" spans="8:13" ht="15" customHeight="1" x14ac:dyDescent="0.3">
      <c r="H74" s="96"/>
      <c r="I74" s="3"/>
      <c r="J74" s="3"/>
      <c r="K74" s="3"/>
      <c r="L74" s="3"/>
      <c r="M74" s="3"/>
    </row>
    <row r="75" spans="8:13" ht="15" customHeight="1" x14ac:dyDescent="0.3">
      <c r="H75" s="96"/>
      <c r="I75" s="4"/>
      <c r="J75" s="4"/>
      <c r="K75" s="4"/>
      <c r="L75" s="4"/>
      <c r="M75" s="4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P811"/>
  <sheetViews>
    <sheetView showGridLines="0" tabSelected="1" zoomScale="60" zoomScaleNormal="60" workbookViewId="0">
      <pane ySplit="1" topLeftCell="A700" activePane="bottomLeft" state="frozen"/>
      <selection pane="bottomLeft" activeCell="P725" sqref="P725"/>
    </sheetView>
  </sheetViews>
  <sheetFormatPr defaultColWidth="8.5546875" defaultRowHeight="14.4" x14ac:dyDescent="0.3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09375" style="7" customWidth="1"/>
    <col min="8" max="8" width="23.44140625" style="7" customWidth="1"/>
    <col min="9" max="9" width="43.109375" style="7" customWidth="1"/>
    <col min="10" max="10" width="14" style="7" customWidth="1"/>
    <col min="11" max="11" width="13.109375" style="7" customWidth="1"/>
    <col min="12" max="12" width="14" style="74" customWidth="1"/>
    <col min="13" max="13" width="50.44140625" style="7" customWidth="1"/>
    <col min="14" max="14" width="14" style="7" customWidth="1"/>
  </cols>
  <sheetData>
    <row r="1" spans="1:14" ht="37.5" customHeight="1" x14ac:dyDescent="0.3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177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 x14ac:dyDescent="0.3">
      <c r="A14" s="98" t="s">
        <v>185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186</v>
      </c>
      <c r="N14" s="20">
        <v>2154940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98" t="s">
        <v>187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186</v>
      </c>
      <c r="N27" s="20">
        <v>0</v>
      </c>
    </row>
    <row r="28" spans="1:14" ht="18" customHeight="1" x14ac:dyDescent="0.3">
      <c r="A28" s="90" t="s">
        <v>188</v>
      </c>
      <c r="B28" s="90"/>
      <c r="C28" s="90"/>
      <c r="D28" s="90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189</v>
      </c>
      <c r="N28" s="23">
        <f>IFERROR(N14+N27,"")</f>
        <v>2154940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98" t="s">
        <v>185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186</v>
      </c>
      <c r="N41" s="20">
        <v>1270000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98" t="s">
        <v>187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186</v>
      </c>
      <c r="N54" s="20">
        <v>125660</v>
      </c>
    </row>
    <row r="55" spans="1:14" ht="18" customHeight="1" x14ac:dyDescent="0.3">
      <c r="A55" s="90" t="s">
        <v>188</v>
      </c>
      <c r="B55" s="90"/>
      <c r="C55" s="90"/>
      <c r="D55" s="90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189</v>
      </c>
      <c r="N55" s="23">
        <f>IFERROR(N41+N54,"")</f>
        <v>1395660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 x14ac:dyDescent="0.3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 x14ac:dyDescent="0.3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 x14ac:dyDescent="0.3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 x14ac:dyDescent="0.3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 x14ac:dyDescent="0.3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 x14ac:dyDescent="0.3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 x14ac:dyDescent="0.3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 x14ac:dyDescent="0.3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 x14ac:dyDescent="0.3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 x14ac:dyDescent="0.3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 x14ac:dyDescent="0.3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 x14ac:dyDescent="0.3">
      <c r="A68" s="98" t="s">
        <v>185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186</v>
      </c>
      <c r="N68" s="20">
        <v>126600</v>
      </c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 x14ac:dyDescent="0.3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 x14ac:dyDescent="0.3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 x14ac:dyDescent="0.3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 x14ac:dyDescent="0.3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 x14ac:dyDescent="0.3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 x14ac:dyDescent="0.3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 x14ac:dyDescent="0.3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 x14ac:dyDescent="0.3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 x14ac:dyDescent="0.3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 x14ac:dyDescent="0.3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 x14ac:dyDescent="0.3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 x14ac:dyDescent="0.3">
      <c r="A81" s="98" t="s">
        <v>187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186</v>
      </c>
      <c r="N81" s="20">
        <v>580300</v>
      </c>
    </row>
    <row r="82" spans="1:14" ht="18" customHeight="1" x14ac:dyDescent="0.3">
      <c r="A82" s="90" t="s">
        <v>188</v>
      </c>
      <c r="B82" s="90"/>
      <c r="C82" s="90"/>
      <c r="D82" s="90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189</v>
      </c>
      <c r="N82" s="23">
        <f>IFERROR(N68+N81,"")</f>
        <v>706900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 x14ac:dyDescent="0.3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 x14ac:dyDescent="0.3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 x14ac:dyDescent="0.3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 x14ac:dyDescent="0.3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 x14ac:dyDescent="0.3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 x14ac:dyDescent="0.3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 x14ac:dyDescent="0.3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 x14ac:dyDescent="0.3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 x14ac:dyDescent="0.3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 x14ac:dyDescent="0.3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 x14ac:dyDescent="0.3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 x14ac:dyDescent="0.3">
      <c r="A95" s="98" t="s">
        <v>185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186</v>
      </c>
      <c r="N95" s="20">
        <v>1222500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 x14ac:dyDescent="0.3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 x14ac:dyDescent="0.3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 x14ac:dyDescent="0.3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 x14ac:dyDescent="0.3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 x14ac:dyDescent="0.3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 x14ac:dyDescent="0.3">
      <c r="A108" s="98" t="s">
        <v>187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186</v>
      </c>
      <c r="N108" s="20">
        <v>652520</v>
      </c>
    </row>
    <row r="109" spans="1:14" ht="18" customHeight="1" x14ac:dyDescent="0.3">
      <c r="A109" s="90" t="s">
        <v>188</v>
      </c>
      <c r="B109" s="90"/>
      <c r="C109" s="90"/>
      <c r="D109" s="90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189</v>
      </c>
      <c r="N109" s="23">
        <f>IFERROR(N95+N108,"")</f>
        <v>1875020</v>
      </c>
    </row>
    <row r="110" spans="1:14" ht="15" customHeight="1" x14ac:dyDescent="0.3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 x14ac:dyDescent="0.3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 x14ac:dyDescent="0.3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 x14ac:dyDescent="0.3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 x14ac:dyDescent="0.3">
      <c r="A122" s="98" t="s">
        <v>185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186</v>
      </c>
      <c r="N122" s="20">
        <v>1525340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 x14ac:dyDescent="0.3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 x14ac:dyDescent="0.3">
      <c r="A135" s="98" t="s">
        <v>187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>
        <v>909050</v>
      </c>
    </row>
    <row r="136" spans="1:14" ht="18" customHeight="1" x14ac:dyDescent="0.3">
      <c r="A136" s="90" t="s">
        <v>188</v>
      </c>
      <c r="B136" s="90"/>
      <c r="C136" s="90"/>
      <c r="D136" s="90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189</v>
      </c>
      <c r="N136" s="23">
        <f>IFERROR(N122+N135,"")</f>
        <v>2434390</v>
      </c>
    </row>
    <row r="137" spans="1:14" ht="15" customHeight="1" x14ac:dyDescent="0.3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 x14ac:dyDescent="0.3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 x14ac:dyDescent="0.3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 x14ac:dyDescent="0.3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 x14ac:dyDescent="0.3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 x14ac:dyDescent="0.35">
      <c r="A149" s="98" t="s">
        <v>185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186</v>
      </c>
      <c r="N149" s="27">
        <v>1310690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 x14ac:dyDescent="0.35">
      <c r="A162" s="98" t="s">
        <v>187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186</v>
      </c>
      <c r="N162" s="27">
        <v>1048880</v>
      </c>
    </row>
    <row r="163" spans="1:14" ht="18" customHeight="1" x14ac:dyDescent="0.3">
      <c r="A163" s="90" t="s">
        <v>188</v>
      </c>
      <c r="B163" s="90"/>
      <c r="C163" s="90"/>
      <c r="D163" s="90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189</v>
      </c>
      <c r="N163" s="23">
        <f>IFERROR(N149+N162,"")</f>
        <v>2359570</v>
      </c>
    </row>
    <row r="164" spans="1:14" ht="15" customHeight="1" x14ac:dyDescent="0.3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 x14ac:dyDescent="0.3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 x14ac:dyDescent="0.3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 x14ac:dyDescent="0.3">
      <c r="A176" s="98" t="s">
        <v>185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186</v>
      </c>
      <c r="N176" s="20">
        <v>1807860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 x14ac:dyDescent="0.3">
      <c r="A189" s="98" t="s">
        <v>187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186</v>
      </c>
      <c r="N189" s="20">
        <v>797540</v>
      </c>
    </row>
    <row r="190" spans="1:14" ht="18" customHeight="1" x14ac:dyDescent="0.3">
      <c r="A190" s="90" t="s">
        <v>188</v>
      </c>
      <c r="B190" s="90"/>
      <c r="C190" s="90"/>
      <c r="D190" s="90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189</v>
      </c>
      <c r="N190" s="23">
        <f>IFERROR(N176+N189,"")</f>
        <v>2605400</v>
      </c>
    </row>
    <row r="191" spans="1:14" ht="15" customHeight="1" x14ac:dyDescent="0.3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194</v>
      </c>
      <c r="N191" s="14"/>
    </row>
    <row r="192" spans="1:14" ht="15" customHeight="1" x14ac:dyDescent="0.3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 x14ac:dyDescent="0.3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 x14ac:dyDescent="0.3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 x14ac:dyDescent="0.3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 x14ac:dyDescent="0.3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 x14ac:dyDescent="0.3">
      <c r="A203" s="98" t="s">
        <v>185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186</v>
      </c>
      <c r="N203" s="28">
        <v>784290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 x14ac:dyDescent="0.3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 x14ac:dyDescent="0.3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 x14ac:dyDescent="0.3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 x14ac:dyDescent="0.3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 x14ac:dyDescent="0.3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 x14ac:dyDescent="0.3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 x14ac:dyDescent="0.3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 x14ac:dyDescent="0.3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 x14ac:dyDescent="0.3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 x14ac:dyDescent="0.3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 x14ac:dyDescent="0.3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 x14ac:dyDescent="0.3">
      <c r="A216" s="98" t="s">
        <v>187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186</v>
      </c>
      <c r="N216" s="28">
        <v>203080</v>
      </c>
    </row>
    <row r="217" spans="1:14" ht="18" customHeight="1" x14ac:dyDescent="0.3">
      <c r="A217" s="90" t="s">
        <v>188</v>
      </c>
      <c r="B217" s="90"/>
      <c r="C217" s="90"/>
      <c r="D217" s="90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189</v>
      </c>
      <c r="N217" s="31">
        <f>IFERROR(N203+N216,"")</f>
        <v>987370</v>
      </c>
    </row>
    <row r="218" spans="1:14" ht="15" customHeight="1" x14ac:dyDescent="0.3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 x14ac:dyDescent="0.3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 x14ac:dyDescent="0.3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 x14ac:dyDescent="0.3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 x14ac:dyDescent="0.3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 x14ac:dyDescent="0.3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 x14ac:dyDescent="0.3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 x14ac:dyDescent="0.3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 x14ac:dyDescent="0.3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 x14ac:dyDescent="0.3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 x14ac:dyDescent="0.3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 x14ac:dyDescent="0.3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 x14ac:dyDescent="0.3">
      <c r="A230" s="98" t="s">
        <v>185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186</v>
      </c>
      <c r="N230" s="20">
        <v>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 x14ac:dyDescent="0.3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 x14ac:dyDescent="0.3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 x14ac:dyDescent="0.3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 x14ac:dyDescent="0.3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 x14ac:dyDescent="0.3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 x14ac:dyDescent="0.3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 x14ac:dyDescent="0.3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 x14ac:dyDescent="0.3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 x14ac:dyDescent="0.3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 x14ac:dyDescent="0.3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 x14ac:dyDescent="0.3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 x14ac:dyDescent="0.3">
      <c r="A243" s="98" t="s">
        <v>187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 x14ac:dyDescent="0.3">
      <c r="A244" s="90" t="s">
        <v>188</v>
      </c>
      <c r="B244" s="90"/>
      <c r="C244" s="90"/>
      <c r="D244" s="90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189</v>
      </c>
      <c r="N244" s="31">
        <f>IFERROR(N230+N243,"")</f>
        <v>0</v>
      </c>
    </row>
    <row r="245" spans="1:14" ht="15" customHeight="1" x14ac:dyDescent="0.3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 x14ac:dyDescent="0.3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 x14ac:dyDescent="0.3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 x14ac:dyDescent="0.3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 x14ac:dyDescent="0.3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 x14ac:dyDescent="0.3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 x14ac:dyDescent="0.3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 x14ac:dyDescent="0.3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 x14ac:dyDescent="0.3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 x14ac:dyDescent="0.3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 x14ac:dyDescent="0.3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 x14ac:dyDescent="0.3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 x14ac:dyDescent="0.3">
      <c r="A257" s="98" t="s">
        <v>185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186</v>
      </c>
      <c r="N257" s="20">
        <v>452700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 x14ac:dyDescent="0.3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 x14ac:dyDescent="0.3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 x14ac:dyDescent="0.3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 x14ac:dyDescent="0.3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 x14ac:dyDescent="0.3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 x14ac:dyDescent="0.3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 x14ac:dyDescent="0.3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 x14ac:dyDescent="0.3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 x14ac:dyDescent="0.3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 x14ac:dyDescent="0.3">
      <c r="A270" s="98" t="s">
        <v>187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186</v>
      </c>
      <c r="N270" s="20">
        <f>346400+269080</f>
        <v>615480</v>
      </c>
    </row>
    <row r="271" spans="1:14" ht="18" customHeight="1" x14ac:dyDescent="0.3">
      <c r="A271" s="90" t="s">
        <v>188</v>
      </c>
      <c r="B271" s="90"/>
      <c r="C271" s="90"/>
      <c r="D271" s="90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189</v>
      </c>
      <c r="N271" s="31">
        <f>IFERROR(N257+N270,"")</f>
        <v>1068180</v>
      </c>
    </row>
    <row r="272" spans="1:14" ht="15" customHeight="1" x14ac:dyDescent="0.3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 x14ac:dyDescent="0.3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195</v>
      </c>
      <c r="N273" s="30"/>
    </row>
    <row r="274" spans="1:14" ht="15" customHeight="1" x14ac:dyDescent="0.3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 x14ac:dyDescent="0.3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 x14ac:dyDescent="0.3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 x14ac:dyDescent="0.3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 x14ac:dyDescent="0.3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 x14ac:dyDescent="0.3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 x14ac:dyDescent="0.3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 x14ac:dyDescent="0.3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 x14ac:dyDescent="0.3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 x14ac:dyDescent="0.3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 x14ac:dyDescent="0.3">
      <c r="A284" s="98" t="s">
        <v>185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186</v>
      </c>
      <c r="N284" s="20">
        <v>918100</v>
      </c>
    </row>
    <row r="285" spans="1:14" ht="15" customHeight="1" x14ac:dyDescent="0.3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 x14ac:dyDescent="0.3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 x14ac:dyDescent="0.3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 x14ac:dyDescent="0.3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 x14ac:dyDescent="0.3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 x14ac:dyDescent="0.3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 x14ac:dyDescent="0.3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 x14ac:dyDescent="0.3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 x14ac:dyDescent="0.3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 x14ac:dyDescent="0.3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 x14ac:dyDescent="0.3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 x14ac:dyDescent="0.3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 x14ac:dyDescent="0.3">
      <c r="A297" s="98" t="s">
        <v>187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186</v>
      </c>
      <c r="N297" s="20">
        <f>35160+383610</f>
        <v>418770</v>
      </c>
    </row>
    <row r="298" spans="1:14" ht="18" customHeight="1" x14ac:dyDescent="0.3">
      <c r="A298" s="90" t="s">
        <v>188</v>
      </c>
      <c r="B298" s="90"/>
      <c r="C298" s="90"/>
      <c r="D298" s="90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189</v>
      </c>
      <c r="N298" s="31">
        <f>IFERROR(N284+N297,"")</f>
        <v>1336870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196</v>
      </c>
      <c r="N299" s="30"/>
    </row>
    <row r="300" spans="1:14" ht="15" customHeight="1" x14ac:dyDescent="0.3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 x14ac:dyDescent="0.3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 x14ac:dyDescent="0.3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 x14ac:dyDescent="0.3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 x14ac:dyDescent="0.3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 x14ac:dyDescent="0.3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 x14ac:dyDescent="0.3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 x14ac:dyDescent="0.3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 x14ac:dyDescent="0.3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 x14ac:dyDescent="0.3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 x14ac:dyDescent="0.3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 x14ac:dyDescent="0.3">
      <c r="A311" s="98" t="s">
        <v>185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186</v>
      </c>
      <c r="N311" s="20"/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 x14ac:dyDescent="0.3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197</v>
      </c>
      <c r="N313" s="30"/>
    </row>
    <row r="314" spans="1:14" ht="15" customHeight="1" x14ac:dyDescent="0.3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 x14ac:dyDescent="0.3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 x14ac:dyDescent="0.3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 x14ac:dyDescent="0.3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 x14ac:dyDescent="0.3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 x14ac:dyDescent="0.3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 x14ac:dyDescent="0.3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 x14ac:dyDescent="0.3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 x14ac:dyDescent="0.3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 x14ac:dyDescent="0.3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 x14ac:dyDescent="0.3">
      <c r="A324" s="98" t="s">
        <v>187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186</v>
      </c>
      <c r="N324" s="20">
        <f>411220+466620</f>
        <v>877840</v>
      </c>
    </row>
    <row r="325" spans="1:14" ht="18" customHeight="1" x14ac:dyDescent="0.3">
      <c r="A325" s="90" t="s">
        <v>188</v>
      </c>
      <c r="B325" s="90"/>
      <c r="C325" s="90"/>
      <c r="D325" s="90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189</v>
      </c>
      <c r="N325" s="31">
        <f>IFERROR(N311+N324,"")</f>
        <v>877840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 x14ac:dyDescent="0.3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 x14ac:dyDescent="0.3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 x14ac:dyDescent="0.3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 x14ac:dyDescent="0.3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 x14ac:dyDescent="0.3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 x14ac:dyDescent="0.3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 x14ac:dyDescent="0.3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 x14ac:dyDescent="0.3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 x14ac:dyDescent="0.3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 x14ac:dyDescent="0.3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 x14ac:dyDescent="0.3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 x14ac:dyDescent="0.3">
      <c r="A338" s="98" t="s">
        <v>185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186</v>
      </c>
      <c r="N338" s="20">
        <v>1451850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 x14ac:dyDescent="0.3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 x14ac:dyDescent="0.3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 x14ac:dyDescent="0.3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 x14ac:dyDescent="0.3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 x14ac:dyDescent="0.3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 x14ac:dyDescent="0.3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 x14ac:dyDescent="0.3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 x14ac:dyDescent="0.3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 x14ac:dyDescent="0.3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 x14ac:dyDescent="0.3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 x14ac:dyDescent="0.3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 x14ac:dyDescent="0.3">
      <c r="A351" s="98" t="s">
        <v>187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186</v>
      </c>
      <c r="N351" s="20"/>
    </row>
    <row r="352" spans="1:14" ht="18" customHeight="1" x14ac:dyDescent="0.3">
      <c r="A352" s="90" t="s">
        <v>188</v>
      </c>
      <c r="B352" s="90"/>
      <c r="C352" s="90"/>
      <c r="D352" s="90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189</v>
      </c>
      <c r="N352" s="31">
        <f>IFERROR(N338+N351,"")</f>
        <v>1451850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199</v>
      </c>
      <c r="N353" s="30"/>
    </row>
    <row r="354" spans="1:14" ht="15" customHeight="1" x14ac:dyDescent="0.3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 x14ac:dyDescent="0.3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 x14ac:dyDescent="0.3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 x14ac:dyDescent="0.3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 x14ac:dyDescent="0.3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 x14ac:dyDescent="0.3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 x14ac:dyDescent="0.3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 x14ac:dyDescent="0.3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 x14ac:dyDescent="0.3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 x14ac:dyDescent="0.3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 x14ac:dyDescent="0.3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 x14ac:dyDescent="0.3">
      <c r="A365" s="98" t="s">
        <v>185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186</v>
      </c>
      <c r="N365" s="20">
        <v>631530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200</v>
      </c>
      <c r="N366" s="30"/>
    </row>
    <row r="367" spans="1:14" ht="15" customHeight="1" x14ac:dyDescent="0.3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201</v>
      </c>
      <c r="N367" s="30"/>
    </row>
    <row r="368" spans="1:14" ht="15" customHeight="1" x14ac:dyDescent="0.3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 x14ac:dyDescent="0.3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 x14ac:dyDescent="0.3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 x14ac:dyDescent="0.3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 x14ac:dyDescent="0.3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 x14ac:dyDescent="0.3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 x14ac:dyDescent="0.3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 x14ac:dyDescent="0.3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 x14ac:dyDescent="0.3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 x14ac:dyDescent="0.3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 x14ac:dyDescent="0.3">
      <c r="A378" s="98" t="s">
        <v>187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186</v>
      </c>
      <c r="N378" s="20">
        <v>1299920</v>
      </c>
    </row>
    <row r="379" spans="1:14" ht="18" customHeight="1" x14ac:dyDescent="0.3">
      <c r="A379" s="90" t="s">
        <v>188</v>
      </c>
      <c r="B379" s="90"/>
      <c r="C379" s="90"/>
      <c r="D379" s="90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189</v>
      </c>
      <c r="N379" s="31">
        <f>IFERROR(N365+N378,"")</f>
        <v>1931450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 x14ac:dyDescent="0.3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 x14ac:dyDescent="0.3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 x14ac:dyDescent="0.3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 x14ac:dyDescent="0.3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 x14ac:dyDescent="0.3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 x14ac:dyDescent="0.3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 x14ac:dyDescent="0.3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 x14ac:dyDescent="0.3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 x14ac:dyDescent="0.3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 x14ac:dyDescent="0.3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 x14ac:dyDescent="0.3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 x14ac:dyDescent="0.3">
      <c r="A392" s="98" t="s">
        <v>185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186</v>
      </c>
      <c r="N392" s="20">
        <v>1723080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 x14ac:dyDescent="0.3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 x14ac:dyDescent="0.3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 x14ac:dyDescent="0.3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 x14ac:dyDescent="0.3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 x14ac:dyDescent="0.3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 x14ac:dyDescent="0.3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 x14ac:dyDescent="0.3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 x14ac:dyDescent="0.3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 x14ac:dyDescent="0.3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 x14ac:dyDescent="0.3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 x14ac:dyDescent="0.3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 x14ac:dyDescent="0.3">
      <c r="A405" s="98" t="s">
        <v>187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186</v>
      </c>
      <c r="N405" s="20">
        <v>1342790</v>
      </c>
    </row>
    <row r="406" spans="1:14" ht="18" customHeight="1" x14ac:dyDescent="0.3">
      <c r="A406" s="90" t="s">
        <v>188</v>
      </c>
      <c r="B406" s="90"/>
      <c r="C406" s="90"/>
      <c r="D406" s="90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189</v>
      </c>
      <c r="N406" s="31">
        <f>IFERROR(N392+N405,"")</f>
        <v>3065870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 x14ac:dyDescent="0.3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 x14ac:dyDescent="0.3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 x14ac:dyDescent="0.3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 x14ac:dyDescent="0.3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 x14ac:dyDescent="0.3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 x14ac:dyDescent="0.3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 x14ac:dyDescent="0.3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 x14ac:dyDescent="0.3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 x14ac:dyDescent="0.3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 x14ac:dyDescent="0.3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 x14ac:dyDescent="0.3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 x14ac:dyDescent="0.3">
      <c r="A419" s="98" t="s">
        <v>185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186</v>
      </c>
      <c r="N419" s="20">
        <v>1218660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 x14ac:dyDescent="0.3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203</v>
      </c>
      <c r="N421" s="30"/>
    </row>
    <row r="422" spans="1:14" ht="15" customHeight="1" x14ac:dyDescent="0.3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 x14ac:dyDescent="0.3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 x14ac:dyDescent="0.3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 x14ac:dyDescent="0.3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 x14ac:dyDescent="0.3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 x14ac:dyDescent="0.3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 x14ac:dyDescent="0.3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 x14ac:dyDescent="0.3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 x14ac:dyDescent="0.3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 x14ac:dyDescent="0.3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 x14ac:dyDescent="0.3">
      <c r="A432" s="98" t="s">
        <v>187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186</v>
      </c>
      <c r="N432" s="20">
        <v>963120</v>
      </c>
    </row>
    <row r="433" spans="1:14" ht="18" customHeight="1" x14ac:dyDescent="0.3">
      <c r="A433" s="90" t="s">
        <v>188</v>
      </c>
      <c r="B433" s="90"/>
      <c r="C433" s="90"/>
      <c r="D433" s="90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189</v>
      </c>
      <c r="N433" s="31">
        <f>IFERROR(N419+N432,"")</f>
        <v>2181780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 x14ac:dyDescent="0.3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 x14ac:dyDescent="0.3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 x14ac:dyDescent="0.3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 x14ac:dyDescent="0.3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 x14ac:dyDescent="0.3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 x14ac:dyDescent="0.3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 x14ac:dyDescent="0.3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 x14ac:dyDescent="0.3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 x14ac:dyDescent="0.3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 x14ac:dyDescent="0.3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 x14ac:dyDescent="0.3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 x14ac:dyDescent="0.3">
      <c r="A446" s="82" t="s">
        <v>185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186</v>
      </c>
      <c r="N446" s="20">
        <v>1779640</v>
      </c>
    </row>
    <row r="447" spans="1:14" ht="15" customHeight="1" x14ac:dyDescent="0.3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 x14ac:dyDescent="0.3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 x14ac:dyDescent="0.3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 x14ac:dyDescent="0.3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 x14ac:dyDescent="0.3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 x14ac:dyDescent="0.3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 x14ac:dyDescent="0.3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 x14ac:dyDescent="0.3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 x14ac:dyDescent="0.3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 x14ac:dyDescent="0.3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 x14ac:dyDescent="0.3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 x14ac:dyDescent="0.3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 x14ac:dyDescent="0.3">
      <c r="A459" s="98" t="s">
        <v>187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186</v>
      </c>
      <c r="N459" s="20">
        <v>534910</v>
      </c>
    </row>
    <row r="460" spans="1:14" ht="18" customHeight="1" x14ac:dyDescent="0.3">
      <c r="A460" s="90" t="s">
        <v>188</v>
      </c>
      <c r="B460" s="90"/>
      <c r="C460" s="90"/>
      <c r="D460" s="90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189</v>
      </c>
      <c r="N460" s="31">
        <f>IFERROR(N446+N459,"")</f>
        <v>2314550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 x14ac:dyDescent="0.3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 x14ac:dyDescent="0.3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205</v>
      </c>
      <c r="N463" s="30"/>
    </row>
    <row r="464" spans="1:14" ht="15" customHeight="1" x14ac:dyDescent="0.3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 x14ac:dyDescent="0.3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 x14ac:dyDescent="0.3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 x14ac:dyDescent="0.3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 x14ac:dyDescent="0.3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 x14ac:dyDescent="0.3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 x14ac:dyDescent="0.3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 x14ac:dyDescent="0.3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 x14ac:dyDescent="0.3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 x14ac:dyDescent="0.3">
      <c r="A473" s="98" t="s">
        <v>185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186</v>
      </c>
      <c r="N473" s="20">
        <v>505740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 x14ac:dyDescent="0.3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 x14ac:dyDescent="0.3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 x14ac:dyDescent="0.3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 x14ac:dyDescent="0.3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 x14ac:dyDescent="0.3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 x14ac:dyDescent="0.3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 x14ac:dyDescent="0.3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 x14ac:dyDescent="0.3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 x14ac:dyDescent="0.3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 x14ac:dyDescent="0.3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 x14ac:dyDescent="0.3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 x14ac:dyDescent="0.3">
      <c r="A486" s="98" t="s">
        <v>187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186</v>
      </c>
      <c r="N486" s="20">
        <v>557170</v>
      </c>
    </row>
    <row r="487" spans="1:14" ht="18" customHeight="1" x14ac:dyDescent="0.3">
      <c r="A487" s="90" t="s">
        <v>188</v>
      </c>
      <c r="B487" s="90"/>
      <c r="C487" s="90"/>
      <c r="D487" s="90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189</v>
      </c>
      <c r="N487" s="31">
        <f>IFERROR(N473+N486,"")</f>
        <v>1062910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 x14ac:dyDescent="0.3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 x14ac:dyDescent="0.3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 x14ac:dyDescent="0.3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 x14ac:dyDescent="0.3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 x14ac:dyDescent="0.3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 x14ac:dyDescent="0.3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 x14ac:dyDescent="0.3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 x14ac:dyDescent="0.3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 x14ac:dyDescent="0.3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 x14ac:dyDescent="0.3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 x14ac:dyDescent="0.3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 x14ac:dyDescent="0.3">
      <c r="A500" s="98" t="s">
        <v>185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186</v>
      </c>
      <c r="N500" s="20">
        <v>866460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206</v>
      </c>
      <c r="N501" s="30"/>
    </row>
    <row r="502" spans="1:14" ht="15" customHeight="1" x14ac:dyDescent="0.3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 x14ac:dyDescent="0.3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 x14ac:dyDescent="0.3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 x14ac:dyDescent="0.3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 x14ac:dyDescent="0.3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 x14ac:dyDescent="0.3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 x14ac:dyDescent="0.3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 x14ac:dyDescent="0.3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 x14ac:dyDescent="0.3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 x14ac:dyDescent="0.3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 x14ac:dyDescent="0.3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 x14ac:dyDescent="0.3">
      <c r="A513" s="98" t="s">
        <v>187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186</v>
      </c>
      <c r="N513" s="20">
        <v>701090</v>
      </c>
    </row>
    <row r="514" spans="1:14" ht="18" customHeight="1" x14ac:dyDescent="0.3">
      <c r="A514" s="90" t="s">
        <v>188</v>
      </c>
      <c r="B514" s="90"/>
      <c r="C514" s="90"/>
      <c r="D514" s="90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189</v>
      </c>
      <c r="N514" s="31">
        <f>IFERROR(N500+N513,"")</f>
        <v>1567550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207</v>
      </c>
      <c r="N515" s="30"/>
    </row>
    <row r="516" spans="1:14" ht="15" customHeight="1" x14ac:dyDescent="0.3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207</v>
      </c>
      <c r="N516" s="30"/>
    </row>
    <row r="517" spans="1:14" ht="15" customHeight="1" x14ac:dyDescent="0.3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208</v>
      </c>
      <c r="N517" s="30"/>
    </row>
    <row r="518" spans="1:14" ht="15" customHeight="1" x14ac:dyDescent="0.3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 x14ac:dyDescent="0.3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 x14ac:dyDescent="0.3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 x14ac:dyDescent="0.3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 x14ac:dyDescent="0.3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 x14ac:dyDescent="0.3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 x14ac:dyDescent="0.3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 x14ac:dyDescent="0.3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 x14ac:dyDescent="0.3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 x14ac:dyDescent="0.3">
      <c r="A527" s="98" t="s">
        <v>185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186</v>
      </c>
      <c r="N527" s="20">
        <v>880000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 x14ac:dyDescent="0.3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 x14ac:dyDescent="0.3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 x14ac:dyDescent="0.3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 x14ac:dyDescent="0.3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 x14ac:dyDescent="0.3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 x14ac:dyDescent="0.3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 x14ac:dyDescent="0.3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 x14ac:dyDescent="0.3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 x14ac:dyDescent="0.3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 x14ac:dyDescent="0.3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 x14ac:dyDescent="0.3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 x14ac:dyDescent="0.3">
      <c r="A540" s="98" t="s">
        <v>187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186</v>
      </c>
      <c r="N540" s="20">
        <v>915770</v>
      </c>
    </row>
    <row r="541" spans="1:14" ht="18" customHeight="1" x14ac:dyDescent="0.3">
      <c r="A541" s="90" t="s">
        <v>188</v>
      </c>
      <c r="B541" s="90"/>
      <c r="C541" s="90"/>
      <c r="D541" s="90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189</v>
      </c>
      <c r="N541" s="31">
        <f>IFERROR(N527+N540,"")</f>
        <v>1795770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209</v>
      </c>
      <c r="N542" s="30"/>
    </row>
    <row r="543" spans="1:14" ht="15" customHeight="1" x14ac:dyDescent="0.3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210</v>
      </c>
      <c r="N543" s="30"/>
    </row>
    <row r="544" spans="1:14" ht="15" customHeight="1" x14ac:dyDescent="0.3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211</v>
      </c>
      <c r="N544" s="30"/>
    </row>
    <row r="545" spans="1:14" ht="15" customHeight="1" x14ac:dyDescent="0.3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 x14ac:dyDescent="0.3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 x14ac:dyDescent="0.3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 x14ac:dyDescent="0.3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 x14ac:dyDescent="0.3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 x14ac:dyDescent="0.3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 x14ac:dyDescent="0.3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 x14ac:dyDescent="0.3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 x14ac:dyDescent="0.3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 x14ac:dyDescent="0.3">
      <c r="A554" s="98" t="s">
        <v>185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186</v>
      </c>
      <c r="N554" s="20">
        <v>1522750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 x14ac:dyDescent="0.3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 x14ac:dyDescent="0.3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 x14ac:dyDescent="0.3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 x14ac:dyDescent="0.3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 x14ac:dyDescent="0.3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 x14ac:dyDescent="0.3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 x14ac:dyDescent="0.3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 x14ac:dyDescent="0.3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 x14ac:dyDescent="0.3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 x14ac:dyDescent="0.3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 x14ac:dyDescent="0.3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 x14ac:dyDescent="0.3">
      <c r="A567" s="98" t="s">
        <v>187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186</v>
      </c>
      <c r="N567" s="20">
        <v>636740</v>
      </c>
    </row>
    <row r="568" spans="1:14" ht="18" customHeight="1" x14ac:dyDescent="0.3">
      <c r="A568" s="90" t="s">
        <v>188</v>
      </c>
      <c r="B568" s="90"/>
      <c r="C568" s="90"/>
      <c r="D568" s="90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189</v>
      </c>
      <c r="N568" s="31">
        <f>IFERROR(N554+N567,"")</f>
        <v>2159490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212</v>
      </c>
      <c r="N569" s="30"/>
    </row>
    <row r="570" spans="1:14" ht="15" customHeight="1" x14ac:dyDescent="0.3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213</v>
      </c>
      <c r="N570" s="30"/>
    </row>
    <row r="571" spans="1:14" ht="15" customHeight="1" x14ac:dyDescent="0.3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 x14ac:dyDescent="0.3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 x14ac:dyDescent="0.3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 x14ac:dyDescent="0.3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 x14ac:dyDescent="0.3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 x14ac:dyDescent="0.3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 x14ac:dyDescent="0.3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 x14ac:dyDescent="0.3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 x14ac:dyDescent="0.3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 x14ac:dyDescent="0.3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 x14ac:dyDescent="0.3">
      <c r="A581" s="98" t="s">
        <v>185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186</v>
      </c>
      <c r="N581" s="20">
        <v>1192180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 x14ac:dyDescent="0.3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 x14ac:dyDescent="0.3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 x14ac:dyDescent="0.3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 x14ac:dyDescent="0.3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 x14ac:dyDescent="0.3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 x14ac:dyDescent="0.3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214</v>
      </c>
      <c r="N588" s="30"/>
    </row>
    <row r="589" spans="1:14" ht="15" customHeight="1" x14ac:dyDescent="0.3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 x14ac:dyDescent="0.3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 x14ac:dyDescent="0.3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 x14ac:dyDescent="0.3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 x14ac:dyDescent="0.3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 x14ac:dyDescent="0.3">
      <c r="A594" s="98" t="s">
        <v>187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186</v>
      </c>
      <c r="N594" s="20">
        <v>394820</v>
      </c>
    </row>
    <row r="595" spans="1:14" ht="18" customHeight="1" x14ac:dyDescent="0.3">
      <c r="A595" s="90" t="s">
        <v>188</v>
      </c>
      <c r="B595" s="90"/>
      <c r="C595" s="90"/>
      <c r="D595" s="90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189</v>
      </c>
      <c r="N595" s="31">
        <f>IFERROR(N581+N594,"")</f>
        <v>1587000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215</v>
      </c>
      <c r="N596" s="30"/>
    </row>
    <row r="597" spans="1:14" ht="15" customHeight="1" x14ac:dyDescent="0.3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216</v>
      </c>
      <c r="N597" s="30"/>
    </row>
    <row r="598" spans="1:14" ht="15" customHeight="1" x14ac:dyDescent="0.3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216</v>
      </c>
      <c r="N598" s="30"/>
    </row>
    <row r="599" spans="1:14" ht="15" customHeight="1" x14ac:dyDescent="0.3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217</v>
      </c>
      <c r="N599" s="30"/>
    </row>
    <row r="600" spans="1:14" ht="15" customHeight="1" x14ac:dyDescent="0.3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 x14ac:dyDescent="0.3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 x14ac:dyDescent="0.3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 x14ac:dyDescent="0.3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 x14ac:dyDescent="0.3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 x14ac:dyDescent="0.3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 x14ac:dyDescent="0.3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 x14ac:dyDescent="0.3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 x14ac:dyDescent="0.3">
      <c r="A608" s="98" t="s">
        <v>185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186</v>
      </c>
      <c r="N608" s="20">
        <v>205400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 x14ac:dyDescent="0.3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170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 x14ac:dyDescent="0.3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 x14ac:dyDescent="0.3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 x14ac:dyDescent="0.3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 x14ac:dyDescent="0.3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 x14ac:dyDescent="0.3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 x14ac:dyDescent="0.3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 x14ac:dyDescent="0.3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 x14ac:dyDescent="0.3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 x14ac:dyDescent="0.3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 x14ac:dyDescent="0.3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 x14ac:dyDescent="0.3">
      <c r="A621" s="98" t="s">
        <v>187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186</v>
      </c>
      <c r="N621" s="20">
        <v>587370</v>
      </c>
    </row>
    <row r="622" spans="1:14" ht="18" customHeight="1" x14ac:dyDescent="0.3">
      <c r="A622" s="90" t="s">
        <v>188</v>
      </c>
      <c r="B622" s="90"/>
      <c r="C622" s="90"/>
      <c r="D622" s="90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189</v>
      </c>
      <c r="N622" s="31">
        <f>IFERROR(N608+N621,"")</f>
        <v>792770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171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 x14ac:dyDescent="0.3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 x14ac:dyDescent="0.3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 x14ac:dyDescent="0.3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 x14ac:dyDescent="0.3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 x14ac:dyDescent="0.3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 x14ac:dyDescent="0.3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 x14ac:dyDescent="0.3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 x14ac:dyDescent="0.3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 x14ac:dyDescent="0.3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 x14ac:dyDescent="0.3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 x14ac:dyDescent="0.3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 x14ac:dyDescent="0.3">
      <c r="A635" s="98" t="s">
        <v>185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186</v>
      </c>
      <c r="N635" s="20">
        <v>1126320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 x14ac:dyDescent="0.3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 x14ac:dyDescent="0.3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219</v>
      </c>
      <c r="N638" s="30"/>
    </row>
    <row r="639" spans="1:14" ht="15" customHeight="1" x14ac:dyDescent="0.3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 x14ac:dyDescent="0.3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 x14ac:dyDescent="0.3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 x14ac:dyDescent="0.3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 x14ac:dyDescent="0.3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 x14ac:dyDescent="0.3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 x14ac:dyDescent="0.3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 x14ac:dyDescent="0.3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 x14ac:dyDescent="0.3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 x14ac:dyDescent="0.3">
      <c r="A648" s="98" t="s">
        <v>187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186</v>
      </c>
      <c r="N648" s="20">
        <v>635110</v>
      </c>
    </row>
    <row r="649" spans="1:14" ht="18" customHeight="1" x14ac:dyDescent="0.3">
      <c r="A649" s="90" t="s">
        <v>188</v>
      </c>
      <c r="B649" s="90"/>
      <c r="C649" s="90"/>
      <c r="D649" s="90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189</v>
      </c>
      <c r="N649" s="31">
        <f>IFERROR(N635+N648,"")</f>
        <v>1761430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 x14ac:dyDescent="0.3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 x14ac:dyDescent="0.3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 x14ac:dyDescent="0.3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 x14ac:dyDescent="0.3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 x14ac:dyDescent="0.3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 x14ac:dyDescent="0.3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 x14ac:dyDescent="0.3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 x14ac:dyDescent="0.3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 x14ac:dyDescent="0.3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 x14ac:dyDescent="0.3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 x14ac:dyDescent="0.3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 x14ac:dyDescent="0.3">
      <c r="A662" s="98" t="s">
        <v>185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186</v>
      </c>
      <c r="N662" s="20">
        <v>1483220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 x14ac:dyDescent="0.3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 x14ac:dyDescent="0.3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 x14ac:dyDescent="0.3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 x14ac:dyDescent="0.3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 x14ac:dyDescent="0.3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 x14ac:dyDescent="0.3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 x14ac:dyDescent="0.3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 x14ac:dyDescent="0.3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 x14ac:dyDescent="0.3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 x14ac:dyDescent="0.3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 x14ac:dyDescent="0.3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 x14ac:dyDescent="0.3">
      <c r="A675" s="98" t="s">
        <v>187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186</v>
      </c>
      <c r="N675" s="20">
        <v>1608610</v>
      </c>
    </row>
    <row r="676" spans="1:14" ht="18" customHeight="1" x14ac:dyDescent="0.3">
      <c r="A676" s="90" t="s">
        <v>188</v>
      </c>
      <c r="B676" s="90"/>
      <c r="C676" s="90"/>
      <c r="D676" s="90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189</v>
      </c>
      <c r="N676" s="31">
        <f>IFERROR(N662+N675,"")</f>
        <v>3091830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171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 x14ac:dyDescent="0.3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173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220</v>
      </c>
      <c r="N678" s="30"/>
    </row>
    <row r="679" spans="1:14" ht="15" customHeight="1" x14ac:dyDescent="0.3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221</v>
      </c>
      <c r="N679" s="30"/>
    </row>
    <row r="680" spans="1:14" ht="15" customHeight="1" x14ac:dyDescent="0.3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 x14ac:dyDescent="0.3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 x14ac:dyDescent="0.3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 x14ac:dyDescent="0.3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 x14ac:dyDescent="0.3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 x14ac:dyDescent="0.3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 x14ac:dyDescent="0.3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 x14ac:dyDescent="0.3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 x14ac:dyDescent="0.3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 x14ac:dyDescent="0.3">
      <c r="A689" s="98" t="s">
        <v>185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186</v>
      </c>
      <c r="N689" s="20">
        <v>1123040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 x14ac:dyDescent="0.3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 x14ac:dyDescent="0.3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 x14ac:dyDescent="0.3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 x14ac:dyDescent="0.3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 x14ac:dyDescent="0.3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 x14ac:dyDescent="0.3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 x14ac:dyDescent="0.3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 x14ac:dyDescent="0.3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 x14ac:dyDescent="0.3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 x14ac:dyDescent="0.3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 x14ac:dyDescent="0.3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 x14ac:dyDescent="0.3">
      <c r="A702" s="98" t="s">
        <v>187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186</v>
      </c>
      <c r="N702" s="20">
        <f>316300+609860</f>
        <v>926160</v>
      </c>
    </row>
    <row r="703" spans="1:14" ht="18" customHeight="1" x14ac:dyDescent="0.3">
      <c r="A703" s="90" t="s">
        <v>188</v>
      </c>
      <c r="B703" s="90"/>
      <c r="C703" s="90"/>
      <c r="D703" s="90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189</v>
      </c>
      <c r="N703" s="31">
        <f>IFERROR(N689+N702,"")</f>
        <v>2049200</v>
      </c>
    </row>
    <row r="704" spans="1:14" ht="15" customHeight="1" x14ac:dyDescent="0.3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222</v>
      </c>
      <c r="N704" s="30"/>
    </row>
    <row r="705" spans="1:16" ht="15" customHeight="1" x14ac:dyDescent="0.3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/>
      <c r="L705" s="71" t="str">
        <f t="shared" si="160"/>
        <v/>
      </c>
      <c r="M705" s="29"/>
      <c r="N705" s="30"/>
    </row>
    <row r="706" spans="1:16" ht="15" customHeight="1" x14ac:dyDescent="0.3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/>
      <c r="H706" s="10"/>
      <c r="I706" s="10"/>
      <c r="J706" s="13"/>
      <c r="K706" s="13"/>
      <c r="L706" s="70" t="str">
        <f t="shared" si="160"/>
        <v/>
      </c>
      <c r="M706" s="29"/>
      <c r="N706" s="30"/>
    </row>
    <row r="707" spans="1:16" ht="15" customHeight="1" x14ac:dyDescent="0.3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  <c r="P707" s="99"/>
    </row>
    <row r="708" spans="1:16" ht="15" customHeight="1" x14ac:dyDescent="0.3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20</v>
      </c>
      <c r="F708" s="12">
        <f t="shared" si="159"/>
        <v>100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6" ht="15" customHeight="1" x14ac:dyDescent="0.3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30</v>
      </c>
      <c r="F709" s="17">
        <f t="shared" si="159"/>
        <v>150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6" ht="15" customHeight="1" x14ac:dyDescent="0.3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30</v>
      </c>
      <c r="F710" s="12">
        <f t="shared" si="159"/>
        <v>150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6" ht="15" customHeight="1" x14ac:dyDescent="0.3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30</v>
      </c>
      <c r="F711" s="17">
        <f t="shared" si="159"/>
        <v>150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6" ht="15" customHeight="1" x14ac:dyDescent="0.3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10</v>
      </c>
      <c r="F712" s="12">
        <f t="shared" si="159"/>
        <v>50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6" ht="15" customHeight="1" x14ac:dyDescent="0.3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20</v>
      </c>
      <c r="F713" s="17">
        <f t="shared" si="159"/>
        <v>100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6" ht="15" customHeight="1" x14ac:dyDescent="0.3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20</v>
      </c>
      <c r="F714" s="12">
        <f t="shared" si="159"/>
        <v>100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6" ht="15" customHeight="1" x14ac:dyDescent="0.3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20</v>
      </c>
      <c r="F715" s="17">
        <f t="shared" si="159"/>
        <v>100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6" ht="15.75" customHeight="1" x14ac:dyDescent="0.3">
      <c r="A716" s="98" t="s">
        <v>185</v>
      </c>
      <c r="B716" s="98"/>
      <c r="C716" s="98"/>
      <c r="D716" s="98"/>
      <c r="E716" s="19">
        <f>SUM(E704:E715)</f>
        <v>260</v>
      </c>
      <c r="F716" s="19">
        <f>SUM(F704:F715)</f>
        <v>1300</v>
      </c>
      <c r="G716" s="18"/>
      <c r="H716" s="18"/>
      <c r="I716" s="18"/>
      <c r="J716" s="18"/>
      <c r="K716" s="18"/>
      <c r="L716" s="72">
        <f>IFERROR(SUM(L704:L715),"")</f>
        <v>4.166666666666663E-2</v>
      </c>
      <c r="M716" s="19" t="s">
        <v>186</v>
      </c>
      <c r="N716" s="20">
        <v>1350000</v>
      </c>
    </row>
    <row r="717" spans="1:16" ht="15" customHeight="1" x14ac:dyDescent="0.3">
      <c r="A717" s="59">
        <v>46200</v>
      </c>
      <c r="B717" s="15">
        <v>0.83333333333333304</v>
      </c>
      <c r="C717" s="16" t="s">
        <v>29</v>
      </c>
      <c r="D717" s="16" t="s">
        <v>30</v>
      </c>
      <c r="E717" s="11">
        <v>10</v>
      </c>
      <c r="F717" s="17">
        <f t="shared" ref="F717:F728" si="162">IF(E717="","",E717*5)</f>
        <v>50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6" ht="15" customHeight="1" x14ac:dyDescent="0.3">
      <c r="A718" s="58">
        <v>46200</v>
      </c>
      <c r="B718" s="9">
        <f t="shared" ref="B718:B728" si="164">B717+TIME(0,60,0)</f>
        <v>0.87499999999999967</v>
      </c>
      <c r="C718" s="16" t="s">
        <v>29</v>
      </c>
      <c r="D718" s="16" t="s">
        <v>30</v>
      </c>
      <c r="E718" s="11">
        <v>20</v>
      </c>
      <c r="F718" s="12">
        <f t="shared" si="162"/>
        <v>100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6" ht="15" customHeight="1" x14ac:dyDescent="0.3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>
        <v>30</v>
      </c>
      <c r="F719" s="17">
        <f t="shared" si="162"/>
        <v>150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6" ht="15" customHeight="1" x14ac:dyDescent="0.3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 x14ac:dyDescent="0.3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 x14ac:dyDescent="0.3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 x14ac:dyDescent="0.3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 x14ac:dyDescent="0.3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 x14ac:dyDescent="0.3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 x14ac:dyDescent="0.3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 x14ac:dyDescent="0.3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 x14ac:dyDescent="0.3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 x14ac:dyDescent="0.3">
      <c r="A729" s="98" t="s">
        <v>187</v>
      </c>
      <c r="B729" s="98"/>
      <c r="C729" s="98"/>
      <c r="D729" s="98"/>
      <c r="E729" s="19">
        <f>SUM(E717:E728)</f>
        <v>60</v>
      </c>
      <c r="F729" s="19">
        <f>SUM(F717:F728)</f>
        <v>300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 x14ac:dyDescent="0.3">
      <c r="A730" s="90" t="s">
        <v>188</v>
      </c>
      <c r="B730" s="90"/>
      <c r="C730" s="90"/>
      <c r="D730" s="90"/>
      <c r="E730" s="22">
        <f>E716+E729</f>
        <v>320</v>
      </c>
      <c r="F730" s="22">
        <f>F716+F729</f>
        <v>1600</v>
      </c>
      <c r="G730" s="21"/>
      <c r="H730" s="21"/>
      <c r="I730" s="21"/>
      <c r="J730" s="21"/>
      <c r="K730" s="21"/>
      <c r="L730" s="73">
        <f>IFERROR(L716+L729,"")</f>
        <v>4.166666666666663E-2</v>
      </c>
      <c r="M730" s="22" t="s">
        <v>189</v>
      </c>
      <c r="N730" s="31">
        <f>IFERROR(N716+N729,"")</f>
        <v>1350000</v>
      </c>
    </row>
    <row r="731" spans="1:14" ht="15" customHeight="1" x14ac:dyDescent="0.3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 x14ac:dyDescent="0.3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 x14ac:dyDescent="0.3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 x14ac:dyDescent="0.3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 x14ac:dyDescent="0.3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 x14ac:dyDescent="0.3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 x14ac:dyDescent="0.3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 x14ac:dyDescent="0.3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 x14ac:dyDescent="0.3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 x14ac:dyDescent="0.3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 x14ac:dyDescent="0.3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 x14ac:dyDescent="0.3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 x14ac:dyDescent="0.3">
      <c r="A743" s="98" t="s">
        <v>185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 x14ac:dyDescent="0.3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 x14ac:dyDescent="0.3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 x14ac:dyDescent="0.3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 x14ac:dyDescent="0.3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 x14ac:dyDescent="0.3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 x14ac:dyDescent="0.3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 x14ac:dyDescent="0.3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 x14ac:dyDescent="0.3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 x14ac:dyDescent="0.3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 x14ac:dyDescent="0.3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 x14ac:dyDescent="0.3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 x14ac:dyDescent="0.3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 x14ac:dyDescent="0.3">
      <c r="A756" s="98" t="s">
        <v>187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 x14ac:dyDescent="0.3">
      <c r="A757" s="90" t="s">
        <v>188</v>
      </c>
      <c r="B757" s="90"/>
      <c r="C757" s="90"/>
      <c r="D757" s="90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 x14ac:dyDescent="0.3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 x14ac:dyDescent="0.3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 x14ac:dyDescent="0.3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 x14ac:dyDescent="0.3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 x14ac:dyDescent="0.3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 x14ac:dyDescent="0.3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 x14ac:dyDescent="0.3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 x14ac:dyDescent="0.3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 x14ac:dyDescent="0.3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 x14ac:dyDescent="0.3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 x14ac:dyDescent="0.3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 x14ac:dyDescent="0.3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 x14ac:dyDescent="0.3">
      <c r="A770" s="98" t="s">
        <v>185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 x14ac:dyDescent="0.3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 x14ac:dyDescent="0.3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 x14ac:dyDescent="0.3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 x14ac:dyDescent="0.3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 x14ac:dyDescent="0.3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 x14ac:dyDescent="0.3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 x14ac:dyDescent="0.3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 x14ac:dyDescent="0.3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 x14ac:dyDescent="0.3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 x14ac:dyDescent="0.3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 x14ac:dyDescent="0.3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 x14ac:dyDescent="0.3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 x14ac:dyDescent="0.3">
      <c r="A783" s="98" t="s">
        <v>187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 x14ac:dyDescent="0.3">
      <c r="A784" s="90" t="s">
        <v>188</v>
      </c>
      <c r="B784" s="90"/>
      <c r="C784" s="90"/>
      <c r="D784" s="90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 x14ac:dyDescent="0.3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 x14ac:dyDescent="0.3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 x14ac:dyDescent="0.3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 x14ac:dyDescent="0.3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 x14ac:dyDescent="0.3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 x14ac:dyDescent="0.3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 x14ac:dyDescent="0.3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 x14ac:dyDescent="0.3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 x14ac:dyDescent="0.3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 x14ac:dyDescent="0.3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 x14ac:dyDescent="0.3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 x14ac:dyDescent="0.3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 x14ac:dyDescent="0.3">
      <c r="A797" s="98" t="s">
        <v>185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 x14ac:dyDescent="0.3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 x14ac:dyDescent="0.3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 x14ac:dyDescent="0.3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 x14ac:dyDescent="0.3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 x14ac:dyDescent="0.3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 x14ac:dyDescent="0.3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 x14ac:dyDescent="0.3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 x14ac:dyDescent="0.3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 x14ac:dyDescent="0.3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 x14ac:dyDescent="0.3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 x14ac:dyDescent="0.3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 x14ac:dyDescent="0.3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 x14ac:dyDescent="0.3">
      <c r="A810" s="98" t="s">
        <v>187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 x14ac:dyDescent="0.3">
      <c r="A811" s="90" t="s">
        <v>188</v>
      </c>
      <c r="B811" s="90"/>
      <c r="C811" s="90"/>
      <c r="D811" s="90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O811"/>
  <sheetViews>
    <sheetView showGridLines="0" topLeftCell="B1" zoomScale="60" zoomScaleNormal="60" workbookViewId="0">
      <pane ySplit="1" topLeftCell="A699" activePane="bottomLeft" state="frozen"/>
      <selection pane="bottomLeft" activeCell="N722" sqref="N722"/>
    </sheetView>
  </sheetViews>
  <sheetFormatPr defaultColWidth="8.5546875" defaultRowHeight="14.4" x14ac:dyDescent="0.3"/>
  <cols>
    <col min="1" max="1" width="13" style="61" customWidth="1"/>
    <col min="2" max="2" width="9" style="7" customWidth="1"/>
    <col min="3" max="3" width="14" style="7" customWidth="1"/>
    <col min="4" max="4" width="16.109375" style="7" customWidth="1"/>
    <col min="5" max="5" width="13" style="7" customWidth="1"/>
    <col min="6" max="6" width="14" style="7" customWidth="1"/>
    <col min="7" max="7" width="29.44140625" style="7" customWidth="1"/>
    <col min="8" max="8" width="25" style="7" customWidth="1"/>
    <col min="9" max="9" width="48.5546875" style="7" customWidth="1"/>
    <col min="10" max="10" width="15.44140625" style="7" customWidth="1"/>
    <col min="11" max="11" width="12" style="7" customWidth="1"/>
    <col min="12" max="12" width="14" style="74" customWidth="1"/>
    <col min="13" max="13" width="99.44140625" style="7" customWidth="1"/>
    <col min="14" max="14" width="20" style="7" customWidth="1"/>
  </cols>
  <sheetData>
    <row r="1" spans="1:14" ht="37.5" customHeight="1" x14ac:dyDescent="0.3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223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 x14ac:dyDescent="0.3">
      <c r="A14" s="91" t="s">
        <v>185</v>
      </c>
      <c r="B14" s="91"/>
      <c r="C14" s="91"/>
      <c r="D14" s="91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186</v>
      </c>
      <c r="N14" s="20">
        <v>722660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 x14ac:dyDescent="0.3">
      <c r="A27" s="91" t="s">
        <v>187</v>
      </c>
      <c r="B27" s="91"/>
      <c r="C27" s="91"/>
      <c r="D27" s="91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186</v>
      </c>
      <c r="N27" s="20">
        <v>1035240</v>
      </c>
    </row>
    <row r="28" spans="1:14" ht="18" customHeight="1" x14ac:dyDescent="0.3">
      <c r="A28" s="90" t="s">
        <v>188</v>
      </c>
      <c r="B28" s="90"/>
      <c r="C28" s="90"/>
      <c r="D28" s="90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189</v>
      </c>
      <c r="N28" s="23">
        <f>IFERROR(N14+N27,"")</f>
        <v>1757900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224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91" t="s">
        <v>185</v>
      </c>
      <c r="B41" s="91"/>
      <c r="C41" s="91"/>
      <c r="D41" s="91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186</v>
      </c>
      <c r="N41" s="20">
        <v>395980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91" t="s">
        <v>187</v>
      </c>
      <c r="B54" s="91"/>
      <c r="C54" s="91"/>
      <c r="D54" s="91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186</v>
      </c>
      <c r="N54" s="20">
        <v>871960</v>
      </c>
    </row>
    <row r="55" spans="1:14" ht="18" customHeight="1" x14ac:dyDescent="0.3">
      <c r="A55" s="90" t="s">
        <v>188</v>
      </c>
      <c r="B55" s="90"/>
      <c r="C55" s="90"/>
      <c r="D55" s="90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189</v>
      </c>
      <c r="N55" s="23">
        <f>IFERROR(N41+N54,"")</f>
        <v>1267940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225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 x14ac:dyDescent="0.3">
      <c r="A68" s="91" t="s">
        <v>185</v>
      </c>
      <c r="B68" s="91"/>
      <c r="C68" s="91"/>
      <c r="D68" s="91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186</v>
      </c>
      <c r="N68" s="20">
        <v>437960</v>
      </c>
    </row>
    <row r="69" spans="1:14" ht="15" customHeight="1" x14ac:dyDescent="0.3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226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 x14ac:dyDescent="0.3">
      <c r="A81" s="91" t="s">
        <v>187</v>
      </c>
      <c r="B81" s="91"/>
      <c r="C81" s="91"/>
      <c r="D81" s="91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186</v>
      </c>
      <c r="N81" s="20">
        <v>482250</v>
      </c>
    </row>
    <row r="82" spans="1:14" ht="18" customHeight="1" x14ac:dyDescent="0.3">
      <c r="A82" s="90" t="s">
        <v>188</v>
      </c>
      <c r="B82" s="90"/>
      <c r="C82" s="90"/>
      <c r="D82" s="90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189</v>
      </c>
      <c r="N82" s="23">
        <f>IFERROR(N68+N81,"")</f>
        <v>920210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227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 x14ac:dyDescent="0.3">
      <c r="A95" s="91" t="s">
        <v>185</v>
      </c>
      <c r="B95" s="91"/>
      <c r="C95" s="91"/>
      <c r="D95" s="91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186</v>
      </c>
      <c r="N95" s="20">
        <v>301520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228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 x14ac:dyDescent="0.3">
      <c r="A108" s="91" t="s">
        <v>187</v>
      </c>
      <c r="B108" s="91"/>
      <c r="C108" s="91"/>
      <c r="D108" s="91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186</v>
      </c>
      <c r="N108" s="20">
        <v>529500</v>
      </c>
    </row>
    <row r="109" spans="1:14" ht="18" customHeight="1" x14ac:dyDescent="0.3">
      <c r="A109" s="90" t="s">
        <v>188</v>
      </c>
      <c r="B109" s="90"/>
      <c r="C109" s="90"/>
      <c r="D109" s="90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189</v>
      </c>
      <c r="N109" s="23">
        <f>IFERROR(N95+N108,"")</f>
        <v>831020</v>
      </c>
    </row>
    <row r="110" spans="1:14" ht="15" customHeight="1" x14ac:dyDescent="0.3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228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228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 x14ac:dyDescent="0.3">
      <c r="A122" s="91" t="s">
        <v>185</v>
      </c>
      <c r="B122" s="91"/>
      <c r="C122" s="91"/>
      <c r="D122" s="91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186</v>
      </c>
      <c r="N122" s="20">
        <v>619340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228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229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 x14ac:dyDescent="0.3">
      <c r="A135" s="91" t="s">
        <v>187</v>
      </c>
      <c r="B135" s="91"/>
      <c r="C135" s="91"/>
      <c r="D135" s="91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186</v>
      </c>
      <c r="N135" s="20">
        <v>666150</v>
      </c>
    </row>
    <row r="136" spans="1:14" ht="18" customHeight="1" x14ac:dyDescent="0.3">
      <c r="A136" s="90" t="s">
        <v>188</v>
      </c>
      <c r="B136" s="90"/>
      <c r="C136" s="90"/>
      <c r="D136" s="90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189</v>
      </c>
      <c r="N136" s="23">
        <f>IFERROR(N122+N135,"")</f>
        <v>1285490</v>
      </c>
    </row>
    <row r="137" spans="1:14" ht="15" customHeight="1" x14ac:dyDescent="0.3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227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230</v>
      </c>
      <c r="I139" s="16" t="s">
        <v>231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228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 x14ac:dyDescent="0.4">
      <c r="A149" s="91" t="s">
        <v>185</v>
      </c>
      <c r="B149" s="91"/>
      <c r="C149" s="91"/>
      <c r="D149" s="91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186</v>
      </c>
      <c r="N149" s="35">
        <v>673310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 x14ac:dyDescent="0.4">
      <c r="A162" s="91" t="s">
        <v>187</v>
      </c>
      <c r="B162" s="91"/>
      <c r="C162" s="91"/>
      <c r="D162" s="91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186</v>
      </c>
      <c r="N162" s="35">
        <v>183240</v>
      </c>
    </row>
    <row r="163" spans="1:14" ht="18" customHeight="1" x14ac:dyDescent="0.3">
      <c r="A163" s="90" t="s">
        <v>188</v>
      </c>
      <c r="B163" s="90"/>
      <c r="C163" s="90"/>
      <c r="D163" s="90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189</v>
      </c>
      <c r="N163" s="23">
        <f>IFERROR(N149+N162,"")</f>
        <v>856550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 x14ac:dyDescent="0.3">
      <c r="A176" s="91" t="s">
        <v>185</v>
      </c>
      <c r="B176" s="91"/>
      <c r="C176" s="91"/>
      <c r="D176" s="91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186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232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232</v>
      </c>
      <c r="J182" s="13"/>
      <c r="K182" s="13"/>
      <c r="L182" s="70" t="str">
        <f t="shared" si="40"/>
        <v/>
      </c>
      <c r="M182" s="29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232</v>
      </c>
      <c r="J183" s="13"/>
      <c r="K183" s="13"/>
      <c r="L183" s="71" t="str">
        <f t="shared" si="40"/>
        <v/>
      </c>
      <c r="M183" s="29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232</v>
      </c>
      <c r="J184" s="13"/>
      <c r="K184" s="13"/>
      <c r="L184" s="70" t="str">
        <f t="shared" si="40"/>
        <v/>
      </c>
      <c r="M184" s="29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232</v>
      </c>
      <c r="J185" s="13"/>
      <c r="K185" s="13"/>
      <c r="L185" s="71" t="str">
        <f t="shared" si="40"/>
        <v/>
      </c>
      <c r="M185" s="29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232</v>
      </c>
      <c r="J186" s="13"/>
      <c r="K186" s="13"/>
      <c r="L186" s="70" t="str">
        <f t="shared" si="40"/>
        <v/>
      </c>
      <c r="M186" s="29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232</v>
      </c>
      <c r="J187" s="13"/>
      <c r="K187" s="13"/>
      <c r="L187" s="71" t="str">
        <f t="shared" si="40"/>
        <v/>
      </c>
      <c r="M187" s="29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232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 x14ac:dyDescent="0.3">
      <c r="A189" s="91" t="s">
        <v>187</v>
      </c>
      <c r="B189" s="91"/>
      <c r="C189" s="91"/>
      <c r="D189" s="91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186</v>
      </c>
      <c r="N189" s="20">
        <v>0</v>
      </c>
    </row>
    <row r="190" spans="1:14" ht="18" customHeight="1" x14ac:dyDescent="0.3">
      <c r="A190" s="90" t="s">
        <v>188</v>
      </c>
      <c r="B190" s="90"/>
      <c r="C190" s="90"/>
      <c r="D190" s="90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 x14ac:dyDescent="0.3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232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233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 x14ac:dyDescent="0.3">
      <c r="A203" s="91" t="s">
        <v>185</v>
      </c>
      <c r="B203" s="91"/>
      <c r="C203" s="91"/>
      <c r="D203" s="91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186</v>
      </c>
      <c r="N203" s="28">
        <v>146310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 x14ac:dyDescent="0.3">
      <c r="A216" s="91" t="s">
        <v>187</v>
      </c>
      <c r="B216" s="91"/>
      <c r="C216" s="91"/>
      <c r="D216" s="91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186</v>
      </c>
      <c r="N216" s="28">
        <v>525070</v>
      </c>
    </row>
    <row r="217" spans="1:14" ht="18" customHeight="1" x14ac:dyDescent="0.3">
      <c r="A217" s="90" t="s">
        <v>188</v>
      </c>
      <c r="B217" s="90"/>
      <c r="C217" s="90"/>
      <c r="D217" s="90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189</v>
      </c>
      <c r="N217" s="31">
        <f>IFERROR(N203+N216,"")</f>
        <v>671380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234</v>
      </c>
      <c r="N220" s="30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 x14ac:dyDescent="0.3">
      <c r="A230" s="91" t="s">
        <v>185</v>
      </c>
      <c r="B230" s="91"/>
      <c r="C230" s="91"/>
      <c r="D230" s="91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186</v>
      </c>
      <c r="N230" s="20">
        <v>413290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 x14ac:dyDescent="0.3">
      <c r="A243" s="91" t="s">
        <v>187</v>
      </c>
      <c r="B243" s="91"/>
      <c r="C243" s="91"/>
      <c r="D243" s="91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244000</v>
      </c>
    </row>
    <row r="244" spans="1:14" ht="18" customHeight="1" x14ac:dyDescent="0.3">
      <c r="A244" s="90" t="s">
        <v>188</v>
      </c>
      <c r="B244" s="90"/>
      <c r="C244" s="90"/>
      <c r="D244" s="90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189</v>
      </c>
      <c r="N244" s="31">
        <f>IFERROR(N230+N243,"")</f>
        <v>657290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235</v>
      </c>
      <c r="N246" s="30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236</v>
      </c>
      <c r="N247" s="30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 x14ac:dyDescent="0.3">
      <c r="A257" s="91" t="s">
        <v>185</v>
      </c>
      <c r="B257" s="91"/>
      <c r="C257" s="91"/>
      <c r="D257" s="91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186</v>
      </c>
      <c r="N257" s="20">
        <v>399590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237</v>
      </c>
      <c r="N258" s="30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 x14ac:dyDescent="0.3">
      <c r="A270" s="91" t="s">
        <v>187</v>
      </c>
      <c r="B270" s="91"/>
      <c r="C270" s="91"/>
      <c r="D270" s="91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186</v>
      </c>
      <c r="N270" s="20">
        <v>8130</v>
      </c>
    </row>
    <row r="271" spans="1:14" ht="18" customHeight="1" x14ac:dyDescent="0.3">
      <c r="A271" s="90" t="s">
        <v>188</v>
      </c>
      <c r="B271" s="90"/>
      <c r="C271" s="90"/>
      <c r="D271" s="90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189</v>
      </c>
      <c r="N271" s="31">
        <f>IFERROR(N257+N270,"")</f>
        <v>407720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238</v>
      </c>
      <c r="N274" s="30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 x14ac:dyDescent="0.3">
      <c r="A284" s="91" t="s">
        <v>185</v>
      </c>
      <c r="B284" s="91"/>
      <c r="C284" s="91"/>
      <c r="D284" s="91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186</v>
      </c>
      <c r="N284" s="20">
        <v>329950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 x14ac:dyDescent="0.3">
      <c r="A297" s="91" t="s">
        <v>187</v>
      </c>
      <c r="B297" s="91"/>
      <c r="C297" s="91"/>
      <c r="D297" s="91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186</v>
      </c>
      <c r="N297" s="20">
        <f>229280+228660</f>
        <v>457940</v>
      </c>
    </row>
    <row r="298" spans="1:14" ht="18" customHeight="1" x14ac:dyDescent="0.3">
      <c r="A298" s="90" t="s">
        <v>188</v>
      </c>
      <c r="B298" s="90"/>
      <c r="C298" s="90"/>
      <c r="D298" s="90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189</v>
      </c>
      <c r="N298" s="31">
        <f>IFERROR(N284+N297,"")</f>
        <v>787890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239</v>
      </c>
      <c r="N299" s="30"/>
    </row>
    <row r="300" spans="1:14" ht="15" customHeight="1" x14ac:dyDescent="0.3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240</v>
      </c>
      <c r="N300" s="30"/>
    </row>
    <row r="301" spans="1:14" ht="15" customHeight="1" x14ac:dyDescent="0.3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240</v>
      </c>
      <c r="N301" s="30"/>
    </row>
    <row r="302" spans="1:14" ht="15" customHeight="1" x14ac:dyDescent="0.3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241</v>
      </c>
      <c r="N302" s="30"/>
    </row>
    <row r="303" spans="1:14" ht="15" customHeight="1" x14ac:dyDescent="0.3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 x14ac:dyDescent="0.3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 x14ac:dyDescent="0.3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 x14ac:dyDescent="0.3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 x14ac:dyDescent="0.3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 x14ac:dyDescent="0.3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 x14ac:dyDescent="0.3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 x14ac:dyDescent="0.3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 x14ac:dyDescent="0.3">
      <c r="A311" s="91" t="s">
        <v>185</v>
      </c>
      <c r="B311" s="91"/>
      <c r="C311" s="91"/>
      <c r="D311" s="91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186</v>
      </c>
      <c r="N311" s="20">
        <v>340420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242</v>
      </c>
      <c r="N319" s="30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243</v>
      </c>
      <c r="N320" s="30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244</v>
      </c>
      <c r="N321" s="30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245</v>
      </c>
      <c r="N322" s="30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 x14ac:dyDescent="0.3">
      <c r="A324" s="91" t="s">
        <v>187</v>
      </c>
      <c r="B324" s="91"/>
      <c r="C324" s="91"/>
      <c r="D324" s="91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186</v>
      </c>
      <c r="N324" s="20">
        <f>217310+197670</f>
        <v>414980</v>
      </c>
    </row>
    <row r="325" spans="1:14" ht="18" customHeight="1" x14ac:dyDescent="0.3">
      <c r="A325" s="90" t="s">
        <v>188</v>
      </c>
      <c r="B325" s="90"/>
      <c r="C325" s="90"/>
      <c r="D325" s="90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189</v>
      </c>
      <c r="N325" s="31">
        <f>IFERROR(N311+N324,"")</f>
        <v>755400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246</v>
      </c>
      <c r="N327" s="30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247</v>
      </c>
      <c r="N329" s="30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 x14ac:dyDescent="0.3">
      <c r="A338" s="91" t="s">
        <v>185</v>
      </c>
      <c r="B338" s="91"/>
      <c r="C338" s="91"/>
      <c r="D338" s="91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186</v>
      </c>
      <c r="N338" s="20">
        <f>39870+453420</f>
        <v>493290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248</v>
      </c>
      <c r="N339" s="30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249</v>
      </c>
      <c r="N340" s="30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 x14ac:dyDescent="0.3">
      <c r="A351" s="91" t="s">
        <v>187</v>
      </c>
      <c r="B351" s="91"/>
      <c r="C351" s="91"/>
      <c r="D351" s="91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186</v>
      </c>
      <c r="N351" s="20">
        <f>135270+304860</f>
        <v>440130</v>
      </c>
    </row>
    <row r="352" spans="1:14" ht="18" customHeight="1" x14ac:dyDescent="0.3">
      <c r="A352" s="90" t="s">
        <v>188</v>
      </c>
      <c r="B352" s="90"/>
      <c r="C352" s="90"/>
      <c r="D352" s="90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189</v>
      </c>
      <c r="N352" s="31">
        <f>IFERROR(N338+N351,"")</f>
        <v>933420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250</v>
      </c>
      <c r="N353" s="30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251</v>
      </c>
      <c r="N354" s="30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252</v>
      </c>
      <c r="N361" s="30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 x14ac:dyDescent="0.3">
      <c r="A365" s="91" t="s">
        <v>185</v>
      </c>
      <c r="B365" s="91"/>
      <c r="C365" s="91"/>
      <c r="D365" s="91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186</v>
      </c>
      <c r="N365" s="20">
        <f>264260+141380</f>
        <v>405640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 x14ac:dyDescent="0.3">
      <c r="A378" s="91" t="s">
        <v>187</v>
      </c>
      <c r="B378" s="91"/>
      <c r="C378" s="91"/>
      <c r="D378" s="91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186</v>
      </c>
      <c r="N378" s="20">
        <f>291750+291000</f>
        <v>582750</v>
      </c>
    </row>
    <row r="379" spans="1:14" ht="18" customHeight="1" x14ac:dyDescent="0.3">
      <c r="A379" s="90" t="s">
        <v>188</v>
      </c>
      <c r="B379" s="90"/>
      <c r="C379" s="90"/>
      <c r="D379" s="90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189</v>
      </c>
      <c r="N379" s="31">
        <f>IFERROR(N365+N378,"")</f>
        <v>988390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 x14ac:dyDescent="0.3">
      <c r="A392" s="91" t="s">
        <v>185</v>
      </c>
      <c r="B392" s="91"/>
      <c r="C392" s="91"/>
      <c r="D392" s="91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186</v>
      </c>
      <c r="N392" s="20">
        <v>116280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253</v>
      </c>
      <c r="N393" s="30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254</v>
      </c>
      <c r="N402" s="30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 x14ac:dyDescent="0.3">
      <c r="A405" s="91" t="s">
        <v>187</v>
      </c>
      <c r="B405" s="91"/>
      <c r="C405" s="91"/>
      <c r="D405" s="91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186</v>
      </c>
      <c r="N405" s="20">
        <v>305810</v>
      </c>
    </row>
    <row r="406" spans="1:14" ht="18" customHeight="1" x14ac:dyDescent="0.3">
      <c r="A406" s="90" t="s">
        <v>188</v>
      </c>
      <c r="B406" s="90"/>
      <c r="C406" s="90"/>
      <c r="D406" s="90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189</v>
      </c>
      <c r="N406" s="31">
        <f>IFERROR(N392+N405,"")</f>
        <v>422090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255</v>
      </c>
      <c r="N410" s="30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256</v>
      </c>
      <c r="N411" s="30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257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 x14ac:dyDescent="0.3">
      <c r="A419" s="91" t="s">
        <v>185</v>
      </c>
      <c r="B419" s="91"/>
      <c r="C419" s="91"/>
      <c r="D419" s="91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186</v>
      </c>
      <c r="N419" s="20">
        <v>333610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258</v>
      </c>
      <c r="N420" s="30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259</v>
      </c>
      <c r="N421" s="30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 x14ac:dyDescent="0.3">
      <c r="A432" s="91" t="s">
        <v>187</v>
      </c>
      <c r="B432" s="91"/>
      <c r="C432" s="91"/>
      <c r="D432" s="91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186</v>
      </c>
      <c r="N432" s="20">
        <v>522180</v>
      </c>
    </row>
    <row r="433" spans="1:14" ht="18" customHeight="1" x14ac:dyDescent="0.3">
      <c r="A433" s="90" t="s">
        <v>188</v>
      </c>
      <c r="B433" s="90"/>
      <c r="C433" s="90"/>
      <c r="D433" s="90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189</v>
      </c>
      <c r="N433" s="31">
        <f>IFERROR(N419+N432,"")</f>
        <v>855790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260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261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 x14ac:dyDescent="0.3">
      <c r="A446" s="91" t="s">
        <v>185</v>
      </c>
      <c r="B446" s="91"/>
      <c r="C446" s="91"/>
      <c r="D446" s="91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186</v>
      </c>
      <c r="N446" s="20">
        <v>426830</v>
      </c>
    </row>
    <row r="447" spans="1:14" ht="15" customHeight="1" x14ac:dyDescent="0.3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263</v>
      </c>
      <c r="N447" s="30"/>
    </row>
    <row r="448" spans="1:14" ht="15" customHeight="1" x14ac:dyDescent="0.3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 x14ac:dyDescent="0.3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 x14ac:dyDescent="0.3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 x14ac:dyDescent="0.3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 x14ac:dyDescent="0.3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 x14ac:dyDescent="0.3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 x14ac:dyDescent="0.3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 x14ac:dyDescent="0.3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 x14ac:dyDescent="0.3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 x14ac:dyDescent="0.3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 x14ac:dyDescent="0.3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 x14ac:dyDescent="0.3">
      <c r="A459" s="91" t="s">
        <v>187</v>
      </c>
      <c r="B459" s="91"/>
      <c r="C459" s="91"/>
      <c r="D459" s="91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186</v>
      </c>
      <c r="N459" s="20">
        <v>560220</v>
      </c>
    </row>
    <row r="460" spans="1:14" ht="18" customHeight="1" x14ac:dyDescent="0.3">
      <c r="A460" s="90" t="s">
        <v>188</v>
      </c>
      <c r="B460" s="90"/>
      <c r="C460" s="90"/>
      <c r="D460" s="90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189</v>
      </c>
      <c r="N460" s="31">
        <f>IFERROR(N446+N459,"")</f>
        <v>987050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 x14ac:dyDescent="0.3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 x14ac:dyDescent="0.3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 x14ac:dyDescent="0.3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 x14ac:dyDescent="0.3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264</v>
      </c>
      <c r="J465" s="13">
        <v>0.70833333333333337</v>
      </c>
      <c r="K465" s="13" t="s">
        <v>265</v>
      </c>
      <c r="L465" s="71" t="str">
        <f t="shared" si="103"/>
        <v/>
      </c>
      <c r="M465" s="29"/>
      <c r="N465" s="30"/>
    </row>
    <row r="466" spans="1:14" ht="15" customHeight="1" x14ac:dyDescent="0.3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 x14ac:dyDescent="0.3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 x14ac:dyDescent="0.3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 x14ac:dyDescent="0.3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 x14ac:dyDescent="0.3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 x14ac:dyDescent="0.3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 x14ac:dyDescent="0.3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266</v>
      </c>
      <c r="N472" s="30"/>
    </row>
    <row r="473" spans="1:14" ht="15.75" customHeight="1" x14ac:dyDescent="0.3">
      <c r="A473" s="91" t="s">
        <v>185</v>
      </c>
      <c r="B473" s="91"/>
      <c r="C473" s="91"/>
      <c r="D473" s="91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186</v>
      </c>
      <c r="N473" s="20">
        <v>544800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267</v>
      </c>
      <c r="N474" s="30">
        <v>1</v>
      </c>
    </row>
    <row r="475" spans="1:14" ht="15" customHeight="1" x14ac:dyDescent="0.3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 x14ac:dyDescent="0.3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 x14ac:dyDescent="0.3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268</v>
      </c>
      <c r="N477" s="30"/>
    </row>
    <row r="478" spans="1:14" ht="15" customHeight="1" x14ac:dyDescent="0.3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 x14ac:dyDescent="0.3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 x14ac:dyDescent="0.3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 x14ac:dyDescent="0.3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 x14ac:dyDescent="0.3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 x14ac:dyDescent="0.3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 x14ac:dyDescent="0.3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 x14ac:dyDescent="0.3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 x14ac:dyDescent="0.3">
      <c r="A486" s="91" t="s">
        <v>187</v>
      </c>
      <c r="B486" s="91"/>
      <c r="C486" s="91"/>
      <c r="D486" s="91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186</v>
      </c>
      <c r="N486" s="20">
        <v>400000</v>
      </c>
    </row>
    <row r="487" spans="1:14" ht="18" customHeight="1" x14ac:dyDescent="0.3">
      <c r="A487" s="90" t="s">
        <v>188</v>
      </c>
      <c r="B487" s="90"/>
      <c r="C487" s="90"/>
      <c r="D487" s="90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189</v>
      </c>
      <c r="N487" s="31">
        <f>IFERROR(N473+N486,"")</f>
        <v>944800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 x14ac:dyDescent="0.3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 x14ac:dyDescent="0.3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 x14ac:dyDescent="0.3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 x14ac:dyDescent="0.3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 x14ac:dyDescent="0.3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 x14ac:dyDescent="0.3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 x14ac:dyDescent="0.3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 x14ac:dyDescent="0.3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 x14ac:dyDescent="0.3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 x14ac:dyDescent="0.3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 x14ac:dyDescent="0.3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 x14ac:dyDescent="0.3">
      <c r="A500" s="91" t="s">
        <v>185</v>
      </c>
      <c r="B500" s="91"/>
      <c r="C500" s="91"/>
      <c r="D500" s="91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186</v>
      </c>
      <c r="N500" s="20">
        <f>92570+255950+56000</f>
        <v>404520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 x14ac:dyDescent="0.3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 x14ac:dyDescent="0.3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269</v>
      </c>
      <c r="N503" s="30"/>
    </row>
    <row r="504" spans="1:14" ht="15" customHeight="1" x14ac:dyDescent="0.3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 x14ac:dyDescent="0.3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 x14ac:dyDescent="0.3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 x14ac:dyDescent="0.3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 x14ac:dyDescent="0.3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 x14ac:dyDescent="0.3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 x14ac:dyDescent="0.3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 x14ac:dyDescent="0.3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 x14ac:dyDescent="0.3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 x14ac:dyDescent="0.3">
      <c r="A513" s="91" t="s">
        <v>187</v>
      </c>
      <c r="B513" s="91"/>
      <c r="C513" s="91"/>
      <c r="D513" s="91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186</v>
      </c>
      <c r="N513" s="20">
        <f>1031250+71560</f>
        <v>1102810</v>
      </c>
    </row>
    <row r="514" spans="1:14" ht="18" customHeight="1" x14ac:dyDescent="0.3">
      <c r="A514" s="90" t="s">
        <v>188</v>
      </c>
      <c r="B514" s="90"/>
      <c r="C514" s="90"/>
      <c r="D514" s="90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189</v>
      </c>
      <c r="N514" s="31">
        <f>IFERROR(N500+N513,"")</f>
        <v>1507330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207</v>
      </c>
      <c r="N515" s="30"/>
    </row>
    <row r="516" spans="1:14" ht="15" customHeight="1" x14ac:dyDescent="0.3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207</v>
      </c>
      <c r="N516" s="30"/>
    </row>
    <row r="517" spans="1:14" ht="15" customHeight="1" x14ac:dyDescent="0.3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207</v>
      </c>
      <c r="N517" s="30"/>
    </row>
    <row r="518" spans="1:14" ht="15" customHeight="1" x14ac:dyDescent="0.3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 x14ac:dyDescent="0.3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 x14ac:dyDescent="0.3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 x14ac:dyDescent="0.3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 x14ac:dyDescent="0.3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 x14ac:dyDescent="0.3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 x14ac:dyDescent="0.3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 x14ac:dyDescent="0.3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 x14ac:dyDescent="0.3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 x14ac:dyDescent="0.3">
      <c r="A527" s="91" t="s">
        <v>185</v>
      </c>
      <c r="B527" s="91"/>
      <c r="C527" s="91"/>
      <c r="D527" s="91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186</v>
      </c>
      <c r="N527" s="20">
        <v>396000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270</v>
      </c>
      <c r="N528" s="30"/>
    </row>
    <row r="529" spans="1:14" ht="15" customHeight="1" x14ac:dyDescent="0.3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271</v>
      </c>
      <c r="N529" s="30"/>
    </row>
    <row r="530" spans="1:14" ht="15" customHeight="1" x14ac:dyDescent="0.3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272</v>
      </c>
      <c r="N530" s="30"/>
    </row>
    <row r="531" spans="1:14" ht="15" customHeight="1" x14ac:dyDescent="0.3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273</v>
      </c>
      <c r="N531" s="30"/>
    </row>
    <row r="532" spans="1:14" ht="15" customHeight="1" x14ac:dyDescent="0.3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274</v>
      </c>
      <c r="N532" s="30"/>
    </row>
    <row r="533" spans="1:14" ht="15" customHeight="1" x14ac:dyDescent="0.3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274</v>
      </c>
      <c r="N533" s="30"/>
    </row>
    <row r="534" spans="1:14" ht="15" customHeight="1" x14ac:dyDescent="0.3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 x14ac:dyDescent="0.3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 x14ac:dyDescent="0.3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 x14ac:dyDescent="0.3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 x14ac:dyDescent="0.3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 x14ac:dyDescent="0.3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 x14ac:dyDescent="0.3">
      <c r="A540" s="91" t="s">
        <v>187</v>
      </c>
      <c r="B540" s="91"/>
      <c r="C540" s="91"/>
      <c r="D540" s="91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186</v>
      </c>
      <c r="N540" s="20">
        <v>504470</v>
      </c>
    </row>
    <row r="541" spans="1:14" ht="18" customHeight="1" x14ac:dyDescent="0.3">
      <c r="A541" s="90" t="s">
        <v>188</v>
      </c>
      <c r="B541" s="90"/>
      <c r="C541" s="90"/>
      <c r="D541" s="90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189</v>
      </c>
      <c r="N541" s="31">
        <f>IFERROR(N527+N540,"")</f>
        <v>900470</v>
      </c>
    </row>
    <row r="542" spans="1:14" ht="15" customHeight="1" x14ac:dyDescent="0.3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 x14ac:dyDescent="0.3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 x14ac:dyDescent="0.3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275</v>
      </c>
      <c r="N544" s="30"/>
    </row>
    <row r="545" spans="1:14" ht="15" customHeight="1" x14ac:dyDescent="0.3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 x14ac:dyDescent="0.3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 x14ac:dyDescent="0.3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 x14ac:dyDescent="0.3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 x14ac:dyDescent="0.3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 x14ac:dyDescent="0.3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 x14ac:dyDescent="0.3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 x14ac:dyDescent="0.3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 x14ac:dyDescent="0.3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 x14ac:dyDescent="0.3">
      <c r="A554" s="91" t="s">
        <v>185</v>
      </c>
      <c r="B554" s="91"/>
      <c r="C554" s="91"/>
      <c r="D554" s="91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186</v>
      </c>
      <c r="N554" s="20">
        <v>354670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 x14ac:dyDescent="0.3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 x14ac:dyDescent="0.3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 x14ac:dyDescent="0.3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 x14ac:dyDescent="0.3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 x14ac:dyDescent="0.3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 x14ac:dyDescent="0.3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 x14ac:dyDescent="0.3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 x14ac:dyDescent="0.3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 x14ac:dyDescent="0.3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 x14ac:dyDescent="0.3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 x14ac:dyDescent="0.3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 x14ac:dyDescent="0.3">
      <c r="A567" s="91" t="s">
        <v>187</v>
      </c>
      <c r="B567" s="91"/>
      <c r="C567" s="91"/>
      <c r="D567" s="91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186</v>
      </c>
      <c r="N567" s="20">
        <v>0</v>
      </c>
    </row>
    <row r="568" spans="1:14" ht="18" customHeight="1" x14ac:dyDescent="0.3">
      <c r="A568" s="90" t="s">
        <v>188</v>
      </c>
      <c r="B568" s="90"/>
      <c r="C568" s="90"/>
      <c r="D568" s="90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189</v>
      </c>
      <c r="N568" s="31">
        <f>IFERROR(N554+N567,"")</f>
        <v>354670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 x14ac:dyDescent="0.3">
      <c r="A581" s="91" t="s">
        <v>185</v>
      </c>
      <c r="B581" s="91"/>
      <c r="C581" s="91"/>
      <c r="D581" s="91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186</v>
      </c>
      <c r="N581" s="20">
        <v>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 x14ac:dyDescent="0.3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276</v>
      </c>
      <c r="N583" s="30"/>
    </row>
    <row r="584" spans="1:14" ht="15" customHeight="1" x14ac:dyDescent="0.3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 x14ac:dyDescent="0.3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 x14ac:dyDescent="0.3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 x14ac:dyDescent="0.3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 x14ac:dyDescent="0.3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 x14ac:dyDescent="0.3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 x14ac:dyDescent="0.3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 x14ac:dyDescent="0.3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 x14ac:dyDescent="0.3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 x14ac:dyDescent="0.3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 x14ac:dyDescent="0.3">
      <c r="A594" s="91" t="s">
        <v>187</v>
      </c>
      <c r="B594" s="91"/>
      <c r="C594" s="91"/>
      <c r="D594" s="91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186</v>
      </c>
      <c r="N594" s="20">
        <v>258960</v>
      </c>
    </row>
    <row r="595" spans="1:14" ht="18" customHeight="1" x14ac:dyDescent="0.3">
      <c r="A595" s="90" t="s">
        <v>188</v>
      </c>
      <c r="B595" s="90"/>
      <c r="C595" s="90"/>
      <c r="D595" s="90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189</v>
      </c>
      <c r="N595" s="31">
        <f>IFERROR(N581+N594,"")</f>
        <v>258960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169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277</v>
      </c>
      <c r="N596" s="30"/>
    </row>
    <row r="597" spans="1:14" ht="15" customHeight="1" x14ac:dyDescent="0.3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 x14ac:dyDescent="0.3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278</v>
      </c>
      <c r="N598" s="30"/>
    </row>
    <row r="599" spans="1:14" ht="15" customHeight="1" x14ac:dyDescent="0.3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279</v>
      </c>
      <c r="N599" s="30"/>
    </row>
    <row r="600" spans="1:14" ht="15" customHeight="1" x14ac:dyDescent="0.3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 x14ac:dyDescent="0.3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 x14ac:dyDescent="0.3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 x14ac:dyDescent="0.3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 x14ac:dyDescent="0.3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 x14ac:dyDescent="0.3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 x14ac:dyDescent="0.3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 x14ac:dyDescent="0.3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 x14ac:dyDescent="0.3">
      <c r="A608" s="91" t="s">
        <v>185</v>
      </c>
      <c r="B608" s="91"/>
      <c r="C608" s="91"/>
      <c r="D608" s="91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186</v>
      </c>
      <c r="N608" s="20">
        <v>682730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280</v>
      </c>
      <c r="N609" s="30"/>
    </row>
    <row r="610" spans="1:14" ht="15" customHeight="1" x14ac:dyDescent="0.3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10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 x14ac:dyDescent="0.3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 x14ac:dyDescent="0.3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281</v>
      </c>
      <c r="N612" s="30"/>
    </row>
    <row r="613" spans="1:14" ht="15" customHeight="1" x14ac:dyDescent="0.3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 x14ac:dyDescent="0.3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 x14ac:dyDescent="0.3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 x14ac:dyDescent="0.3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 x14ac:dyDescent="0.3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 x14ac:dyDescent="0.3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 x14ac:dyDescent="0.3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 x14ac:dyDescent="0.3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 x14ac:dyDescent="0.3">
      <c r="A621" s="91" t="s">
        <v>187</v>
      </c>
      <c r="B621" s="91"/>
      <c r="C621" s="91"/>
      <c r="D621" s="91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186</v>
      </c>
      <c r="N621" s="20">
        <v>687740</v>
      </c>
    </row>
    <row r="622" spans="1:14" ht="18" customHeight="1" x14ac:dyDescent="0.3">
      <c r="A622" s="90" t="s">
        <v>188</v>
      </c>
      <c r="B622" s="90"/>
      <c r="C622" s="90"/>
      <c r="D622" s="90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189</v>
      </c>
      <c r="N622" s="31">
        <f>N608+N621</f>
        <v>1370470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 x14ac:dyDescent="0.3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 x14ac:dyDescent="0.3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282</v>
      </c>
      <c r="N625" s="30"/>
    </row>
    <row r="626" spans="1:14" ht="15" customHeight="1" x14ac:dyDescent="0.3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 x14ac:dyDescent="0.3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 x14ac:dyDescent="0.3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 x14ac:dyDescent="0.3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 x14ac:dyDescent="0.3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 x14ac:dyDescent="0.3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 x14ac:dyDescent="0.3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 x14ac:dyDescent="0.3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 x14ac:dyDescent="0.3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 x14ac:dyDescent="0.3">
      <c r="A635" s="91" t="s">
        <v>185</v>
      </c>
      <c r="B635" s="91"/>
      <c r="C635" s="91"/>
      <c r="D635" s="91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186</v>
      </c>
      <c r="N635" s="89">
        <v>565490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283</v>
      </c>
      <c r="N636" s="30"/>
    </row>
    <row r="637" spans="1:14" ht="15" customHeight="1" x14ac:dyDescent="0.3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284</v>
      </c>
      <c r="N637" s="30"/>
    </row>
    <row r="638" spans="1:14" ht="15" customHeight="1" x14ac:dyDescent="0.3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285</v>
      </c>
      <c r="N638" s="30"/>
    </row>
    <row r="639" spans="1:14" ht="15" customHeight="1" x14ac:dyDescent="0.3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 x14ac:dyDescent="0.3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 x14ac:dyDescent="0.3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 x14ac:dyDescent="0.3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 x14ac:dyDescent="0.3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 x14ac:dyDescent="0.3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 x14ac:dyDescent="0.3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 x14ac:dyDescent="0.3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 x14ac:dyDescent="0.3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 x14ac:dyDescent="0.3">
      <c r="A648" s="91" t="s">
        <v>187</v>
      </c>
      <c r="B648" s="91"/>
      <c r="C648" s="91"/>
      <c r="D648" s="91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186</v>
      </c>
      <c r="N648" s="20">
        <f>47050+58630</f>
        <v>105680</v>
      </c>
    </row>
    <row r="649" spans="1:14" ht="18" customHeight="1" x14ac:dyDescent="0.3">
      <c r="A649" s="90" t="s">
        <v>188</v>
      </c>
      <c r="B649" s="90"/>
      <c r="C649" s="90"/>
      <c r="D649" s="90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189</v>
      </c>
      <c r="N649" s="31">
        <f>N635+N648</f>
        <v>671170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 x14ac:dyDescent="0.3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 x14ac:dyDescent="0.3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 x14ac:dyDescent="0.3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 x14ac:dyDescent="0.3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 x14ac:dyDescent="0.3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 x14ac:dyDescent="0.3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 x14ac:dyDescent="0.3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 x14ac:dyDescent="0.3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 x14ac:dyDescent="0.3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 x14ac:dyDescent="0.3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 x14ac:dyDescent="0.3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 x14ac:dyDescent="0.3">
      <c r="A662" s="91" t="s">
        <v>185</v>
      </c>
      <c r="B662" s="91"/>
      <c r="C662" s="91"/>
      <c r="D662" s="91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186</v>
      </c>
      <c r="N662" s="20">
        <v>127580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286</v>
      </c>
      <c r="N663" s="30"/>
    </row>
    <row r="664" spans="1:14" ht="15" customHeight="1" x14ac:dyDescent="0.3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287</v>
      </c>
      <c r="N664" s="30"/>
    </row>
    <row r="665" spans="1:14" ht="15" customHeight="1" x14ac:dyDescent="0.3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 x14ac:dyDescent="0.3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 x14ac:dyDescent="0.3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 x14ac:dyDescent="0.3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 x14ac:dyDescent="0.3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 x14ac:dyDescent="0.3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 x14ac:dyDescent="0.3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 x14ac:dyDescent="0.3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288</v>
      </c>
      <c r="N672" s="30"/>
    </row>
    <row r="673" spans="1:14" ht="15" customHeight="1" x14ac:dyDescent="0.3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 x14ac:dyDescent="0.3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 x14ac:dyDescent="0.3">
      <c r="A675" s="91" t="s">
        <v>187</v>
      </c>
      <c r="B675" s="91"/>
      <c r="C675" s="91"/>
      <c r="D675" s="91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186</v>
      </c>
      <c r="N675" s="20">
        <v>546550</v>
      </c>
    </row>
    <row r="676" spans="1:14" ht="18" customHeight="1" x14ac:dyDescent="0.3">
      <c r="A676" s="90" t="s">
        <v>188</v>
      </c>
      <c r="B676" s="90"/>
      <c r="C676" s="90"/>
      <c r="D676" s="90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189</v>
      </c>
      <c r="N676" s="31">
        <f>IFERROR(N662+N675,"")</f>
        <v>674130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 x14ac:dyDescent="0.3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 x14ac:dyDescent="0.3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289</v>
      </c>
      <c r="N679" s="30"/>
    </row>
    <row r="680" spans="1:14" ht="15" customHeight="1" x14ac:dyDescent="0.3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 x14ac:dyDescent="0.3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 x14ac:dyDescent="0.3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 x14ac:dyDescent="0.3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 x14ac:dyDescent="0.3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 x14ac:dyDescent="0.3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 x14ac:dyDescent="0.3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 x14ac:dyDescent="0.3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 x14ac:dyDescent="0.3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 x14ac:dyDescent="0.3">
      <c r="A689" s="91" t="s">
        <v>185</v>
      </c>
      <c r="B689" s="91"/>
      <c r="C689" s="91"/>
      <c r="D689" s="91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186</v>
      </c>
      <c r="N689" s="20">
        <v>628720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 x14ac:dyDescent="0.3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290</v>
      </c>
      <c r="N691" s="30"/>
    </row>
    <row r="692" spans="1:14" ht="15" customHeight="1" x14ac:dyDescent="0.3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291</v>
      </c>
      <c r="N692" s="30"/>
    </row>
    <row r="693" spans="1:14" ht="15" customHeight="1" x14ac:dyDescent="0.3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 x14ac:dyDescent="0.3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 x14ac:dyDescent="0.3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 x14ac:dyDescent="0.3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 x14ac:dyDescent="0.3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 x14ac:dyDescent="0.3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 x14ac:dyDescent="0.3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 x14ac:dyDescent="0.3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 x14ac:dyDescent="0.3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 x14ac:dyDescent="0.3">
      <c r="A702" s="91" t="s">
        <v>187</v>
      </c>
      <c r="B702" s="91"/>
      <c r="C702" s="91"/>
      <c r="D702" s="91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186</v>
      </c>
      <c r="N702" s="20">
        <f>430070+116100</f>
        <v>546170</v>
      </c>
    </row>
    <row r="703" spans="1:14" ht="18" customHeight="1" x14ac:dyDescent="0.3">
      <c r="A703" s="90" t="s">
        <v>188</v>
      </c>
      <c r="B703" s="90"/>
      <c r="C703" s="90"/>
      <c r="D703" s="90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189</v>
      </c>
      <c r="N703" s="31">
        <f>IFERROR(N689+N702,"")</f>
        <v>1174890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5" ht="15" customHeight="1" x14ac:dyDescent="0.3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/>
      <c r="L705" s="71" t="str">
        <f t="shared" si="158"/>
        <v/>
      </c>
      <c r="M705" s="29"/>
      <c r="N705" s="30"/>
    </row>
    <row r="706" spans="1:15" ht="15" customHeight="1" x14ac:dyDescent="0.3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5" ht="15" customHeight="1" x14ac:dyDescent="0.3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  <c r="O707" s="99"/>
    </row>
    <row r="708" spans="1:15" ht="15" customHeight="1" x14ac:dyDescent="0.3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20</v>
      </c>
      <c r="F708" s="12">
        <f t="shared" si="157"/>
        <v>80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5" ht="15" customHeight="1" x14ac:dyDescent="0.3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10</v>
      </c>
      <c r="F709" s="17">
        <f t="shared" si="157"/>
        <v>40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5" ht="15" customHeight="1" x14ac:dyDescent="0.3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20</v>
      </c>
      <c r="F710" s="12">
        <f t="shared" si="157"/>
        <v>80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5" ht="15" customHeight="1" x14ac:dyDescent="0.3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10</v>
      </c>
      <c r="F711" s="17">
        <f t="shared" si="157"/>
        <v>40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5" ht="15" customHeight="1" x14ac:dyDescent="0.3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20</v>
      </c>
      <c r="F712" s="12">
        <f t="shared" si="157"/>
        <v>80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5" ht="15" customHeight="1" x14ac:dyDescent="0.3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10</v>
      </c>
      <c r="F713" s="17">
        <f t="shared" si="157"/>
        <v>40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5" ht="15" customHeight="1" x14ac:dyDescent="0.3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20</v>
      </c>
      <c r="F714" s="12">
        <f t="shared" si="157"/>
        <v>80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5" ht="15" customHeight="1" x14ac:dyDescent="0.3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10</v>
      </c>
      <c r="F715" s="17">
        <f t="shared" si="157"/>
        <v>40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5" ht="15.75" customHeight="1" x14ac:dyDescent="0.3">
      <c r="A716" s="91" t="s">
        <v>185</v>
      </c>
      <c r="B716" s="91"/>
      <c r="C716" s="91"/>
      <c r="D716" s="91"/>
      <c r="E716" s="19">
        <f>SUM(E704:E715)</f>
        <v>167</v>
      </c>
      <c r="F716" s="19">
        <f>SUM(F704:F715)</f>
        <v>668</v>
      </c>
      <c r="G716" s="18"/>
      <c r="H716" s="18"/>
      <c r="I716" s="18"/>
      <c r="J716" s="18"/>
      <c r="K716" s="18"/>
      <c r="L716" s="72">
        <f>IFERROR(SUM(L704:L715),"")</f>
        <v>2.4305555555555525E-2</v>
      </c>
      <c r="M716" s="19" t="s">
        <v>186</v>
      </c>
      <c r="N716" s="20">
        <v>680000</v>
      </c>
    </row>
    <row r="717" spans="1:15" ht="15" customHeight="1" x14ac:dyDescent="0.3">
      <c r="A717" s="59">
        <v>46200</v>
      </c>
      <c r="B717" s="15">
        <v>0.83333333333333304</v>
      </c>
      <c r="C717" s="16"/>
      <c r="D717" s="16"/>
      <c r="E717" s="11">
        <v>20</v>
      </c>
      <c r="F717" s="17">
        <f t="shared" ref="F717:F728" si="160">IF(E717="","",E717*4)</f>
        <v>80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5" ht="15" customHeight="1" x14ac:dyDescent="0.3">
      <c r="A718" s="58">
        <v>46200</v>
      </c>
      <c r="B718" s="9">
        <f t="shared" ref="B718:B728" si="162">B717+TIME(0,60,0)</f>
        <v>0.87499999999999967</v>
      </c>
      <c r="C718" s="10"/>
      <c r="D718" s="10"/>
      <c r="E718" s="11">
        <v>20</v>
      </c>
      <c r="F718" s="12">
        <f t="shared" si="160"/>
        <v>80</v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5" ht="15" customHeight="1" x14ac:dyDescent="0.3">
      <c r="A719" s="59">
        <v>46200</v>
      </c>
      <c r="B719" s="15">
        <f t="shared" si="162"/>
        <v>0.9166666666666663</v>
      </c>
      <c r="C719" s="16"/>
      <c r="D719" s="16"/>
      <c r="E719" s="11">
        <v>20</v>
      </c>
      <c r="F719" s="17">
        <f t="shared" si="160"/>
        <v>80</v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5" ht="15" customHeight="1" x14ac:dyDescent="0.3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 x14ac:dyDescent="0.3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 x14ac:dyDescent="0.3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 x14ac:dyDescent="0.3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 x14ac:dyDescent="0.3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 x14ac:dyDescent="0.3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 x14ac:dyDescent="0.3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 x14ac:dyDescent="0.3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 x14ac:dyDescent="0.3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 x14ac:dyDescent="0.3">
      <c r="A729" s="91" t="s">
        <v>187</v>
      </c>
      <c r="B729" s="91"/>
      <c r="C729" s="91"/>
      <c r="D729" s="91"/>
      <c r="E729" s="19">
        <f>SUM(E717:E728)</f>
        <v>60</v>
      </c>
      <c r="F729" s="19">
        <f>SUM(F717:F728)</f>
        <v>240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 x14ac:dyDescent="0.3">
      <c r="A730" s="90" t="s">
        <v>188</v>
      </c>
      <c r="B730" s="90"/>
      <c r="C730" s="90"/>
      <c r="D730" s="90"/>
      <c r="E730" s="22">
        <f>E716+E729</f>
        <v>227</v>
      </c>
      <c r="F730" s="22">
        <f>F716+F729</f>
        <v>908</v>
      </c>
      <c r="G730" s="21"/>
      <c r="H730" s="21"/>
      <c r="I730" s="21"/>
      <c r="J730" s="21"/>
      <c r="K730" s="21"/>
      <c r="L730" s="73">
        <f>IFERROR(L716+L729,"")</f>
        <v>2.4305555555555525E-2</v>
      </c>
      <c r="M730" s="22" t="s">
        <v>189</v>
      </c>
      <c r="N730" s="31">
        <f>IFERROR(N716+N729,"")</f>
        <v>680000</v>
      </c>
    </row>
    <row r="731" spans="1:14" ht="15" customHeight="1" x14ac:dyDescent="0.3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 x14ac:dyDescent="0.3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 x14ac:dyDescent="0.3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 x14ac:dyDescent="0.3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 x14ac:dyDescent="0.3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 x14ac:dyDescent="0.3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 x14ac:dyDescent="0.3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 x14ac:dyDescent="0.3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 x14ac:dyDescent="0.3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 x14ac:dyDescent="0.3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 x14ac:dyDescent="0.3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 x14ac:dyDescent="0.3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 x14ac:dyDescent="0.3">
      <c r="A743" s="91" t="s">
        <v>185</v>
      </c>
      <c r="B743" s="91"/>
      <c r="C743" s="91"/>
      <c r="D743" s="91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 x14ac:dyDescent="0.3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 x14ac:dyDescent="0.3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 x14ac:dyDescent="0.3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 x14ac:dyDescent="0.3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 x14ac:dyDescent="0.3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 x14ac:dyDescent="0.3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 x14ac:dyDescent="0.3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 x14ac:dyDescent="0.3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 x14ac:dyDescent="0.3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 x14ac:dyDescent="0.3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 x14ac:dyDescent="0.3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 x14ac:dyDescent="0.3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 x14ac:dyDescent="0.3">
      <c r="A756" s="91" t="s">
        <v>187</v>
      </c>
      <c r="B756" s="91"/>
      <c r="C756" s="91"/>
      <c r="D756" s="91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 x14ac:dyDescent="0.3">
      <c r="A757" s="90" t="s">
        <v>188</v>
      </c>
      <c r="B757" s="90"/>
      <c r="C757" s="90"/>
      <c r="D757" s="90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 x14ac:dyDescent="0.3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 x14ac:dyDescent="0.3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 x14ac:dyDescent="0.3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 x14ac:dyDescent="0.3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 x14ac:dyDescent="0.3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 x14ac:dyDescent="0.3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 x14ac:dyDescent="0.3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 x14ac:dyDescent="0.3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 x14ac:dyDescent="0.3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 x14ac:dyDescent="0.3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 x14ac:dyDescent="0.3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 x14ac:dyDescent="0.3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 x14ac:dyDescent="0.3">
      <c r="A770" s="91" t="s">
        <v>185</v>
      </c>
      <c r="B770" s="91"/>
      <c r="C770" s="91"/>
      <c r="D770" s="91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 x14ac:dyDescent="0.3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 x14ac:dyDescent="0.3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 x14ac:dyDescent="0.3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 x14ac:dyDescent="0.3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 x14ac:dyDescent="0.3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 x14ac:dyDescent="0.3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 x14ac:dyDescent="0.3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 x14ac:dyDescent="0.3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 x14ac:dyDescent="0.3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 x14ac:dyDescent="0.3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 x14ac:dyDescent="0.3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 x14ac:dyDescent="0.3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 x14ac:dyDescent="0.3">
      <c r="A783" s="91" t="s">
        <v>187</v>
      </c>
      <c r="B783" s="91"/>
      <c r="C783" s="91"/>
      <c r="D783" s="91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 x14ac:dyDescent="0.3">
      <c r="A784" s="90" t="s">
        <v>188</v>
      </c>
      <c r="B784" s="90"/>
      <c r="C784" s="90"/>
      <c r="D784" s="90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 x14ac:dyDescent="0.3">
      <c r="A785" s="59">
        <v>46203</v>
      </c>
      <c r="B785" s="15">
        <v>0.33333333333333298</v>
      </c>
      <c r="C785" s="10"/>
      <c r="D785" s="10"/>
      <c r="E785" s="11"/>
      <c r="F785" s="12" t="str">
        <f t="shared" ref="F785:F796" si="175">IF(E785="","",E785*4)</f>
        <v/>
      </c>
      <c r="G785" s="10"/>
      <c r="H785" s="10"/>
      <c r="I785" s="10"/>
      <c r="J785" s="13"/>
      <c r="K785" s="13"/>
      <c r="L785" s="70" t="str">
        <f t="shared" ref="L785:L796" si="176">IFERROR(IF(K785="","",IF(K785&gt;=J785,K785-J785,K785+1-J785)),"")</f>
        <v/>
      </c>
      <c r="M785" s="29"/>
      <c r="N785" s="30"/>
    </row>
    <row r="786" spans="1:14" ht="15" customHeight="1" x14ac:dyDescent="0.3">
      <c r="A786" s="58">
        <v>46203</v>
      </c>
      <c r="B786" s="9">
        <f t="shared" ref="B786:B796" si="177">B785+TIME(0,60,0)</f>
        <v>0.37499999999999967</v>
      </c>
      <c r="C786" s="16"/>
      <c r="D786" s="16"/>
      <c r="E786" s="11"/>
      <c r="F786" s="17" t="str">
        <f t="shared" si="175"/>
        <v/>
      </c>
      <c r="G786" s="16"/>
      <c r="H786" s="16"/>
      <c r="I786" s="16"/>
      <c r="J786" s="13"/>
      <c r="K786" s="13"/>
      <c r="L786" s="71" t="str">
        <f t="shared" si="176"/>
        <v/>
      </c>
      <c r="M786" s="29"/>
      <c r="N786" s="30"/>
    </row>
    <row r="787" spans="1:14" ht="15" customHeight="1" x14ac:dyDescent="0.3">
      <c r="A787" s="59">
        <v>46203</v>
      </c>
      <c r="B787" s="15">
        <f t="shared" si="177"/>
        <v>0.41666666666666635</v>
      </c>
      <c r="C787" s="10"/>
      <c r="D787" s="10"/>
      <c r="E787" s="11"/>
      <c r="F787" s="12" t="str">
        <f t="shared" si="175"/>
        <v/>
      </c>
      <c r="G787" s="10"/>
      <c r="H787" s="10"/>
      <c r="I787" s="10"/>
      <c r="J787" s="13"/>
      <c r="K787" s="13"/>
      <c r="L787" s="70" t="str">
        <f t="shared" si="176"/>
        <v/>
      </c>
      <c r="M787" s="29"/>
      <c r="N787" s="30"/>
    </row>
    <row r="788" spans="1:14" ht="15" customHeight="1" x14ac:dyDescent="0.3">
      <c r="A788" s="58">
        <v>46203</v>
      </c>
      <c r="B788" s="9">
        <f t="shared" si="177"/>
        <v>0.45833333333333304</v>
      </c>
      <c r="C788" s="16"/>
      <c r="D788" s="16"/>
      <c r="E788" s="11"/>
      <c r="F788" s="17" t="str">
        <f t="shared" si="175"/>
        <v/>
      </c>
      <c r="G788" s="16"/>
      <c r="H788" s="16"/>
      <c r="I788" s="16"/>
      <c r="J788" s="13"/>
      <c r="K788" s="13"/>
      <c r="L788" s="71" t="str">
        <f t="shared" si="176"/>
        <v/>
      </c>
      <c r="M788" s="29"/>
      <c r="N788" s="30"/>
    </row>
    <row r="789" spans="1:14" ht="15" customHeight="1" x14ac:dyDescent="0.3">
      <c r="A789" s="59">
        <v>46203</v>
      </c>
      <c r="B789" s="15">
        <f t="shared" si="177"/>
        <v>0.49999999999999972</v>
      </c>
      <c r="C789" s="10"/>
      <c r="D789" s="10"/>
      <c r="E789" s="11"/>
      <c r="F789" s="12" t="str">
        <f t="shared" si="175"/>
        <v/>
      </c>
      <c r="G789" s="10"/>
      <c r="H789" s="10"/>
      <c r="I789" s="10"/>
      <c r="J789" s="13"/>
      <c r="K789" s="13"/>
      <c r="L789" s="70" t="str">
        <f t="shared" si="176"/>
        <v/>
      </c>
      <c r="M789" s="29"/>
      <c r="N789" s="30"/>
    </row>
    <row r="790" spans="1:14" ht="15" customHeight="1" x14ac:dyDescent="0.3">
      <c r="A790" s="58">
        <v>46203</v>
      </c>
      <c r="B790" s="9">
        <f t="shared" si="177"/>
        <v>0.54166666666666641</v>
      </c>
      <c r="C790" s="16"/>
      <c r="D790" s="16"/>
      <c r="E790" s="11"/>
      <c r="F790" s="17" t="str">
        <f t="shared" si="175"/>
        <v/>
      </c>
      <c r="G790" s="16"/>
      <c r="H790" s="16"/>
      <c r="I790" s="16"/>
      <c r="J790" s="13"/>
      <c r="K790" s="13"/>
      <c r="L790" s="71" t="str">
        <f t="shared" si="176"/>
        <v/>
      </c>
      <c r="M790" s="29"/>
      <c r="N790" s="30"/>
    </row>
    <row r="791" spans="1:14" ht="15" customHeight="1" x14ac:dyDescent="0.3">
      <c r="A791" s="59">
        <v>46203</v>
      </c>
      <c r="B791" s="15">
        <f t="shared" si="177"/>
        <v>0.58333333333333304</v>
      </c>
      <c r="C791" s="10"/>
      <c r="D791" s="10"/>
      <c r="E791" s="11"/>
      <c r="F791" s="12" t="str">
        <f t="shared" si="175"/>
        <v/>
      </c>
      <c r="G791" s="10"/>
      <c r="H791" s="10"/>
      <c r="I791" s="10"/>
      <c r="J791" s="13"/>
      <c r="K791" s="13"/>
      <c r="L791" s="70" t="str">
        <f t="shared" si="176"/>
        <v/>
      </c>
      <c r="M791" s="29"/>
      <c r="N791" s="30"/>
    </row>
    <row r="792" spans="1:14" ht="15" customHeight="1" x14ac:dyDescent="0.3">
      <c r="A792" s="58">
        <v>46203</v>
      </c>
      <c r="B792" s="9">
        <f t="shared" si="177"/>
        <v>0.62499999999999967</v>
      </c>
      <c r="C792" s="16"/>
      <c r="D792" s="16"/>
      <c r="E792" s="11"/>
      <c r="F792" s="17" t="str">
        <f t="shared" si="175"/>
        <v/>
      </c>
      <c r="G792" s="16"/>
      <c r="H792" s="16"/>
      <c r="I792" s="16"/>
      <c r="J792" s="13"/>
      <c r="K792" s="13"/>
      <c r="L792" s="71" t="str">
        <f t="shared" si="176"/>
        <v/>
      </c>
      <c r="M792" s="29"/>
      <c r="N792" s="30"/>
    </row>
    <row r="793" spans="1:14" ht="15" customHeight="1" x14ac:dyDescent="0.3">
      <c r="A793" s="59">
        <v>46203</v>
      </c>
      <c r="B793" s="15">
        <f t="shared" si="177"/>
        <v>0.6666666666666663</v>
      </c>
      <c r="C793" s="10"/>
      <c r="D793" s="10"/>
      <c r="E793" s="11"/>
      <c r="F793" s="12" t="str">
        <f t="shared" si="175"/>
        <v/>
      </c>
      <c r="G793" s="10"/>
      <c r="H793" s="10"/>
      <c r="I793" s="10"/>
      <c r="J793" s="13"/>
      <c r="K793" s="13"/>
      <c r="L793" s="70" t="str">
        <f t="shared" si="176"/>
        <v/>
      </c>
      <c r="M793" s="29"/>
      <c r="N793" s="30"/>
    </row>
    <row r="794" spans="1:14" ht="15" customHeight="1" x14ac:dyDescent="0.3">
      <c r="A794" s="58">
        <v>46203</v>
      </c>
      <c r="B794" s="9">
        <f t="shared" si="177"/>
        <v>0.70833333333333293</v>
      </c>
      <c r="C794" s="16"/>
      <c r="D794" s="16"/>
      <c r="E794" s="11"/>
      <c r="F794" s="17" t="str">
        <f t="shared" si="175"/>
        <v/>
      </c>
      <c r="G794" s="16"/>
      <c r="H794" s="16"/>
      <c r="I794" s="16"/>
      <c r="J794" s="13"/>
      <c r="K794" s="13"/>
      <c r="L794" s="71" t="str">
        <f t="shared" si="176"/>
        <v/>
      </c>
      <c r="M794" s="29"/>
      <c r="N794" s="30"/>
    </row>
    <row r="795" spans="1:14" ht="15" customHeight="1" x14ac:dyDescent="0.3">
      <c r="A795" s="59">
        <v>46203</v>
      </c>
      <c r="B795" s="15">
        <f t="shared" si="177"/>
        <v>0.74999999999999956</v>
      </c>
      <c r="C795" s="10"/>
      <c r="D795" s="10"/>
      <c r="E795" s="11"/>
      <c r="F795" s="12" t="str">
        <f t="shared" si="175"/>
        <v/>
      </c>
      <c r="G795" s="10"/>
      <c r="H795" s="10"/>
      <c r="I795" s="10"/>
      <c r="J795" s="13"/>
      <c r="K795" s="13"/>
      <c r="L795" s="70" t="str">
        <f t="shared" si="176"/>
        <v/>
      </c>
      <c r="M795" s="29"/>
      <c r="N795" s="30"/>
    </row>
    <row r="796" spans="1:14" ht="15" customHeight="1" x14ac:dyDescent="0.3">
      <c r="A796" s="58">
        <v>46203</v>
      </c>
      <c r="B796" s="9">
        <f t="shared" si="177"/>
        <v>0.79166666666666619</v>
      </c>
      <c r="C796" s="16"/>
      <c r="D796" s="16"/>
      <c r="E796" s="11"/>
      <c r="F796" s="17" t="str">
        <f t="shared" si="175"/>
        <v/>
      </c>
      <c r="G796" s="16"/>
      <c r="H796" s="16"/>
      <c r="I796" s="16"/>
      <c r="J796" s="13"/>
      <c r="K796" s="13"/>
      <c r="L796" s="71" t="str">
        <f t="shared" si="176"/>
        <v/>
      </c>
      <c r="M796" s="29"/>
      <c r="N796" s="30"/>
    </row>
    <row r="797" spans="1:14" ht="15.75" customHeight="1" x14ac:dyDescent="0.3">
      <c r="A797" s="91" t="s">
        <v>185</v>
      </c>
      <c r="B797" s="91"/>
      <c r="C797" s="91"/>
      <c r="D797" s="91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 x14ac:dyDescent="0.3">
      <c r="A798" s="58">
        <v>46203</v>
      </c>
      <c r="B798" s="9">
        <v>0.83333333333333304</v>
      </c>
      <c r="C798" s="16"/>
      <c r="D798" s="16"/>
      <c r="E798" s="11"/>
      <c r="F798" s="17" t="str">
        <f t="shared" ref="F798:F809" si="178">IF(E798="","",E798*4)</f>
        <v/>
      </c>
      <c r="G798" s="16"/>
      <c r="H798" s="16"/>
      <c r="I798" s="16"/>
      <c r="J798" s="13"/>
      <c r="K798" s="13"/>
      <c r="L798" s="71" t="str">
        <f t="shared" ref="L798:L809" si="179">IFERROR(IF(K798="","",IF(K798&gt;=J798,K798-J798,K798+1-J798)),"")</f>
        <v/>
      </c>
      <c r="M798" s="29"/>
      <c r="N798" s="30"/>
    </row>
    <row r="799" spans="1:14" ht="15" customHeight="1" x14ac:dyDescent="0.3">
      <c r="A799" s="59">
        <v>46203</v>
      </c>
      <c r="B799" s="15">
        <f t="shared" ref="B799:B809" si="180">B798+TIME(0,60,0)</f>
        <v>0.87499999999999967</v>
      </c>
      <c r="C799" s="10"/>
      <c r="D799" s="10"/>
      <c r="E799" s="11"/>
      <c r="F799" s="12" t="str">
        <f t="shared" si="178"/>
        <v/>
      </c>
      <c r="G799" s="10"/>
      <c r="H799" s="10"/>
      <c r="I799" s="10"/>
      <c r="J799" s="13"/>
      <c r="K799" s="13"/>
      <c r="L799" s="70" t="str">
        <f t="shared" si="179"/>
        <v/>
      </c>
      <c r="M799" s="29"/>
      <c r="N799" s="30"/>
    </row>
    <row r="800" spans="1:14" ht="15" customHeight="1" x14ac:dyDescent="0.3">
      <c r="A800" s="58">
        <v>46203</v>
      </c>
      <c r="B800" s="9">
        <f t="shared" si="180"/>
        <v>0.9166666666666663</v>
      </c>
      <c r="C800" s="16"/>
      <c r="D800" s="16"/>
      <c r="E800" s="11"/>
      <c r="F800" s="17" t="str">
        <f t="shared" si="178"/>
        <v/>
      </c>
      <c r="G800" s="16"/>
      <c r="H800" s="16"/>
      <c r="I800" s="16"/>
      <c r="J800" s="13"/>
      <c r="K800" s="13"/>
      <c r="L800" s="71" t="str">
        <f t="shared" si="179"/>
        <v/>
      </c>
      <c r="M800" s="29"/>
      <c r="N800" s="30"/>
    </row>
    <row r="801" spans="1:14" ht="15" customHeight="1" x14ac:dyDescent="0.3">
      <c r="A801" s="59">
        <v>46203</v>
      </c>
      <c r="B801" s="15">
        <f t="shared" si="180"/>
        <v>0.95833333333333293</v>
      </c>
      <c r="C801" s="10"/>
      <c r="D801" s="10"/>
      <c r="E801" s="11"/>
      <c r="F801" s="12" t="str">
        <f t="shared" si="178"/>
        <v/>
      </c>
      <c r="G801" s="10"/>
      <c r="H801" s="10"/>
      <c r="I801" s="10"/>
      <c r="J801" s="13"/>
      <c r="K801" s="13"/>
      <c r="L801" s="70" t="str">
        <f t="shared" si="179"/>
        <v/>
      </c>
      <c r="M801" s="29"/>
      <c r="N801" s="30"/>
    </row>
    <row r="802" spans="1:14" ht="15" customHeight="1" x14ac:dyDescent="0.3">
      <c r="A802" s="58">
        <v>46203</v>
      </c>
      <c r="B802" s="9">
        <f t="shared" si="180"/>
        <v>0.99999999999999956</v>
      </c>
      <c r="C802" s="16"/>
      <c r="D802" s="16"/>
      <c r="E802" s="11"/>
      <c r="F802" s="17" t="str">
        <f t="shared" si="178"/>
        <v/>
      </c>
      <c r="G802" s="16"/>
      <c r="H802" s="16"/>
      <c r="I802" s="16"/>
      <c r="J802" s="13"/>
      <c r="K802" s="13"/>
      <c r="L802" s="71" t="str">
        <f t="shared" si="179"/>
        <v/>
      </c>
      <c r="M802" s="29"/>
      <c r="N802" s="30"/>
    </row>
    <row r="803" spans="1:14" ht="15" customHeight="1" x14ac:dyDescent="0.3">
      <c r="A803" s="59">
        <v>46203</v>
      </c>
      <c r="B803" s="15">
        <f t="shared" si="180"/>
        <v>1.0416666666666663</v>
      </c>
      <c r="C803" s="10"/>
      <c r="D803" s="10"/>
      <c r="E803" s="11"/>
      <c r="F803" s="12" t="str">
        <f t="shared" si="178"/>
        <v/>
      </c>
      <c r="G803" s="10"/>
      <c r="H803" s="10"/>
      <c r="I803" s="10"/>
      <c r="J803" s="13"/>
      <c r="K803" s="13"/>
      <c r="L803" s="70" t="str">
        <f t="shared" si="179"/>
        <v/>
      </c>
      <c r="M803" s="29"/>
      <c r="N803" s="30"/>
    </row>
    <row r="804" spans="1:14" ht="15" customHeight="1" x14ac:dyDescent="0.3">
      <c r="A804" s="58">
        <v>46203</v>
      </c>
      <c r="B804" s="9">
        <f t="shared" si="180"/>
        <v>1.083333333333333</v>
      </c>
      <c r="C804" s="16"/>
      <c r="D804" s="16"/>
      <c r="E804" s="11"/>
      <c r="F804" s="17" t="str">
        <f t="shared" si="178"/>
        <v/>
      </c>
      <c r="G804" s="16"/>
      <c r="H804" s="16"/>
      <c r="I804" s="16"/>
      <c r="J804" s="13"/>
      <c r="K804" s="13"/>
      <c r="L804" s="71" t="str">
        <f t="shared" si="179"/>
        <v/>
      </c>
      <c r="M804" s="29"/>
      <c r="N804" s="30"/>
    </row>
    <row r="805" spans="1:14" ht="15" customHeight="1" x14ac:dyDescent="0.3">
      <c r="A805" s="59">
        <v>46203</v>
      </c>
      <c r="B805" s="15">
        <f t="shared" si="180"/>
        <v>1.1249999999999998</v>
      </c>
      <c r="C805" s="10"/>
      <c r="D805" s="10"/>
      <c r="E805" s="11"/>
      <c r="F805" s="12" t="str">
        <f t="shared" si="178"/>
        <v/>
      </c>
      <c r="G805" s="10"/>
      <c r="H805" s="10"/>
      <c r="I805" s="10"/>
      <c r="J805" s="13"/>
      <c r="K805" s="13"/>
      <c r="L805" s="70" t="str">
        <f t="shared" si="179"/>
        <v/>
      </c>
      <c r="M805" s="29"/>
      <c r="N805" s="30"/>
    </row>
    <row r="806" spans="1:14" ht="15" customHeight="1" x14ac:dyDescent="0.3">
      <c r="A806" s="58">
        <v>46203</v>
      </c>
      <c r="B806" s="9">
        <f t="shared" si="180"/>
        <v>1.1666666666666665</v>
      </c>
      <c r="C806" s="16"/>
      <c r="D806" s="16"/>
      <c r="E806" s="11"/>
      <c r="F806" s="17" t="str">
        <f t="shared" si="178"/>
        <v/>
      </c>
      <c r="G806" s="16"/>
      <c r="H806" s="16"/>
      <c r="I806" s="16"/>
      <c r="J806" s="13"/>
      <c r="K806" s="13"/>
      <c r="L806" s="71" t="str">
        <f t="shared" si="179"/>
        <v/>
      </c>
      <c r="M806" s="29"/>
      <c r="N806" s="30"/>
    </row>
    <row r="807" spans="1:14" ht="15" customHeight="1" x14ac:dyDescent="0.3">
      <c r="A807" s="59">
        <v>46203</v>
      </c>
      <c r="B807" s="15">
        <f t="shared" si="180"/>
        <v>1.2083333333333333</v>
      </c>
      <c r="C807" s="10"/>
      <c r="D807" s="10"/>
      <c r="E807" s="11"/>
      <c r="F807" s="12" t="str">
        <f t="shared" si="178"/>
        <v/>
      </c>
      <c r="G807" s="10"/>
      <c r="H807" s="10"/>
      <c r="I807" s="10"/>
      <c r="J807" s="13"/>
      <c r="K807" s="13"/>
      <c r="L807" s="70" t="str">
        <f t="shared" si="179"/>
        <v/>
      </c>
      <c r="M807" s="29"/>
      <c r="N807" s="30"/>
    </row>
    <row r="808" spans="1:14" ht="15" customHeight="1" x14ac:dyDescent="0.3">
      <c r="A808" s="58">
        <v>46203</v>
      </c>
      <c r="B808" s="9">
        <f t="shared" si="180"/>
        <v>1.25</v>
      </c>
      <c r="C808" s="16"/>
      <c r="D808" s="16"/>
      <c r="E808" s="11"/>
      <c r="F808" s="17" t="str">
        <f t="shared" si="178"/>
        <v/>
      </c>
      <c r="G808" s="16"/>
      <c r="H808" s="16"/>
      <c r="I808" s="16"/>
      <c r="J808" s="13"/>
      <c r="K808" s="13"/>
      <c r="L808" s="71" t="str">
        <f t="shared" si="179"/>
        <v/>
      </c>
      <c r="M808" s="29"/>
      <c r="N808" s="30"/>
    </row>
    <row r="809" spans="1:14" ht="15" customHeight="1" x14ac:dyDescent="0.3">
      <c r="A809" s="59">
        <v>46203</v>
      </c>
      <c r="B809" s="15">
        <f t="shared" si="180"/>
        <v>1.2916666666666667</v>
      </c>
      <c r="C809" s="10"/>
      <c r="D809" s="10"/>
      <c r="E809" s="11"/>
      <c r="F809" s="12" t="str">
        <f t="shared" si="178"/>
        <v/>
      </c>
      <c r="G809" s="10"/>
      <c r="H809" s="10"/>
      <c r="I809" s="10"/>
      <c r="J809" s="13"/>
      <c r="K809" s="13"/>
      <c r="L809" s="70" t="str">
        <f t="shared" si="179"/>
        <v/>
      </c>
      <c r="M809" s="29"/>
      <c r="N809" s="30"/>
    </row>
    <row r="810" spans="1:14" ht="15.75" customHeight="1" x14ac:dyDescent="0.3">
      <c r="A810" s="91" t="s">
        <v>187</v>
      </c>
      <c r="B810" s="91"/>
      <c r="C810" s="91"/>
      <c r="D810" s="91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 x14ac:dyDescent="0.3">
      <c r="A811" s="90" t="s">
        <v>188</v>
      </c>
      <c r="B811" s="90"/>
      <c r="C811" s="90"/>
      <c r="D811" s="90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O811"/>
  <sheetViews>
    <sheetView showGridLines="0" zoomScale="60" zoomScaleNormal="60" workbookViewId="0">
      <pane ySplit="1" topLeftCell="A698" activePane="bottomLeft" state="frozen"/>
      <selection pane="bottomLeft" activeCell="O723" sqref="O723"/>
    </sheetView>
  </sheetViews>
  <sheetFormatPr defaultColWidth="8.5546875" defaultRowHeight="14.4" x14ac:dyDescent="0.3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6640625" style="7" customWidth="1"/>
    <col min="8" max="8" width="30.44140625" style="7" customWidth="1"/>
    <col min="9" max="9" width="46.44140625" style="7" customWidth="1"/>
    <col min="10" max="10" width="12" style="7" customWidth="1"/>
    <col min="11" max="11" width="16.44140625" style="7" customWidth="1"/>
    <col min="12" max="12" width="14" style="74" customWidth="1"/>
    <col min="13" max="13" width="43.6640625" style="7" customWidth="1"/>
    <col min="14" max="14" width="14" style="7" customWidth="1"/>
  </cols>
  <sheetData>
    <row r="1" spans="1:14" ht="37.5" customHeight="1" x14ac:dyDescent="0.3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292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 x14ac:dyDescent="0.3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3">
      <c r="A14" s="91" t="s">
        <v>185</v>
      </c>
      <c r="B14" s="91"/>
      <c r="C14" s="91"/>
      <c r="D14" s="91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186</v>
      </c>
      <c r="N14" s="20"/>
    </row>
    <row r="15" spans="1:14" ht="15" customHeight="1" x14ac:dyDescent="0.3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91" t="s">
        <v>187</v>
      </c>
      <c r="B27" s="91"/>
      <c r="C27" s="91"/>
      <c r="D27" s="91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186</v>
      </c>
      <c r="N27" s="20"/>
    </row>
    <row r="28" spans="1:14" ht="18" customHeight="1" x14ac:dyDescent="0.3">
      <c r="A28" s="90" t="s">
        <v>188</v>
      </c>
      <c r="B28" s="90"/>
      <c r="C28" s="90"/>
      <c r="D28" s="90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189</v>
      </c>
      <c r="N28" s="23">
        <f>IFERROR(N14+N27,"")</f>
        <v>0</v>
      </c>
    </row>
    <row r="29" spans="1:14" ht="15" customHeight="1" x14ac:dyDescent="0.3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91" t="s">
        <v>185</v>
      </c>
      <c r="B41" s="91"/>
      <c r="C41" s="91"/>
      <c r="D41" s="91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186</v>
      </c>
      <c r="N41" s="20"/>
    </row>
    <row r="42" spans="1:14" ht="15" customHeight="1" x14ac:dyDescent="0.3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91" t="s">
        <v>187</v>
      </c>
      <c r="B54" s="91"/>
      <c r="C54" s="91"/>
      <c r="D54" s="91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186</v>
      </c>
      <c r="N54" s="20"/>
    </row>
    <row r="55" spans="1:14" ht="18" customHeight="1" x14ac:dyDescent="0.3">
      <c r="A55" s="90" t="s">
        <v>188</v>
      </c>
      <c r="B55" s="90"/>
      <c r="C55" s="90"/>
      <c r="D55" s="90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189</v>
      </c>
      <c r="N55" s="23">
        <f>IFERROR(N41+N54,"")</f>
        <v>0</v>
      </c>
    </row>
    <row r="56" spans="1:14" ht="15" customHeight="1" x14ac:dyDescent="0.3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3">
      <c r="A68" s="91" t="s">
        <v>185</v>
      </c>
      <c r="B68" s="91"/>
      <c r="C68" s="91"/>
      <c r="D68" s="91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186</v>
      </c>
      <c r="N68" s="20"/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293</v>
      </c>
      <c r="I80" s="10" t="s">
        <v>226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 x14ac:dyDescent="0.3">
      <c r="A81" s="91" t="s">
        <v>187</v>
      </c>
      <c r="B81" s="91"/>
      <c r="C81" s="91"/>
      <c r="D81" s="91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186</v>
      </c>
      <c r="N81" s="20">
        <v>206440</v>
      </c>
    </row>
    <row r="82" spans="1:14" ht="18" customHeight="1" x14ac:dyDescent="0.3">
      <c r="A82" s="90" t="s">
        <v>188</v>
      </c>
      <c r="B82" s="90"/>
      <c r="C82" s="90"/>
      <c r="D82" s="90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189</v>
      </c>
      <c r="N82" s="23">
        <f>IFERROR(N68+N81,"")</f>
        <v>206440</v>
      </c>
    </row>
    <row r="83" spans="1:14" ht="15" customHeight="1" x14ac:dyDescent="0.3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3">
      <c r="A95" s="91" t="s">
        <v>185</v>
      </c>
      <c r="B95" s="91"/>
      <c r="C95" s="91"/>
      <c r="D95" s="91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186</v>
      </c>
      <c r="N95" s="20"/>
    </row>
    <row r="96" spans="1:14" ht="15" customHeight="1" x14ac:dyDescent="0.3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3">
      <c r="A108" s="91" t="s">
        <v>187</v>
      </c>
      <c r="B108" s="91"/>
      <c r="C108" s="91"/>
      <c r="D108" s="91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186</v>
      </c>
      <c r="N108" s="20"/>
    </row>
    <row r="109" spans="1:14" ht="18" customHeight="1" x14ac:dyDescent="0.3">
      <c r="A109" s="90" t="s">
        <v>188</v>
      </c>
      <c r="B109" s="90"/>
      <c r="C109" s="90"/>
      <c r="D109" s="90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189</v>
      </c>
      <c r="N109" s="23">
        <f>IFERROR(N95+N108,"")</f>
        <v>0</v>
      </c>
    </row>
    <row r="110" spans="1:14" ht="15" customHeight="1" x14ac:dyDescent="0.3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3">
      <c r="A122" s="91" t="s">
        <v>185</v>
      </c>
      <c r="B122" s="91"/>
      <c r="C122" s="91"/>
      <c r="D122" s="91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186</v>
      </c>
      <c r="N122" s="20"/>
    </row>
    <row r="123" spans="1:14" ht="15" customHeight="1" x14ac:dyDescent="0.3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3">
      <c r="A135" s="91" t="s">
        <v>187</v>
      </c>
      <c r="B135" s="91"/>
      <c r="C135" s="91"/>
      <c r="D135" s="91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/>
    </row>
    <row r="136" spans="1:14" ht="18" customHeight="1" x14ac:dyDescent="0.3">
      <c r="A136" s="90" t="s">
        <v>188</v>
      </c>
      <c r="B136" s="90"/>
      <c r="C136" s="90"/>
      <c r="D136" s="90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189</v>
      </c>
      <c r="N136" s="23">
        <f>IFERROR(N122+N135,"")</f>
        <v>0</v>
      </c>
    </row>
    <row r="137" spans="1:14" ht="15" customHeight="1" x14ac:dyDescent="0.3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3">
      <c r="A149" s="91" t="s">
        <v>185</v>
      </c>
      <c r="B149" s="91"/>
      <c r="C149" s="91"/>
      <c r="D149" s="91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186</v>
      </c>
      <c r="N149" s="20"/>
    </row>
    <row r="150" spans="1:14" ht="15" customHeight="1" x14ac:dyDescent="0.3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3">
      <c r="A162" s="91" t="s">
        <v>187</v>
      </c>
      <c r="B162" s="91"/>
      <c r="C162" s="91"/>
      <c r="D162" s="91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186</v>
      </c>
      <c r="N162" s="20">
        <v>0</v>
      </c>
    </row>
    <row r="163" spans="1:14" ht="18" customHeight="1" x14ac:dyDescent="0.3">
      <c r="A163" s="90" t="s">
        <v>188</v>
      </c>
      <c r="B163" s="90"/>
      <c r="C163" s="90"/>
      <c r="D163" s="90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189</v>
      </c>
      <c r="N163" s="23">
        <f>IFERROR(N149+N162,"")</f>
        <v>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3">
      <c r="A176" s="91" t="s">
        <v>185</v>
      </c>
      <c r="B176" s="91"/>
      <c r="C176" s="91"/>
      <c r="D176" s="91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3">
      <c r="A189" s="91" t="s">
        <v>187</v>
      </c>
      <c r="B189" s="91"/>
      <c r="C189" s="91"/>
      <c r="D189" s="91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186</v>
      </c>
      <c r="N189" s="20">
        <v>0</v>
      </c>
    </row>
    <row r="190" spans="1:14" ht="18" customHeight="1" x14ac:dyDescent="0.3">
      <c r="A190" s="90" t="s">
        <v>188</v>
      </c>
      <c r="B190" s="90"/>
      <c r="C190" s="90"/>
      <c r="D190" s="90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 x14ac:dyDescent="0.3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3">
      <c r="A203" s="91" t="s">
        <v>185</v>
      </c>
      <c r="B203" s="91"/>
      <c r="C203" s="91"/>
      <c r="D203" s="91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186</v>
      </c>
      <c r="N203" s="20"/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 x14ac:dyDescent="0.3">
      <c r="A216" s="91" t="s">
        <v>187</v>
      </c>
      <c r="B216" s="91"/>
      <c r="C216" s="91"/>
      <c r="D216" s="91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186</v>
      </c>
      <c r="N216" s="20"/>
    </row>
    <row r="217" spans="1:14" ht="18" customHeight="1" x14ac:dyDescent="0.3">
      <c r="A217" s="90" t="s">
        <v>188</v>
      </c>
      <c r="B217" s="90"/>
      <c r="C217" s="90"/>
      <c r="D217" s="90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189</v>
      </c>
      <c r="N217" s="31">
        <f>IFERROR(N203+N216,"")</f>
        <v>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 x14ac:dyDescent="0.3">
      <c r="A230" s="91" t="s">
        <v>185</v>
      </c>
      <c r="B230" s="91"/>
      <c r="C230" s="91"/>
      <c r="D230" s="91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186</v>
      </c>
      <c r="N230" s="20">
        <v>101560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 x14ac:dyDescent="0.3">
      <c r="A243" s="91" t="s">
        <v>187</v>
      </c>
      <c r="B243" s="91"/>
      <c r="C243" s="91"/>
      <c r="D243" s="91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180000</v>
      </c>
    </row>
    <row r="244" spans="1:14" ht="18" customHeight="1" x14ac:dyDescent="0.3">
      <c r="A244" s="90" t="s">
        <v>188</v>
      </c>
      <c r="B244" s="90"/>
      <c r="C244" s="90"/>
      <c r="D244" s="90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189</v>
      </c>
      <c r="N244" s="31">
        <f>IFERROR(N230+N243,"")</f>
        <v>281560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294</v>
      </c>
      <c r="N245" s="30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294</v>
      </c>
      <c r="N246" s="30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 x14ac:dyDescent="0.3">
      <c r="A257" s="91" t="s">
        <v>185</v>
      </c>
      <c r="B257" s="91"/>
      <c r="C257" s="91"/>
      <c r="D257" s="91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186</v>
      </c>
      <c r="N257" s="20">
        <v>295090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237</v>
      </c>
      <c r="N258" s="30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 x14ac:dyDescent="0.3">
      <c r="A270" s="91" t="s">
        <v>187</v>
      </c>
      <c r="B270" s="91"/>
      <c r="C270" s="91"/>
      <c r="D270" s="91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186</v>
      </c>
      <c r="N270" s="20">
        <f>103170+137770</f>
        <v>240940</v>
      </c>
    </row>
    <row r="271" spans="1:14" ht="18" customHeight="1" x14ac:dyDescent="0.3">
      <c r="A271" s="90" t="s">
        <v>188</v>
      </c>
      <c r="B271" s="90"/>
      <c r="C271" s="90"/>
      <c r="D271" s="90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189</v>
      </c>
      <c r="N271" s="31">
        <f>IFERROR(N257+N270,"")</f>
        <v>536030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 x14ac:dyDescent="0.3">
      <c r="A284" s="91" t="s">
        <v>185</v>
      </c>
      <c r="B284" s="91"/>
      <c r="C284" s="91"/>
      <c r="D284" s="91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186</v>
      </c>
      <c r="N284" s="20">
        <v>167970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295</v>
      </c>
      <c r="N285" s="30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 x14ac:dyDescent="0.3">
      <c r="A297" s="91" t="s">
        <v>187</v>
      </c>
      <c r="B297" s="91"/>
      <c r="C297" s="91"/>
      <c r="D297" s="91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186</v>
      </c>
      <c r="N297" s="20">
        <f>110740+118380</f>
        <v>229120</v>
      </c>
    </row>
    <row r="298" spans="1:14" ht="18" customHeight="1" x14ac:dyDescent="0.3">
      <c r="A298" s="90" t="s">
        <v>188</v>
      </c>
      <c r="B298" s="90"/>
      <c r="C298" s="90"/>
      <c r="D298" s="90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189</v>
      </c>
      <c r="N298" s="31">
        <f>IFERROR(N284+N297,"")</f>
        <v>397090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296</v>
      </c>
      <c r="N299" s="30"/>
    </row>
    <row r="300" spans="1:14" ht="15" customHeight="1" x14ac:dyDescent="0.3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 x14ac:dyDescent="0.3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 x14ac:dyDescent="0.3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 x14ac:dyDescent="0.3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 x14ac:dyDescent="0.3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 x14ac:dyDescent="0.3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 x14ac:dyDescent="0.3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 x14ac:dyDescent="0.3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 x14ac:dyDescent="0.3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 x14ac:dyDescent="0.3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 x14ac:dyDescent="0.3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 x14ac:dyDescent="0.3">
      <c r="A311" s="91" t="s">
        <v>185</v>
      </c>
      <c r="B311" s="91"/>
      <c r="C311" s="91"/>
      <c r="D311" s="91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186</v>
      </c>
      <c r="N311" s="20">
        <v>298940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297</v>
      </c>
      <c r="N319" s="30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244</v>
      </c>
      <c r="N321" s="30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 x14ac:dyDescent="0.3">
      <c r="A324" s="91" t="s">
        <v>187</v>
      </c>
      <c r="B324" s="91"/>
      <c r="C324" s="91"/>
      <c r="D324" s="91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186</v>
      </c>
      <c r="N324" s="20">
        <f>119730+227060</f>
        <v>346790</v>
      </c>
    </row>
    <row r="325" spans="1:14" ht="18" customHeight="1" x14ac:dyDescent="0.3">
      <c r="A325" s="90" t="s">
        <v>188</v>
      </c>
      <c r="B325" s="90"/>
      <c r="C325" s="90"/>
      <c r="D325" s="90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189</v>
      </c>
      <c r="N325" s="31">
        <f>IFERROR(N311+N324,"")</f>
        <v>645730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 x14ac:dyDescent="0.3">
      <c r="A338" s="91" t="s">
        <v>185</v>
      </c>
      <c r="B338" s="91"/>
      <c r="C338" s="91"/>
      <c r="D338" s="91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186</v>
      </c>
      <c r="N338" s="20">
        <f>248450+10690</f>
        <v>259140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249</v>
      </c>
      <c r="N346" s="30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 x14ac:dyDescent="0.3">
      <c r="A351" s="91" t="s">
        <v>187</v>
      </c>
      <c r="B351" s="91"/>
      <c r="C351" s="91"/>
      <c r="D351" s="91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186</v>
      </c>
      <c r="N351" s="20">
        <f>50730+24450</f>
        <v>75180</v>
      </c>
    </row>
    <row r="352" spans="1:14" ht="18" customHeight="1" x14ac:dyDescent="0.3">
      <c r="A352" s="90" t="s">
        <v>188</v>
      </c>
      <c r="B352" s="90"/>
      <c r="C352" s="90"/>
      <c r="D352" s="90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189</v>
      </c>
      <c r="N352" s="31">
        <f>IFERROR(N338+N351,"")</f>
        <v>334320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252</v>
      </c>
      <c r="N353" s="30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298</v>
      </c>
      <c r="N354" s="30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 x14ac:dyDescent="0.3">
      <c r="A365" s="91" t="s">
        <v>185</v>
      </c>
      <c r="B365" s="91"/>
      <c r="C365" s="91"/>
      <c r="D365" s="91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186</v>
      </c>
      <c r="N365" s="20">
        <f>25050+217470</f>
        <v>242520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 x14ac:dyDescent="0.3">
      <c r="A378" s="91" t="s">
        <v>187</v>
      </c>
      <c r="B378" s="91"/>
      <c r="C378" s="91"/>
      <c r="D378" s="91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186</v>
      </c>
      <c r="N378" s="20">
        <f>151130+160740</f>
        <v>311870</v>
      </c>
    </row>
    <row r="379" spans="1:14" ht="18" customHeight="1" x14ac:dyDescent="0.3">
      <c r="A379" s="90" t="s">
        <v>188</v>
      </c>
      <c r="B379" s="90"/>
      <c r="C379" s="90"/>
      <c r="D379" s="90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189</v>
      </c>
      <c r="N379" s="31">
        <f>IFERROR(N365+N378,"")</f>
        <v>554390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 x14ac:dyDescent="0.3">
      <c r="A392" s="19" t="s">
        <v>185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186</v>
      </c>
      <c r="N392" s="20">
        <v>506470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 x14ac:dyDescent="0.3">
      <c r="A405" s="91" t="s">
        <v>187</v>
      </c>
      <c r="B405" s="91"/>
      <c r="C405" s="91"/>
      <c r="D405" s="91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186</v>
      </c>
      <c r="N405" s="20">
        <v>340530</v>
      </c>
    </row>
    <row r="406" spans="1:14" ht="18" customHeight="1" x14ac:dyDescent="0.3">
      <c r="A406" s="90" t="s">
        <v>188</v>
      </c>
      <c r="B406" s="90"/>
      <c r="C406" s="90"/>
      <c r="D406" s="90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189</v>
      </c>
      <c r="N406" s="31">
        <f>IFERROR(N392+N405,"")</f>
        <v>847000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 x14ac:dyDescent="0.3">
      <c r="A419" s="91" t="s">
        <v>185</v>
      </c>
      <c r="B419" s="91"/>
      <c r="C419" s="91"/>
      <c r="D419" s="91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186</v>
      </c>
      <c r="N419" s="20">
        <v>313490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 x14ac:dyDescent="0.3">
      <c r="A432" s="91" t="s">
        <v>187</v>
      </c>
      <c r="B432" s="91"/>
      <c r="C432" s="91"/>
      <c r="D432" s="91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186</v>
      </c>
      <c r="N432" s="20">
        <v>169230</v>
      </c>
    </row>
    <row r="433" spans="1:14" ht="18" customHeight="1" x14ac:dyDescent="0.3">
      <c r="A433" s="90" t="s">
        <v>188</v>
      </c>
      <c r="B433" s="90"/>
      <c r="C433" s="90"/>
      <c r="D433" s="90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189</v>
      </c>
      <c r="N433" s="31">
        <f>IFERROR(N419+N432,"")</f>
        <v>482720</v>
      </c>
    </row>
    <row r="434" spans="1:14" ht="15" customHeight="1" x14ac:dyDescent="0.3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299</v>
      </c>
      <c r="N437" s="30"/>
    </row>
    <row r="438" spans="1:14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 x14ac:dyDescent="0.3">
      <c r="A446" s="91" t="s">
        <v>185</v>
      </c>
      <c r="B446" s="91"/>
      <c r="C446" s="91"/>
      <c r="D446" s="91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186</v>
      </c>
      <c r="N446" s="20">
        <v>269950</v>
      </c>
    </row>
    <row r="447" spans="1:14" ht="15" customHeight="1" x14ac:dyDescent="0.3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300</v>
      </c>
      <c r="N447" s="30"/>
    </row>
    <row r="448" spans="1:14" ht="15" customHeight="1" x14ac:dyDescent="0.3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 x14ac:dyDescent="0.3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 x14ac:dyDescent="0.3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 x14ac:dyDescent="0.3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 x14ac:dyDescent="0.3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 x14ac:dyDescent="0.3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 x14ac:dyDescent="0.3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 x14ac:dyDescent="0.3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 x14ac:dyDescent="0.3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 x14ac:dyDescent="0.3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 x14ac:dyDescent="0.3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 x14ac:dyDescent="0.3">
      <c r="A459" s="91" t="s">
        <v>187</v>
      </c>
      <c r="B459" s="91"/>
      <c r="C459" s="91"/>
      <c r="D459" s="91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186</v>
      </c>
      <c r="N459" s="20">
        <v>221750</v>
      </c>
    </row>
    <row r="460" spans="1:14" ht="18" customHeight="1" x14ac:dyDescent="0.3">
      <c r="A460" s="90" t="s">
        <v>188</v>
      </c>
      <c r="B460" s="90"/>
      <c r="C460" s="90"/>
      <c r="D460" s="90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189</v>
      </c>
      <c r="N460" s="31">
        <f>IFERROR(N446+N459,"")</f>
        <v>491700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 x14ac:dyDescent="0.3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 x14ac:dyDescent="0.3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 x14ac:dyDescent="0.3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264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266</v>
      </c>
      <c r="N464" s="30"/>
    </row>
    <row r="465" spans="1:14" ht="15" customHeight="1" x14ac:dyDescent="0.3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 x14ac:dyDescent="0.3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 x14ac:dyDescent="0.3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 x14ac:dyDescent="0.3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 x14ac:dyDescent="0.3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 x14ac:dyDescent="0.3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 x14ac:dyDescent="0.3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 x14ac:dyDescent="0.3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266</v>
      </c>
      <c r="N472" s="30"/>
    </row>
    <row r="473" spans="1:14" ht="15.75" customHeight="1" x14ac:dyDescent="0.3">
      <c r="A473" s="91" t="s">
        <v>185</v>
      </c>
      <c r="B473" s="91"/>
      <c r="C473" s="91"/>
      <c r="D473" s="91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186</v>
      </c>
      <c r="N473" s="20">
        <v>208000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 x14ac:dyDescent="0.3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 x14ac:dyDescent="0.3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 x14ac:dyDescent="0.3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 x14ac:dyDescent="0.3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 x14ac:dyDescent="0.3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 x14ac:dyDescent="0.3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 x14ac:dyDescent="0.3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 x14ac:dyDescent="0.3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 x14ac:dyDescent="0.3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 x14ac:dyDescent="0.3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 x14ac:dyDescent="0.3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 x14ac:dyDescent="0.3">
      <c r="A486" s="91" t="s">
        <v>187</v>
      </c>
      <c r="B486" s="91"/>
      <c r="C486" s="91"/>
      <c r="D486" s="91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186</v>
      </c>
      <c r="N486" s="20">
        <v>240000</v>
      </c>
    </row>
    <row r="487" spans="1:14" ht="18" customHeight="1" x14ac:dyDescent="0.3">
      <c r="A487" s="90" t="s">
        <v>188</v>
      </c>
      <c r="B487" s="90"/>
      <c r="C487" s="90"/>
      <c r="D487" s="90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189</v>
      </c>
      <c r="N487" s="31">
        <f>IFERROR(N473+N486,"")</f>
        <v>448000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 x14ac:dyDescent="0.3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 x14ac:dyDescent="0.3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 x14ac:dyDescent="0.3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 x14ac:dyDescent="0.3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 x14ac:dyDescent="0.3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 x14ac:dyDescent="0.3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 x14ac:dyDescent="0.3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 x14ac:dyDescent="0.3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 x14ac:dyDescent="0.3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 x14ac:dyDescent="0.3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 x14ac:dyDescent="0.3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 x14ac:dyDescent="0.3">
      <c r="A500" s="91" t="s">
        <v>185</v>
      </c>
      <c r="B500" s="91"/>
      <c r="C500" s="91"/>
      <c r="D500" s="91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186</v>
      </c>
      <c r="N500" s="20">
        <f>39010+12770+77040</f>
        <v>128820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 x14ac:dyDescent="0.3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 x14ac:dyDescent="0.3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 x14ac:dyDescent="0.3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 x14ac:dyDescent="0.3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 x14ac:dyDescent="0.3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 x14ac:dyDescent="0.3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 x14ac:dyDescent="0.3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 x14ac:dyDescent="0.3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 x14ac:dyDescent="0.3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 x14ac:dyDescent="0.3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 x14ac:dyDescent="0.3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 x14ac:dyDescent="0.3">
      <c r="A513" s="91" t="s">
        <v>187</v>
      </c>
      <c r="B513" s="91"/>
      <c r="C513" s="91"/>
      <c r="D513" s="91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186</v>
      </c>
      <c r="N513" s="20">
        <v>3930</v>
      </c>
    </row>
    <row r="514" spans="1:14" ht="18" customHeight="1" x14ac:dyDescent="0.3">
      <c r="A514" s="90" t="s">
        <v>188</v>
      </c>
      <c r="B514" s="90"/>
      <c r="C514" s="90"/>
      <c r="D514" s="90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189</v>
      </c>
      <c r="N514" s="31">
        <f>IFERROR(N500+N513,"")</f>
        <v>132750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 x14ac:dyDescent="0.3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 x14ac:dyDescent="0.3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 x14ac:dyDescent="0.3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 x14ac:dyDescent="0.3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 x14ac:dyDescent="0.3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 x14ac:dyDescent="0.3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 x14ac:dyDescent="0.3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 x14ac:dyDescent="0.3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 x14ac:dyDescent="0.3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 x14ac:dyDescent="0.3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 x14ac:dyDescent="0.3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 x14ac:dyDescent="0.3">
      <c r="A527" s="91" t="s">
        <v>185</v>
      </c>
      <c r="B527" s="91"/>
      <c r="C527" s="91"/>
      <c r="D527" s="91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186</v>
      </c>
      <c r="N527" s="20">
        <v>164000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301</v>
      </c>
      <c r="N528" s="30"/>
    </row>
    <row r="529" spans="1:14" ht="15" customHeight="1" x14ac:dyDescent="0.3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272</v>
      </c>
      <c r="N529" s="30"/>
    </row>
    <row r="530" spans="1:14" ht="15" customHeight="1" x14ac:dyDescent="0.3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 x14ac:dyDescent="0.3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 x14ac:dyDescent="0.3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 x14ac:dyDescent="0.3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 x14ac:dyDescent="0.3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 x14ac:dyDescent="0.3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 x14ac:dyDescent="0.3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 x14ac:dyDescent="0.3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 x14ac:dyDescent="0.3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 x14ac:dyDescent="0.3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 x14ac:dyDescent="0.3">
      <c r="A540" s="91" t="s">
        <v>187</v>
      </c>
      <c r="B540" s="91"/>
      <c r="C540" s="91"/>
      <c r="D540" s="91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186</v>
      </c>
      <c r="N540" s="20">
        <v>304230</v>
      </c>
    </row>
    <row r="541" spans="1:14" ht="18" customHeight="1" x14ac:dyDescent="0.3">
      <c r="A541" s="90" t="s">
        <v>188</v>
      </c>
      <c r="B541" s="90"/>
      <c r="C541" s="90"/>
      <c r="D541" s="90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189</v>
      </c>
      <c r="N541" s="31">
        <f>IFERROR(N527+N540,"")</f>
        <v>468230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260</v>
      </c>
      <c r="N542" s="30"/>
    </row>
    <row r="543" spans="1:14" ht="15" customHeight="1" x14ac:dyDescent="0.3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 x14ac:dyDescent="0.3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 x14ac:dyDescent="0.3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 x14ac:dyDescent="0.3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 x14ac:dyDescent="0.3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 x14ac:dyDescent="0.3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 x14ac:dyDescent="0.3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 x14ac:dyDescent="0.3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 x14ac:dyDescent="0.3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 x14ac:dyDescent="0.3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 x14ac:dyDescent="0.3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 x14ac:dyDescent="0.3">
      <c r="A554" s="91" t="s">
        <v>185</v>
      </c>
      <c r="B554" s="91"/>
      <c r="C554" s="91"/>
      <c r="D554" s="91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186</v>
      </c>
      <c r="N554" s="20">
        <v>202310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 x14ac:dyDescent="0.3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 x14ac:dyDescent="0.3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 x14ac:dyDescent="0.3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 x14ac:dyDescent="0.3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 x14ac:dyDescent="0.3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 x14ac:dyDescent="0.3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 x14ac:dyDescent="0.3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 x14ac:dyDescent="0.3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 x14ac:dyDescent="0.3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 x14ac:dyDescent="0.3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 x14ac:dyDescent="0.3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 x14ac:dyDescent="0.3">
      <c r="A567" s="91" t="s">
        <v>187</v>
      </c>
      <c r="B567" s="91"/>
      <c r="C567" s="91"/>
      <c r="D567" s="91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186</v>
      </c>
      <c r="N567" s="20">
        <v>437260</v>
      </c>
    </row>
    <row r="568" spans="1:14" ht="18" customHeight="1" x14ac:dyDescent="0.3">
      <c r="A568" s="90" t="s">
        <v>188</v>
      </c>
      <c r="B568" s="90"/>
      <c r="C568" s="90"/>
      <c r="D568" s="90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189</v>
      </c>
      <c r="N568" s="31">
        <f>IFERROR(N554+N567,"")</f>
        <v>639570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302</v>
      </c>
      <c r="N569" s="30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 x14ac:dyDescent="0.3">
      <c r="A581" s="91" t="s">
        <v>185</v>
      </c>
      <c r="B581" s="91"/>
      <c r="C581" s="91"/>
      <c r="D581" s="91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186</v>
      </c>
      <c r="N581" s="20">
        <v>196620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 x14ac:dyDescent="0.3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 x14ac:dyDescent="0.3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 x14ac:dyDescent="0.3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 x14ac:dyDescent="0.3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303</v>
      </c>
      <c r="N586" s="30"/>
    </row>
    <row r="587" spans="1:14" ht="15" customHeight="1" x14ac:dyDescent="0.3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 x14ac:dyDescent="0.3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244</v>
      </c>
      <c r="N588" s="30"/>
    </row>
    <row r="589" spans="1:14" ht="15" customHeight="1" x14ac:dyDescent="0.3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 x14ac:dyDescent="0.3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 x14ac:dyDescent="0.3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 x14ac:dyDescent="0.3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 x14ac:dyDescent="0.3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 x14ac:dyDescent="0.3">
      <c r="A594" s="91" t="s">
        <v>187</v>
      </c>
      <c r="B594" s="91"/>
      <c r="C594" s="91"/>
      <c r="D594" s="91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186</v>
      </c>
      <c r="N594" s="20">
        <v>269570</v>
      </c>
    </row>
    <row r="595" spans="1:14" ht="18" customHeight="1" x14ac:dyDescent="0.3">
      <c r="A595" s="90" t="s">
        <v>188</v>
      </c>
      <c r="B595" s="90"/>
      <c r="C595" s="90"/>
      <c r="D595" s="90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189</v>
      </c>
      <c r="N595" s="31">
        <f>IFERROR(N581+N594,"")</f>
        <v>466190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 x14ac:dyDescent="0.3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 x14ac:dyDescent="0.3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 x14ac:dyDescent="0.3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 x14ac:dyDescent="0.3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 x14ac:dyDescent="0.3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 x14ac:dyDescent="0.3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 x14ac:dyDescent="0.3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 x14ac:dyDescent="0.3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 x14ac:dyDescent="0.3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 x14ac:dyDescent="0.3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 x14ac:dyDescent="0.3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 x14ac:dyDescent="0.3">
      <c r="A608" s="91" t="s">
        <v>185</v>
      </c>
      <c r="B608" s="91"/>
      <c r="C608" s="91"/>
      <c r="D608" s="91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186</v>
      </c>
      <c r="N608" s="20">
        <v>221720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 x14ac:dyDescent="0.3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 x14ac:dyDescent="0.3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 x14ac:dyDescent="0.3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304</v>
      </c>
      <c r="N612" s="30"/>
    </row>
    <row r="613" spans="1:14" ht="15" customHeight="1" x14ac:dyDescent="0.3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 x14ac:dyDescent="0.3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 x14ac:dyDescent="0.3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 x14ac:dyDescent="0.3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 x14ac:dyDescent="0.3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 x14ac:dyDescent="0.3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 x14ac:dyDescent="0.3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 x14ac:dyDescent="0.3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 x14ac:dyDescent="0.3">
      <c r="A621" s="91" t="s">
        <v>187</v>
      </c>
      <c r="B621" s="91"/>
      <c r="C621" s="91"/>
      <c r="D621" s="91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186</v>
      </c>
      <c r="N621" s="20">
        <v>176650</v>
      </c>
    </row>
    <row r="622" spans="1:14" ht="18" customHeight="1" x14ac:dyDescent="0.3">
      <c r="A622" s="90" t="s">
        <v>188</v>
      </c>
      <c r="B622" s="90"/>
      <c r="C622" s="90"/>
      <c r="D622" s="90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189</v>
      </c>
      <c r="N622" s="31">
        <f>IFERROR(N608+N621,"")</f>
        <v>398370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305</v>
      </c>
      <c r="N623" s="30"/>
    </row>
    <row r="624" spans="1:14" ht="15" customHeight="1" x14ac:dyDescent="0.3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 x14ac:dyDescent="0.3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 x14ac:dyDescent="0.3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 x14ac:dyDescent="0.3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 x14ac:dyDescent="0.3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 x14ac:dyDescent="0.3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 x14ac:dyDescent="0.3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 x14ac:dyDescent="0.3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 x14ac:dyDescent="0.3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 x14ac:dyDescent="0.3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 x14ac:dyDescent="0.3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 x14ac:dyDescent="0.3">
      <c r="A635" s="91" t="s">
        <v>185</v>
      </c>
      <c r="B635" s="91"/>
      <c r="C635" s="91"/>
      <c r="D635" s="91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186</v>
      </c>
      <c r="N635" s="20">
        <v>255890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 x14ac:dyDescent="0.3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 x14ac:dyDescent="0.3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306</v>
      </c>
      <c r="N638" s="30"/>
    </row>
    <row r="639" spans="1:14" ht="15" customHeight="1" x14ac:dyDescent="0.3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 x14ac:dyDescent="0.3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 x14ac:dyDescent="0.3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 x14ac:dyDescent="0.3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 x14ac:dyDescent="0.3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 x14ac:dyDescent="0.3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 x14ac:dyDescent="0.3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 x14ac:dyDescent="0.3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 x14ac:dyDescent="0.3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 x14ac:dyDescent="0.3">
      <c r="A648" s="91" t="s">
        <v>187</v>
      </c>
      <c r="B648" s="91"/>
      <c r="C648" s="91"/>
      <c r="D648" s="91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186</v>
      </c>
      <c r="N648" s="20">
        <f>154590+56700</f>
        <v>211290</v>
      </c>
    </row>
    <row r="649" spans="1:14" ht="18" customHeight="1" x14ac:dyDescent="0.3">
      <c r="A649" s="90" t="s">
        <v>188</v>
      </c>
      <c r="B649" s="90"/>
      <c r="C649" s="90"/>
      <c r="D649" s="90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189</v>
      </c>
      <c r="N649" s="31">
        <f>IFERROR(N635+N648,"")</f>
        <v>467180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 x14ac:dyDescent="0.3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 x14ac:dyDescent="0.3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 x14ac:dyDescent="0.3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 x14ac:dyDescent="0.3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 x14ac:dyDescent="0.3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 x14ac:dyDescent="0.3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 x14ac:dyDescent="0.3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 x14ac:dyDescent="0.3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 x14ac:dyDescent="0.3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 x14ac:dyDescent="0.3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 x14ac:dyDescent="0.3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 x14ac:dyDescent="0.3">
      <c r="A662" s="91" t="s">
        <v>185</v>
      </c>
      <c r="B662" s="91"/>
      <c r="C662" s="91"/>
      <c r="D662" s="91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186</v>
      </c>
      <c r="N662" s="20">
        <v>148190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 x14ac:dyDescent="0.3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 x14ac:dyDescent="0.3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 x14ac:dyDescent="0.3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 x14ac:dyDescent="0.3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 x14ac:dyDescent="0.3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 x14ac:dyDescent="0.3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 x14ac:dyDescent="0.3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 x14ac:dyDescent="0.3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 x14ac:dyDescent="0.3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 x14ac:dyDescent="0.3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 x14ac:dyDescent="0.3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 x14ac:dyDescent="0.3">
      <c r="A675" s="91" t="s">
        <v>187</v>
      </c>
      <c r="B675" s="91"/>
      <c r="C675" s="91"/>
      <c r="D675" s="91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186</v>
      </c>
      <c r="N675" s="20">
        <v>234010</v>
      </c>
    </row>
    <row r="676" spans="1:14" ht="18" customHeight="1" x14ac:dyDescent="0.3">
      <c r="A676" s="90" t="s">
        <v>188</v>
      </c>
      <c r="B676" s="90"/>
      <c r="C676" s="90"/>
      <c r="D676" s="90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189</v>
      </c>
      <c r="N676" s="31">
        <f>IFERROR(N662+N675,"")</f>
        <v>382200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 x14ac:dyDescent="0.3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307</v>
      </c>
      <c r="N678" s="30"/>
    </row>
    <row r="679" spans="1:14" ht="15" customHeight="1" x14ac:dyDescent="0.3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 x14ac:dyDescent="0.3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 x14ac:dyDescent="0.3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 x14ac:dyDescent="0.3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 x14ac:dyDescent="0.3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 x14ac:dyDescent="0.3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 x14ac:dyDescent="0.3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 x14ac:dyDescent="0.3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 x14ac:dyDescent="0.3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 x14ac:dyDescent="0.3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 x14ac:dyDescent="0.3">
      <c r="A689" s="91" t="s">
        <v>185</v>
      </c>
      <c r="B689" s="91"/>
      <c r="C689" s="91"/>
      <c r="D689" s="91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186</v>
      </c>
      <c r="N689" s="20">
        <v>155700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 x14ac:dyDescent="0.3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 x14ac:dyDescent="0.3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 x14ac:dyDescent="0.3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 x14ac:dyDescent="0.3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 x14ac:dyDescent="0.3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 x14ac:dyDescent="0.3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 x14ac:dyDescent="0.3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 x14ac:dyDescent="0.3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 x14ac:dyDescent="0.3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 x14ac:dyDescent="0.3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 x14ac:dyDescent="0.3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 x14ac:dyDescent="0.3">
      <c r="A702" s="91" t="s">
        <v>187</v>
      </c>
      <c r="B702" s="91"/>
      <c r="C702" s="91"/>
      <c r="D702" s="91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186</v>
      </c>
      <c r="N702" s="20">
        <f>151740+85690</f>
        <v>237430</v>
      </c>
    </row>
    <row r="703" spans="1:14" ht="18" customHeight="1" x14ac:dyDescent="0.3">
      <c r="A703" s="90" t="s">
        <v>188</v>
      </c>
      <c r="B703" s="90"/>
      <c r="C703" s="90"/>
      <c r="D703" s="90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189</v>
      </c>
      <c r="N703" s="31">
        <f>IFERROR(N689+N702,"")</f>
        <v>393130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/>
      <c r="H704" s="10"/>
      <c r="I704" s="10"/>
      <c r="J704" s="13"/>
      <c r="K704" s="13"/>
      <c r="L704" s="70" t="str">
        <f t="shared" ref="L704:L715" si="157">IFERROR(IF(K704="","",IF(K704&gt;=J704,K704-J704,K704+1-J704)),"")</f>
        <v/>
      </c>
      <c r="M704" s="11"/>
      <c r="N704" s="30"/>
    </row>
    <row r="705" spans="1:15" ht="15" customHeight="1" x14ac:dyDescent="0.3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5" ht="15" customHeight="1" x14ac:dyDescent="0.3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5" ht="15" customHeight="1" x14ac:dyDescent="0.3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  <c r="O707" s="99"/>
    </row>
    <row r="708" spans="1:15" ht="15" customHeight="1" x14ac:dyDescent="0.3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30</v>
      </c>
      <c r="F708" s="12">
        <f t="shared" si="156"/>
        <v>120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5" ht="15" customHeight="1" x14ac:dyDescent="0.3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20</v>
      </c>
      <c r="F709" s="17">
        <f t="shared" si="156"/>
        <v>80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5" ht="15" customHeight="1" x14ac:dyDescent="0.3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30</v>
      </c>
      <c r="F710" s="12">
        <f t="shared" si="156"/>
        <v>120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5" ht="15" customHeight="1" x14ac:dyDescent="0.3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20</v>
      </c>
      <c r="F711" s="17">
        <f t="shared" si="156"/>
        <v>80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5" ht="15" customHeight="1" x14ac:dyDescent="0.3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>
        <v>30</v>
      </c>
      <c r="F712" s="12">
        <f t="shared" si="156"/>
        <v>120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5" ht="15" customHeight="1" x14ac:dyDescent="0.3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20</v>
      </c>
      <c r="F713" s="17">
        <f t="shared" si="156"/>
        <v>80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5" ht="15" customHeight="1" x14ac:dyDescent="0.3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30</v>
      </c>
      <c r="F714" s="12">
        <f t="shared" si="156"/>
        <v>120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5" ht="15" customHeight="1" x14ac:dyDescent="0.3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20</v>
      </c>
      <c r="F715" s="17">
        <f t="shared" si="156"/>
        <v>80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5" ht="15.75" customHeight="1" x14ac:dyDescent="0.3">
      <c r="A716" s="91" t="s">
        <v>185</v>
      </c>
      <c r="B716" s="91"/>
      <c r="C716" s="91"/>
      <c r="D716" s="91"/>
      <c r="E716" s="19">
        <f>SUM(E704:E715)</f>
        <v>226</v>
      </c>
      <c r="F716" s="19">
        <f>SUM(F704:F715)</f>
        <v>904</v>
      </c>
      <c r="G716" s="18"/>
      <c r="H716" s="18"/>
      <c r="I716" s="18"/>
      <c r="J716" s="18"/>
      <c r="K716" s="18"/>
      <c r="L716" s="72">
        <f>IFERROR(SUM(L704:L715),"")</f>
        <v>0</v>
      </c>
      <c r="M716" s="19" t="s">
        <v>186</v>
      </c>
      <c r="N716" s="20">
        <v>980000</v>
      </c>
    </row>
    <row r="717" spans="1:15" ht="15" customHeight="1" x14ac:dyDescent="0.3">
      <c r="A717" s="59">
        <v>46200</v>
      </c>
      <c r="B717" s="15">
        <v>0.83333333333333304</v>
      </c>
      <c r="C717" s="16"/>
      <c r="D717" s="16"/>
      <c r="E717" s="11">
        <v>10</v>
      </c>
      <c r="F717" s="17">
        <f t="shared" ref="F717:F728" si="159">IF(E717="","",E717*4)</f>
        <v>40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5" ht="15" customHeight="1" x14ac:dyDescent="0.3">
      <c r="A718" s="58">
        <v>46200</v>
      </c>
      <c r="B718" s="9">
        <f t="shared" ref="B718:B728" si="161">B717+TIME(0,60,0)</f>
        <v>0.87499999999999967</v>
      </c>
      <c r="C718" s="10"/>
      <c r="D718" s="10"/>
      <c r="E718" s="11">
        <v>10</v>
      </c>
      <c r="F718" s="12">
        <f t="shared" si="159"/>
        <v>40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5" ht="15" customHeight="1" x14ac:dyDescent="0.3">
      <c r="A719" s="59">
        <v>46200</v>
      </c>
      <c r="B719" s="15">
        <f t="shared" si="161"/>
        <v>0.9166666666666663</v>
      </c>
      <c r="C719" s="16"/>
      <c r="D719" s="16"/>
      <c r="E719" s="11">
        <v>10</v>
      </c>
      <c r="F719" s="17">
        <f t="shared" si="159"/>
        <v>40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5" ht="15" customHeight="1" x14ac:dyDescent="0.3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 x14ac:dyDescent="0.3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 x14ac:dyDescent="0.3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 x14ac:dyDescent="0.3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 x14ac:dyDescent="0.3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 x14ac:dyDescent="0.3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 x14ac:dyDescent="0.3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 x14ac:dyDescent="0.3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 x14ac:dyDescent="0.3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 x14ac:dyDescent="0.3">
      <c r="A729" s="91" t="s">
        <v>187</v>
      </c>
      <c r="B729" s="91"/>
      <c r="C729" s="91"/>
      <c r="D729" s="91"/>
      <c r="E729" s="19">
        <f>SUM(E717:E728)</f>
        <v>30</v>
      </c>
      <c r="F729" s="19">
        <f>SUM(F717:F728)</f>
        <v>120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 x14ac:dyDescent="0.3">
      <c r="A730" s="90" t="s">
        <v>188</v>
      </c>
      <c r="B730" s="90"/>
      <c r="C730" s="90"/>
      <c r="D730" s="90"/>
      <c r="E730" s="22">
        <f>E716+E729</f>
        <v>256</v>
      </c>
      <c r="F730" s="22">
        <f>F716+F729</f>
        <v>1024</v>
      </c>
      <c r="G730" s="21"/>
      <c r="H730" s="21"/>
      <c r="I730" s="21"/>
      <c r="J730" s="21"/>
      <c r="K730" s="21"/>
      <c r="L730" s="73">
        <f>IFERROR(L716+L729,"")</f>
        <v>0</v>
      </c>
      <c r="M730" s="22" t="s">
        <v>189</v>
      </c>
      <c r="N730" s="31">
        <f>IFERROR(N716+N729,"")</f>
        <v>980000</v>
      </c>
    </row>
    <row r="731" spans="1:14" ht="15" customHeight="1" x14ac:dyDescent="0.3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 x14ac:dyDescent="0.3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 x14ac:dyDescent="0.3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 x14ac:dyDescent="0.3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 x14ac:dyDescent="0.3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 x14ac:dyDescent="0.3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 x14ac:dyDescent="0.3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 x14ac:dyDescent="0.3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 x14ac:dyDescent="0.3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 x14ac:dyDescent="0.3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 x14ac:dyDescent="0.3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 x14ac:dyDescent="0.3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 x14ac:dyDescent="0.3">
      <c r="A743" s="91" t="s">
        <v>185</v>
      </c>
      <c r="B743" s="91"/>
      <c r="C743" s="91"/>
      <c r="D743" s="91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 x14ac:dyDescent="0.3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 x14ac:dyDescent="0.3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 x14ac:dyDescent="0.3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 x14ac:dyDescent="0.3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 x14ac:dyDescent="0.3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 x14ac:dyDescent="0.3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 x14ac:dyDescent="0.3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 x14ac:dyDescent="0.3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 x14ac:dyDescent="0.3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 x14ac:dyDescent="0.3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 x14ac:dyDescent="0.3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 x14ac:dyDescent="0.3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 x14ac:dyDescent="0.3">
      <c r="A756" s="91" t="s">
        <v>187</v>
      </c>
      <c r="B756" s="91"/>
      <c r="C756" s="91"/>
      <c r="D756" s="91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 x14ac:dyDescent="0.3">
      <c r="A757" s="90" t="s">
        <v>188</v>
      </c>
      <c r="B757" s="90"/>
      <c r="C757" s="90"/>
      <c r="D757" s="90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 x14ac:dyDescent="0.3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 x14ac:dyDescent="0.3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 x14ac:dyDescent="0.3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 x14ac:dyDescent="0.3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 x14ac:dyDescent="0.3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 x14ac:dyDescent="0.3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 x14ac:dyDescent="0.3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 x14ac:dyDescent="0.3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 x14ac:dyDescent="0.3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 x14ac:dyDescent="0.3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 x14ac:dyDescent="0.3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 x14ac:dyDescent="0.3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 x14ac:dyDescent="0.3">
      <c r="A770" s="91" t="s">
        <v>185</v>
      </c>
      <c r="B770" s="91"/>
      <c r="C770" s="91"/>
      <c r="D770" s="91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 x14ac:dyDescent="0.3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 x14ac:dyDescent="0.3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 x14ac:dyDescent="0.3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 x14ac:dyDescent="0.3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 x14ac:dyDescent="0.3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 x14ac:dyDescent="0.3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 x14ac:dyDescent="0.3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 x14ac:dyDescent="0.3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 x14ac:dyDescent="0.3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 x14ac:dyDescent="0.3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 x14ac:dyDescent="0.3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 x14ac:dyDescent="0.3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 x14ac:dyDescent="0.3">
      <c r="A783" s="91" t="s">
        <v>187</v>
      </c>
      <c r="B783" s="91"/>
      <c r="C783" s="91"/>
      <c r="D783" s="91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 x14ac:dyDescent="0.3">
      <c r="A784" s="90" t="s">
        <v>188</v>
      </c>
      <c r="B784" s="90"/>
      <c r="C784" s="90"/>
      <c r="D784" s="90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 x14ac:dyDescent="0.3">
      <c r="A785" s="59">
        <v>46203</v>
      </c>
      <c r="B785" s="15">
        <v>0.33333333333333298</v>
      </c>
      <c r="C785" s="10"/>
      <c r="D785" s="10"/>
      <c r="E785" s="11"/>
      <c r="F785" s="12" t="str">
        <f t="shared" ref="F785:F796" si="174">IF(E785="","",E785*4)</f>
        <v/>
      </c>
      <c r="G785" s="10"/>
      <c r="H785" s="10"/>
      <c r="I785" s="10"/>
      <c r="J785" s="13"/>
      <c r="K785" s="13"/>
      <c r="L785" s="70" t="str">
        <f t="shared" ref="L785:L796" si="175">IFERROR(IF(K785="","",IF(K785&gt;=J785,K785-J785,K785+1-J785)),"")</f>
        <v/>
      </c>
      <c r="M785" s="11"/>
      <c r="N785" s="30"/>
    </row>
    <row r="786" spans="1:14" ht="15" customHeight="1" x14ac:dyDescent="0.3">
      <c r="A786" s="58">
        <v>46203</v>
      </c>
      <c r="B786" s="9">
        <f t="shared" ref="B786:B796" si="176">B785+TIME(0,60,0)</f>
        <v>0.37499999999999967</v>
      </c>
      <c r="C786" s="16"/>
      <c r="D786" s="16"/>
      <c r="E786" s="11"/>
      <c r="F786" s="17" t="str">
        <f t="shared" si="174"/>
        <v/>
      </c>
      <c r="G786" s="16"/>
      <c r="H786" s="16"/>
      <c r="I786" s="16"/>
      <c r="J786" s="13"/>
      <c r="K786" s="13"/>
      <c r="L786" s="71" t="str">
        <f t="shared" si="175"/>
        <v/>
      </c>
      <c r="M786" s="11"/>
      <c r="N786" s="30"/>
    </row>
    <row r="787" spans="1:14" ht="15" customHeight="1" x14ac:dyDescent="0.3">
      <c r="A787" s="59">
        <v>46203</v>
      </c>
      <c r="B787" s="15">
        <f t="shared" si="176"/>
        <v>0.41666666666666635</v>
      </c>
      <c r="C787" s="10"/>
      <c r="D787" s="10"/>
      <c r="E787" s="11"/>
      <c r="F787" s="12" t="str">
        <f t="shared" si="174"/>
        <v/>
      </c>
      <c r="G787" s="10"/>
      <c r="H787" s="10"/>
      <c r="I787" s="10"/>
      <c r="J787" s="13"/>
      <c r="K787" s="13"/>
      <c r="L787" s="70" t="str">
        <f t="shared" si="175"/>
        <v/>
      </c>
      <c r="M787" s="11"/>
      <c r="N787" s="30"/>
    </row>
    <row r="788" spans="1:14" ht="15" customHeight="1" x14ac:dyDescent="0.3">
      <c r="A788" s="58">
        <v>46203</v>
      </c>
      <c r="B788" s="9">
        <f t="shared" si="176"/>
        <v>0.45833333333333304</v>
      </c>
      <c r="C788" s="16"/>
      <c r="D788" s="16"/>
      <c r="E788" s="11"/>
      <c r="F788" s="17" t="str">
        <f t="shared" si="174"/>
        <v/>
      </c>
      <c r="G788" s="16"/>
      <c r="H788" s="16"/>
      <c r="I788" s="16"/>
      <c r="J788" s="13"/>
      <c r="K788" s="13"/>
      <c r="L788" s="71" t="str">
        <f t="shared" si="175"/>
        <v/>
      </c>
      <c r="M788" s="11"/>
      <c r="N788" s="30"/>
    </row>
    <row r="789" spans="1:14" ht="15" customHeight="1" x14ac:dyDescent="0.3">
      <c r="A789" s="59">
        <v>46203</v>
      </c>
      <c r="B789" s="15">
        <f t="shared" si="176"/>
        <v>0.49999999999999972</v>
      </c>
      <c r="C789" s="10"/>
      <c r="D789" s="10"/>
      <c r="E789" s="11"/>
      <c r="F789" s="12" t="str">
        <f t="shared" si="174"/>
        <v/>
      </c>
      <c r="G789" s="10"/>
      <c r="H789" s="10"/>
      <c r="I789" s="10"/>
      <c r="J789" s="13"/>
      <c r="K789" s="13"/>
      <c r="L789" s="70" t="str">
        <f t="shared" si="175"/>
        <v/>
      </c>
      <c r="M789" s="11"/>
      <c r="N789" s="30"/>
    </row>
    <row r="790" spans="1:14" ht="15" customHeight="1" x14ac:dyDescent="0.3">
      <c r="A790" s="58">
        <v>46203</v>
      </c>
      <c r="B790" s="9">
        <f t="shared" si="176"/>
        <v>0.54166666666666641</v>
      </c>
      <c r="C790" s="16"/>
      <c r="D790" s="16"/>
      <c r="E790" s="11"/>
      <c r="F790" s="17" t="str">
        <f t="shared" si="174"/>
        <v/>
      </c>
      <c r="G790" s="16"/>
      <c r="H790" s="16"/>
      <c r="I790" s="16"/>
      <c r="J790" s="13"/>
      <c r="K790" s="13"/>
      <c r="L790" s="71" t="str">
        <f t="shared" si="175"/>
        <v/>
      </c>
      <c r="M790" s="11"/>
      <c r="N790" s="30"/>
    </row>
    <row r="791" spans="1:14" ht="15" customHeight="1" x14ac:dyDescent="0.3">
      <c r="A791" s="59">
        <v>46203</v>
      </c>
      <c r="B791" s="15">
        <f t="shared" si="176"/>
        <v>0.58333333333333304</v>
      </c>
      <c r="C791" s="10"/>
      <c r="D791" s="10"/>
      <c r="E791" s="11"/>
      <c r="F791" s="12" t="str">
        <f t="shared" si="174"/>
        <v/>
      </c>
      <c r="G791" s="10"/>
      <c r="H791" s="10"/>
      <c r="I791" s="10"/>
      <c r="J791" s="13"/>
      <c r="K791" s="13"/>
      <c r="L791" s="70" t="str">
        <f t="shared" si="175"/>
        <v/>
      </c>
      <c r="M791" s="11"/>
      <c r="N791" s="30"/>
    </row>
    <row r="792" spans="1:14" ht="15" customHeight="1" x14ac:dyDescent="0.3">
      <c r="A792" s="58">
        <v>46203</v>
      </c>
      <c r="B792" s="9">
        <f t="shared" si="176"/>
        <v>0.62499999999999967</v>
      </c>
      <c r="C792" s="16"/>
      <c r="D792" s="16"/>
      <c r="E792" s="11"/>
      <c r="F792" s="17" t="str">
        <f t="shared" si="174"/>
        <v/>
      </c>
      <c r="G792" s="16"/>
      <c r="H792" s="16"/>
      <c r="I792" s="16"/>
      <c r="J792" s="13"/>
      <c r="K792" s="13"/>
      <c r="L792" s="71" t="str">
        <f t="shared" si="175"/>
        <v/>
      </c>
      <c r="M792" s="11"/>
      <c r="N792" s="30"/>
    </row>
    <row r="793" spans="1:14" ht="15" customHeight="1" x14ac:dyDescent="0.3">
      <c r="A793" s="59">
        <v>46203</v>
      </c>
      <c r="B793" s="15">
        <f t="shared" si="176"/>
        <v>0.6666666666666663</v>
      </c>
      <c r="C793" s="10"/>
      <c r="D793" s="10"/>
      <c r="E793" s="11"/>
      <c r="F793" s="12" t="str">
        <f t="shared" si="174"/>
        <v/>
      </c>
      <c r="G793" s="10"/>
      <c r="H793" s="10"/>
      <c r="I793" s="10"/>
      <c r="J793" s="13"/>
      <c r="K793" s="13"/>
      <c r="L793" s="70" t="str">
        <f t="shared" si="175"/>
        <v/>
      </c>
      <c r="M793" s="11"/>
      <c r="N793" s="30"/>
    </row>
    <row r="794" spans="1:14" ht="15" customHeight="1" x14ac:dyDescent="0.3">
      <c r="A794" s="58">
        <v>46203</v>
      </c>
      <c r="B794" s="9">
        <f t="shared" si="176"/>
        <v>0.70833333333333293</v>
      </c>
      <c r="C794" s="16"/>
      <c r="D794" s="16"/>
      <c r="E794" s="11"/>
      <c r="F794" s="17" t="str">
        <f t="shared" si="174"/>
        <v/>
      </c>
      <c r="G794" s="16"/>
      <c r="H794" s="16"/>
      <c r="I794" s="16"/>
      <c r="J794" s="13"/>
      <c r="K794" s="13"/>
      <c r="L794" s="71" t="str">
        <f t="shared" si="175"/>
        <v/>
      </c>
      <c r="M794" s="11"/>
      <c r="N794" s="30"/>
    </row>
    <row r="795" spans="1:14" ht="15" customHeight="1" x14ac:dyDescent="0.3">
      <c r="A795" s="59">
        <v>46203</v>
      </c>
      <c r="B795" s="15">
        <f t="shared" si="176"/>
        <v>0.74999999999999956</v>
      </c>
      <c r="C795" s="10"/>
      <c r="D795" s="10"/>
      <c r="E795" s="11"/>
      <c r="F795" s="12" t="str">
        <f t="shared" si="174"/>
        <v/>
      </c>
      <c r="G795" s="10"/>
      <c r="H795" s="10"/>
      <c r="I795" s="10"/>
      <c r="J795" s="13"/>
      <c r="K795" s="13"/>
      <c r="L795" s="70" t="str">
        <f t="shared" si="175"/>
        <v/>
      </c>
      <c r="M795" s="11"/>
      <c r="N795" s="30"/>
    </row>
    <row r="796" spans="1:14" ht="15" customHeight="1" x14ac:dyDescent="0.3">
      <c r="A796" s="58">
        <v>46203</v>
      </c>
      <c r="B796" s="9">
        <f t="shared" si="176"/>
        <v>0.79166666666666619</v>
      </c>
      <c r="C796" s="16"/>
      <c r="D796" s="16"/>
      <c r="E796" s="11"/>
      <c r="F796" s="17" t="str">
        <f t="shared" si="174"/>
        <v/>
      </c>
      <c r="G796" s="16"/>
      <c r="H796" s="16"/>
      <c r="I796" s="16"/>
      <c r="J796" s="13"/>
      <c r="K796" s="13"/>
      <c r="L796" s="71" t="str">
        <f t="shared" si="175"/>
        <v/>
      </c>
      <c r="M796" s="11"/>
      <c r="N796" s="30"/>
    </row>
    <row r="797" spans="1:14" ht="15.75" customHeight="1" x14ac:dyDescent="0.3">
      <c r="A797" s="91" t="s">
        <v>185</v>
      </c>
      <c r="B797" s="91"/>
      <c r="C797" s="91"/>
      <c r="D797" s="91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 x14ac:dyDescent="0.3">
      <c r="A798" s="58">
        <v>46203</v>
      </c>
      <c r="B798" s="9">
        <v>0.83333333333333304</v>
      </c>
      <c r="C798" s="16"/>
      <c r="D798" s="16"/>
      <c r="E798" s="11"/>
      <c r="F798" s="17" t="str">
        <f t="shared" ref="F798:F809" si="177">IF(E798="","",E798*4)</f>
        <v/>
      </c>
      <c r="G798" s="16"/>
      <c r="H798" s="16"/>
      <c r="I798" s="16"/>
      <c r="J798" s="13"/>
      <c r="K798" s="13"/>
      <c r="L798" s="71" t="str">
        <f t="shared" ref="L798:L809" si="178">IFERROR(IF(K798="","",IF(K798&gt;=J798,K798-J798,K798+1-J798)),"")</f>
        <v/>
      </c>
      <c r="M798" s="11"/>
      <c r="N798" s="30"/>
    </row>
    <row r="799" spans="1:14" ht="15" customHeight="1" x14ac:dyDescent="0.3">
      <c r="A799" s="59">
        <v>46203</v>
      </c>
      <c r="B799" s="15">
        <f t="shared" ref="B799:B809" si="179">B798+TIME(0,60,0)</f>
        <v>0.87499999999999967</v>
      </c>
      <c r="C799" s="10"/>
      <c r="D799" s="10"/>
      <c r="E799" s="11"/>
      <c r="F799" s="12" t="str">
        <f t="shared" si="177"/>
        <v/>
      </c>
      <c r="G799" s="10"/>
      <c r="H799" s="10"/>
      <c r="I799" s="10"/>
      <c r="J799" s="13"/>
      <c r="K799" s="13"/>
      <c r="L799" s="70" t="str">
        <f t="shared" si="178"/>
        <v/>
      </c>
      <c r="M799" s="11"/>
      <c r="N799" s="30"/>
    </row>
    <row r="800" spans="1:14" ht="15" customHeight="1" x14ac:dyDescent="0.3">
      <c r="A800" s="58">
        <v>46203</v>
      </c>
      <c r="B800" s="9">
        <f t="shared" si="179"/>
        <v>0.9166666666666663</v>
      </c>
      <c r="C800" s="16"/>
      <c r="D800" s="16"/>
      <c r="E800" s="11"/>
      <c r="F800" s="17" t="str">
        <f t="shared" si="177"/>
        <v/>
      </c>
      <c r="G800" s="16"/>
      <c r="H800" s="16"/>
      <c r="I800" s="16"/>
      <c r="J800" s="13"/>
      <c r="K800" s="13"/>
      <c r="L800" s="71" t="str">
        <f t="shared" si="178"/>
        <v/>
      </c>
      <c r="M800" s="11"/>
      <c r="N800" s="30"/>
    </row>
    <row r="801" spans="1:14" ht="15" customHeight="1" x14ac:dyDescent="0.3">
      <c r="A801" s="59">
        <v>46203</v>
      </c>
      <c r="B801" s="15">
        <f t="shared" si="179"/>
        <v>0.95833333333333293</v>
      </c>
      <c r="C801" s="10"/>
      <c r="D801" s="10"/>
      <c r="E801" s="11"/>
      <c r="F801" s="12" t="str">
        <f t="shared" si="177"/>
        <v/>
      </c>
      <c r="G801" s="10"/>
      <c r="H801" s="10"/>
      <c r="I801" s="10"/>
      <c r="J801" s="13"/>
      <c r="K801" s="13"/>
      <c r="L801" s="70" t="str">
        <f t="shared" si="178"/>
        <v/>
      </c>
      <c r="M801" s="11"/>
      <c r="N801" s="30"/>
    </row>
    <row r="802" spans="1:14" ht="15" customHeight="1" x14ac:dyDescent="0.3">
      <c r="A802" s="58">
        <v>46203</v>
      </c>
      <c r="B802" s="9">
        <f t="shared" si="179"/>
        <v>0.99999999999999956</v>
      </c>
      <c r="C802" s="16"/>
      <c r="D802" s="16"/>
      <c r="E802" s="11"/>
      <c r="F802" s="17" t="str">
        <f t="shared" si="177"/>
        <v/>
      </c>
      <c r="G802" s="16"/>
      <c r="H802" s="16"/>
      <c r="I802" s="16"/>
      <c r="J802" s="13"/>
      <c r="K802" s="13"/>
      <c r="L802" s="71" t="str">
        <f t="shared" si="178"/>
        <v/>
      </c>
      <c r="M802" s="11"/>
      <c r="N802" s="30"/>
    </row>
    <row r="803" spans="1:14" ht="15" customHeight="1" x14ac:dyDescent="0.3">
      <c r="A803" s="59">
        <v>46203</v>
      </c>
      <c r="B803" s="15">
        <f t="shared" si="179"/>
        <v>1.0416666666666663</v>
      </c>
      <c r="C803" s="10"/>
      <c r="D803" s="10"/>
      <c r="E803" s="11"/>
      <c r="F803" s="12" t="str">
        <f t="shared" si="177"/>
        <v/>
      </c>
      <c r="G803" s="10"/>
      <c r="H803" s="10"/>
      <c r="I803" s="10"/>
      <c r="J803" s="13"/>
      <c r="K803" s="13"/>
      <c r="L803" s="70" t="str">
        <f t="shared" si="178"/>
        <v/>
      </c>
      <c r="M803" s="11"/>
      <c r="N803" s="30"/>
    </row>
    <row r="804" spans="1:14" ht="15" customHeight="1" x14ac:dyDescent="0.3">
      <c r="A804" s="58">
        <v>46203</v>
      </c>
      <c r="B804" s="9">
        <f t="shared" si="179"/>
        <v>1.083333333333333</v>
      </c>
      <c r="C804" s="16"/>
      <c r="D804" s="16"/>
      <c r="E804" s="11"/>
      <c r="F804" s="17" t="str">
        <f t="shared" si="177"/>
        <v/>
      </c>
      <c r="G804" s="16"/>
      <c r="H804" s="16"/>
      <c r="I804" s="16"/>
      <c r="J804" s="13"/>
      <c r="K804" s="13"/>
      <c r="L804" s="71" t="str">
        <f t="shared" si="178"/>
        <v/>
      </c>
      <c r="M804" s="11"/>
      <c r="N804" s="30"/>
    </row>
    <row r="805" spans="1:14" ht="15" customHeight="1" x14ac:dyDescent="0.3">
      <c r="A805" s="59">
        <v>46203</v>
      </c>
      <c r="B805" s="15">
        <f t="shared" si="179"/>
        <v>1.1249999999999998</v>
      </c>
      <c r="C805" s="10"/>
      <c r="D805" s="10"/>
      <c r="E805" s="11"/>
      <c r="F805" s="12" t="str">
        <f t="shared" si="177"/>
        <v/>
      </c>
      <c r="G805" s="10"/>
      <c r="H805" s="10"/>
      <c r="I805" s="10"/>
      <c r="J805" s="13"/>
      <c r="K805" s="13"/>
      <c r="L805" s="70" t="str">
        <f t="shared" si="178"/>
        <v/>
      </c>
      <c r="M805" s="11"/>
      <c r="N805" s="30"/>
    </row>
    <row r="806" spans="1:14" ht="15" customHeight="1" x14ac:dyDescent="0.3">
      <c r="A806" s="58">
        <v>46203</v>
      </c>
      <c r="B806" s="9">
        <f t="shared" si="179"/>
        <v>1.1666666666666665</v>
      </c>
      <c r="C806" s="16"/>
      <c r="D806" s="16"/>
      <c r="E806" s="11"/>
      <c r="F806" s="17" t="str">
        <f t="shared" si="177"/>
        <v/>
      </c>
      <c r="G806" s="16"/>
      <c r="H806" s="16"/>
      <c r="I806" s="16"/>
      <c r="J806" s="13"/>
      <c r="K806" s="13"/>
      <c r="L806" s="71" t="str">
        <f t="shared" si="178"/>
        <v/>
      </c>
      <c r="M806" s="11"/>
      <c r="N806" s="30"/>
    </row>
    <row r="807" spans="1:14" ht="15" customHeight="1" x14ac:dyDescent="0.3">
      <c r="A807" s="59">
        <v>46203</v>
      </c>
      <c r="B807" s="15">
        <f t="shared" si="179"/>
        <v>1.2083333333333333</v>
      </c>
      <c r="C807" s="10"/>
      <c r="D807" s="10"/>
      <c r="E807" s="11"/>
      <c r="F807" s="12" t="str">
        <f t="shared" si="177"/>
        <v/>
      </c>
      <c r="G807" s="10"/>
      <c r="H807" s="10"/>
      <c r="I807" s="10"/>
      <c r="J807" s="13"/>
      <c r="K807" s="13"/>
      <c r="L807" s="70" t="str">
        <f t="shared" si="178"/>
        <v/>
      </c>
      <c r="M807" s="11"/>
      <c r="N807" s="30"/>
    </row>
    <row r="808" spans="1:14" ht="15" customHeight="1" x14ac:dyDescent="0.3">
      <c r="A808" s="58">
        <v>46203</v>
      </c>
      <c r="B808" s="9">
        <f t="shared" si="179"/>
        <v>1.25</v>
      </c>
      <c r="C808" s="16"/>
      <c r="D808" s="16"/>
      <c r="E808" s="11"/>
      <c r="F808" s="17" t="str">
        <f t="shared" si="177"/>
        <v/>
      </c>
      <c r="G808" s="16"/>
      <c r="H808" s="16"/>
      <c r="I808" s="16"/>
      <c r="J808" s="13"/>
      <c r="K808" s="13"/>
      <c r="L808" s="71" t="str">
        <f t="shared" si="178"/>
        <v/>
      </c>
      <c r="M808" s="11"/>
      <c r="N808" s="30"/>
    </row>
    <row r="809" spans="1:14" ht="15" customHeight="1" x14ac:dyDescent="0.3">
      <c r="A809" s="59">
        <v>46203</v>
      </c>
      <c r="B809" s="15">
        <f t="shared" si="179"/>
        <v>1.2916666666666667</v>
      </c>
      <c r="C809" s="10"/>
      <c r="D809" s="10"/>
      <c r="E809" s="11"/>
      <c r="F809" s="12" t="str">
        <f t="shared" si="177"/>
        <v/>
      </c>
      <c r="G809" s="10"/>
      <c r="H809" s="10"/>
      <c r="I809" s="10"/>
      <c r="J809" s="13"/>
      <c r="K809" s="13"/>
      <c r="L809" s="70" t="str">
        <f t="shared" si="178"/>
        <v/>
      </c>
      <c r="M809" s="11"/>
      <c r="N809" s="30"/>
    </row>
    <row r="810" spans="1:14" ht="15.75" customHeight="1" x14ac:dyDescent="0.3">
      <c r="A810" s="91" t="s">
        <v>187</v>
      </c>
      <c r="B810" s="91"/>
      <c r="C810" s="91"/>
      <c r="D810" s="91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 x14ac:dyDescent="0.3">
      <c r="A811" s="90" t="s">
        <v>188</v>
      </c>
      <c r="B811" s="90"/>
      <c r="C811" s="90"/>
      <c r="D811" s="90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50" zoomScaleNormal="50" workbookViewId="0">
      <pane ySplit="1" topLeftCell="A693" activePane="bottomLeft" state="frozen"/>
      <selection activeCell="D1" sqref="D1"/>
      <selection pane="bottomLeft" activeCell="N724" sqref="N724"/>
    </sheetView>
  </sheetViews>
  <sheetFormatPr defaultColWidth="8.5546875" defaultRowHeight="14.4" x14ac:dyDescent="0.3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09375" style="37" customWidth="1"/>
    <col min="9" max="9" width="52.109375" style="37" customWidth="1"/>
    <col min="10" max="11" width="12" style="37" customWidth="1"/>
    <col min="12" max="12" width="14" style="75" customWidth="1"/>
    <col min="13" max="13" width="126.33203125" style="37" customWidth="1"/>
    <col min="14" max="14" width="14" style="37" customWidth="1"/>
  </cols>
  <sheetData>
    <row r="1" spans="1:14" ht="37.5" customHeight="1" x14ac:dyDescent="0.3">
      <c r="A1" s="57" t="s">
        <v>7</v>
      </c>
      <c r="B1" s="8" t="s">
        <v>175</v>
      </c>
      <c r="C1" s="8" t="s">
        <v>12</v>
      </c>
      <c r="D1" s="57" t="s">
        <v>13</v>
      </c>
      <c r="E1" s="8" t="s">
        <v>176</v>
      </c>
      <c r="F1" s="8" t="s">
        <v>308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 x14ac:dyDescent="0.3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309</v>
      </c>
      <c r="I2" s="10" t="s">
        <v>310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 x14ac:dyDescent="0.3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309</v>
      </c>
      <c r="I3" s="16" t="s">
        <v>310</v>
      </c>
      <c r="J3" s="13"/>
      <c r="K3" s="13"/>
      <c r="L3" s="71" t="str">
        <f t="shared" si="1"/>
        <v/>
      </c>
      <c r="M3" s="11"/>
      <c r="N3" s="14"/>
    </row>
    <row r="4" spans="1:14" ht="15" customHeight="1" x14ac:dyDescent="0.3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309</v>
      </c>
      <c r="I4" s="10" t="s">
        <v>310</v>
      </c>
      <c r="J4" s="13"/>
      <c r="K4" s="13"/>
      <c r="L4" s="70" t="str">
        <f t="shared" si="1"/>
        <v/>
      </c>
      <c r="M4" s="11"/>
      <c r="N4" s="14"/>
    </row>
    <row r="5" spans="1:14" ht="15" customHeight="1" x14ac:dyDescent="0.3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309</v>
      </c>
      <c r="I5" s="16" t="s">
        <v>310</v>
      </c>
      <c r="J5" s="13"/>
      <c r="K5" s="13"/>
      <c r="L5" s="71" t="str">
        <f t="shared" si="1"/>
        <v/>
      </c>
      <c r="M5" s="11"/>
      <c r="N5" s="14"/>
    </row>
    <row r="6" spans="1:14" ht="15" customHeight="1" x14ac:dyDescent="0.3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309</v>
      </c>
      <c r="I6" s="10" t="s">
        <v>310</v>
      </c>
      <c r="J6" s="13"/>
      <c r="K6" s="13"/>
      <c r="L6" s="70" t="str">
        <f t="shared" si="1"/>
        <v/>
      </c>
      <c r="M6" s="11"/>
      <c r="N6" s="14"/>
    </row>
    <row r="7" spans="1:14" ht="15" customHeight="1" x14ac:dyDescent="0.3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309</v>
      </c>
      <c r="I7" s="16" t="s">
        <v>310</v>
      </c>
      <c r="J7" s="13"/>
      <c r="K7" s="13"/>
      <c r="L7" s="71" t="str">
        <f t="shared" si="1"/>
        <v/>
      </c>
      <c r="M7" s="11"/>
      <c r="N7" s="14"/>
    </row>
    <row r="8" spans="1:14" ht="15" customHeight="1" x14ac:dyDescent="0.3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309</v>
      </c>
      <c r="I8" s="10" t="s">
        <v>310</v>
      </c>
      <c r="J8" s="13"/>
      <c r="K8" s="13"/>
      <c r="L8" s="70" t="str">
        <f t="shared" si="1"/>
        <v/>
      </c>
      <c r="M8" s="11"/>
      <c r="N8" s="14"/>
    </row>
    <row r="9" spans="1:14" ht="15" customHeight="1" x14ac:dyDescent="0.3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309</v>
      </c>
      <c r="I9" s="16" t="s">
        <v>310</v>
      </c>
      <c r="J9" s="13"/>
      <c r="K9" s="13"/>
      <c r="L9" s="71" t="str">
        <f t="shared" si="1"/>
        <v/>
      </c>
      <c r="M9" s="11"/>
      <c r="N9" s="14"/>
    </row>
    <row r="10" spans="1:14" ht="15" customHeight="1" x14ac:dyDescent="0.3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309</v>
      </c>
      <c r="I10" s="10" t="s">
        <v>310</v>
      </c>
      <c r="J10" s="13"/>
      <c r="K10" s="13"/>
      <c r="L10" s="70" t="str">
        <f t="shared" si="1"/>
        <v/>
      </c>
      <c r="M10" s="11"/>
      <c r="N10" s="14"/>
    </row>
    <row r="11" spans="1:14" ht="15" customHeight="1" x14ac:dyDescent="0.3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309</v>
      </c>
      <c r="I11" s="16" t="s">
        <v>310</v>
      </c>
      <c r="J11" s="13"/>
      <c r="K11" s="13"/>
      <c r="L11" s="71" t="str">
        <f t="shared" si="1"/>
        <v/>
      </c>
      <c r="M11" s="11"/>
      <c r="N11" s="14"/>
    </row>
    <row r="12" spans="1:14" ht="15" customHeight="1" x14ac:dyDescent="0.3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309</v>
      </c>
      <c r="I12" s="10" t="s">
        <v>310</v>
      </c>
      <c r="J12" s="13"/>
      <c r="K12" s="13"/>
      <c r="L12" s="70" t="str">
        <f t="shared" si="1"/>
        <v/>
      </c>
      <c r="M12" s="11"/>
      <c r="N12" s="14"/>
    </row>
    <row r="13" spans="1:14" ht="15" customHeight="1" x14ac:dyDescent="0.3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309</v>
      </c>
      <c r="I13" s="16" t="s">
        <v>310</v>
      </c>
      <c r="J13" s="13"/>
      <c r="K13" s="13"/>
      <c r="L13" s="71" t="str">
        <f t="shared" si="1"/>
        <v/>
      </c>
      <c r="M13" s="11"/>
      <c r="N13" s="14"/>
    </row>
    <row r="14" spans="1:14" ht="15.75" customHeight="1" x14ac:dyDescent="0.3">
      <c r="A14" s="91" t="s">
        <v>185</v>
      </c>
      <c r="B14" s="91"/>
      <c r="C14" s="91"/>
      <c r="D14" s="91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186</v>
      </c>
      <c r="N14" s="20">
        <v>50000</v>
      </c>
    </row>
    <row r="15" spans="1:14" ht="15" customHeight="1" x14ac:dyDescent="0.3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 x14ac:dyDescent="0.3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 x14ac:dyDescent="0.3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 x14ac:dyDescent="0.3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 x14ac:dyDescent="0.3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 x14ac:dyDescent="0.3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 x14ac:dyDescent="0.3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 x14ac:dyDescent="0.3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 x14ac:dyDescent="0.3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 x14ac:dyDescent="0.3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 x14ac:dyDescent="0.3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 x14ac:dyDescent="0.3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 x14ac:dyDescent="0.3">
      <c r="A27" s="91" t="s">
        <v>187</v>
      </c>
      <c r="B27" s="91"/>
      <c r="C27" s="91"/>
      <c r="D27" s="91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186</v>
      </c>
      <c r="N27" s="20">
        <v>537710</v>
      </c>
    </row>
    <row r="28" spans="1:14" ht="18" customHeight="1" x14ac:dyDescent="0.3">
      <c r="A28" s="90" t="s">
        <v>188</v>
      </c>
      <c r="B28" s="90"/>
      <c r="C28" s="90"/>
      <c r="D28" s="90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189</v>
      </c>
      <c r="N28" s="23">
        <f>IFERROR(N14+N27,"")</f>
        <v>587710</v>
      </c>
    </row>
    <row r="29" spans="1:14" ht="15" customHeight="1" x14ac:dyDescent="0.3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 x14ac:dyDescent="0.3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312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 x14ac:dyDescent="0.3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 x14ac:dyDescent="0.3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 x14ac:dyDescent="0.3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313</v>
      </c>
      <c r="I33" s="16" t="s">
        <v>314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 x14ac:dyDescent="0.3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 x14ac:dyDescent="0.3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 x14ac:dyDescent="0.3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184</v>
      </c>
      <c r="H36" s="10" t="s">
        <v>315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 x14ac:dyDescent="0.3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 x14ac:dyDescent="0.3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 x14ac:dyDescent="0.3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 x14ac:dyDescent="0.3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 x14ac:dyDescent="0.3">
      <c r="A41" s="91" t="s">
        <v>185</v>
      </c>
      <c r="B41" s="91"/>
      <c r="C41" s="91"/>
      <c r="D41" s="91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186</v>
      </c>
      <c r="N41" s="20">
        <v>609900</v>
      </c>
    </row>
    <row r="42" spans="1:14" ht="15" customHeight="1" x14ac:dyDescent="0.3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 x14ac:dyDescent="0.3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 x14ac:dyDescent="0.3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 x14ac:dyDescent="0.3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 x14ac:dyDescent="0.3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 x14ac:dyDescent="0.3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 x14ac:dyDescent="0.3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 x14ac:dyDescent="0.3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 x14ac:dyDescent="0.3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 x14ac:dyDescent="0.3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 x14ac:dyDescent="0.3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 x14ac:dyDescent="0.3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226</v>
      </c>
      <c r="J53" s="13"/>
      <c r="K53" s="13"/>
      <c r="L53" s="71" t="str">
        <f t="shared" si="10"/>
        <v/>
      </c>
      <c r="M53" s="11"/>
      <c r="N53" s="14"/>
    </row>
    <row r="54" spans="1:14" ht="15.75" customHeight="1" x14ac:dyDescent="0.3">
      <c r="A54" s="91" t="s">
        <v>187</v>
      </c>
      <c r="B54" s="91"/>
      <c r="C54" s="91"/>
      <c r="D54" s="91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186</v>
      </c>
      <c r="N54" s="20">
        <v>800250</v>
      </c>
    </row>
    <row r="55" spans="1:14" ht="18" customHeight="1" x14ac:dyDescent="0.3">
      <c r="A55" s="90" t="s">
        <v>188</v>
      </c>
      <c r="B55" s="90"/>
      <c r="C55" s="90"/>
      <c r="D55" s="90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189</v>
      </c>
      <c r="N55" s="23">
        <f>IFERROR(N41+N54,"")</f>
        <v>1410150</v>
      </c>
    </row>
    <row r="56" spans="1:14" ht="15" customHeight="1" x14ac:dyDescent="0.3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 x14ac:dyDescent="0.3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 x14ac:dyDescent="0.3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 x14ac:dyDescent="0.3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 x14ac:dyDescent="0.3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 x14ac:dyDescent="0.3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 x14ac:dyDescent="0.3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 x14ac:dyDescent="0.3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 x14ac:dyDescent="0.3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 x14ac:dyDescent="0.3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 x14ac:dyDescent="0.3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 x14ac:dyDescent="0.3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 x14ac:dyDescent="0.3">
      <c r="A68" s="91" t="s">
        <v>185</v>
      </c>
      <c r="B68" s="91"/>
      <c r="C68" s="91"/>
      <c r="D68" s="91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186</v>
      </c>
      <c r="N68" s="20">
        <v>635860</v>
      </c>
    </row>
    <row r="69" spans="1:14" ht="15" customHeight="1" x14ac:dyDescent="0.3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 x14ac:dyDescent="0.3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 x14ac:dyDescent="0.3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315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 x14ac:dyDescent="0.3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 x14ac:dyDescent="0.3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 x14ac:dyDescent="0.3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 x14ac:dyDescent="0.3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 x14ac:dyDescent="0.3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 x14ac:dyDescent="0.3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 x14ac:dyDescent="0.3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 x14ac:dyDescent="0.3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 x14ac:dyDescent="0.3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 x14ac:dyDescent="0.3">
      <c r="A81" s="91" t="s">
        <v>187</v>
      </c>
      <c r="B81" s="91"/>
      <c r="C81" s="91"/>
      <c r="D81" s="91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186</v>
      </c>
      <c r="N81" s="20">
        <v>423590</v>
      </c>
    </row>
    <row r="82" spans="1:14" ht="18" customHeight="1" x14ac:dyDescent="0.3">
      <c r="A82" s="90" t="s">
        <v>188</v>
      </c>
      <c r="B82" s="90"/>
      <c r="C82" s="90"/>
      <c r="D82" s="90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189</v>
      </c>
      <c r="N82" s="23">
        <f>IFERROR(N68+N81,"")</f>
        <v>1059450</v>
      </c>
    </row>
    <row r="83" spans="1:14" ht="15" customHeight="1" x14ac:dyDescent="0.3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 x14ac:dyDescent="0.3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 x14ac:dyDescent="0.3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 x14ac:dyDescent="0.3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 x14ac:dyDescent="0.3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 x14ac:dyDescent="0.3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 x14ac:dyDescent="0.3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 x14ac:dyDescent="0.3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 x14ac:dyDescent="0.3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 x14ac:dyDescent="0.3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 x14ac:dyDescent="0.3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 x14ac:dyDescent="0.3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 x14ac:dyDescent="0.3">
      <c r="A95" s="91" t="s">
        <v>185</v>
      </c>
      <c r="B95" s="91"/>
      <c r="C95" s="91"/>
      <c r="D95" s="91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186</v>
      </c>
      <c r="N95" s="20">
        <v>244460</v>
      </c>
    </row>
    <row r="96" spans="1:14" ht="15" customHeight="1" x14ac:dyDescent="0.3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 x14ac:dyDescent="0.3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 x14ac:dyDescent="0.3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 x14ac:dyDescent="0.3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 x14ac:dyDescent="0.3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 x14ac:dyDescent="0.3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 x14ac:dyDescent="0.3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 x14ac:dyDescent="0.3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 x14ac:dyDescent="0.3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 x14ac:dyDescent="0.3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 x14ac:dyDescent="0.3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 x14ac:dyDescent="0.3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 x14ac:dyDescent="0.3">
      <c r="A108" s="91" t="s">
        <v>187</v>
      </c>
      <c r="B108" s="91"/>
      <c r="C108" s="91"/>
      <c r="D108" s="91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186</v>
      </c>
      <c r="N108" s="20">
        <v>784300</v>
      </c>
    </row>
    <row r="109" spans="1:14" ht="18" customHeight="1" x14ac:dyDescent="0.3">
      <c r="A109" s="90" t="s">
        <v>188</v>
      </c>
      <c r="B109" s="90"/>
      <c r="C109" s="90"/>
      <c r="D109" s="90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189</v>
      </c>
      <c r="N109" s="23">
        <f>IFERROR(N95+N108,"")</f>
        <v>1028760</v>
      </c>
    </row>
    <row r="110" spans="1:14" ht="15" customHeight="1" x14ac:dyDescent="0.3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 x14ac:dyDescent="0.3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 x14ac:dyDescent="0.3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 x14ac:dyDescent="0.3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 x14ac:dyDescent="0.3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 x14ac:dyDescent="0.3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 x14ac:dyDescent="0.3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 x14ac:dyDescent="0.3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 x14ac:dyDescent="0.3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 x14ac:dyDescent="0.3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 x14ac:dyDescent="0.3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 x14ac:dyDescent="0.3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 x14ac:dyDescent="0.3">
      <c r="A122" s="91" t="s">
        <v>185</v>
      </c>
      <c r="B122" s="91"/>
      <c r="C122" s="91"/>
      <c r="D122" s="91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186</v>
      </c>
      <c r="N122" s="20">
        <v>687850</v>
      </c>
    </row>
    <row r="123" spans="1:14" ht="15" customHeight="1" x14ac:dyDescent="0.3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 x14ac:dyDescent="0.3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184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 x14ac:dyDescent="0.3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 x14ac:dyDescent="0.3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 x14ac:dyDescent="0.3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 x14ac:dyDescent="0.3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 x14ac:dyDescent="0.3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 x14ac:dyDescent="0.3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 x14ac:dyDescent="0.3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 x14ac:dyDescent="0.3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 x14ac:dyDescent="0.3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 x14ac:dyDescent="0.3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 x14ac:dyDescent="0.3">
      <c r="A135" s="91" t="s">
        <v>187</v>
      </c>
      <c r="B135" s="91"/>
      <c r="C135" s="91"/>
      <c r="D135" s="91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186</v>
      </c>
      <c r="N135" s="20">
        <v>527600</v>
      </c>
    </row>
    <row r="136" spans="1:14" ht="18" customHeight="1" x14ac:dyDescent="0.3">
      <c r="A136" s="90" t="s">
        <v>188</v>
      </c>
      <c r="B136" s="90"/>
      <c r="C136" s="90"/>
      <c r="D136" s="90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189</v>
      </c>
      <c r="N136" s="23">
        <f>IFERROR(N122+N135,"")</f>
        <v>1215450</v>
      </c>
    </row>
    <row r="137" spans="1:14" ht="15" customHeight="1" x14ac:dyDescent="0.3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 x14ac:dyDescent="0.3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 x14ac:dyDescent="0.3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184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 x14ac:dyDescent="0.3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 x14ac:dyDescent="0.3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 x14ac:dyDescent="0.3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 x14ac:dyDescent="0.3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 x14ac:dyDescent="0.3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 x14ac:dyDescent="0.3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 x14ac:dyDescent="0.3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 x14ac:dyDescent="0.3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 x14ac:dyDescent="0.3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 x14ac:dyDescent="0.3">
      <c r="A149" s="91" t="s">
        <v>185</v>
      </c>
      <c r="B149" s="91"/>
      <c r="C149" s="91"/>
      <c r="D149" s="91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186</v>
      </c>
      <c r="N149" s="20">
        <v>790080</v>
      </c>
    </row>
    <row r="150" spans="1:14" ht="15" customHeight="1" x14ac:dyDescent="0.3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 x14ac:dyDescent="0.3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 x14ac:dyDescent="0.3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 x14ac:dyDescent="0.3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 x14ac:dyDescent="0.3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 x14ac:dyDescent="0.3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 x14ac:dyDescent="0.3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 x14ac:dyDescent="0.3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 x14ac:dyDescent="0.3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 x14ac:dyDescent="0.3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 x14ac:dyDescent="0.3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 x14ac:dyDescent="0.3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 x14ac:dyDescent="0.3">
      <c r="A162" s="91" t="s">
        <v>187</v>
      </c>
      <c r="B162" s="91"/>
      <c r="C162" s="91"/>
      <c r="D162" s="91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186</v>
      </c>
      <c r="N162" s="20">
        <v>215370</v>
      </c>
    </row>
    <row r="163" spans="1:14" ht="18" customHeight="1" x14ac:dyDescent="0.3">
      <c r="A163" s="90" t="s">
        <v>188</v>
      </c>
      <c r="B163" s="90"/>
      <c r="C163" s="90"/>
      <c r="D163" s="90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189</v>
      </c>
      <c r="N163" s="23">
        <f>IFERROR(N149+N162,"")</f>
        <v>1005450</v>
      </c>
    </row>
    <row r="164" spans="1:14" ht="15" customHeight="1" x14ac:dyDescent="0.3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 x14ac:dyDescent="0.3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 x14ac:dyDescent="0.3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 x14ac:dyDescent="0.3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 x14ac:dyDescent="0.3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 x14ac:dyDescent="0.3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 x14ac:dyDescent="0.3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 x14ac:dyDescent="0.3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 x14ac:dyDescent="0.3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 x14ac:dyDescent="0.3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 x14ac:dyDescent="0.3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 x14ac:dyDescent="0.3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 x14ac:dyDescent="0.3">
      <c r="A176" s="91" t="s">
        <v>185</v>
      </c>
      <c r="B176" s="91"/>
      <c r="C176" s="91"/>
      <c r="D176" s="91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 x14ac:dyDescent="0.3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 x14ac:dyDescent="0.3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 x14ac:dyDescent="0.3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 x14ac:dyDescent="0.3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 x14ac:dyDescent="0.3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 x14ac:dyDescent="0.3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 x14ac:dyDescent="0.3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 x14ac:dyDescent="0.3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 x14ac:dyDescent="0.3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 x14ac:dyDescent="0.3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 x14ac:dyDescent="0.3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 x14ac:dyDescent="0.3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 x14ac:dyDescent="0.3">
      <c r="A189" s="91" t="s">
        <v>187</v>
      </c>
      <c r="B189" s="91"/>
      <c r="C189" s="91"/>
      <c r="D189" s="91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186</v>
      </c>
      <c r="N189" s="20">
        <v>400530</v>
      </c>
    </row>
    <row r="190" spans="1:14" ht="18" customHeight="1" x14ac:dyDescent="0.3">
      <c r="A190" s="90" t="s">
        <v>188</v>
      </c>
      <c r="B190" s="90"/>
      <c r="C190" s="90"/>
      <c r="D190" s="90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189</v>
      </c>
      <c r="N190" s="23">
        <f>IFERROR(N176+N189,"")</f>
        <v>400530</v>
      </c>
    </row>
    <row r="191" spans="1:14" ht="15" customHeight="1" x14ac:dyDescent="0.3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 x14ac:dyDescent="0.3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 x14ac:dyDescent="0.3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 x14ac:dyDescent="0.3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 x14ac:dyDescent="0.3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 x14ac:dyDescent="0.3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 x14ac:dyDescent="0.3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 x14ac:dyDescent="0.3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 x14ac:dyDescent="0.3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 x14ac:dyDescent="0.3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 x14ac:dyDescent="0.3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 x14ac:dyDescent="0.3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 x14ac:dyDescent="0.3">
      <c r="A203" s="91" t="s">
        <v>185</v>
      </c>
      <c r="B203" s="91"/>
      <c r="C203" s="91"/>
      <c r="D203" s="91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186</v>
      </c>
      <c r="N203" s="28">
        <v>225530</v>
      </c>
    </row>
    <row r="204" spans="1:14" ht="15" customHeight="1" x14ac:dyDescent="0.3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 x14ac:dyDescent="0.3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 x14ac:dyDescent="0.3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229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 x14ac:dyDescent="0.3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 x14ac:dyDescent="0.3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 x14ac:dyDescent="0.3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 x14ac:dyDescent="0.3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 x14ac:dyDescent="0.3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 x14ac:dyDescent="0.3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 x14ac:dyDescent="0.3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 x14ac:dyDescent="0.3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 x14ac:dyDescent="0.3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 x14ac:dyDescent="0.3">
      <c r="A216" s="91" t="s">
        <v>187</v>
      </c>
      <c r="B216" s="91"/>
      <c r="C216" s="91"/>
      <c r="D216" s="91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186</v>
      </c>
      <c r="N216" s="28">
        <v>704110</v>
      </c>
    </row>
    <row r="217" spans="1:14" ht="18" customHeight="1" x14ac:dyDescent="0.3">
      <c r="A217" s="90" t="s">
        <v>188</v>
      </c>
      <c r="B217" s="90"/>
      <c r="C217" s="90"/>
      <c r="D217" s="90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189</v>
      </c>
      <c r="N217" s="31">
        <f>IFERROR(N203+N216,"")</f>
        <v>929640</v>
      </c>
    </row>
    <row r="218" spans="1:14" ht="15" customHeight="1" x14ac:dyDescent="0.3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 x14ac:dyDescent="0.3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318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 x14ac:dyDescent="0.3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244</v>
      </c>
      <c r="N220" s="41"/>
    </row>
    <row r="221" spans="1:14" ht="15" customHeight="1" x14ac:dyDescent="0.3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 x14ac:dyDescent="0.3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 x14ac:dyDescent="0.3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 x14ac:dyDescent="0.3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 x14ac:dyDescent="0.3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 x14ac:dyDescent="0.3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 x14ac:dyDescent="0.3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 x14ac:dyDescent="0.3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 x14ac:dyDescent="0.3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 x14ac:dyDescent="0.3">
      <c r="A230" s="91" t="s">
        <v>185</v>
      </c>
      <c r="B230" s="91"/>
      <c r="C230" s="91"/>
      <c r="D230" s="91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186</v>
      </c>
      <c r="N230" s="20">
        <v>793480</v>
      </c>
    </row>
    <row r="231" spans="1:14" ht="15" customHeight="1" x14ac:dyDescent="0.3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 x14ac:dyDescent="0.3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 x14ac:dyDescent="0.3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 x14ac:dyDescent="0.3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 x14ac:dyDescent="0.3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 x14ac:dyDescent="0.3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 x14ac:dyDescent="0.3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 x14ac:dyDescent="0.3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 x14ac:dyDescent="0.3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 x14ac:dyDescent="0.3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 x14ac:dyDescent="0.3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 x14ac:dyDescent="0.3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 x14ac:dyDescent="0.3">
      <c r="A243" s="91" t="s">
        <v>187</v>
      </c>
      <c r="B243" s="91"/>
      <c r="C243" s="91"/>
      <c r="D243" s="91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 x14ac:dyDescent="0.3">
      <c r="A244" s="90" t="s">
        <v>188</v>
      </c>
      <c r="B244" s="90"/>
      <c r="C244" s="90"/>
      <c r="D244" s="90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189</v>
      </c>
      <c r="N244" s="31">
        <f>IFERROR(N230+N243,"")</f>
        <v>793480</v>
      </c>
    </row>
    <row r="245" spans="1:14" ht="15" customHeight="1" x14ac:dyDescent="0.3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 x14ac:dyDescent="0.3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319</v>
      </c>
      <c r="N246" s="41"/>
    </row>
    <row r="247" spans="1:14" ht="15" customHeight="1" x14ac:dyDescent="0.3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 x14ac:dyDescent="0.3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 x14ac:dyDescent="0.3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 x14ac:dyDescent="0.3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 x14ac:dyDescent="0.3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 x14ac:dyDescent="0.3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 x14ac:dyDescent="0.3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 x14ac:dyDescent="0.3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 x14ac:dyDescent="0.3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 x14ac:dyDescent="0.3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 x14ac:dyDescent="0.3">
      <c r="A257" s="91" t="s">
        <v>185</v>
      </c>
      <c r="B257" s="91"/>
      <c r="C257" s="91"/>
      <c r="D257" s="91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186</v>
      </c>
      <c r="N257" s="20">
        <v>92660</v>
      </c>
    </row>
    <row r="258" spans="1:14" ht="15" customHeight="1" x14ac:dyDescent="0.3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 x14ac:dyDescent="0.3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 x14ac:dyDescent="0.3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 x14ac:dyDescent="0.3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 x14ac:dyDescent="0.3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 x14ac:dyDescent="0.3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 x14ac:dyDescent="0.3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 x14ac:dyDescent="0.3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 x14ac:dyDescent="0.3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 x14ac:dyDescent="0.3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 x14ac:dyDescent="0.3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 x14ac:dyDescent="0.3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 x14ac:dyDescent="0.3">
      <c r="A270" s="91" t="s">
        <v>187</v>
      </c>
      <c r="B270" s="91"/>
      <c r="C270" s="91"/>
      <c r="D270" s="91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186</v>
      </c>
      <c r="N270" s="20">
        <f>214250+252630</f>
        <v>466880</v>
      </c>
    </row>
    <row r="271" spans="1:14" ht="18" customHeight="1" x14ac:dyDescent="0.3">
      <c r="A271" s="90" t="s">
        <v>188</v>
      </c>
      <c r="B271" s="90"/>
      <c r="C271" s="90"/>
      <c r="D271" s="90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189</v>
      </c>
      <c r="N271" s="31">
        <f>IFERROR(N257+N270,"")</f>
        <v>559540</v>
      </c>
    </row>
    <row r="272" spans="1:14" ht="15" customHeight="1" x14ac:dyDescent="0.3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 x14ac:dyDescent="0.3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 x14ac:dyDescent="0.3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320</v>
      </c>
      <c r="N274" s="41"/>
    </row>
    <row r="275" spans="1:14" ht="15" customHeight="1" x14ac:dyDescent="0.3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 x14ac:dyDescent="0.3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 x14ac:dyDescent="0.3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 x14ac:dyDescent="0.3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 x14ac:dyDescent="0.3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 x14ac:dyDescent="0.3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 x14ac:dyDescent="0.3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 x14ac:dyDescent="0.3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 x14ac:dyDescent="0.3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 x14ac:dyDescent="0.3">
      <c r="A284" s="91" t="s">
        <v>185</v>
      </c>
      <c r="B284" s="91"/>
      <c r="C284" s="91"/>
      <c r="D284" s="91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186</v>
      </c>
      <c r="N284" s="20">
        <v>409113</v>
      </c>
    </row>
    <row r="285" spans="1:14" ht="15" customHeight="1" x14ac:dyDescent="0.3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 x14ac:dyDescent="0.3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 x14ac:dyDescent="0.3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323</v>
      </c>
      <c r="N287" s="41"/>
    </row>
    <row r="288" spans="1:14" ht="15" customHeight="1" x14ac:dyDescent="0.3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 x14ac:dyDescent="0.3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 x14ac:dyDescent="0.3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 x14ac:dyDescent="0.3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 x14ac:dyDescent="0.3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 x14ac:dyDescent="0.3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 x14ac:dyDescent="0.3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 x14ac:dyDescent="0.3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 x14ac:dyDescent="0.3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 x14ac:dyDescent="0.3">
      <c r="A297" s="91" t="s">
        <v>187</v>
      </c>
      <c r="B297" s="91"/>
      <c r="C297" s="91"/>
      <c r="D297" s="91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186</v>
      </c>
      <c r="N297" s="20">
        <f>124260+105220</f>
        <v>229480</v>
      </c>
    </row>
    <row r="298" spans="1:14" ht="18" customHeight="1" x14ac:dyDescent="0.3">
      <c r="A298" s="90" t="s">
        <v>188</v>
      </c>
      <c r="B298" s="90"/>
      <c r="C298" s="90"/>
      <c r="D298" s="90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189</v>
      </c>
      <c r="N298" s="31">
        <f>IFERROR(N284+N297,"")</f>
        <v>638593</v>
      </c>
    </row>
    <row r="299" spans="1:14" ht="15" customHeight="1" x14ac:dyDescent="0.3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324</v>
      </c>
      <c r="N299" s="41"/>
    </row>
    <row r="300" spans="1:14" ht="15" customHeight="1" x14ac:dyDescent="0.3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296</v>
      </c>
      <c r="N300" s="41"/>
    </row>
    <row r="301" spans="1:14" ht="15" customHeight="1" x14ac:dyDescent="0.3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 x14ac:dyDescent="0.3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 x14ac:dyDescent="0.3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 x14ac:dyDescent="0.3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 x14ac:dyDescent="0.3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 x14ac:dyDescent="0.3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 x14ac:dyDescent="0.3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 x14ac:dyDescent="0.3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 x14ac:dyDescent="0.3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 x14ac:dyDescent="0.3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 x14ac:dyDescent="0.3">
      <c r="A311" s="91" t="s">
        <v>185</v>
      </c>
      <c r="B311" s="91"/>
      <c r="C311" s="91"/>
      <c r="D311" s="91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186</v>
      </c>
      <c r="N311" s="20">
        <v>459880</v>
      </c>
    </row>
    <row r="312" spans="1:14" ht="15" customHeight="1" x14ac:dyDescent="0.3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 x14ac:dyDescent="0.3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325</v>
      </c>
      <c r="N313" s="41"/>
    </row>
    <row r="314" spans="1:14" ht="15" customHeight="1" x14ac:dyDescent="0.3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325</v>
      </c>
      <c r="N314" s="41"/>
    </row>
    <row r="315" spans="1:14" ht="15" customHeight="1" x14ac:dyDescent="0.3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 x14ac:dyDescent="0.3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 x14ac:dyDescent="0.3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325</v>
      </c>
      <c r="N317" s="41"/>
    </row>
    <row r="318" spans="1:14" ht="15" customHeight="1" x14ac:dyDescent="0.3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326</v>
      </c>
      <c r="N318" s="41"/>
    </row>
    <row r="319" spans="1:14" ht="15" customHeight="1" x14ac:dyDescent="0.3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 x14ac:dyDescent="0.3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 x14ac:dyDescent="0.3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 x14ac:dyDescent="0.3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 x14ac:dyDescent="0.3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 x14ac:dyDescent="0.3">
      <c r="A324" s="91" t="s">
        <v>187</v>
      </c>
      <c r="B324" s="91"/>
      <c r="C324" s="91"/>
      <c r="D324" s="91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186</v>
      </c>
      <c r="N324" s="20">
        <f>311920+165290</f>
        <v>477210</v>
      </c>
    </row>
    <row r="325" spans="1:14" ht="18" customHeight="1" x14ac:dyDescent="0.3">
      <c r="A325" s="90" t="s">
        <v>188</v>
      </c>
      <c r="B325" s="90"/>
      <c r="C325" s="90"/>
      <c r="D325" s="90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189</v>
      </c>
      <c r="N325" s="31">
        <f>IFERROR(N311+N324,"")</f>
        <v>937090</v>
      </c>
    </row>
    <row r="326" spans="1:14" ht="15" customHeight="1" x14ac:dyDescent="0.3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 x14ac:dyDescent="0.3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 x14ac:dyDescent="0.3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 x14ac:dyDescent="0.3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 x14ac:dyDescent="0.3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 x14ac:dyDescent="0.3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 x14ac:dyDescent="0.3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 x14ac:dyDescent="0.3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 x14ac:dyDescent="0.3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 x14ac:dyDescent="0.3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 x14ac:dyDescent="0.3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 x14ac:dyDescent="0.3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 x14ac:dyDescent="0.3">
      <c r="A338" s="91" t="s">
        <v>185</v>
      </c>
      <c r="B338" s="91"/>
      <c r="C338" s="91"/>
      <c r="D338" s="91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186</v>
      </c>
      <c r="N338" s="20">
        <f>94060+504430</f>
        <v>598490</v>
      </c>
    </row>
    <row r="339" spans="1:14" ht="15" customHeight="1" x14ac:dyDescent="0.3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327</v>
      </c>
      <c r="N339" s="41"/>
    </row>
    <row r="340" spans="1:14" ht="15" customHeight="1" x14ac:dyDescent="0.3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249</v>
      </c>
      <c r="N340" s="41"/>
    </row>
    <row r="341" spans="1:14" ht="15" customHeight="1" x14ac:dyDescent="0.3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 x14ac:dyDescent="0.3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 x14ac:dyDescent="0.3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 x14ac:dyDescent="0.3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 x14ac:dyDescent="0.3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 x14ac:dyDescent="0.3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 x14ac:dyDescent="0.3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 x14ac:dyDescent="0.3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 x14ac:dyDescent="0.3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 x14ac:dyDescent="0.3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 x14ac:dyDescent="0.3">
      <c r="A351" s="91" t="s">
        <v>187</v>
      </c>
      <c r="B351" s="91"/>
      <c r="C351" s="91"/>
      <c r="D351" s="91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186</v>
      </c>
      <c r="N351" s="20">
        <f>117790+390790</f>
        <v>508580</v>
      </c>
    </row>
    <row r="352" spans="1:14" ht="18" customHeight="1" x14ac:dyDescent="0.3">
      <c r="A352" s="90" t="s">
        <v>188</v>
      </c>
      <c r="B352" s="90"/>
      <c r="C352" s="90"/>
      <c r="D352" s="90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189</v>
      </c>
      <c r="N352" s="31">
        <f>IFERROR(N338+N351,"")</f>
        <v>1107070</v>
      </c>
    </row>
    <row r="353" spans="1:14" ht="15" customHeight="1" x14ac:dyDescent="0.3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328</v>
      </c>
      <c r="N353" s="41"/>
    </row>
    <row r="354" spans="1:14" ht="15" customHeight="1" x14ac:dyDescent="0.3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329</v>
      </c>
      <c r="N354" s="41"/>
    </row>
    <row r="355" spans="1:14" ht="15" customHeight="1" x14ac:dyDescent="0.3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298</v>
      </c>
      <c r="N355" s="41"/>
    </row>
    <row r="356" spans="1:14" ht="15" customHeight="1" x14ac:dyDescent="0.3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 x14ac:dyDescent="0.3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 x14ac:dyDescent="0.3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 x14ac:dyDescent="0.3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 x14ac:dyDescent="0.3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 x14ac:dyDescent="0.3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 x14ac:dyDescent="0.3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 x14ac:dyDescent="0.3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 x14ac:dyDescent="0.3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 x14ac:dyDescent="0.3">
      <c r="A365" s="91" t="s">
        <v>185</v>
      </c>
      <c r="B365" s="91"/>
      <c r="C365" s="91"/>
      <c r="D365" s="91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186</v>
      </c>
      <c r="N365" s="20">
        <f>331370+57650</f>
        <v>389020</v>
      </c>
    </row>
    <row r="366" spans="1:14" ht="15" customHeight="1" x14ac:dyDescent="0.3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 x14ac:dyDescent="0.3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 x14ac:dyDescent="0.3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 x14ac:dyDescent="0.3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 x14ac:dyDescent="0.3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 x14ac:dyDescent="0.3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 x14ac:dyDescent="0.3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 x14ac:dyDescent="0.3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 x14ac:dyDescent="0.3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 x14ac:dyDescent="0.3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 x14ac:dyDescent="0.3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 x14ac:dyDescent="0.3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 x14ac:dyDescent="0.3">
      <c r="A378" s="91" t="s">
        <v>187</v>
      </c>
      <c r="B378" s="91"/>
      <c r="C378" s="91"/>
      <c r="D378" s="91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186</v>
      </c>
      <c r="N378" s="20">
        <f>490380+390690</f>
        <v>881070</v>
      </c>
    </row>
    <row r="379" spans="1:14" ht="18" customHeight="1" x14ac:dyDescent="0.3">
      <c r="A379" s="90" t="s">
        <v>188</v>
      </c>
      <c r="B379" s="90"/>
      <c r="C379" s="90"/>
      <c r="D379" s="90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189</v>
      </c>
      <c r="N379" s="31">
        <f>IFERROR(N365+N378,"")</f>
        <v>1270090</v>
      </c>
    </row>
    <row r="380" spans="1:14" ht="15" customHeight="1" x14ac:dyDescent="0.3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 x14ac:dyDescent="0.3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 x14ac:dyDescent="0.3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 x14ac:dyDescent="0.3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 x14ac:dyDescent="0.3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 x14ac:dyDescent="0.3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 x14ac:dyDescent="0.3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 x14ac:dyDescent="0.3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 x14ac:dyDescent="0.3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 x14ac:dyDescent="0.3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 x14ac:dyDescent="0.3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 x14ac:dyDescent="0.3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 x14ac:dyDescent="0.3">
      <c r="A392" s="91" t="s">
        <v>185</v>
      </c>
      <c r="B392" s="91"/>
      <c r="C392" s="91"/>
      <c r="D392" s="91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186</v>
      </c>
      <c r="N392" s="20">
        <v>629980</v>
      </c>
    </row>
    <row r="393" spans="1:14" ht="15" customHeight="1" x14ac:dyDescent="0.3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 x14ac:dyDescent="0.3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 x14ac:dyDescent="0.3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 x14ac:dyDescent="0.3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 x14ac:dyDescent="0.3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 x14ac:dyDescent="0.3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 x14ac:dyDescent="0.3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 x14ac:dyDescent="0.3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 x14ac:dyDescent="0.3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 x14ac:dyDescent="0.3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 x14ac:dyDescent="0.3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 x14ac:dyDescent="0.3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 x14ac:dyDescent="0.3">
      <c r="A405" s="91" t="s">
        <v>187</v>
      </c>
      <c r="B405" s="91"/>
      <c r="C405" s="91"/>
      <c r="D405" s="91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186</v>
      </c>
      <c r="N405" s="20">
        <v>745910</v>
      </c>
    </row>
    <row r="406" spans="1:14" ht="18" customHeight="1" x14ac:dyDescent="0.3">
      <c r="A406" s="90" t="s">
        <v>188</v>
      </c>
      <c r="B406" s="90"/>
      <c r="C406" s="90"/>
      <c r="D406" s="90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189</v>
      </c>
      <c r="N406" s="31">
        <f>IFERROR(N392+N405,"")</f>
        <v>1375890</v>
      </c>
    </row>
    <row r="407" spans="1:14" ht="15" customHeight="1" x14ac:dyDescent="0.3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330</v>
      </c>
      <c r="N407" s="41"/>
    </row>
    <row r="408" spans="1:14" ht="15" customHeight="1" x14ac:dyDescent="0.3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 x14ac:dyDescent="0.3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331</v>
      </c>
      <c r="N409" s="41"/>
    </row>
    <row r="410" spans="1:14" ht="15" customHeight="1" x14ac:dyDescent="0.3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332</v>
      </c>
      <c r="N410" s="41"/>
    </row>
    <row r="411" spans="1:14" ht="15" customHeight="1" x14ac:dyDescent="0.3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 x14ac:dyDescent="0.3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 x14ac:dyDescent="0.3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 x14ac:dyDescent="0.3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 x14ac:dyDescent="0.3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 x14ac:dyDescent="0.3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 x14ac:dyDescent="0.3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 x14ac:dyDescent="0.3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 x14ac:dyDescent="0.3">
      <c r="A419" s="91" t="s">
        <v>185</v>
      </c>
      <c r="B419" s="91"/>
      <c r="C419" s="91"/>
      <c r="D419" s="91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186</v>
      </c>
      <c r="N419" s="20">
        <v>456300</v>
      </c>
    </row>
    <row r="420" spans="1:14" ht="15" customHeight="1" x14ac:dyDescent="0.3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 x14ac:dyDescent="0.3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 x14ac:dyDescent="0.3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 x14ac:dyDescent="0.3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 x14ac:dyDescent="0.3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 x14ac:dyDescent="0.3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 x14ac:dyDescent="0.3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 x14ac:dyDescent="0.3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 x14ac:dyDescent="0.3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 x14ac:dyDescent="0.3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 x14ac:dyDescent="0.3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 x14ac:dyDescent="0.3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 x14ac:dyDescent="0.3">
      <c r="A432" s="91" t="s">
        <v>187</v>
      </c>
      <c r="B432" s="91"/>
      <c r="C432" s="91"/>
      <c r="D432" s="91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186</v>
      </c>
      <c r="N432" s="20">
        <v>669300</v>
      </c>
    </row>
    <row r="433" spans="1:16" ht="18" customHeight="1" x14ac:dyDescent="0.3">
      <c r="A433" s="90" t="s">
        <v>188</v>
      </c>
      <c r="B433" s="90"/>
      <c r="C433" s="90"/>
      <c r="D433" s="90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189</v>
      </c>
      <c r="N433" s="31">
        <f>IFERROR(N419+N432,"")</f>
        <v>1125600</v>
      </c>
    </row>
    <row r="434" spans="1:16" ht="15" customHeight="1" x14ac:dyDescent="0.3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 x14ac:dyDescent="0.3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 x14ac:dyDescent="0.3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 x14ac:dyDescent="0.3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 x14ac:dyDescent="0.3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 x14ac:dyDescent="0.3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 x14ac:dyDescent="0.3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 x14ac:dyDescent="0.3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 x14ac:dyDescent="0.3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 x14ac:dyDescent="0.3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 x14ac:dyDescent="0.3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 x14ac:dyDescent="0.3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 x14ac:dyDescent="0.3">
      <c r="A446" s="91" t="s">
        <v>185</v>
      </c>
      <c r="B446" s="91"/>
      <c r="C446" s="91"/>
      <c r="D446" s="91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186</v>
      </c>
      <c r="N446" s="20">
        <v>32</v>
      </c>
    </row>
    <row r="447" spans="1:16" ht="15" customHeight="1" x14ac:dyDescent="0.3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 x14ac:dyDescent="0.3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 x14ac:dyDescent="0.3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 x14ac:dyDescent="0.3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 x14ac:dyDescent="0.3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 x14ac:dyDescent="0.3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 x14ac:dyDescent="0.3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 x14ac:dyDescent="0.3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 x14ac:dyDescent="0.3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 x14ac:dyDescent="0.3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 x14ac:dyDescent="0.3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 x14ac:dyDescent="0.3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 x14ac:dyDescent="0.3">
      <c r="A459" s="91" t="s">
        <v>187</v>
      </c>
      <c r="B459" s="91"/>
      <c r="C459" s="91"/>
      <c r="D459" s="91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186</v>
      </c>
      <c r="N459" s="20">
        <v>561580</v>
      </c>
    </row>
    <row r="460" spans="1:14" ht="18" customHeight="1" x14ac:dyDescent="0.3">
      <c r="A460" s="90" t="s">
        <v>188</v>
      </c>
      <c r="B460" s="90"/>
      <c r="C460" s="90"/>
      <c r="D460" s="90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189</v>
      </c>
      <c r="N460" s="31">
        <f>IFERROR(N446+N459,"")</f>
        <v>561612</v>
      </c>
    </row>
    <row r="461" spans="1:14" ht="15" customHeight="1" x14ac:dyDescent="0.3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 x14ac:dyDescent="0.3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 x14ac:dyDescent="0.3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 x14ac:dyDescent="0.3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 x14ac:dyDescent="0.3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 x14ac:dyDescent="0.3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 x14ac:dyDescent="0.3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 x14ac:dyDescent="0.3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266</v>
      </c>
      <c r="N468" s="41"/>
    </row>
    <row r="469" spans="1:14" ht="15" customHeight="1" x14ac:dyDescent="0.3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 x14ac:dyDescent="0.3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 x14ac:dyDescent="0.3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 x14ac:dyDescent="0.3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266</v>
      </c>
      <c r="N472" s="41"/>
    </row>
    <row r="473" spans="1:14" ht="15.75" customHeight="1" x14ac:dyDescent="0.3">
      <c r="A473" s="91" t="s">
        <v>185</v>
      </c>
      <c r="B473" s="91"/>
      <c r="C473" s="91"/>
      <c r="D473" s="91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186</v>
      </c>
      <c r="N473" s="20">
        <v>327080</v>
      </c>
    </row>
    <row r="474" spans="1:14" ht="15" customHeight="1" x14ac:dyDescent="0.3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333</v>
      </c>
      <c r="N474" s="41"/>
    </row>
    <row r="475" spans="1:14" ht="15" customHeight="1" x14ac:dyDescent="0.3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 x14ac:dyDescent="0.3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334</v>
      </c>
      <c r="N476" s="41"/>
    </row>
    <row r="477" spans="1:14" ht="15" customHeight="1" x14ac:dyDescent="0.3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335</v>
      </c>
      <c r="N477" s="41"/>
    </row>
    <row r="478" spans="1:14" ht="15" customHeight="1" x14ac:dyDescent="0.3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 x14ac:dyDescent="0.3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 x14ac:dyDescent="0.3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 x14ac:dyDescent="0.3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 x14ac:dyDescent="0.3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 x14ac:dyDescent="0.3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 x14ac:dyDescent="0.3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 x14ac:dyDescent="0.3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 x14ac:dyDescent="0.3">
      <c r="A486" s="91" t="s">
        <v>187</v>
      </c>
      <c r="B486" s="91"/>
      <c r="C486" s="91"/>
      <c r="D486" s="91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186</v>
      </c>
      <c r="N486" s="20">
        <v>508000</v>
      </c>
    </row>
    <row r="487" spans="1:14" ht="18" customHeight="1" x14ac:dyDescent="0.3">
      <c r="A487" s="90" t="s">
        <v>188</v>
      </c>
      <c r="B487" s="90"/>
      <c r="C487" s="90"/>
      <c r="D487" s="90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189</v>
      </c>
      <c r="N487" s="31">
        <f>IFERROR(N473+N486,"")</f>
        <v>835080</v>
      </c>
    </row>
    <row r="488" spans="1:14" ht="15" customHeight="1" x14ac:dyDescent="0.3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 x14ac:dyDescent="0.3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 x14ac:dyDescent="0.3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 x14ac:dyDescent="0.3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 x14ac:dyDescent="0.3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 x14ac:dyDescent="0.3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 x14ac:dyDescent="0.3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 x14ac:dyDescent="0.3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 x14ac:dyDescent="0.3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 x14ac:dyDescent="0.3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 x14ac:dyDescent="0.3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 x14ac:dyDescent="0.3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 x14ac:dyDescent="0.3">
      <c r="A500" s="91" t="s">
        <v>185</v>
      </c>
      <c r="B500" s="91"/>
      <c r="C500" s="91"/>
      <c r="D500" s="91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186</v>
      </c>
      <c r="N500" s="20">
        <f>311280+52610+97870</f>
        <v>461760</v>
      </c>
    </row>
    <row r="501" spans="1:14" ht="15" customHeight="1" x14ac:dyDescent="0.3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336</v>
      </c>
      <c r="N501" s="41"/>
    </row>
    <row r="502" spans="1:14" ht="15" customHeight="1" x14ac:dyDescent="0.3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 x14ac:dyDescent="0.3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 x14ac:dyDescent="0.3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 x14ac:dyDescent="0.3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 x14ac:dyDescent="0.3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 x14ac:dyDescent="0.3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337</v>
      </c>
      <c r="N507" s="41"/>
    </row>
    <row r="508" spans="1:14" ht="15" customHeight="1" x14ac:dyDescent="0.3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 x14ac:dyDescent="0.3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 x14ac:dyDescent="0.3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 x14ac:dyDescent="0.3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 x14ac:dyDescent="0.3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 x14ac:dyDescent="0.3">
      <c r="A513" s="91" t="s">
        <v>187</v>
      </c>
      <c r="B513" s="91"/>
      <c r="C513" s="91"/>
      <c r="D513" s="91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186</v>
      </c>
      <c r="N513" s="20">
        <v>745760</v>
      </c>
    </row>
    <row r="514" spans="1:14" ht="18" customHeight="1" x14ac:dyDescent="0.3">
      <c r="A514" s="90" t="s">
        <v>188</v>
      </c>
      <c r="B514" s="90"/>
      <c r="C514" s="90"/>
      <c r="D514" s="90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189</v>
      </c>
      <c r="N514" s="31">
        <f>IFERROR(N500+N513,"")</f>
        <v>1207520</v>
      </c>
    </row>
    <row r="515" spans="1:14" ht="15" customHeight="1" x14ac:dyDescent="0.3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 x14ac:dyDescent="0.3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 x14ac:dyDescent="0.3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 x14ac:dyDescent="0.3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 x14ac:dyDescent="0.3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 x14ac:dyDescent="0.3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 x14ac:dyDescent="0.3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 x14ac:dyDescent="0.3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 x14ac:dyDescent="0.3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 x14ac:dyDescent="0.3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 x14ac:dyDescent="0.3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 x14ac:dyDescent="0.3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 x14ac:dyDescent="0.3">
      <c r="A527" s="91" t="s">
        <v>185</v>
      </c>
      <c r="B527" s="91"/>
      <c r="C527" s="91"/>
      <c r="D527" s="91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186</v>
      </c>
      <c r="N527" s="20">
        <v>474000</v>
      </c>
    </row>
    <row r="528" spans="1:14" ht="15" customHeight="1" x14ac:dyDescent="0.3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 x14ac:dyDescent="0.3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 x14ac:dyDescent="0.3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338</v>
      </c>
      <c r="N530" s="41"/>
    </row>
    <row r="531" spans="1:14" ht="15" customHeight="1" x14ac:dyDescent="0.3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339</v>
      </c>
      <c r="N531" s="41"/>
    </row>
    <row r="532" spans="1:14" ht="15" customHeight="1" x14ac:dyDescent="0.3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 x14ac:dyDescent="0.3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 x14ac:dyDescent="0.3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 x14ac:dyDescent="0.3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244</v>
      </c>
      <c r="N535" s="41"/>
    </row>
    <row r="536" spans="1:14" ht="15" customHeight="1" x14ac:dyDescent="0.3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 x14ac:dyDescent="0.3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 x14ac:dyDescent="0.3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 x14ac:dyDescent="0.3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 x14ac:dyDescent="0.3">
      <c r="A540" s="91" t="s">
        <v>187</v>
      </c>
      <c r="B540" s="91"/>
      <c r="C540" s="91"/>
      <c r="D540" s="91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186</v>
      </c>
      <c r="N540" s="20">
        <v>426450</v>
      </c>
    </row>
    <row r="541" spans="1:14" ht="18" customHeight="1" x14ac:dyDescent="0.3">
      <c r="A541" s="90" t="s">
        <v>188</v>
      </c>
      <c r="B541" s="90"/>
      <c r="C541" s="90"/>
      <c r="D541" s="90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189</v>
      </c>
      <c r="N541" s="31">
        <f>IFERROR(N527+N540,"")</f>
        <v>900450</v>
      </c>
    </row>
    <row r="542" spans="1:14" ht="15" customHeight="1" x14ac:dyDescent="0.3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340</v>
      </c>
      <c r="N542" s="41"/>
    </row>
    <row r="543" spans="1:14" ht="15" customHeight="1" x14ac:dyDescent="0.3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 x14ac:dyDescent="0.3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 x14ac:dyDescent="0.3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341</v>
      </c>
      <c r="N545" s="41"/>
    </row>
    <row r="546" spans="1:14" ht="15" customHeight="1" x14ac:dyDescent="0.3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 x14ac:dyDescent="0.3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 x14ac:dyDescent="0.3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 x14ac:dyDescent="0.3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 x14ac:dyDescent="0.3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 x14ac:dyDescent="0.3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 x14ac:dyDescent="0.3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 x14ac:dyDescent="0.3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 x14ac:dyDescent="0.3">
      <c r="A554" s="91" t="s">
        <v>185</v>
      </c>
      <c r="B554" s="91"/>
      <c r="C554" s="91"/>
      <c r="D554" s="91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186</v>
      </c>
      <c r="N554" s="20">
        <v>630510</v>
      </c>
    </row>
    <row r="555" spans="1:14" ht="15" customHeight="1" x14ac:dyDescent="0.3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 x14ac:dyDescent="0.3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 x14ac:dyDescent="0.3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342</v>
      </c>
      <c r="N557" s="41"/>
    </row>
    <row r="558" spans="1:14" ht="15" customHeight="1" x14ac:dyDescent="0.3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 x14ac:dyDescent="0.3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 x14ac:dyDescent="0.3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 x14ac:dyDescent="0.3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 x14ac:dyDescent="0.3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 x14ac:dyDescent="0.3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 x14ac:dyDescent="0.3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 x14ac:dyDescent="0.3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 x14ac:dyDescent="0.3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 x14ac:dyDescent="0.3">
      <c r="A567" s="91" t="s">
        <v>187</v>
      </c>
      <c r="B567" s="91"/>
      <c r="C567" s="91"/>
      <c r="D567" s="91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186</v>
      </c>
      <c r="N567" s="20">
        <v>652080</v>
      </c>
    </row>
    <row r="568" spans="1:14" ht="18" customHeight="1" x14ac:dyDescent="0.3">
      <c r="A568" s="90" t="s">
        <v>188</v>
      </c>
      <c r="B568" s="90"/>
      <c r="C568" s="90"/>
      <c r="D568" s="90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189</v>
      </c>
      <c r="N568" s="31">
        <f>IFERROR(N554+N567,"")</f>
        <v>1282590</v>
      </c>
    </row>
    <row r="569" spans="1:14" ht="15" customHeight="1" x14ac:dyDescent="0.3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 x14ac:dyDescent="0.3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 x14ac:dyDescent="0.3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343</v>
      </c>
      <c r="N571" s="41"/>
    </row>
    <row r="572" spans="1:14" ht="15" customHeight="1" x14ac:dyDescent="0.3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344</v>
      </c>
      <c r="N572" s="41"/>
    </row>
    <row r="573" spans="1:14" ht="15" customHeight="1" x14ac:dyDescent="0.3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 x14ac:dyDescent="0.3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 x14ac:dyDescent="0.3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 x14ac:dyDescent="0.3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 x14ac:dyDescent="0.3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 x14ac:dyDescent="0.3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 x14ac:dyDescent="0.3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 x14ac:dyDescent="0.3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 x14ac:dyDescent="0.3">
      <c r="A581" s="19" t="s">
        <v>185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186</v>
      </c>
      <c r="N581" s="20">
        <v>472220</v>
      </c>
    </row>
    <row r="582" spans="1:14" ht="15" customHeight="1" x14ac:dyDescent="0.3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345</v>
      </c>
      <c r="N582" s="41"/>
    </row>
    <row r="583" spans="1:14" ht="15" customHeight="1" x14ac:dyDescent="0.3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 x14ac:dyDescent="0.3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 x14ac:dyDescent="0.3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270</v>
      </c>
      <c r="N585" s="41"/>
    </row>
    <row r="586" spans="1:14" ht="15" customHeight="1" x14ac:dyDescent="0.3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244</v>
      </c>
      <c r="N586" s="41"/>
    </row>
    <row r="587" spans="1:14" ht="15" customHeight="1" x14ac:dyDescent="0.3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 x14ac:dyDescent="0.3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 x14ac:dyDescent="0.3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 x14ac:dyDescent="0.3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 x14ac:dyDescent="0.3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 x14ac:dyDescent="0.3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 x14ac:dyDescent="0.3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 x14ac:dyDescent="0.3">
      <c r="A594" s="91" t="s">
        <v>187</v>
      </c>
      <c r="B594" s="91"/>
      <c r="C594" s="91"/>
      <c r="D594" s="91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186</v>
      </c>
      <c r="N594" s="20">
        <v>800310</v>
      </c>
    </row>
    <row r="595" spans="1:14" ht="18" customHeight="1" x14ac:dyDescent="0.3">
      <c r="A595" s="90" t="s">
        <v>188</v>
      </c>
      <c r="B595" s="90"/>
      <c r="C595" s="90"/>
      <c r="D595" s="90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189</v>
      </c>
      <c r="N595" s="31">
        <f>IFERROR(N581+N594,"")</f>
        <v>1272530</v>
      </c>
    </row>
    <row r="596" spans="1:14" ht="15" customHeight="1" x14ac:dyDescent="0.3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 x14ac:dyDescent="0.3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 x14ac:dyDescent="0.3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 x14ac:dyDescent="0.3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 x14ac:dyDescent="0.3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346</v>
      </c>
      <c r="N600" s="41"/>
    </row>
    <row r="601" spans="1:14" ht="15" customHeight="1" x14ac:dyDescent="0.3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 x14ac:dyDescent="0.3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 x14ac:dyDescent="0.3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 x14ac:dyDescent="0.3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 x14ac:dyDescent="0.3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 x14ac:dyDescent="0.3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 x14ac:dyDescent="0.3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 x14ac:dyDescent="0.3">
      <c r="A608" s="91" t="s">
        <v>185</v>
      </c>
      <c r="B608" s="91"/>
      <c r="C608" s="91"/>
      <c r="D608" s="91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186</v>
      </c>
      <c r="N608" s="20">
        <v>600580</v>
      </c>
    </row>
    <row r="609" spans="1:14" ht="15" customHeight="1" x14ac:dyDescent="0.3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 x14ac:dyDescent="0.3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 x14ac:dyDescent="0.3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 x14ac:dyDescent="0.3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 x14ac:dyDescent="0.3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 x14ac:dyDescent="0.3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 x14ac:dyDescent="0.3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 x14ac:dyDescent="0.3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 x14ac:dyDescent="0.3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347</v>
      </c>
      <c r="N617" s="41"/>
    </row>
    <row r="618" spans="1:14" ht="15" customHeight="1" x14ac:dyDescent="0.3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 x14ac:dyDescent="0.3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 x14ac:dyDescent="0.3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 x14ac:dyDescent="0.3">
      <c r="A621" s="91" t="s">
        <v>187</v>
      </c>
      <c r="B621" s="91"/>
      <c r="C621" s="91"/>
      <c r="D621" s="91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186</v>
      </c>
      <c r="N621" s="20">
        <v>141320</v>
      </c>
    </row>
    <row r="622" spans="1:14" ht="18" customHeight="1" x14ac:dyDescent="0.3">
      <c r="A622" s="90" t="s">
        <v>188</v>
      </c>
      <c r="B622" s="90"/>
      <c r="C622" s="90"/>
      <c r="D622" s="90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189</v>
      </c>
      <c r="N622" s="31">
        <f>IFERROR(N608+N621,"")</f>
        <v>741900</v>
      </c>
    </row>
    <row r="623" spans="1:14" ht="15" customHeight="1" x14ac:dyDescent="0.3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334</v>
      </c>
      <c r="N623" s="41"/>
    </row>
    <row r="624" spans="1:14" ht="15" customHeight="1" x14ac:dyDescent="0.3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 x14ac:dyDescent="0.3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 x14ac:dyDescent="0.3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 x14ac:dyDescent="0.3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 x14ac:dyDescent="0.3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 x14ac:dyDescent="0.3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 x14ac:dyDescent="0.3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 x14ac:dyDescent="0.3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 x14ac:dyDescent="0.3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 x14ac:dyDescent="0.3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 x14ac:dyDescent="0.3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 x14ac:dyDescent="0.3">
      <c r="A635" s="91" t="s">
        <v>185</v>
      </c>
      <c r="B635" s="91"/>
      <c r="C635" s="91"/>
      <c r="D635" s="91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186</v>
      </c>
      <c r="N635" s="20">
        <v>159380</v>
      </c>
    </row>
    <row r="636" spans="1:14" ht="15" customHeight="1" x14ac:dyDescent="0.3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348</v>
      </c>
      <c r="N636" s="41"/>
    </row>
    <row r="637" spans="1:14" ht="15" customHeight="1" x14ac:dyDescent="0.3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172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349</v>
      </c>
      <c r="N637" s="41"/>
    </row>
    <row r="638" spans="1:14" ht="15" customHeight="1" x14ac:dyDescent="0.3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 x14ac:dyDescent="0.3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 x14ac:dyDescent="0.3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 x14ac:dyDescent="0.3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 x14ac:dyDescent="0.3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 x14ac:dyDescent="0.3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 x14ac:dyDescent="0.3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 x14ac:dyDescent="0.3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 x14ac:dyDescent="0.3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 x14ac:dyDescent="0.3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 x14ac:dyDescent="0.3">
      <c r="A648" s="91" t="s">
        <v>187</v>
      </c>
      <c r="B648" s="91"/>
      <c r="C648" s="91"/>
      <c r="D648" s="91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186</v>
      </c>
      <c r="N648" s="20">
        <f>89640+153770</f>
        <v>243410</v>
      </c>
    </row>
    <row r="649" spans="1:14" ht="18" customHeight="1" x14ac:dyDescent="0.3">
      <c r="A649" s="90" t="s">
        <v>188</v>
      </c>
      <c r="B649" s="90"/>
      <c r="C649" s="90"/>
      <c r="D649" s="90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189</v>
      </c>
      <c r="N649" s="31">
        <f>IFERROR(N635+N648,"")</f>
        <v>402790</v>
      </c>
    </row>
    <row r="650" spans="1:14" ht="15" customHeight="1" x14ac:dyDescent="0.3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 x14ac:dyDescent="0.3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 x14ac:dyDescent="0.3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 x14ac:dyDescent="0.3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 x14ac:dyDescent="0.3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 x14ac:dyDescent="0.3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 x14ac:dyDescent="0.3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 x14ac:dyDescent="0.3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 x14ac:dyDescent="0.3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 x14ac:dyDescent="0.3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 x14ac:dyDescent="0.3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 x14ac:dyDescent="0.3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 x14ac:dyDescent="0.3">
      <c r="A662" s="19" t="s">
        <v>185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186</v>
      </c>
      <c r="N662" s="20">
        <v>337830</v>
      </c>
    </row>
    <row r="663" spans="1:14" ht="15" customHeight="1" x14ac:dyDescent="0.3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350</v>
      </c>
      <c r="N663" s="41"/>
    </row>
    <row r="664" spans="1:14" ht="15" customHeight="1" x14ac:dyDescent="0.3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 x14ac:dyDescent="0.3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 x14ac:dyDescent="0.3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 x14ac:dyDescent="0.3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 x14ac:dyDescent="0.3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 x14ac:dyDescent="0.3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 x14ac:dyDescent="0.3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 x14ac:dyDescent="0.3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 x14ac:dyDescent="0.3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 x14ac:dyDescent="0.3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 x14ac:dyDescent="0.3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 x14ac:dyDescent="0.3">
      <c r="A675" s="91" t="s">
        <v>187</v>
      </c>
      <c r="B675" s="91"/>
      <c r="C675" s="91"/>
      <c r="D675" s="91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186</v>
      </c>
      <c r="N675" s="20">
        <v>425320</v>
      </c>
    </row>
    <row r="676" spans="1:14" ht="18" customHeight="1" x14ac:dyDescent="0.3">
      <c r="A676" s="90" t="s">
        <v>188</v>
      </c>
      <c r="B676" s="90"/>
      <c r="C676" s="90"/>
      <c r="D676" s="90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189</v>
      </c>
      <c r="N676" s="31">
        <f>IFERROR(N662+N675,"")</f>
        <v>763150</v>
      </c>
    </row>
    <row r="677" spans="1:14" ht="15" customHeight="1" x14ac:dyDescent="0.3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 x14ac:dyDescent="0.3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 x14ac:dyDescent="0.3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 x14ac:dyDescent="0.3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 x14ac:dyDescent="0.3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 x14ac:dyDescent="0.3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 x14ac:dyDescent="0.3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 x14ac:dyDescent="0.3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 x14ac:dyDescent="0.3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 x14ac:dyDescent="0.3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 x14ac:dyDescent="0.3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 x14ac:dyDescent="0.3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 x14ac:dyDescent="0.3">
      <c r="A689" s="91" t="s">
        <v>185</v>
      </c>
      <c r="B689" s="91"/>
      <c r="C689" s="91"/>
      <c r="D689" s="91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186</v>
      </c>
      <c r="N689" s="20">
        <v>801080</v>
      </c>
    </row>
    <row r="690" spans="1:14" ht="15" customHeight="1" x14ac:dyDescent="0.3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 x14ac:dyDescent="0.3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351</v>
      </c>
      <c r="N691" s="41"/>
    </row>
    <row r="692" spans="1:14" ht="15" customHeight="1" x14ac:dyDescent="0.3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 x14ac:dyDescent="0.3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352</v>
      </c>
      <c r="N693" s="41"/>
    </row>
    <row r="694" spans="1:14" ht="15" customHeight="1" x14ac:dyDescent="0.3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 x14ac:dyDescent="0.3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 x14ac:dyDescent="0.3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 x14ac:dyDescent="0.3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 x14ac:dyDescent="0.3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 x14ac:dyDescent="0.3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 x14ac:dyDescent="0.3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 x14ac:dyDescent="0.3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 x14ac:dyDescent="0.3">
      <c r="A702" s="91" t="s">
        <v>187</v>
      </c>
      <c r="B702" s="91"/>
      <c r="C702" s="91"/>
      <c r="D702" s="91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186</v>
      </c>
      <c r="N702" s="20">
        <f>626540+94190</f>
        <v>720730</v>
      </c>
    </row>
    <row r="703" spans="1:14" ht="18" customHeight="1" x14ac:dyDescent="0.3">
      <c r="A703" s="90" t="s">
        <v>188</v>
      </c>
      <c r="B703" s="90"/>
      <c r="C703" s="90"/>
      <c r="D703" s="90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189</v>
      </c>
      <c r="N703" s="31">
        <f>IFERROR(N689+N702,"")</f>
        <v>1521810</v>
      </c>
    </row>
    <row r="704" spans="1:14" ht="15" customHeight="1" x14ac:dyDescent="0.3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353</v>
      </c>
      <c r="N704" s="41"/>
    </row>
    <row r="705" spans="1:15" ht="15" customHeight="1" x14ac:dyDescent="0.3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/>
      <c r="H705" s="16"/>
      <c r="I705" s="16"/>
      <c r="J705" s="13">
        <v>0.50694444444444442</v>
      </c>
      <c r="K705" s="13"/>
      <c r="L705" s="71" t="str">
        <f t="shared" si="158"/>
        <v/>
      </c>
      <c r="M705" s="11"/>
      <c r="N705" s="41"/>
    </row>
    <row r="706" spans="1:15" ht="15" customHeight="1" x14ac:dyDescent="0.3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5" ht="15" customHeight="1" x14ac:dyDescent="0.3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  <c r="O707" s="99"/>
    </row>
    <row r="708" spans="1:15" ht="15" customHeight="1" x14ac:dyDescent="0.3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30</v>
      </c>
      <c r="F708" s="12">
        <f t="shared" si="157"/>
        <v>120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5" ht="15" customHeight="1" x14ac:dyDescent="0.3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20</v>
      </c>
      <c r="F709" s="17">
        <f t="shared" si="157"/>
        <v>80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5" ht="15" customHeight="1" x14ac:dyDescent="0.3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10</v>
      </c>
      <c r="F710" s="12">
        <f t="shared" si="157"/>
        <v>40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5" ht="15" customHeight="1" x14ac:dyDescent="0.3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30</v>
      </c>
      <c r="F711" s="17">
        <f t="shared" si="157"/>
        <v>120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5" ht="15" customHeight="1" x14ac:dyDescent="0.3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20</v>
      </c>
      <c r="F712" s="12">
        <f t="shared" si="157"/>
        <v>80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5" ht="15" customHeight="1" x14ac:dyDescent="0.3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30</v>
      </c>
      <c r="F713" s="17">
        <f t="shared" si="157"/>
        <v>120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5" ht="15" customHeight="1" x14ac:dyDescent="0.3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5" ht="15" customHeight="1" x14ac:dyDescent="0.3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20</v>
      </c>
      <c r="F715" s="17">
        <f t="shared" si="157"/>
        <v>80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5" ht="15.75" customHeight="1" x14ac:dyDescent="0.3">
      <c r="A716" s="91" t="s">
        <v>185</v>
      </c>
      <c r="B716" s="91"/>
      <c r="C716" s="91"/>
      <c r="D716" s="91"/>
      <c r="E716" s="19">
        <f>SUM(E704:E715)</f>
        <v>219</v>
      </c>
      <c r="F716" s="19">
        <f>SUM(F704:F715)</f>
        <v>876</v>
      </c>
      <c r="G716" s="38"/>
      <c r="H716" s="38"/>
      <c r="I716" s="38"/>
      <c r="J716" s="38"/>
      <c r="K716" s="38"/>
      <c r="L716" s="72">
        <f>IFERROR(SUM(L704:L715),"")</f>
        <v>2.0833333333333315E-2</v>
      </c>
      <c r="M716" s="19" t="s">
        <v>186</v>
      </c>
      <c r="N716" s="20">
        <v>1000000</v>
      </c>
    </row>
    <row r="717" spans="1:15" ht="15" customHeight="1" x14ac:dyDescent="0.3">
      <c r="A717" s="59">
        <v>46200</v>
      </c>
      <c r="B717" s="15">
        <v>0.83333333333333304</v>
      </c>
      <c r="C717" s="16"/>
      <c r="D717" s="63"/>
      <c r="E717" s="11">
        <v>20</v>
      </c>
      <c r="F717" s="17">
        <f t="shared" ref="F717:F728" si="160">IF(E717="","",E717*4)</f>
        <v>80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5" ht="15" customHeight="1" x14ac:dyDescent="0.3">
      <c r="A718" s="58">
        <v>46200</v>
      </c>
      <c r="B718" s="9">
        <f t="shared" ref="B718:B728" si="162">B717+TIME(0,60,0)</f>
        <v>0.87499999999999967</v>
      </c>
      <c r="C718" s="10"/>
      <c r="D718" s="62"/>
      <c r="E718" s="11">
        <v>20</v>
      </c>
      <c r="F718" s="12">
        <f t="shared" si="160"/>
        <v>80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5" ht="15" customHeight="1" x14ac:dyDescent="0.3">
      <c r="A719" s="59">
        <v>46200</v>
      </c>
      <c r="B719" s="15">
        <f t="shared" si="162"/>
        <v>0.9166666666666663</v>
      </c>
      <c r="C719" s="16"/>
      <c r="D719" s="63"/>
      <c r="E719" s="11">
        <v>20</v>
      </c>
      <c r="F719" s="17">
        <f t="shared" si="160"/>
        <v>80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5" ht="15" customHeight="1" x14ac:dyDescent="0.3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 x14ac:dyDescent="0.3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 x14ac:dyDescent="0.3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 x14ac:dyDescent="0.3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 x14ac:dyDescent="0.3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 x14ac:dyDescent="0.3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 x14ac:dyDescent="0.3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 x14ac:dyDescent="0.3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 x14ac:dyDescent="0.3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 x14ac:dyDescent="0.3">
      <c r="A729" s="91" t="s">
        <v>187</v>
      </c>
      <c r="B729" s="91"/>
      <c r="C729" s="91"/>
      <c r="D729" s="91"/>
      <c r="E729" s="19">
        <f>SUM(E717:E728)</f>
        <v>60</v>
      </c>
      <c r="F729" s="19">
        <f>SUM(F717:F728)</f>
        <v>240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186</v>
      </c>
      <c r="N729" s="20"/>
    </row>
    <row r="730" spans="1:14" ht="18" customHeight="1" x14ac:dyDescent="0.3">
      <c r="A730" s="90" t="s">
        <v>188</v>
      </c>
      <c r="B730" s="90"/>
      <c r="C730" s="90"/>
      <c r="D730" s="90"/>
      <c r="E730" s="22">
        <f>E716+E729</f>
        <v>279</v>
      </c>
      <c r="F730" s="22">
        <f>F716+F729</f>
        <v>1116</v>
      </c>
      <c r="G730" s="39"/>
      <c r="H730" s="39"/>
      <c r="I730" s="39"/>
      <c r="J730" s="39"/>
      <c r="K730" s="39"/>
      <c r="L730" s="73">
        <f>IFERROR(L716+L729,"")</f>
        <v>2.0833333333333315E-2</v>
      </c>
      <c r="M730" s="22" t="s">
        <v>189</v>
      </c>
      <c r="N730" s="31">
        <f>IFERROR(N716+N729,"")</f>
        <v>1000000</v>
      </c>
    </row>
    <row r="731" spans="1:14" ht="15" customHeight="1" x14ac:dyDescent="0.3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 x14ac:dyDescent="0.3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 x14ac:dyDescent="0.3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 x14ac:dyDescent="0.3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 x14ac:dyDescent="0.3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 x14ac:dyDescent="0.3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 x14ac:dyDescent="0.3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 x14ac:dyDescent="0.3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 x14ac:dyDescent="0.3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 x14ac:dyDescent="0.3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 x14ac:dyDescent="0.3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 x14ac:dyDescent="0.3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 x14ac:dyDescent="0.3">
      <c r="A743" s="91" t="s">
        <v>185</v>
      </c>
      <c r="B743" s="91"/>
      <c r="C743" s="91"/>
      <c r="D743" s="91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186</v>
      </c>
      <c r="N743" s="20"/>
    </row>
    <row r="744" spans="1:14" ht="15" customHeight="1" x14ac:dyDescent="0.3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 x14ac:dyDescent="0.3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 x14ac:dyDescent="0.3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 x14ac:dyDescent="0.3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 x14ac:dyDescent="0.3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 x14ac:dyDescent="0.3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 x14ac:dyDescent="0.3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 x14ac:dyDescent="0.3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 x14ac:dyDescent="0.3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 x14ac:dyDescent="0.3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 x14ac:dyDescent="0.3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 x14ac:dyDescent="0.3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 x14ac:dyDescent="0.3">
      <c r="A756" s="91" t="s">
        <v>187</v>
      </c>
      <c r="B756" s="91"/>
      <c r="C756" s="91"/>
      <c r="D756" s="91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186</v>
      </c>
      <c r="N756" s="20"/>
    </row>
    <row r="757" spans="1:14" ht="18" customHeight="1" x14ac:dyDescent="0.3">
      <c r="A757" s="90" t="s">
        <v>188</v>
      </c>
      <c r="B757" s="90"/>
      <c r="C757" s="90"/>
      <c r="D757" s="90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 x14ac:dyDescent="0.3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 x14ac:dyDescent="0.3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 x14ac:dyDescent="0.3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 x14ac:dyDescent="0.3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 x14ac:dyDescent="0.3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 x14ac:dyDescent="0.3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 x14ac:dyDescent="0.3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 x14ac:dyDescent="0.3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 x14ac:dyDescent="0.3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 x14ac:dyDescent="0.3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 x14ac:dyDescent="0.3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 x14ac:dyDescent="0.3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 x14ac:dyDescent="0.3">
      <c r="A770" s="91" t="s">
        <v>185</v>
      </c>
      <c r="B770" s="91"/>
      <c r="C770" s="91"/>
      <c r="D770" s="91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186</v>
      </c>
      <c r="N770" s="20"/>
    </row>
    <row r="771" spans="1:14" ht="15" customHeight="1" x14ac:dyDescent="0.3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 x14ac:dyDescent="0.3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 x14ac:dyDescent="0.3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 x14ac:dyDescent="0.3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 x14ac:dyDescent="0.3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 x14ac:dyDescent="0.3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 x14ac:dyDescent="0.3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 x14ac:dyDescent="0.3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 x14ac:dyDescent="0.3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 x14ac:dyDescent="0.3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 x14ac:dyDescent="0.3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 x14ac:dyDescent="0.3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 x14ac:dyDescent="0.3">
      <c r="A783" s="91" t="s">
        <v>187</v>
      </c>
      <c r="B783" s="91"/>
      <c r="C783" s="91"/>
      <c r="D783" s="91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186</v>
      </c>
      <c r="N783" s="20"/>
    </row>
    <row r="784" spans="1:14" ht="18" customHeight="1" x14ac:dyDescent="0.3">
      <c r="A784" s="90" t="s">
        <v>188</v>
      </c>
      <c r="B784" s="90"/>
      <c r="C784" s="90"/>
      <c r="D784" s="90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 x14ac:dyDescent="0.3">
      <c r="A785" s="58">
        <v>46203</v>
      </c>
      <c r="B785" s="9">
        <v>0.33333333333333298</v>
      </c>
      <c r="C785" s="10"/>
      <c r="D785" s="62"/>
      <c r="E785" s="11"/>
      <c r="F785" s="12" t="str">
        <f t="shared" ref="F785:F796" si="175">IF(E785="","",E785*4)</f>
        <v/>
      </c>
      <c r="G785" s="10"/>
      <c r="H785" s="10"/>
      <c r="I785" s="10"/>
      <c r="J785" s="13"/>
      <c r="K785" s="13"/>
      <c r="L785" s="70" t="str">
        <f t="shared" ref="L785:L796" si="176">IFERROR(IF(K785="","",IF(K785&gt;=J785,K785-J785,K785+1-J785)),"")</f>
        <v/>
      </c>
      <c r="M785" s="11"/>
      <c r="N785" s="41"/>
    </row>
    <row r="786" spans="1:14" ht="15" customHeight="1" x14ac:dyDescent="0.3">
      <c r="A786" s="59">
        <v>46203</v>
      </c>
      <c r="B786" s="15">
        <f t="shared" ref="B786:B796" si="177">B785+TIME(0,60,0)</f>
        <v>0.37499999999999967</v>
      </c>
      <c r="C786" s="16"/>
      <c r="D786" s="63"/>
      <c r="E786" s="11"/>
      <c r="F786" s="17" t="str">
        <f t="shared" si="175"/>
        <v/>
      </c>
      <c r="G786" s="16"/>
      <c r="H786" s="16"/>
      <c r="I786" s="16"/>
      <c r="J786" s="13"/>
      <c r="K786" s="13"/>
      <c r="L786" s="71" t="str">
        <f t="shared" si="176"/>
        <v/>
      </c>
      <c r="M786" s="11"/>
      <c r="N786" s="41"/>
    </row>
    <row r="787" spans="1:14" ht="15" customHeight="1" x14ac:dyDescent="0.3">
      <c r="A787" s="58">
        <v>46203</v>
      </c>
      <c r="B787" s="9">
        <f t="shared" si="177"/>
        <v>0.41666666666666635</v>
      </c>
      <c r="C787" s="10"/>
      <c r="D787" s="62"/>
      <c r="E787" s="11"/>
      <c r="F787" s="12" t="str">
        <f t="shared" si="175"/>
        <v/>
      </c>
      <c r="G787" s="10"/>
      <c r="H787" s="10"/>
      <c r="I787" s="10"/>
      <c r="J787" s="13"/>
      <c r="K787" s="13"/>
      <c r="L787" s="70" t="str">
        <f t="shared" si="176"/>
        <v/>
      </c>
      <c r="M787" s="11"/>
      <c r="N787" s="41"/>
    </row>
    <row r="788" spans="1:14" ht="15" customHeight="1" x14ac:dyDescent="0.3">
      <c r="A788" s="59">
        <v>46203</v>
      </c>
      <c r="B788" s="15">
        <f t="shared" si="177"/>
        <v>0.45833333333333304</v>
      </c>
      <c r="C788" s="16"/>
      <c r="D788" s="63"/>
      <c r="E788" s="11"/>
      <c r="F788" s="17" t="str">
        <f t="shared" si="175"/>
        <v/>
      </c>
      <c r="G788" s="16"/>
      <c r="H788" s="16"/>
      <c r="I788" s="16"/>
      <c r="J788" s="13"/>
      <c r="K788" s="13"/>
      <c r="L788" s="71" t="str">
        <f t="shared" si="176"/>
        <v/>
      </c>
      <c r="M788" s="11"/>
      <c r="N788" s="41"/>
    </row>
    <row r="789" spans="1:14" ht="15" customHeight="1" x14ac:dyDescent="0.3">
      <c r="A789" s="58">
        <v>46203</v>
      </c>
      <c r="B789" s="9">
        <f t="shared" si="177"/>
        <v>0.49999999999999972</v>
      </c>
      <c r="C789" s="10"/>
      <c r="D789" s="62"/>
      <c r="E789" s="11"/>
      <c r="F789" s="12" t="str">
        <f t="shared" si="175"/>
        <v/>
      </c>
      <c r="G789" s="10"/>
      <c r="H789" s="10"/>
      <c r="I789" s="10"/>
      <c r="J789" s="13"/>
      <c r="K789" s="13"/>
      <c r="L789" s="70" t="str">
        <f t="shared" si="176"/>
        <v/>
      </c>
      <c r="M789" s="11"/>
      <c r="N789" s="41"/>
    </row>
    <row r="790" spans="1:14" ht="15" customHeight="1" x14ac:dyDescent="0.3">
      <c r="A790" s="59">
        <v>46203</v>
      </c>
      <c r="B790" s="15">
        <f t="shared" si="177"/>
        <v>0.54166666666666641</v>
      </c>
      <c r="C790" s="16"/>
      <c r="D790" s="63"/>
      <c r="E790" s="11"/>
      <c r="F790" s="17" t="str">
        <f t="shared" si="175"/>
        <v/>
      </c>
      <c r="G790" s="16"/>
      <c r="H790" s="16"/>
      <c r="I790" s="16"/>
      <c r="J790" s="13"/>
      <c r="K790" s="13"/>
      <c r="L790" s="71" t="str">
        <f t="shared" si="176"/>
        <v/>
      </c>
      <c r="M790" s="11"/>
      <c r="N790" s="41"/>
    </row>
    <row r="791" spans="1:14" ht="15" customHeight="1" x14ac:dyDescent="0.3">
      <c r="A791" s="58">
        <v>46203</v>
      </c>
      <c r="B791" s="9">
        <f t="shared" si="177"/>
        <v>0.58333333333333304</v>
      </c>
      <c r="C791" s="10"/>
      <c r="D791" s="62"/>
      <c r="E791" s="11"/>
      <c r="F791" s="12" t="str">
        <f t="shared" si="175"/>
        <v/>
      </c>
      <c r="G791" s="10"/>
      <c r="H791" s="10"/>
      <c r="I791" s="10"/>
      <c r="J791" s="13"/>
      <c r="K791" s="13"/>
      <c r="L791" s="70" t="str">
        <f t="shared" si="176"/>
        <v/>
      </c>
      <c r="M791" s="11"/>
      <c r="N791" s="41"/>
    </row>
    <row r="792" spans="1:14" ht="15" customHeight="1" x14ac:dyDescent="0.3">
      <c r="A792" s="59">
        <v>46203</v>
      </c>
      <c r="B792" s="15">
        <f t="shared" si="177"/>
        <v>0.62499999999999967</v>
      </c>
      <c r="C792" s="16"/>
      <c r="D792" s="63"/>
      <c r="E792" s="11"/>
      <c r="F792" s="17" t="str">
        <f t="shared" si="175"/>
        <v/>
      </c>
      <c r="G792" s="16"/>
      <c r="H792" s="16"/>
      <c r="I792" s="16"/>
      <c r="J792" s="13"/>
      <c r="K792" s="13"/>
      <c r="L792" s="71" t="str">
        <f t="shared" si="176"/>
        <v/>
      </c>
      <c r="M792" s="11"/>
      <c r="N792" s="41"/>
    </row>
    <row r="793" spans="1:14" ht="15" customHeight="1" x14ac:dyDescent="0.3">
      <c r="A793" s="58">
        <v>46203</v>
      </c>
      <c r="B793" s="9">
        <f t="shared" si="177"/>
        <v>0.6666666666666663</v>
      </c>
      <c r="C793" s="10"/>
      <c r="D793" s="62"/>
      <c r="E793" s="11"/>
      <c r="F793" s="12" t="str">
        <f t="shared" si="175"/>
        <v/>
      </c>
      <c r="G793" s="10"/>
      <c r="H793" s="10"/>
      <c r="I793" s="10"/>
      <c r="J793" s="13"/>
      <c r="K793" s="13"/>
      <c r="L793" s="70" t="str">
        <f t="shared" si="176"/>
        <v/>
      </c>
      <c r="M793" s="11"/>
      <c r="N793" s="41"/>
    </row>
    <row r="794" spans="1:14" ht="15" customHeight="1" x14ac:dyDescent="0.3">
      <c r="A794" s="59">
        <v>46203</v>
      </c>
      <c r="B794" s="15">
        <f t="shared" si="177"/>
        <v>0.70833333333333293</v>
      </c>
      <c r="C794" s="16"/>
      <c r="D794" s="63"/>
      <c r="E794" s="11"/>
      <c r="F794" s="17" t="str">
        <f t="shared" si="175"/>
        <v/>
      </c>
      <c r="G794" s="16"/>
      <c r="H794" s="16"/>
      <c r="I794" s="16"/>
      <c r="J794" s="13"/>
      <c r="K794" s="13"/>
      <c r="L794" s="71" t="str">
        <f t="shared" si="176"/>
        <v/>
      </c>
      <c r="M794" s="11"/>
      <c r="N794" s="41"/>
    </row>
    <row r="795" spans="1:14" ht="15" customHeight="1" x14ac:dyDescent="0.3">
      <c r="A795" s="58">
        <v>46203</v>
      </c>
      <c r="B795" s="9">
        <f t="shared" si="177"/>
        <v>0.74999999999999956</v>
      </c>
      <c r="C795" s="10"/>
      <c r="D795" s="62"/>
      <c r="E795" s="11"/>
      <c r="F795" s="12" t="str">
        <f t="shared" si="175"/>
        <v/>
      </c>
      <c r="G795" s="10"/>
      <c r="H795" s="10"/>
      <c r="I795" s="10"/>
      <c r="J795" s="13"/>
      <c r="K795" s="13"/>
      <c r="L795" s="70" t="str">
        <f t="shared" si="176"/>
        <v/>
      </c>
      <c r="M795" s="11"/>
      <c r="N795" s="41"/>
    </row>
    <row r="796" spans="1:14" ht="15" customHeight="1" x14ac:dyDescent="0.3">
      <c r="A796" s="59">
        <v>46203</v>
      </c>
      <c r="B796" s="15">
        <f t="shared" si="177"/>
        <v>0.79166666666666619</v>
      </c>
      <c r="C796" s="16"/>
      <c r="D796" s="63"/>
      <c r="E796" s="11"/>
      <c r="F796" s="17" t="str">
        <f t="shared" si="175"/>
        <v/>
      </c>
      <c r="G796" s="16"/>
      <c r="H796" s="16"/>
      <c r="I796" s="16"/>
      <c r="J796" s="13"/>
      <c r="K796" s="13"/>
      <c r="L796" s="71" t="str">
        <f t="shared" si="176"/>
        <v/>
      </c>
      <c r="M796" s="11"/>
      <c r="N796" s="41"/>
    </row>
    <row r="797" spans="1:14" ht="15.75" customHeight="1" x14ac:dyDescent="0.3">
      <c r="A797" s="91" t="s">
        <v>185</v>
      </c>
      <c r="B797" s="91"/>
      <c r="C797" s="91"/>
      <c r="D797" s="91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186</v>
      </c>
      <c r="N797" s="20"/>
    </row>
    <row r="798" spans="1:14" ht="15" customHeight="1" x14ac:dyDescent="0.3">
      <c r="A798" s="59">
        <v>46203</v>
      </c>
      <c r="B798" s="15">
        <v>0.83333333333333304</v>
      </c>
      <c r="C798" s="16"/>
      <c r="D798" s="63"/>
      <c r="E798" s="11"/>
      <c r="F798" s="17" t="str">
        <f t="shared" ref="F798:F809" si="178">IF(E798="","",E798*4)</f>
        <v/>
      </c>
      <c r="G798" s="16"/>
      <c r="H798" s="16"/>
      <c r="I798" s="16"/>
      <c r="J798" s="13"/>
      <c r="K798" s="13"/>
      <c r="L798" s="71" t="str">
        <f t="shared" ref="L798:L809" si="179">IFERROR(IF(K798="","",IF(K798&gt;=J798,K798-J798,K798+1-J798)),"")</f>
        <v/>
      </c>
      <c r="M798" s="11"/>
      <c r="N798" s="41"/>
    </row>
    <row r="799" spans="1:14" ht="15" customHeight="1" x14ac:dyDescent="0.3">
      <c r="A799" s="58">
        <v>46203</v>
      </c>
      <c r="B799" s="9">
        <f t="shared" ref="B799:B809" si="180">B798+TIME(0,60,0)</f>
        <v>0.87499999999999967</v>
      </c>
      <c r="C799" s="10"/>
      <c r="D799" s="62"/>
      <c r="E799" s="11"/>
      <c r="F799" s="12" t="str">
        <f t="shared" si="178"/>
        <v/>
      </c>
      <c r="G799" s="10"/>
      <c r="H799" s="10"/>
      <c r="I799" s="10"/>
      <c r="J799" s="13"/>
      <c r="K799" s="13"/>
      <c r="L799" s="70" t="str">
        <f t="shared" si="179"/>
        <v/>
      </c>
      <c r="M799" s="11"/>
      <c r="N799" s="41"/>
    </row>
    <row r="800" spans="1:14" ht="15" customHeight="1" x14ac:dyDescent="0.3">
      <c r="A800" s="59">
        <v>46203</v>
      </c>
      <c r="B800" s="15">
        <f t="shared" si="180"/>
        <v>0.9166666666666663</v>
      </c>
      <c r="C800" s="16"/>
      <c r="D800" s="63"/>
      <c r="E800" s="11"/>
      <c r="F800" s="17" t="str">
        <f t="shared" si="178"/>
        <v/>
      </c>
      <c r="G800" s="16"/>
      <c r="H800" s="16"/>
      <c r="I800" s="16"/>
      <c r="J800" s="13"/>
      <c r="K800" s="13"/>
      <c r="L800" s="71" t="str">
        <f t="shared" si="179"/>
        <v/>
      </c>
      <c r="M800" s="11"/>
      <c r="N800" s="41"/>
    </row>
    <row r="801" spans="1:14" ht="15" customHeight="1" x14ac:dyDescent="0.3">
      <c r="A801" s="58">
        <v>46203</v>
      </c>
      <c r="B801" s="9">
        <f t="shared" si="180"/>
        <v>0.95833333333333293</v>
      </c>
      <c r="C801" s="10"/>
      <c r="D801" s="62"/>
      <c r="E801" s="11"/>
      <c r="F801" s="12" t="str">
        <f t="shared" si="178"/>
        <v/>
      </c>
      <c r="G801" s="10"/>
      <c r="H801" s="10"/>
      <c r="I801" s="10"/>
      <c r="J801" s="13"/>
      <c r="K801" s="13"/>
      <c r="L801" s="70" t="str">
        <f t="shared" si="179"/>
        <v/>
      </c>
      <c r="M801" s="11"/>
      <c r="N801" s="41"/>
    </row>
    <row r="802" spans="1:14" ht="15" customHeight="1" x14ac:dyDescent="0.3">
      <c r="A802" s="59">
        <v>46203</v>
      </c>
      <c r="B802" s="15">
        <f t="shared" si="180"/>
        <v>0.99999999999999956</v>
      </c>
      <c r="C802" s="16"/>
      <c r="D802" s="63"/>
      <c r="E802" s="11"/>
      <c r="F802" s="17" t="str">
        <f t="shared" si="178"/>
        <v/>
      </c>
      <c r="G802" s="16"/>
      <c r="H802" s="16"/>
      <c r="I802" s="16"/>
      <c r="J802" s="13"/>
      <c r="K802" s="13"/>
      <c r="L802" s="71" t="str">
        <f t="shared" si="179"/>
        <v/>
      </c>
      <c r="M802" s="11"/>
      <c r="N802" s="41"/>
    </row>
    <row r="803" spans="1:14" ht="15" customHeight="1" x14ac:dyDescent="0.3">
      <c r="A803" s="58">
        <v>46203</v>
      </c>
      <c r="B803" s="9">
        <f t="shared" si="180"/>
        <v>1.0416666666666663</v>
      </c>
      <c r="C803" s="10"/>
      <c r="D803" s="62"/>
      <c r="E803" s="11"/>
      <c r="F803" s="12" t="str">
        <f t="shared" si="178"/>
        <v/>
      </c>
      <c r="G803" s="10"/>
      <c r="H803" s="10"/>
      <c r="I803" s="10"/>
      <c r="J803" s="13"/>
      <c r="K803" s="13"/>
      <c r="L803" s="70" t="str">
        <f t="shared" si="179"/>
        <v/>
      </c>
      <c r="M803" s="11"/>
      <c r="N803" s="41"/>
    </row>
    <row r="804" spans="1:14" ht="15" customHeight="1" x14ac:dyDescent="0.3">
      <c r="A804" s="59">
        <v>46203</v>
      </c>
      <c r="B804" s="15">
        <f t="shared" si="180"/>
        <v>1.083333333333333</v>
      </c>
      <c r="C804" s="16"/>
      <c r="D804" s="63"/>
      <c r="E804" s="11"/>
      <c r="F804" s="17" t="str">
        <f t="shared" si="178"/>
        <v/>
      </c>
      <c r="G804" s="16"/>
      <c r="H804" s="16"/>
      <c r="I804" s="16"/>
      <c r="J804" s="13"/>
      <c r="K804" s="13"/>
      <c r="L804" s="71" t="str">
        <f t="shared" si="179"/>
        <v/>
      </c>
      <c r="M804" s="11"/>
      <c r="N804" s="41"/>
    </row>
    <row r="805" spans="1:14" ht="15" customHeight="1" x14ac:dyDescent="0.3">
      <c r="A805" s="58">
        <v>46203</v>
      </c>
      <c r="B805" s="9">
        <f t="shared" si="180"/>
        <v>1.1249999999999998</v>
      </c>
      <c r="C805" s="10"/>
      <c r="D805" s="62"/>
      <c r="E805" s="11"/>
      <c r="F805" s="12" t="str">
        <f t="shared" si="178"/>
        <v/>
      </c>
      <c r="G805" s="10"/>
      <c r="H805" s="10"/>
      <c r="I805" s="10"/>
      <c r="J805" s="13"/>
      <c r="K805" s="13"/>
      <c r="L805" s="70" t="str">
        <f t="shared" si="179"/>
        <v/>
      </c>
      <c r="M805" s="11"/>
      <c r="N805" s="41"/>
    </row>
    <row r="806" spans="1:14" ht="15" customHeight="1" x14ac:dyDescent="0.3">
      <c r="A806" s="59">
        <v>46203</v>
      </c>
      <c r="B806" s="15">
        <f t="shared" si="180"/>
        <v>1.1666666666666665</v>
      </c>
      <c r="C806" s="16"/>
      <c r="D806" s="63"/>
      <c r="E806" s="11"/>
      <c r="F806" s="17" t="str">
        <f t="shared" si="178"/>
        <v/>
      </c>
      <c r="G806" s="16"/>
      <c r="H806" s="16"/>
      <c r="I806" s="16"/>
      <c r="J806" s="13"/>
      <c r="K806" s="13"/>
      <c r="L806" s="71" t="str">
        <f t="shared" si="179"/>
        <v/>
      </c>
      <c r="M806" s="11"/>
      <c r="N806" s="41"/>
    </row>
    <row r="807" spans="1:14" ht="15" customHeight="1" x14ac:dyDescent="0.3">
      <c r="A807" s="58">
        <v>46203</v>
      </c>
      <c r="B807" s="9">
        <f t="shared" si="180"/>
        <v>1.2083333333333333</v>
      </c>
      <c r="C807" s="10"/>
      <c r="D807" s="62"/>
      <c r="E807" s="11"/>
      <c r="F807" s="12" t="str">
        <f t="shared" si="178"/>
        <v/>
      </c>
      <c r="G807" s="10"/>
      <c r="H807" s="10"/>
      <c r="I807" s="10"/>
      <c r="J807" s="13"/>
      <c r="K807" s="13"/>
      <c r="L807" s="70" t="str">
        <f t="shared" si="179"/>
        <v/>
      </c>
      <c r="M807" s="11"/>
      <c r="N807" s="41"/>
    </row>
    <row r="808" spans="1:14" ht="15" customHeight="1" x14ac:dyDescent="0.3">
      <c r="A808" s="59">
        <v>46203</v>
      </c>
      <c r="B808" s="15">
        <f t="shared" si="180"/>
        <v>1.25</v>
      </c>
      <c r="C808" s="16"/>
      <c r="D808" s="63"/>
      <c r="E808" s="11"/>
      <c r="F808" s="17" t="str">
        <f t="shared" si="178"/>
        <v/>
      </c>
      <c r="G808" s="16"/>
      <c r="H808" s="16"/>
      <c r="I808" s="16"/>
      <c r="J808" s="13"/>
      <c r="K808" s="13"/>
      <c r="L808" s="71" t="str">
        <f t="shared" si="179"/>
        <v/>
      </c>
      <c r="M808" s="11"/>
      <c r="N808" s="41"/>
    </row>
    <row r="809" spans="1:14" ht="15" customHeight="1" x14ac:dyDescent="0.3">
      <c r="A809" s="58">
        <v>46203</v>
      </c>
      <c r="B809" s="9">
        <f t="shared" si="180"/>
        <v>1.2916666666666667</v>
      </c>
      <c r="C809" s="10"/>
      <c r="D809" s="62"/>
      <c r="E809" s="11"/>
      <c r="F809" s="12" t="str">
        <f t="shared" si="178"/>
        <v/>
      </c>
      <c r="G809" s="10"/>
      <c r="H809" s="10"/>
      <c r="I809" s="10"/>
      <c r="J809" s="13"/>
      <c r="K809" s="13"/>
      <c r="L809" s="70" t="str">
        <f t="shared" si="179"/>
        <v/>
      </c>
      <c r="M809" s="11"/>
      <c r="N809" s="41"/>
    </row>
    <row r="810" spans="1:14" ht="15.75" customHeight="1" x14ac:dyDescent="0.3">
      <c r="A810" s="91" t="s">
        <v>187</v>
      </c>
      <c r="B810" s="91"/>
      <c r="C810" s="91"/>
      <c r="D810" s="91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186</v>
      </c>
      <c r="N810" s="20"/>
    </row>
    <row r="811" spans="1:14" ht="18" customHeight="1" x14ac:dyDescent="0.3">
      <c r="A811" s="90" t="s">
        <v>188</v>
      </c>
      <c r="B811" s="90"/>
      <c r="C811" s="90"/>
      <c r="D811" s="9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189</v>
      </c>
      <c r="N811" s="31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1E8D77-88C5-466C-9E71-B0518BBFB65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914D07B3-4831-4991-A053-ED05E81548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2026-06-27T16:30:59Z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