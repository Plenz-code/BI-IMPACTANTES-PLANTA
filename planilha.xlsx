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04" documentId="13_ncr:1_{0A10D8D4-8450-4366-8075-B53B08E6B7EA}" xr6:coauthVersionLast="47" xr6:coauthVersionMax="47" xr10:uidLastSave="{F3A45B27-718D-49EE-B1E6-A6A8A914A5BF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<sst xmlns="http://schemas.openxmlformats.org/spreadsheetml/2006/main" count="6541" uniqueCount="348">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</sst>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1" sqref="F37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160</v>
      </c>
      <c r="G378" s="36">
        <f>SUM(G366:G377)</f>
        <v>800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560</v>
      </c>
      <c r="G379" s="40">
        <f>G365+G378</f>
        <v>2766.4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8" sqref="N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0.88063946759211831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1.0195283564810071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1.1042505787032295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51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214.2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667.8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29.400000000000002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97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407.40000000000009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N374" sqref="N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 t="s">
        <v>27</v>
      </c>
      <c r="M370" s="26" t="s">
        <v>65</v>
      </c>
      <c r="N370" s="26" t="s">
        <v>70</v>
      </c>
      <c r="O370" s="29">
        <v>0</v>
      </c>
      <c r="P370" s="29"/>
      <c r="Q370" s="30">
        <f t="shared" ca="1" si="88"/>
        <v>2.1672453731298447E-3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331.79999999999995</v>
      </c>
      <c r="L378" s="37"/>
      <c r="M378" s="37"/>
      <c r="N378" s="37"/>
      <c r="O378" s="61"/>
      <c r="P378" s="61"/>
      <c r="Q378" s="38">
        <f ca="1">IFERROR(SUM(Q366:Q377),"")</f>
        <v>5.6333912039796541E-2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1155</v>
      </c>
      <c r="L379" s="41"/>
      <c r="M379" s="41"/>
      <c r="N379" s="41"/>
      <c r="O379" s="63"/>
      <c r="P379" s="63"/>
      <c r="Q379" s="42">
        <f ca="1">IFERROR(Q365+Q378,"")</f>
        <v>0.17438946759535223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2026-08-15T04:03:37Z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