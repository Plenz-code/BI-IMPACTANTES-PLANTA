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34" documentId="8_{AF585B22-221D-4780-BB9C-493D365A6A02}" xr6:coauthVersionLast="47" xr6:coauthVersionMax="47" xr10:uidLastSave="{92AFABA5-7687-47CC-9945-7689597A0E9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<sst xmlns="http://schemas.openxmlformats.org/spreadsheetml/2006/main" count="6031" uniqueCount="314">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</sst>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58" activePane="bottomLeft" state="frozen"/>
      <selection pane="bottomLeft" activeCell="E372" sqref="E37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64" activePane="bottomLeft" state="frozen"/>
      <selection pane="bottomLeft" activeCell="E370" sqref="E3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/>
      <c r="G366" s="28" t="str">
        <f t="shared" ref="G366:G377" si="81">IF(F366="","",IF(E366="PC 17",F366*4.2,IF(E366="PC 19",F366*5,"")))</f>
        <v/>
      </c>
      <c r="H366" s="26" t="s">
        <v>20</v>
      </c>
      <c r="I366" s="26"/>
      <c r="J366" s="26" t="s">
        <v>127</v>
      </c>
      <c r="K366" s="29">
        <v>0.80486111111111114</v>
      </c>
      <c r="L366" s="29"/>
      <c r="M366" s="30">
        <f t="shared" ref="M366:M377" ca="1" si="82">IFERROR(IF(K366="","",IF(L366="",MOD(NOW()-K366,1),IF(L366&gt;=K366,L366-K366,L366+1-K366))),"")</f>
        <v>0.99980219907592982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0.99980219907592982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158</v>
      </c>
      <c r="G379" s="40">
        <f>G365+G378</f>
        <v>663.6</v>
      </c>
      <c r="H379" s="41"/>
      <c r="I379" s="41"/>
      <c r="J379" s="41"/>
      <c r="K379" s="41"/>
      <c r="L379" s="41"/>
      <c r="M379" s="42">
        <f ca="1">IFERROR(M365+M378,"")</f>
        <v>1.1095244212981519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D366" sqref="D3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</v>
      </c>
      <c r="G379" s="40">
        <f>G365+G378</f>
        <v>37.800000000000004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8" activePane="bottomLeft" state="frozen"/>
      <selection pane="bottomLeft" activeCell="E374" sqref="E3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0.55535775463067694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0.75466331018623256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1.1220244212973436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46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46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46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46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46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46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46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46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46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125</v>
      </c>
      <c r="G379" s="40">
        <f>G365+G378</f>
        <v>525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2026-07-14T23:19:02Z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