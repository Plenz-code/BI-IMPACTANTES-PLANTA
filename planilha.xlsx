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08" documentId="8_{1D11E9C4-FEA4-4128-910F-91CB6BBF9255}" xr6:coauthVersionLast="47" xr6:coauthVersionMax="47" xr10:uidLastSave="{D1218330-FE2F-4263-8260-C76AB2202DEB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<sst xmlns="http://schemas.openxmlformats.org/spreadsheetml/2006/main" count="8554" uniqueCount="383">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</sst>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1" sqref="E79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187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195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197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196</v>
      </c>
      <c r="N27" s="20">
        <v>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195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197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196</v>
      </c>
      <c r="N54" s="20">
        <v>125660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195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197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196</v>
      </c>
      <c r="N81" s="20">
        <v>580300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195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197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196</v>
      </c>
      <c r="N108" s="20">
        <v>652520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195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197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196</v>
      </c>
      <c r="N135" s="20">
        <v>909050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195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197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196</v>
      </c>
      <c r="N162" s="27">
        <v>1048880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195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197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196</v>
      </c>
      <c r="N189" s="20">
        <v>797540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195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197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196</v>
      </c>
      <c r="N216" s="28">
        <v>203080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195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197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196</v>
      </c>
      <c r="N243" s="20">
        <v>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195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197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196</v>
      </c>
      <c r="N270" s="20">
        <f>346400+269080</f>
        <v>615480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195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197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196</v>
      </c>
      <c r="N297" s="20">
        <f>35160+383610</f>
        <v>418770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195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197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196</v>
      </c>
      <c r="N324" s="20">
        <f>411220+466620</f>
        <v>877840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195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197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196</v>
      </c>
      <c r="N351" s="20"/>
    </row>
    <row r="352" spans="1:14" ht="18" customHeight="1">
      <c r="A352" s="98" t="s">
        <v>198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195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197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196</v>
      </c>
      <c r="N378" s="20">
        <v>1299920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195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197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196</v>
      </c>
      <c r="N405" s="20">
        <v>1342790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195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197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196</v>
      </c>
      <c r="N432" s="20">
        <v>963120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197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196</v>
      </c>
      <c r="N459" s="20">
        <v>534910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195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197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196</v>
      </c>
      <c r="N486" s="20">
        <v>557170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195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197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196</v>
      </c>
      <c r="N513" s="20">
        <v>701090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195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197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196</v>
      </c>
      <c r="N540" s="20">
        <v>915770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195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197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196</v>
      </c>
      <c r="N567" s="20">
        <v>636740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195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197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196</v>
      </c>
      <c r="N594" s="20">
        <v>394820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195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197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196</v>
      </c>
      <c r="N621" s="20">
        <v>587370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195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197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196</v>
      </c>
      <c r="N648" s="20">
        <v>635110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195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197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196</v>
      </c>
      <c r="N675" s="20">
        <v>1608610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195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197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196</v>
      </c>
      <c r="N702" s="20">
        <f>316300+609860</f>
        <v>926160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233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195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196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197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196</v>
      </c>
      <c r="N729" s="20">
        <v>706600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199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195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196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197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1646670</v>
      </c>
    </row>
    <row r="757" spans="1:14" ht="18" customHeight="1">
      <c r="A757" s="22" t="s">
        <v>198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199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234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235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195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196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197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196</v>
      </c>
      <c r="N783" s="20">
        <v>1736080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199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236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233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37</v>
      </c>
      <c r="F790" s="12">
        <f t="shared" si="177"/>
        <v>185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195</v>
      </c>
      <c r="B797" s="97"/>
      <c r="C797" s="97"/>
      <c r="D797" s="97"/>
      <c r="E797" s="19">
        <f>SUM(E785:E796)</f>
        <v>56</v>
      </c>
      <c r="F797" s="19">
        <f>SUM(F785:F796)</f>
        <v>280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197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56</v>
      </c>
      <c r="F811" s="22">
        <f>F797+F810</f>
        <v>280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92" sqref="E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237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196</v>
      </c>
      <c r="N27" s="20">
        <v>1035240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196</v>
      </c>
      <c r="N54" s="20">
        <v>871960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196</v>
      </c>
      <c r="N81" s="20">
        <v>482250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196</v>
      </c>
      <c r="N108" s="20">
        <v>529500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196</v>
      </c>
      <c r="N135" s="20">
        <v>666150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244</v>
      </c>
      <c r="I139" s="16" t="s">
        <v>245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196</v>
      </c>
      <c r="N162" s="35">
        <v>183240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196</v>
      </c>
      <c r="N189" s="20">
        <v>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196</v>
      </c>
      <c r="N216" s="28">
        <v>525070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196</v>
      </c>
      <c r="N243" s="20">
        <v>244000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196</v>
      </c>
      <c r="N270" s="20">
        <v>8130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196</v>
      </c>
      <c r="N297" s="20">
        <f>229280+228660</f>
        <v>457940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196</v>
      </c>
      <c r="N324" s="20">
        <f>217310+197670</f>
        <v>414980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196</v>
      </c>
      <c r="N351" s="20">
        <f>135270+304860</f>
        <v>440130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196</v>
      </c>
      <c r="N378" s="20">
        <f>291750+291000</f>
        <v>582750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195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196</v>
      </c>
      <c r="N405" s="20">
        <v>305810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196</v>
      </c>
      <c r="N432" s="20">
        <v>522180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195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196</v>
      </c>
      <c r="N459" s="20">
        <v>560220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278</v>
      </c>
      <c r="J465" s="13">
        <v>0.70833333333333337</v>
      </c>
      <c r="K465" s="13" t="s">
        <v>279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280</v>
      </c>
      <c r="N472" s="30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196</v>
      </c>
      <c r="N486" s="20">
        <v>400000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196</v>
      </c>
      <c r="N513" s="20">
        <f>1031250+71560</f>
        <v>1102810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196</v>
      </c>
      <c r="N540" s="20">
        <v>504470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196</v>
      </c>
      <c r="N567" s="20">
        <v>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195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196</v>
      </c>
      <c r="N594" s="20">
        <v>258960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196</v>
      </c>
      <c r="N621" s="20">
        <v>687740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196</v>
      </c>
      <c r="N648" s="20">
        <f>47050+58630</f>
        <v>105680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195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196</v>
      </c>
      <c r="N675" s="20">
        <v>546550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196</v>
      </c>
      <c r="N702" s="20">
        <f>430070+116100</f>
        <v>546170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195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196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196</v>
      </c>
      <c r="N729" s="20">
        <v>477920</v>
      </c>
    </row>
    <row r="730" spans="1:14" ht="18" customHeight="1">
      <c r="A730" s="98" t="s">
        <v>198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199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196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379890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199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309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310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195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196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196</v>
      </c>
      <c r="N783" s="20">
        <v>602090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199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183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195</v>
      </c>
      <c r="B797" s="105"/>
      <c r="C797" s="105"/>
      <c r="D797" s="105"/>
      <c r="E797" s="19">
        <f>SUM(E785:E796)</f>
        <v>53</v>
      </c>
      <c r="F797" s="19">
        <f>SUM(F785:F796)</f>
        <v>212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197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53</v>
      </c>
      <c r="F811" s="22">
        <f>F797+F810</f>
        <v>212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74" activePane="bottomLeft" state="frozen"/>
      <selection pane="bottomLeft" activeCell="K789" sqref="K78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311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196</v>
      </c>
      <c r="N27" s="20"/>
    </row>
    <row r="28" spans="1:14" ht="18" customHeight="1">
      <c r="A28" s="98" t="s">
        <v>198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196</v>
      </c>
      <c r="N54" s="20"/>
    </row>
    <row r="55" spans="1:14" ht="18" customHeight="1">
      <c r="A55" s="98" t="s">
        <v>198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312</v>
      </c>
      <c r="I80" s="10" t="s">
        <v>240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196</v>
      </c>
      <c r="N81" s="20">
        <v>206440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196</v>
      </c>
      <c r="N108" s="20"/>
    </row>
    <row r="109" spans="1:14" ht="18" customHeight="1">
      <c r="A109" s="98" t="s">
        <v>198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196</v>
      </c>
      <c r="N135" s="20"/>
    </row>
    <row r="136" spans="1:14" ht="18" customHeight="1">
      <c r="A136" s="98" t="s">
        <v>198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196</v>
      </c>
      <c r="N162" s="20">
        <v>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196</v>
      </c>
      <c r="N189" s="20">
        <v>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196</v>
      </c>
      <c r="N216" s="20"/>
    </row>
    <row r="217" spans="1:14" ht="18" customHeight="1">
      <c r="A217" s="98" t="s">
        <v>198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196</v>
      </c>
      <c r="N243" s="20">
        <v>180000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313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196</v>
      </c>
      <c r="N270" s="20">
        <f>103170+137770</f>
        <v>240940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314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196</v>
      </c>
      <c r="N297" s="20">
        <f>110740+118380</f>
        <v>229120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315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196</v>
      </c>
      <c r="N324" s="20">
        <f>119730+227060</f>
        <v>346790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196</v>
      </c>
      <c r="N351" s="20">
        <f>50730+24450</f>
        <v>75180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196</v>
      </c>
      <c r="N378" s="20">
        <f>151130+160740</f>
        <v>311870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196</v>
      </c>
      <c r="N405" s="20">
        <v>340530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196</v>
      </c>
      <c r="N432" s="20">
        <v>169230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318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195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196</v>
      </c>
      <c r="N459" s="20">
        <v>221750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280</v>
      </c>
      <c r="N472" s="30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196</v>
      </c>
      <c r="N486" s="20">
        <v>240000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196</v>
      </c>
      <c r="N513" s="20">
        <v>3930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196</v>
      </c>
      <c r="N540" s="20">
        <v>304230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196</v>
      </c>
      <c r="N567" s="20">
        <v>437260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321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195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322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196</v>
      </c>
      <c r="N594" s="20">
        <v>269570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323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196</v>
      </c>
      <c r="N621" s="20">
        <v>176650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324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325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196</v>
      </c>
      <c r="N648" s="20">
        <f>154590+56700</f>
        <v>211290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195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196</v>
      </c>
      <c r="N675" s="20">
        <v>234010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326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196</v>
      </c>
      <c r="N702" s="20">
        <f>151740+85690</f>
        <v>237430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227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195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196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196</v>
      </c>
      <c r="N729" s="20">
        <v>377030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199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327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196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265090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199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328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329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195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196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196</v>
      </c>
      <c r="N783" s="20">
        <v>357910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199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195</v>
      </c>
      <c r="B797" s="105"/>
      <c r="C797" s="105"/>
      <c r="D797" s="105"/>
      <c r="E797" s="19">
        <f>SUM(E785:E796)</f>
        <v>34</v>
      </c>
      <c r="F797" s="19">
        <f>SUM(F785:F796)</f>
        <v>136</v>
      </c>
      <c r="G797" s="18"/>
      <c r="H797" s="18"/>
      <c r="I797" s="18"/>
      <c r="J797" s="18"/>
      <c r="K797" s="18"/>
      <c r="L797" s="72">
        <f>IFERROR(SUM(L785:L796),"")</f>
        <v>6.5277777777777657E-2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197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34</v>
      </c>
      <c r="F811" s="22">
        <f>F797+F810</f>
        <v>136</v>
      </c>
      <c r="G811" s="21"/>
      <c r="H811" s="21"/>
      <c r="I811" s="21"/>
      <c r="J811" s="21"/>
      <c r="K811" s="21"/>
      <c r="L811" s="73">
        <f>IFERROR(L797+L810,"")</f>
        <v>6.5277777777777657E-2</v>
      </c>
      <c r="M811" s="22" t="s">
        <v>199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2" sqref="E79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57" t="s">
        <v>13</v>
      </c>
      <c r="E1" s="8" t="s">
        <v>186</v>
      </c>
      <c r="F1" s="8" t="s">
        <v>330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331</v>
      </c>
      <c r="I2" s="10" t="s">
        <v>332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331</v>
      </c>
      <c r="I3" s="16" t="s">
        <v>332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331</v>
      </c>
      <c r="I4" s="10" t="s">
        <v>332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331</v>
      </c>
      <c r="I5" s="16" t="s">
        <v>332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331</v>
      </c>
      <c r="I6" s="10" t="s">
        <v>332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331</v>
      </c>
      <c r="I7" s="16" t="s">
        <v>332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331</v>
      </c>
      <c r="I8" s="10" t="s">
        <v>332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331</v>
      </c>
      <c r="I9" s="16" t="s">
        <v>332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331</v>
      </c>
      <c r="I10" s="10" t="s">
        <v>332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331</v>
      </c>
      <c r="I11" s="16" t="s">
        <v>332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331</v>
      </c>
      <c r="I12" s="10" t="s">
        <v>332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331</v>
      </c>
      <c r="I13" s="16" t="s">
        <v>332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196</v>
      </c>
      <c r="N27" s="20">
        <v>537710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334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335</v>
      </c>
      <c r="I33" s="16" t="s">
        <v>336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194</v>
      </c>
      <c r="H36" s="10" t="s">
        <v>337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196</v>
      </c>
      <c r="N54" s="20">
        <v>800250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337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196</v>
      </c>
      <c r="N81" s="20">
        <v>423590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196</v>
      </c>
      <c r="N108" s="20">
        <v>784300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194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196</v>
      </c>
      <c r="N135" s="20">
        <v>527600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194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196</v>
      </c>
      <c r="N162" s="20">
        <v>215370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196</v>
      </c>
      <c r="N189" s="20">
        <v>400530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196</v>
      </c>
      <c r="N216" s="28">
        <v>704110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196</v>
      </c>
      <c r="N243" s="20">
        <v>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196</v>
      </c>
      <c r="N270" s="20">
        <f>214250+252630</f>
        <v>466880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196</v>
      </c>
      <c r="N297" s="20">
        <f>124260+105220</f>
        <v>229480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315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196</v>
      </c>
      <c r="N324" s="20">
        <f>311920+165290</f>
        <v>477210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196</v>
      </c>
      <c r="N351" s="20">
        <f>117790+390790</f>
        <v>508580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317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196</v>
      </c>
      <c r="N378" s="20">
        <f>490380+390690</f>
        <v>881070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195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196</v>
      </c>
      <c r="N405" s="20">
        <v>745910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196</v>
      </c>
      <c r="N432" s="20">
        <v>669300</v>
      </c>
    </row>
    <row r="433" spans="1:16" ht="18" customHeight="1">
      <c r="A433" s="98" t="s">
        <v>198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195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196</v>
      </c>
      <c r="N459" s="20">
        <v>561580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280</v>
      </c>
      <c r="N472" s="41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356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196</v>
      </c>
      <c r="N486" s="20">
        <v>508000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357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358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196</v>
      </c>
      <c r="N513" s="20">
        <v>745760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359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360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196</v>
      </c>
      <c r="N540" s="20">
        <v>426450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361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362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363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196</v>
      </c>
      <c r="N567" s="20">
        <v>652080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364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365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366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196</v>
      </c>
      <c r="N594" s="20">
        <v>800310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367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368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196</v>
      </c>
      <c r="N621" s="20">
        <v>141320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369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370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196</v>
      </c>
      <c r="N648" s="20">
        <f>89640+153770</f>
        <v>243410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371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196</v>
      </c>
      <c r="N675" s="20">
        <v>425320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372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373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196</v>
      </c>
      <c r="N702" s="20">
        <f>626540+94190</f>
        <v>720730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374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375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376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195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196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377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378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196</v>
      </c>
      <c r="N729" s="20">
        <v>874110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199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379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327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196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196</v>
      </c>
      <c r="N756" s="20">
        <v>1001690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199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380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328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195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196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196</v>
      </c>
      <c r="N783" s="20">
        <v>1318280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199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381</v>
      </c>
      <c r="K786" s="13">
        <v>0.5395833333333333</v>
      </c>
      <c r="L786" s="77" t="str">
        <f t="shared" si="175"/>
        <v/>
      </c>
      <c r="M786" s="11" t="s">
        <v>382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0.6069444444444444</v>
      </c>
      <c r="L787" s="86">
        <f t="shared" si="175"/>
        <v>2.1527777777777701E-2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195</v>
      </c>
      <c r="B797" s="109"/>
      <c r="C797" s="109"/>
      <c r="D797" s="109"/>
      <c r="E797" s="19">
        <f>SUM(E785:E796)</f>
        <v>80</v>
      </c>
      <c r="F797" s="19">
        <f>SUM(F785:F796)</f>
        <v>320</v>
      </c>
      <c r="G797" s="38"/>
      <c r="H797" s="38"/>
      <c r="I797" s="38"/>
      <c r="J797" s="38"/>
      <c r="K797" s="38"/>
      <c r="L797" s="72">
        <f>IFERROR(SUM(L785:L796),"")</f>
        <v>4.0972222222222132E-2</v>
      </c>
      <c r="M797" s="19" t="s">
        <v>196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197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196</v>
      </c>
      <c r="N810" s="20"/>
    </row>
    <row r="811" spans="1:14" ht="18" customHeight="1">
      <c r="A811" s="110" t="s">
        <v>198</v>
      </c>
      <c r="B811" s="110"/>
      <c r="C811" s="110"/>
      <c r="D811" s="110"/>
      <c r="E811" s="22">
        <f>E797+E810</f>
        <v>80</v>
      </c>
      <c r="F811" s="22">
        <f>F797+F810</f>
        <v>320</v>
      </c>
      <c r="G811" s="39"/>
      <c r="H811" s="39"/>
      <c r="I811" s="39"/>
      <c r="J811" s="39"/>
      <c r="K811" s="39"/>
      <c r="L811" s="73">
        <f>IFERROR(L797+L810,"")</f>
        <v>4.0972222222222132E-2</v>
      </c>
      <c r="M811" s="22" t="s">
        <v>199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