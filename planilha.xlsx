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14" documentId="13_ncr:1_{0A10D8D4-8450-4366-8075-B53B08E6B7EA}" xr6:coauthVersionLast="47" xr6:coauthVersionMax="47" xr10:uidLastSave="{49C08375-144C-4988-9EB1-2E14A466D8E9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4" i="6" l="1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<sst xmlns="http://schemas.openxmlformats.org/spreadsheetml/2006/main" count="7334" uniqueCount="359">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</sst>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5" sqref="F425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125</v>
      </c>
      <c r="G432" s="36">
        <f>SUM(G420:G431)</f>
        <v>625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335</v>
      </c>
      <c r="G433" s="40">
        <f>G419+G432</f>
        <v>1675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94" activePane="bottomLeft" state="frozen"/>
      <selection pane="bottomLeft" activeCell="P425" sqref="P425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0.94304340277449228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1.0819322916633811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1.1666545138856035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50.400000000000006</v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93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390.6</v>
      </c>
      <c r="L432" s="37"/>
      <c r="M432" s="37"/>
      <c r="N432" s="37"/>
      <c r="O432" s="37"/>
      <c r="P432" s="37"/>
      <c r="Q432" s="38">
        <f ca="1">IFERROR(SUM(Q420:Q431),"")</f>
        <v>5.833333333333348E-2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240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1008.0000000000001</v>
      </c>
      <c r="L433" s="41"/>
      <c r="M433" s="41"/>
      <c r="N433" s="41"/>
      <c r="O433" s="41"/>
      <c r="P433" s="41"/>
      <c r="Q433" s="42">
        <f ca="1">IFERROR(Q419+Q432,"")</f>
        <v>0.14930555555555572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G426" sqref="G426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319</v>
      </c>
      <c r="Q222" s="30" t="str">
        <f t="shared" ca="1" si="49"/>
        <v/>
      </c>
      <c r="R222" s="27" t="s">
        <v>320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0"/>
        <v>0</v>
      </c>
      <c r="K425" s="34">
        <f t="shared" si="101"/>
        <v>16.8</v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21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88.2</v>
      </c>
      <c r="L432" s="37"/>
      <c r="M432" s="37"/>
      <c r="N432" s="37"/>
      <c r="O432" s="37"/>
      <c r="P432" s="37"/>
      <c r="Q432" s="38">
        <f ca="1">IFERROR(SUM(Q420:Q431),"")</f>
        <v>7.6388888888888951E-2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142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596.40000000000009</v>
      </c>
      <c r="L433" s="41"/>
      <c r="M433" s="41"/>
      <c r="N433" s="41"/>
      <c r="O433" s="41"/>
      <c r="P433" s="41"/>
      <c r="Q433" s="42">
        <f ca="1">IFERROR(Q419+Q432,"")</f>
        <v>0.14930555555555569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N425" sqref="N425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101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424.20000000000005</v>
      </c>
      <c r="L432" s="37"/>
      <c r="M432" s="37"/>
      <c r="N432" s="37"/>
      <c r="O432" s="61"/>
      <c r="P432" s="61"/>
      <c r="Q432" s="38">
        <f ca="1">IFERROR(SUM(Q420:Q431),"")</f>
        <v>6.9444444444444475E-2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243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1020.6000000000001</v>
      </c>
      <c r="L433" s="41"/>
      <c r="M433" s="41"/>
      <c r="N433" s="41"/>
      <c r="O433" s="63"/>
      <c r="P433" s="63"/>
      <c r="Q433" s="42">
        <f ca="1">IFERROR(Q419+Q432,"")</f>
        <v>0.18472222222222229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2026-08-17T05:33:29Z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