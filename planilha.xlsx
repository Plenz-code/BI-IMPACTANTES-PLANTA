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45" documentId="8_{C51EB6CB-002B-4D6B-B68F-DDEBDB4460C0}" xr6:coauthVersionLast="47" xr6:coauthVersionMax="47" xr10:uidLastSave="{118AD7EB-AA6D-4C93-8059-E6099D307E9E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<sst xmlns="http://schemas.openxmlformats.org/spreadsheetml/2006/main" count="2849" uniqueCount="273">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</sst>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791070</v>
      </c>
      <c r="E8" s="8">
        <f>IFERROR('Linha 2'!O136,"")</f>
        <v>0</v>
      </c>
      <c r="F8" s="8">
        <f>IFERROR('Linha 3'!O136,"")</f>
        <v>0</v>
      </c>
      <c r="G8" s="9">
        <f t="shared" si="0"/>
        <v>791070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12985645</v>
      </c>
      <c r="D35" s="13">
        <f>IFERROR(SUM(D4:D34),"")</f>
        <v>4591580</v>
      </c>
      <c r="E35" s="13">
        <f>IFERROR(SUM(E4:E34),"")</f>
        <v>2247410</v>
      </c>
      <c r="F35" s="13">
        <f>IFERROR(SUM(F4:F34),"")</f>
        <v>5004440</v>
      </c>
      <c r="G35" s="13">
        <f>IFERROR(SUM(G4:G34),"")</f>
        <v>11843430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8" activePane="bottomLeft" state="frozen"/>
      <selection pane="bottomLeft" activeCell="F122" sqref="F12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122</v>
      </c>
      <c r="G136" s="40">
        <f>G122+G135</f>
        <v>610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92" activePane="bottomLeft" state="frozen"/>
      <selection pane="bottomLeft" activeCell="O122" sqref="O1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0.65570567129179835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0.79459456018068719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0.87931678240290956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184</v>
      </c>
      <c r="G136" s="40">
        <f>G122+G135</f>
        <v>772.80000000000007</v>
      </c>
      <c r="H136" s="41"/>
      <c r="I136" s="41"/>
      <c r="J136" s="41"/>
      <c r="K136" s="41"/>
      <c r="L136" s="41"/>
      <c r="M136" s="42">
        <f ca="1">IFERROR(M122+M135,"")</f>
        <v>9.5138888888888884E-2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04" zoomScale="50" zoomScaleNormal="50" workbookViewId="0">
      <selection activeCell="F122" sqref="F1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0.49876122685236624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0.5459834490745884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0.7022334490745884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78</v>
      </c>
      <c r="G136" s="40">
        <f>G122+G135</f>
        <v>327.60000000000002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235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F122" sqref="F1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170</v>
      </c>
      <c r="G136" s="40">
        <f>G122+G135</f>
        <v>714.00000000000011</v>
      </c>
      <c r="H136" s="41"/>
      <c r="I136" s="41"/>
      <c r="J136" s="41"/>
      <c r="K136" s="63"/>
      <c r="L136" s="63"/>
      <c r="M136" s="42">
        <f ca="1">IFERROR(M122+M135,"")</f>
        <v>0.12430555555555572</v>
      </c>
      <c r="N136" s="40" t="s">
        <v>235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2026-08-05T22:39:44Z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