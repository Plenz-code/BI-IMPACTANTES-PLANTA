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91" documentId="8_{AF585B22-221D-4780-BB9C-493D365A6A02}" xr6:coauthVersionLast="47" xr6:coauthVersionMax="47" xr10:uidLastSave="{A0794BE3-3972-4339-B999-F191BDBF78A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<sst xmlns="http://schemas.openxmlformats.org/spreadsheetml/2006/main" count="2031" uniqueCount="220">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</sst>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76" sqref="F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148</v>
      </c>
      <c r="G81" s="36">
        <f>SUM(G69:G80)</f>
        <v>740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517</v>
      </c>
      <c r="G82" s="40">
        <f>G68+G81</f>
        <v>2585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122</v>
      </c>
      <c r="G81" s="36">
        <f>SUM(G69:G80)</f>
        <v>512.4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68</v>
      </c>
      <c r="G81" s="36">
        <f>SUM(G69:G80)</f>
        <v>285.60000000000002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65" activePane="bottomLeft" state="frozen"/>
      <selection pane="bottomLeft" activeCell="F77" sqref="F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/>
      <c r="M75" s="35">
        <f t="shared" ca="1" si="16"/>
        <v>2.0937037035764661E-2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1</v>
      </c>
      <c r="G76" s="28">
        <f t="shared" si="15"/>
        <v>4.2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116</v>
      </c>
      <c r="G81" s="36">
        <f>SUM(G69:G80)</f>
        <v>487.2</v>
      </c>
      <c r="H81" s="37"/>
      <c r="I81" s="37"/>
      <c r="J81" s="37"/>
      <c r="K81" s="61"/>
      <c r="L81" s="61"/>
      <c r="M81" s="38">
        <f ca="1">IFERROR(SUM(M69:M80),"")</f>
        <v>0.17579814814687555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311</v>
      </c>
      <c r="G82" s="40">
        <f>G68+G81</f>
        <v>1306.2</v>
      </c>
      <c r="H82" s="41"/>
      <c r="I82" s="41"/>
      <c r="J82" s="41"/>
      <c r="K82" s="63"/>
      <c r="L82" s="63"/>
      <c r="M82" s="42">
        <f ca="1">IFERROR(M68+M81,"")</f>
        <v>0.23552037036909779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2026-07-04T07:07:33Z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