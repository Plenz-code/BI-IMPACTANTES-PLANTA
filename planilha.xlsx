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25" documentId="13_ncr:1_{0A10D8D4-8450-4366-8075-B53B08E6B7EA}" xr6:coauthVersionLast="47" xr6:coauthVersionMax="47" xr10:uidLastSave="{C2832E18-B45B-4AC5-AC7E-4528D73DEFC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2" sheetId="5" r:id="rId4"/>
    <sheet name="Linha 1" sheetId="4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4" i="4"/>
  <c r="J434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10" i="4" l="1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406" i="4" l="1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<sst xmlns="http://schemas.openxmlformats.org/spreadsheetml/2006/main" count="7507" uniqueCount="361">
  <si>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</si>
  <si>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</si>
  <si>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</si>
  <si>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</si>
  <si>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</si>
  <si>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</si>
  <si>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</si>
  <si>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</si>
  <si>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</si>
  <si>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</si>
  <si>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</si>
  <si>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</si>
  <si>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</si>
  <si>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</si>
  <si>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</si>
  <si>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</si>
  <si>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</si>
  <si>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</si>
  <si>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</si>
  <si>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</si>
  <si>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</si>
  <si>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</si>
  <si>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</si>
  <si>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</si>
  <si>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</si>
  <si>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</si>
  <si>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</si>
  <si>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</si>
  <si>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</si>
  <si>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</si>
  <si>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</si>
  <si>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</si>
  <si>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</si>
  <si>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</si>
  <si>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</si>
  <si>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</si>
  <si>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</si>
  <si>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</si>
  <si>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</si>
  <si>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</si>
  <si>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</si>
  <si>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</si>
  <si>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</si>
  <si>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</si>
  <si>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</si>
  <si>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</si>
  <si>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</si>
  <si>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</si>
  <si>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</si>
  <si>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</si>
  <si>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</si>
  <si>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</si>
  <si>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</si>
  <si>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</si>
  <si>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</si>
  <si>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</si>
  <si>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</si>
  <si>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</si>
  <si>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</si>
  <si>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</si>
  <si>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</si>
  <si>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</si>
  <si>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</si>
  <si>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</si>
  <si>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</si>
  <si>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</si>
  <si>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</si>
  <si>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</si>
  <si>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</si>
  <si>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</si>
  <si>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</si>
  <si>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</si>
  <si>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</si>
  <si>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</si>
  <si>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</si>
  <si>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</si>
  <si>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</si>
  <si>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</si>
  <si>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</si>
  <si>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</si>
  <si>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</si>
  <si>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</si>
  <si>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</si>
  <si>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</si>
  <si>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</si>
  <si>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</si>
  <si>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</si>
  <si>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</si>
  <si>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</si>
  <si>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</si>
  <si>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</si>
  <si>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</si>
  <si>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</si>
  <si>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</si>
  <si>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</si>
  <si>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</si>
  <si>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</si>
  <si>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</si>
  <si>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</si>
  <si>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</si>
  <si>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</si>
  <si>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</si>
  <si>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</si>
  <si>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</si>
  <si>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</si>
  <si>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</si>
  <si>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</si>
  <si>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</si>
  <si>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</si>
  <si>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</si>
  <si>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</si>
  <si>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</si>
  <si>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</si>
  <si>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</si>
  <si>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</si>
  <si>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</si>
  <si>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</si>
  <si>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</si>
  <si>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</si>
  <si>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</si>
  <si>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</si>
  <si>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</si>
  <si>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</si>
  <si>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</si>
  <si>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</si>
  <si>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</si>
  <si>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</si>
  <si>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</si>
  <si>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</si>
  <si>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</si>
  <si>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</si>
  <si>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</si>
  <si>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</si>
  <si>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</si>
  <si>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</si>
  <si>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</si>
  <si>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</si>
  <si>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</si>
  <si>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</si>
  <si>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</si>
  <si>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</si>
  <si>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</si>
  <si>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</si>
  <si>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</si>
  <si>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</si>
  <si>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</si>
  <si>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</si>
  <si>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</si>
  <si>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</si>
  <si>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</si>
  <si>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</si>
  <si>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</si>
  <si>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</si>
  <si>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</si>
  <si>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</si>
  <si>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</si>
  <si>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</si>
  <si>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</si>
  <si>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</si>
  <si>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</si>
  <si>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</si>
  <si>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</si>
  <si>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</si>
  <si>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</si>
  <si>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</si>
  <si>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</si>
  <si>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</si>
  <si>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</si>
  <si>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</si>
  <si>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</si>
  <si>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</si>
  <si>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</si>
  <si>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</si>
  <si>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</si>
  <si>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</si>
  <si>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</si>
  <si>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</si>
  <si>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</si>
  <si>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</si>
  <si>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</si>
  <si>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</si>
  <si>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</si>
  <si>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</si>
  <si>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</si>
  <si>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</si>
  <si>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</si>
  <si>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</si>
  <si>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</si>
  <si>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</si>
  <si>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</si>
  <si>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</si>
  <si>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</si>
  <si>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</si>
  <si>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</si>
  <si>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</si>
  <si>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</si>
  <si>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</si>
  <si>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</si>
  <si>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</si>
  <si>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</si>
  <si>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</si>
  <si>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</si>
  <si>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</si>
  <si>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</si>
  <si>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</si>
  <si>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</si>
  <si>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</si>
  <si>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</si>
  <si>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</si>
  <si>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</si>
  <si>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</si>
  <si>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</si>
  <si>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</si>
  <si>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</si>
  <si>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</si>
  <si>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</si>
  <si>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</si>
  <si>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</si>
  <si>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</si>
  <si>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</si>
  <si>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</si>
  <si>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</si>
  <si>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</si>
  <si>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</si>
  <si>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</si>
  <si>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</si>
  <si>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</si>
  <si>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</si>
  <si>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</si>
  <si>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</si>
  <si>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</si>
  <si>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</si>
  <si>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</si>
  <si>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</si>
  <si>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</si>
  <si>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</si>
  <si>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</si>
  <si>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</si>
  <si>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</si>
  <si>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</si>
  <si>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</si>
  <si>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</si>
  <si>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</si>
  <si>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</si>
  <si>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</si>
  <si>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</si>
  <si>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</si>
  <si>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</si>
  <si>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</si>
  <si>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</si>
  <si>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</si>
  <si>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</si>
  <si>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</si>
  <si>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</si>
  <si>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</si>
  <si>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</si>
  <si>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</si>
  <si>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</si>
  <si>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</si>
  <si>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</si>
  <si>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</si>
  <si>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</si>
  <si>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</si>
  <si>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</si>
  <si>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</si>
  <si>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</si>
  <si>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</si>
  <si>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</si>
  <si>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</si>
  <si>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</si>
  <si>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</si>
  <si>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</si>
  <si>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</si>
  <si>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>solda no queixo</t>
  </si>
  <si>
    <t>baixa produtividade,ajustar nivel da caixa de polpa</t>
  </si>
  <si>
    <t>sem material no estoque</t>
  </si>
  <si>
    <t>troca de martelo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</si>
  <si>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</si>
  <si>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</si>
  <si>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</si>
  <si>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</si>
  <si>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</si>
  <si>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</si>
  <si>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</si>
  <si>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alimentação baixa, centrifugas dos moinhos de bola desarmando</t>
  </si>
  <si>
    <t>troca de martelo e solda na grelha</t>
  </si>
  <si>
    <t>reajuste na grelhas</t>
  </si>
  <si>
    <t>desobstrucao nos bicos do hidrociclone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</si>
  <si>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</si>
  <si>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</si>
  <si>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</si>
  <si>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</si>
  <si>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</si>
  <si>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</si>
  <si>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manutenção na bomba,troca de martelo mm3</t>
  </si>
  <si>
    <t>arrebentou correia</t>
  </si>
  <si>
    <t>ajuste nas grelhas</t>
  </si>
  <si>
    <t>parado pra faze um sevico na polia da bomba</t>
  </si>
  <si>
    <t>E TROCA DE MARTELO</t>
  </si>
  <si>
    <t>lubrificação do mm3, reposição de grelha</t>
  </si>
  <si>
    <t xml:space="preserve">e teve que troca balata </t>
  </si>
  <si>
    <t>o revestimento da bica ta soltando</t>
  </si>
  <si>
    <t>a borracha do revestimento da bica soltou de novo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</si>
  <si>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</si>
  <si>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</si>
  <si>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</si>
  <si>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</si>
  <si>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</si>
  <si>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</si>
  <si>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</si>
  <si>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</si>
  <si>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</si>
  <si>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</si>
  <si>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</si>
  <si>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</si>
  <si>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alimentacao baixa centrifuda do moinho de bola desamando toda hora</t>
  </si>
  <si>
    <t>desosbtrucao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</si>
  <si>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</si>
  <si>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</si>
  <si>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</si>
  <si>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</si>
  <si>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</si>
  <si>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</si>
  <si>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troca de martelo,operando com mm1</t>
  </si>
  <si>
    <t xml:space="preserve">forramento do mm2 </t>
  </si>
  <si>
    <t>lubrificação nos rolamentos do mm1 e 2</t>
  </si>
  <si>
    <t>troca de martelo mm1 e 2 , reposição de grelha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</si>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</sst>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7" activePane="bottomLeft" state="frozen"/>
      <selection pane="bottomLeft" activeCell="E445" sqref="E445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0" activePane="bottomLeft" state="frozen"/>
      <selection pane="bottomLeft" activeCell="E445" sqref="E44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273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275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273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273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277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278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279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280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281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282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283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285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286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288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290</v>
      </c>
      <c r="Q222" s="30" t="str">
        <f t="shared" ca="1" si="49"/>
        <v/>
      </c>
      <c r="R222" s="27" t="s">
        <v>291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292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294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296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297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298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299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8" activePane="bottomLeft" state="frozen"/>
      <selection pane="bottomLeft" activeCell="G434" sqref="G434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300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301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302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303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304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305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306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0.18973078703129431</v>
      </c>
      <c r="R53" s="46" t="s">
        <v>307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0.32861967592018321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0.41334189814240552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300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308</v>
      </c>
      <c r="Q96" s="30" t="str">
        <f t="shared" ref="Q96:Q107" ca="1" si="22">IFERROR(IF(O96="","",IF(P96="",MOD(NOW()-O96,1),IF(P96&gt;=O96,P96-O96,P96+1-O96))),"")</f>
        <v/>
      </c>
      <c r="R96" s="46" t="s">
        <v>309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310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311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312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313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314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315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316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314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317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312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319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320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321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322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323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317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314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324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297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325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326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4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327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20" activePane="bottomLeft" state="frozen"/>
      <selection pane="bottomLeft" activeCell="E445" sqref="E44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305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273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273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273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273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297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2026-08-17T11:29:17Z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