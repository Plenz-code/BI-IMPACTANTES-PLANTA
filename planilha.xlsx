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35" documentId="8_{AF585B22-221D-4780-BB9C-493D365A6A02}" xr6:coauthVersionLast="47" xr6:coauthVersionMax="47" xr10:uidLastSave="{2499C956-5CF6-4221-9BBD-6B699DB4CAE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<sst xmlns="http://schemas.openxmlformats.org/spreadsheetml/2006/main" count="9650" uniqueCount="383">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</sst>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7" sqref="F6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95</v>
      </c>
      <c r="G635" s="36">
        <f>SUM(G623:G634)</f>
        <v>475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95</v>
      </c>
      <c r="G649" s="40">
        <f>G635+G648</f>
        <v>475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0.25925335648207692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0.41689224537096581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0.52661446759318797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0.23772557870688615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0.40855891204021955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0.55369780092910847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/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M624" s="30" t="str">
        <f ca="1">IFERROR(IF(K624="","",IF(L623="",MOD(NOW()-K624,1),IF(L623&gt;=K624,L623-K624,L623+1-K624))),"")</f>
        <v/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168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168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57</v>
      </c>
      <c r="G635" s="36">
        <f>SUM(G623:G634)</f>
        <v>239.39999999999998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</v>
      </c>
      <c r="G649" s="40">
        <f>G635+G648</f>
        <v>239.39999999999998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K625" sqref="K6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0.24953113426454365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0.44883668982009928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0.8161978009312103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>
        <v>0.49236111111111114</v>
      </c>
      <c r="L624" s="29"/>
      <c r="M624" s="30">
        <f t="shared" ca="1" si="139"/>
        <v>6.4755787097965367E-3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54</v>
      </c>
      <c r="G635" s="36">
        <f>SUM(G623:G634)</f>
        <v>226.8</v>
      </c>
      <c r="H635" s="37"/>
      <c r="I635" s="37"/>
      <c r="J635" s="37"/>
      <c r="K635" s="61"/>
      <c r="L635" s="61"/>
      <c r="M635" s="38">
        <f ca="1">IFERROR(SUM(M623:M634),"")</f>
        <v>9.9478009320188021E-3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</v>
      </c>
      <c r="G649" s="40">
        <f>G635+G648</f>
        <v>226.8</v>
      </c>
      <c r="H649" s="41"/>
      <c r="I649" s="41"/>
      <c r="J649" s="41"/>
      <c r="K649" s="63"/>
      <c r="L649" s="63"/>
      <c r="M649" s="42">
        <f ca="1">IFERROR(M635+M648,"")</f>
        <v>9.9478009320188021E-3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2026-07-24T15:59:06Z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